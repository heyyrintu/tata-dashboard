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MIS"/>
    <sheet r:id="rId2" sheetId="2" name="OPs Data"/>
    <sheet r:id="rId3" sheetId="3" name="Market Vehicle Data"/>
    <sheet r:id="rId4" sheetId="4" name="Vehicle Readings"/>
    <sheet r:id="rId5" sheetId="5" name="Vehicle Master"/>
    <sheet r:id="rId6" sheetId="6" name="Category &amp;amp; Range Wise Outward"/>
    <sheet r:id="rId7" sheetId="7" name="Customer Master"/>
    <sheet r:id="rId8" sheetId="8" name="P&amp;amp;L"/>
    <sheet r:id="rId9" sheetId="9" name="Revenue Sheet"/>
    <sheet r:id="rId10" sheetId="10" name="Expense Sheet"/>
    <sheet r:id="rId11" sheetId="11" name="Driver Master"/>
    <sheet r:id="rId12" sheetId="12" name="Material Master"/>
    <sheet r:id="rId13" sheetId="13" name="Rate Card"/>
    <sheet r:id="rId14" sheetId="14" name="Masters"/>
  </sheets>
  <definedNames>
    <definedName name="_xlnm._FilterDatabase" localSheetId="1">'OPs Data'!$A$1:$AN$999</definedName>
    <definedName name="_xlnm._FilterDatabase" localSheetId="3">'Vehicle Readings'!$A$1:$J$409</definedName>
  </definedNames>
  <calcPr fullCalcOnLoad="1"/>
</workbook>
</file>

<file path=xl/sharedStrings.xml><?xml version="1.0" encoding="utf-8"?>
<sst xmlns="http://schemas.openxmlformats.org/spreadsheetml/2006/main" count="6502" uniqueCount="1312">
  <si>
    <t>Cost</t>
  </si>
  <si>
    <t>Rate</t>
  </si>
  <si>
    <t>Criteria</t>
  </si>
  <si>
    <t>Remarks</t>
  </si>
  <si>
    <t>Particular</t>
  </si>
  <si>
    <t>Amount</t>
  </si>
  <si>
    <t>Revenue</t>
  </si>
  <si>
    <t>Rate/ Bucket</t>
  </si>
  <si>
    <t>Type</t>
  </si>
  <si>
    <t>Range</t>
  </si>
  <si>
    <t>20L Buckets</t>
  </si>
  <si>
    <t>0-100Km</t>
  </si>
  <si>
    <t>Bucket</t>
  </si>
  <si>
    <t>Loading Cost</t>
  </si>
  <si>
    <t>Per Ton</t>
  </si>
  <si>
    <t>210L Barrels</t>
  </si>
  <si>
    <t>101-250Km</t>
  </si>
  <si>
    <t>Unloading</t>
  </si>
  <si>
    <t>Per Bucket/Jerry Can</t>
  </si>
  <si>
    <t>251-400Km</t>
  </si>
  <si>
    <t>Barrel</t>
  </si>
  <si>
    <t>401-600Km</t>
  </si>
  <si>
    <t>Transportation</t>
  </si>
  <si>
    <t>Per KM</t>
  </si>
  <si>
    <t>For Fix Vehicle</t>
  </si>
  <si>
    <t>Unloading Charge</t>
  </si>
  <si>
    <t>Slab</t>
  </si>
  <si>
    <t>20L Jerry Can</t>
  </si>
  <si>
    <t>Material Type</t>
  </si>
  <si>
    <t>Weight Per Bucket (Ltrs.)</t>
  </si>
  <si>
    <t>Rate Per Bucket</t>
  </si>
  <si>
    <t>Loading Charge (Rs./Ton)</t>
  </si>
  <si>
    <t>101-250km</t>
  </si>
  <si>
    <t>Material Code</t>
  </si>
  <si>
    <t>Material Name</t>
  </si>
  <si>
    <t>Capacity</t>
  </si>
  <si>
    <t>Name</t>
  </si>
  <si>
    <t>Contact No.</t>
  </si>
  <si>
    <t>Saikul</t>
  </si>
  <si>
    <t>Javid</t>
  </si>
  <si>
    <t>Yakil</t>
  </si>
  <si>
    <t>Saleem</t>
  </si>
  <si>
    <t>Ravi</t>
  </si>
  <si>
    <t>Premsagar</t>
  </si>
  <si>
    <t>Sarvesh</t>
  </si>
  <si>
    <t>vipin</t>
  </si>
  <si>
    <t>Date</t>
  </si>
  <si>
    <t>Loading Charge</t>
  </si>
  <si>
    <t>PG Cost</t>
  </si>
  <si>
    <t>Total</t>
  </si>
  <si>
    <t>LR Count</t>
  </si>
  <si>
    <t>Total Revenue</t>
  </si>
  <si>
    <t>Month</t>
  </si>
  <si>
    <t>Expense</t>
  </si>
  <si>
    <t>Cummlative Revenue</t>
  </si>
  <si>
    <t>Cummlative Expense</t>
  </si>
  <si>
    <t>Daily P&amp;L</t>
  </si>
  <si>
    <t>P&amp;L Till Date</t>
  </si>
  <si>
    <t>P&amp;L</t>
  </si>
  <si>
    <t>P&amp;L %</t>
  </si>
  <si>
    <t>Yesterday's</t>
  </si>
  <si>
    <t>MTD</t>
  </si>
  <si>
    <t>Last Month</t>
  </si>
  <si>
    <t>YTD</t>
  </si>
  <si>
    <t>S.No</t>
  </si>
  <si>
    <t>Customer Name</t>
  </si>
  <si>
    <t>Location</t>
  </si>
  <si>
    <t>Address</t>
  </si>
  <si>
    <t>Distance</t>
  </si>
  <si>
    <t>Cargo Motors</t>
  </si>
  <si>
    <t>Delhi</t>
  </si>
  <si>
    <t>VLH Marketing</t>
  </si>
  <si>
    <t>Karnal</t>
  </si>
  <si>
    <t>Johar Automobiles</t>
  </si>
  <si>
    <t>Faridabad</t>
  </si>
  <si>
    <t>Pasco Motors LLP</t>
  </si>
  <si>
    <t>New Delhi</t>
  </si>
  <si>
    <t>Yuvraj Motors</t>
  </si>
  <si>
    <t>Aligarh</t>
  </si>
  <si>
    <t>UP State Road Transport Corporation</t>
  </si>
  <si>
    <t>ghaziabad</t>
  </si>
  <si>
    <t>Sisothiya Automobile</t>
  </si>
  <si>
    <t>Dharuhera</t>
  </si>
  <si>
    <t>Sahni Motors</t>
  </si>
  <si>
    <t>Metro Motors Pvt Ltd.</t>
  </si>
  <si>
    <t>AA Automobiles Pvt. Ltd.</t>
  </si>
  <si>
    <t>Gaziabad</t>
  </si>
  <si>
    <t>Jain Motors Srore</t>
  </si>
  <si>
    <t>Tohana</t>
  </si>
  <si>
    <t>Shree Shyam Automobiles</t>
  </si>
  <si>
    <t>Ferozpur</t>
  </si>
  <si>
    <t>Raj Enterprize</t>
  </si>
  <si>
    <t>Greater Noida</t>
  </si>
  <si>
    <t>Ashok auto Ventures LLP</t>
  </si>
  <si>
    <t>Gautam Budhh Nagar</t>
  </si>
  <si>
    <t>RK Automobiles Private Limited</t>
  </si>
  <si>
    <t>Sahibabad</t>
  </si>
  <si>
    <t>mangalam auto</t>
  </si>
  <si>
    <t>Palwal</t>
  </si>
  <si>
    <t>Saharanpur</t>
  </si>
  <si>
    <t>Anand motors</t>
  </si>
  <si>
    <t>gohana</t>
  </si>
  <si>
    <t>mg motors</t>
  </si>
  <si>
    <t>rohtak</t>
  </si>
  <si>
    <t>Sanghi Automobiles</t>
  </si>
  <si>
    <t>Rewari</t>
  </si>
  <si>
    <t>Hind Motor</t>
  </si>
  <si>
    <t>Hisar</t>
  </si>
  <si>
    <t>ganganagar vehicles pvt ltd</t>
  </si>
  <si>
    <t>sumit auto store</t>
  </si>
  <si>
    <t>raju motor store</t>
  </si>
  <si>
    <t>sonipat</t>
  </si>
  <si>
    <t>laxmi agencies</t>
  </si>
  <si>
    <t>pilkhuwa</t>
  </si>
  <si>
    <t>pcj motors</t>
  </si>
  <si>
    <t>muzaffarnagar</t>
  </si>
  <si>
    <t>ashoka motors</t>
  </si>
  <si>
    <t>hisar</t>
  </si>
  <si>
    <t>shivam motor</t>
  </si>
  <si>
    <t>hloc auto parts pvt.ltd.</t>
  </si>
  <si>
    <t>sjs motors</t>
  </si>
  <si>
    <t>shamli</t>
  </si>
  <si>
    <t>garg logistics</t>
  </si>
  <si>
    <t>panipat</t>
  </si>
  <si>
    <t xml:space="preserve">shiva motors </t>
  </si>
  <si>
    <t>narwana</t>
  </si>
  <si>
    <t>gng auto aids pvt ltd</t>
  </si>
  <si>
    <t>bilaspur gurgaon</t>
  </si>
  <si>
    <t>patricia holdings pvt ltd</t>
  </si>
  <si>
    <t>udham singh nagar</t>
  </si>
  <si>
    <t xml:space="preserve">pasco   </t>
  </si>
  <si>
    <t>vijay automobile</t>
  </si>
  <si>
    <t>shahpura</t>
  </si>
  <si>
    <t>shanti autosales pvt ltd</t>
  </si>
  <si>
    <t>meerut automobile pvt ltd</t>
  </si>
  <si>
    <t>tkj automobiles jv</t>
  </si>
  <si>
    <t>chhutmalpur</t>
  </si>
  <si>
    <t xml:space="preserve">abc motors </t>
  </si>
  <si>
    <t>fatehabad</t>
  </si>
  <si>
    <t>cns motors pvt ltd</t>
  </si>
  <si>
    <t>bijnor</t>
  </si>
  <si>
    <t>Ashok Ventures LLP</t>
  </si>
  <si>
    <t>Gautam Buddha Nagar</t>
  </si>
  <si>
    <t>bharatpur</t>
  </si>
  <si>
    <t>ashok auto sales ltd</t>
  </si>
  <si>
    <t>mathura</t>
  </si>
  <si>
    <t>pasco motors LLP</t>
  </si>
  <si>
    <t>faridabad</t>
  </si>
  <si>
    <t>triumph auto parts distr pvt ltd</t>
  </si>
  <si>
    <t>palwal</t>
  </si>
  <si>
    <t>pasco Motors LLP</t>
  </si>
  <si>
    <t>gurgaon</t>
  </si>
  <si>
    <t>oberai motors ltd</t>
  </si>
  <si>
    <t>kotdwara</t>
  </si>
  <si>
    <t>mona generator services pvt ltd</t>
  </si>
  <si>
    <t>saharanpur</t>
  </si>
  <si>
    <t>tatarpur</t>
  </si>
  <si>
    <t>ra motors pvt ltd</t>
  </si>
  <si>
    <t>moradabad</t>
  </si>
  <si>
    <t>abhishek automobiles</t>
  </si>
  <si>
    <t>shri shyam automobiles</t>
  </si>
  <si>
    <t>ferozpur jhirka</t>
  </si>
  <si>
    <t>a&amp;a automobiles pvt ltd</t>
  </si>
  <si>
    <t>roorkee</t>
  </si>
  <si>
    <t>haryana motor</t>
  </si>
  <si>
    <t>jhajjar</t>
  </si>
  <si>
    <t>yuvraj motors</t>
  </si>
  <si>
    <t>aligarh</t>
  </si>
  <si>
    <t>amit auto wheels pvt ltd</t>
  </si>
  <si>
    <t>rudrapur</t>
  </si>
  <si>
    <t>haldwani</t>
  </si>
  <si>
    <t>singhal enterprises</t>
  </si>
  <si>
    <t>manglaur</t>
  </si>
  <si>
    <t>triumph auto (cv) pvt ldt</t>
  </si>
  <si>
    <t>saawariya automobiles</t>
  </si>
  <si>
    <t>sohna</t>
  </si>
  <si>
    <t>rishabh engineering company</t>
  </si>
  <si>
    <t>kumanu diesel services center (p) ltd</t>
  </si>
  <si>
    <t>rampur</t>
  </si>
  <si>
    <t>om sai ram motros</t>
  </si>
  <si>
    <t>baghpat</t>
  </si>
  <si>
    <t xml:space="preserve">vardhman motors </t>
  </si>
  <si>
    <t>sikandrabad</t>
  </si>
  <si>
    <t xml:space="preserve">shyam automobiles </t>
  </si>
  <si>
    <t>sahib auto pvt ltd</t>
  </si>
  <si>
    <t>shree balaji motors</t>
  </si>
  <si>
    <t>agra</t>
  </si>
  <si>
    <t xml:space="preserve">mg motors </t>
  </si>
  <si>
    <t xml:space="preserve">gourav motors </t>
  </si>
  <si>
    <t>jind</t>
  </si>
  <si>
    <t>ganesh motors</t>
  </si>
  <si>
    <t>fatehpursikri</t>
  </si>
  <si>
    <t>kesari nandan automobiles</t>
  </si>
  <si>
    <t>thakurdwara</t>
  </si>
  <si>
    <t>navdeep autocops pvt ltd</t>
  </si>
  <si>
    <t>tauru</t>
  </si>
  <si>
    <t>triumph auto engineering pvt ltd</t>
  </si>
  <si>
    <t>bilaspur</t>
  </si>
  <si>
    <t xml:space="preserve">sanghi automobiles </t>
  </si>
  <si>
    <t>narnaul</t>
  </si>
  <si>
    <t>sahima motors</t>
  </si>
  <si>
    <t>bawal</t>
  </si>
  <si>
    <t>nvdeep autocops pvt ltd.</t>
  </si>
  <si>
    <t>bahadurgarh</t>
  </si>
  <si>
    <t xml:space="preserve">ganganagar motros </t>
  </si>
  <si>
    <t>mlk autos</t>
  </si>
  <si>
    <t>arihant motors</t>
  </si>
  <si>
    <t>hindustan motors</t>
  </si>
  <si>
    <t xml:space="preserve">cns motors pvt ltd </t>
  </si>
  <si>
    <t>joya</t>
  </si>
  <si>
    <t>vipin motors pvt ltd</t>
  </si>
  <si>
    <t xml:space="preserve">up state road transport </t>
  </si>
  <si>
    <t>ashirvad motors</t>
  </si>
  <si>
    <t>standard motors stores</t>
  </si>
  <si>
    <t>dehradun</t>
  </si>
  <si>
    <t>lube solution</t>
  </si>
  <si>
    <t>noida</t>
  </si>
  <si>
    <t>bharat steel &amp; auto spares</t>
  </si>
  <si>
    <t>v 8 autos</t>
  </si>
  <si>
    <t>tehri garhwal</t>
  </si>
  <si>
    <t>r k automobile pvt ltd (up state )</t>
  </si>
  <si>
    <t>cas motors</t>
  </si>
  <si>
    <t>bagwali</t>
  </si>
  <si>
    <t>jhalawar</t>
  </si>
  <si>
    <t>hodel</t>
  </si>
  <si>
    <t>jain transport corporation</t>
  </si>
  <si>
    <t>lalkuan</t>
  </si>
  <si>
    <t>lotus motors</t>
  </si>
  <si>
    <t>rajasamand</t>
  </si>
  <si>
    <t>pascos</t>
  </si>
  <si>
    <t>delhi</t>
  </si>
  <si>
    <t>0-100km</t>
  </si>
  <si>
    <t>rennita motors</t>
  </si>
  <si>
    <t>herbertpur</t>
  </si>
  <si>
    <t>bee gee automobiles</t>
  </si>
  <si>
    <t>shimla</t>
  </si>
  <si>
    <t>251-400km</t>
  </si>
  <si>
    <t xml:space="preserve">pinder motors </t>
  </si>
  <si>
    <t>simli</t>
  </si>
  <si>
    <t>sarthi construction pvt ltd</t>
  </si>
  <si>
    <t>tanakpur</t>
  </si>
  <si>
    <t>taksh motors</t>
  </si>
  <si>
    <t>pataudi</t>
  </si>
  <si>
    <t>H S MOTOR</t>
  </si>
  <si>
    <t>raghunath prasad brijnandan prasad</t>
  </si>
  <si>
    <t>aayush motors</t>
  </si>
  <si>
    <t>haridwar</t>
  </si>
  <si>
    <t>vijay shree automobile</t>
  </si>
  <si>
    <t>rishikesh</t>
  </si>
  <si>
    <t>s r trading</t>
  </si>
  <si>
    <t>pargana dasna</t>
  </si>
  <si>
    <t>bhagwanpur</t>
  </si>
  <si>
    <t>shree ram motors</t>
  </si>
  <si>
    <t>gaba traders</t>
  </si>
  <si>
    <t>pradeep kumar contarctor</t>
  </si>
  <si>
    <t>pauri garhwal</t>
  </si>
  <si>
    <t>206 code</t>
  </si>
  <si>
    <t>mangalam motors</t>
  </si>
  <si>
    <t xml:space="preserve">Madhav motros </t>
  </si>
  <si>
    <t>Mathura</t>
  </si>
  <si>
    <t xml:space="preserve">excellent automotive </t>
  </si>
  <si>
    <t>new delhi</t>
  </si>
  <si>
    <t>chief production manager</t>
  </si>
  <si>
    <t xml:space="preserve">jaipur </t>
  </si>
  <si>
    <t>united mechanical engineers pvt ltd</t>
  </si>
  <si>
    <t>atharv motors</t>
  </si>
  <si>
    <t>hathras</t>
  </si>
  <si>
    <t>maheshwari oil &amp; chemical</t>
  </si>
  <si>
    <t>mm enterprises</t>
  </si>
  <si>
    <t>Z S MOTORS</t>
  </si>
  <si>
    <t>dingarpur</t>
  </si>
  <si>
    <t xml:space="preserve">bala ji </t>
  </si>
  <si>
    <t>malakpur gadian</t>
  </si>
  <si>
    <t>pithoragarh</t>
  </si>
  <si>
    <t>401-600km</t>
  </si>
  <si>
    <t>maheshwari automobiles and transport</t>
  </si>
  <si>
    <t>sahaswan</t>
  </si>
  <si>
    <t xml:space="preserve">mateen khan </t>
  </si>
  <si>
    <t>sambhal</t>
  </si>
  <si>
    <t>wajid motors</t>
  </si>
  <si>
    <t>dasmesh auto spare parts</t>
  </si>
  <si>
    <t>kashipur</t>
  </si>
  <si>
    <t xml:space="preserve">krishna auto sales </t>
  </si>
  <si>
    <t>moga</t>
  </si>
  <si>
    <t>bhagwati auto traders</t>
  </si>
  <si>
    <t>jai shivalik motors</t>
  </si>
  <si>
    <t>agarwal auto</t>
  </si>
  <si>
    <t>uk auto</t>
  </si>
  <si>
    <t>lbs motors</t>
  </si>
  <si>
    <t>bulandshahar</t>
  </si>
  <si>
    <t>international skills pvt ltd</t>
  </si>
  <si>
    <t>beniwal motors</t>
  </si>
  <si>
    <t>raj enterprises</t>
  </si>
  <si>
    <t>national automobile</t>
  </si>
  <si>
    <t>Load (Ton)</t>
  </si>
  <si>
    <t>Vehicle Type</t>
  </si>
  <si>
    <t>Model</t>
  </si>
  <si>
    <t>Vehicle Number</t>
  </si>
  <si>
    <t>Total Running</t>
  </si>
  <si>
    <t>Total Cost (Rs./Kms)</t>
  </si>
  <si>
    <t>Monthly Rate</t>
  </si>
  <si>
    <t>Fixed</t>
  </si>
  <si>
    <t>HR38AC0263</t>
  </si>
  <si>
    <t>HR38AC7854</t>
  </si>
  <si>
    <t>HR38AC0599</t>
  </si>
  <si>
    <t>HR38AC7243</t>
  </si>
  <si>
    <t>Market</t>
  </si>
  <si>
    <t>HR69D3754</t>
  </si>
  <si>
    <t>HR39F5155</t>
  </si>
  <si>
    <t>HR38X6465</t>
  </si>
  <si>
    <t>market</t>
  </si>
  <si>
    <t>RJ32GB5198</t>
  </si>
  <si>
    <t>RJ14GK8841</t>
  </si>
  <si>
    <t>Gj02xx9199</t>
  </si>
  <si>
    <t>RJ14GQ2021</t>
  </si>
  <si>
    <t>RJ32GC7626</t>
  </si>
  <si>
    <t>GJ02ZZ7600</t>
  </si>
  <si>
    <t>RJ32GC3170</t>
  </si>
  <si>
    <t>UP93AT8450</t>
  </si>
  <si>
    <t>HR69F2786</t>
  </si>
  <si>
    <t>HR55AN6307</t>
  </si>
  <si>
    <t>RJ02GC6249</t>
  </si>
  <si>
    <t>HR55AK9163</t>
  </si>
  <si>
    <t>HR38Z7246</t>
  </si>
  <si>
    <t>HR69D2623</t>
  </si>
  <si>
    <t>RJ02GC6043</t>
  </si>
  <si>
    <t>RJ02GC6247</t>
  </si>
  <si>
    <t>RJ02GC5261</t>
  </si>
  <si>
    <t>RJ02GB4919</t>
  </si>
  <si>
    <t>RJ02GC4928</t>
  </si>
  <si>
    <t>HR55AJ2829</t>
  </si>
  <si>
    <t>RJ02GC4969</t>
  </si>
  <si>
    <t>RJ02GC5375</t>
  </si>
  <si>
    <t>RJ02GC4847</t>
  </si>
  <si>
    <t>Out Date</t>
  </si>
  <si>
    <t>In Date</t>
  </si>
  <si>
    <t>Vehicle No.</t>
  </si>
  <si>
    <t>Driver Name</t>
  </si>
  <si>
    <t>Out Reading</t>
  </si>
  <si>
    <t>In Reading</t>
  </si>
  <si>
    <t>Running</t>
  </si>
  <si>
    <t>Akram</t>
  </si>
  <si>
    <t>Jahid</t>
  </si>
  <si>
    <t>saikul</t>
  </si>
  <si>
    <t>javid</t>
  </si>
  <si>
    <t>2ND TRIP</t>
  </si>
  <si>
    <t>2 days hold from drona some issue</t>
  </si>
  <si>
    <t>JAVID</t>
  </si>
  <si>
    <t>Pickup Point</t>
  </si>
  <si>
    <t>Destination</t>
  </si>
  <si>
    <t>Driver No.</t>
  </si>
  <si>
    <t>Fare</t>
  </si>
  <si>
    <t>Sonipat</t>
  </si>
  <si>
    <t>SUERESH</t>
  </si>
  <si>
    <t>AMIT</t>
  </si>
  <si>
    <t>Shahpura</t>
  </si>
  <si>
    <t>SATPAL</t>
  </si>
  <si>
    <t>RAMBIR</t>
  </si>
  <si>
    <t>SONU</t>
  </si>
  <si>
    <t>vikas</t>
  </si>
  <si>
    <t>anil</t>
  </si>
  <si>
    <t>rewari</t>
  </si>
  <si>
    <t>sonu</t>
  </si>
  <si>
    <t>SANJAY</t>
  </si>
  <si>
    <t>amit</t>
  </si>
  <si>
    <t>sombir</t>
  </si>
  <si>
    <t>Jaipur</t>
  </si>
  <si>
    <t>Ferozpur jhirka</t>
  </si>
  <si>
    <t>mukesh</t>
  </si>
  <si>
    <t>aslam</t>
  </si>
  <si>
    <t>sahid</t>
  </si>
  <si>
    <t>alwar</t>
  </si>
  <si>
    <t>nahim</t>
  </si>
  <si>
    <t>VIKAS</t>
  </si>
  <si>
    <t>SAHID</t>
  </si>
  <si>
    <t>JAHID</t>
  </si>
  <si>
    <t>SUNIL</t>
  </si>
  <si>
    <t>NAHIM</t>
  </si>
  <si>
    <t>ARJUN</t>
  </si>
  <si>
    <t>S.NO</t>
  </si>
  <si>
    <t>Indent Date</t>
  </si>
  <si>
    <t>Indent</t>
  </si>
  <si>
    <t>Allocation Date</t>
  </si>
  <si>
    <t>Vehicle Model</t>
  </si>
  <si>
    <t>Vehicle Based</t>
  </si>
  <si>
    <t>LR No.</t>
  </si>
  <si>
    <t>Material</t>
  </si>
  <si>
    <t>Load Per bucket (Kgs)</t>
  </si>
  <si>
    <t>No. of Buckets/Barrels</t>
  </si>
  <si>
    <t>T. Load (Kgs)</t>
  </si>
  <si>
    <t>POD Received</t>
  </si>
  <si>
    <t>FREIGHT Tiger Number</t>
  </si>
  <si>
    <t>Freight Tiger Month</t>
  </si>
  <si>
    <t>REMARKS</t>
  </si>
  <si>
    <t>Total Km ( TpT)</t>
  </si>
  <si>
    <t>Total Cost</t>
  </si>
  <si>
    <t>Total Cost(Loading)</t>
  </si>
  <si>
    <t>Total cost Unload</t>
  </si>
  <si>
    <t>Any Other Cost</t>
  </si>
  <si>
    <t>P &amp; L</t>
  </si>
  <si>
    <t>Km/2</t>
  </si>
  <si>
    <t>S/Drona/03/25/01</t>
  </si>
  <si>
    <t>Yes</t>
  </si>
  <si>
    <t>S/Drona/03/25/02</t>
  </si>
  <si>
    <t>S/Drona/03/25/03</t>
  </si>
  <si>
    <t>S/Drona/03/25/04</t>
  </si>
  <si>
    <t>S/Drona/03/25/06</t>
  </si>
  <si>
    <t>S/Drona/03/25/07</t>
  </si>
  <si>
    <t>S/Drona/03/25/08</t>
  </si>
  <si>
    <t>S/Drona/03/25/09</t>
  </si>
  <si>
    <t>S/Drona/03/25/10</t>
  </si>
  <si>
    <t>S/Drona/03/25/11</t>
  </si>
  <si>
    <t xml:space="preserve">DOUBLE CHALLAN </t>
  </si>
  <si>
    <t>S/Drona/03/25/12</t>
  </si>
  <si>
    <t>S/Drona/03/25/13</t>
  </si>
  <si>
    <t>S/Drona/03/25/14</t>
  </si>
  <si>
    <t>S/Drona/03/25/15</t>
  </si>
  <si>
    <t>S/Drona/03/25/16</t>
  </si>
  <si>
    <t>S/Drona/03/25/17</t>
  </si>
  <si>
    <t>S/Drona/03/25/18</t>
  </si>
  <si>
    <t>S/Drona/03/25/19</t>
  </si>
  <si>
    <t>S/Drona/03/25/20</t>
  </si>
  <si>
    <t>S/Drona/03/25/22</t>
  </si>
  <si>
    <t>S/Drona/03/25/23</t>
  </si>
  <si>
    <t>S/Drona/03/25/25</t>
  </si>
  <si>
    <t>s/Drona/03/25/24</t>
  </si>
  <si>
    <t>s/Drona/03/25/29</t>
  </si>
  <si>
    <t>s/Drona/03/25/30</t>
  </si>
  <si>
    <t>s/Drona/03/25/27</t>
  </si>
  <si>
    <t>s/Drona/03/25/28</t>
  </si>
  <si>
    <t>s/Drona/03/25/31</t>
  </si>
  <si>
    <t>s/Drona/03/25/32</t>
  </si>
  <si>
    <t>s/Drona/03/25/33</t>
  </si>
  <si>
    <t>s/Drona/03/25/34</t>
  </si>
  <si>
    <t>s/Drona/03/25/35</t>
  </si>
  <si>
    <t>s/Drona/03/25/36</t>
  </si>
  <si>
    <t>hR38AC7243</t>
  </si>
  <si>
    <t>s/Drona/03/25/37</t>
  </si>
  <si>
    <t>hR38AC7854</t>
  </si>
  <si>
    <t>s/Drona/03/25/38</t>
  </si>
  <si>
    <t>hR38AC0263</t>
  </si>
  <si>
    <t>s/Drona/03/25/39</t>
  </si>
  <si>
    <t>s/Drona/03/25/40</t>
  </si>
  <si>
    <t>s/Drona/03/25/41</t>
  </si>
  <si>
    <t>s/Drona/03/25/42</t>
  </si>
  <si>
    <t>s/Drona/03/25/43</t>
  </si>
  <si>
    <t>s/Drona/03/25/44</t>
  </si>
  <si>
    <t>S/Drona/03/25/45</t>
  </si>
  <si>
    <t>SJS MOTORS</t>
  </si>
  <si>
    <t>S/Drona/03/25/46</t>
  </si>
  <si>
    <t>hr38AC0599</t>
  </si>
  <si>
    <t>s/Drona/03/25/47</t>
  </si>
  <si>
    <t>s/Drona/03/25/48</t>
  </si>
  <si>
    <t>s/Drona/03/25/49</t>
  </si>
  <si>
    <t>S/Drona/03/25/50</t>
  </si>
  <si>
    <t>s/Drona/03/25/51</t>
  </si>
  <si>
    <t>s/Drona/03/25/52</t>
  </si>
  <si>
    <t>s/Drona/03/25/53</t>
  </si>
  <si>
    <t>S/Drona/03/25/54</t>
  </si>
  <si>
    <t>S/Drona/03/25/55</t>
  </si>
  <si>
    <t>S/Drona/03/25/56</t>
  </si>
  <si>
    <t>s/Drona/03/25/57</t>
  </si>
  <si>
    <t>s/Drona/03/25/58</t>
  </si>
  <si>
    <t>s/Drona/03/25/59</t>
  </si>
  <si>
    <t>s/Drona/03/25/61</t>
  </si>
  <si>
    <t>s/Drona/03/25/62</t>
  </si>
  <si>
    <t>s/Drona/03/25/63</t>
  </si>
  <si>
    <t>s/Drona/03/25/64</t>
  </si>
  <si>
    <t>s/Drona/03/25/65</t>
  </si>
  <si>
    <t>s/Drona/03/25/66</t>
  </si>
  <si>
    <t>s/Drona/03/25/67</t>
  </si>
  <si>
    <t>s/Drona/03/25/68</t>
  </si>
  <si>
    <t>s/Drona/03/25/69</t>
  </si>
  <si>
    <t>s/Drona/03/25/70</t>
  </si>
  <si>
    <t>s/Drona/03/25/71</t>
  </si>
  <si>
    <t>s/Drona/03/25/72</t>
  </si>
  <si>
    <t>s/Drona/03/25/73</t>
  </si>
  <si>
    <t>Gautam budh nagar</t>
  </si>
  <si>
    <t>s/Drona/03/25/74</t>
  </si>
  <si>
    <t>Bijnor</t>
  </si>
  <si>
    <t>s/Drona/03/25/75</t>
  </si>
  <si>
    <t>s/Drona/03/25/76</t>
  </si>
  <si>
    <t>S/Drona/04/25/01</t>
  </si>
  <si>
    <t>AS PER GOOGLE 101-250KM</t>
  </si>
  <si>
    <t>S/Drona/04/25/02</t>
  </si>
  <si>
    <t>gautam Buddha Nagar</t>
  </si>
  <si>
    <t>S/Drona/04/25/03</t>
  </si>
  <si>
    <t>s/Drona/04/25/05</t>
  </si>
  <si>
    <t>S/Drona/04/25/07</t>
  </si>
  <si>
    <t>KOTDWARA</t>
  </si>
  <si>
    <t>2nd trip</t>
  </si>
  <si>
    <t>s/Drona/04/25/08</t>
  </si>
  <si>
    <t>s/Drona/04/25/09</t>
  </si>
  <si>
    <t>new Delhi</t>
  </si>
  <si>
    <t>s/Drona/04/25/10</t>
  </si>
  <si>
    <t>s/Drona/04/25/11</t>
  </si>
  <si>
    <t>s/Drona/04/25/12</t>
  </si>
  <si>
    <t>s/Drona/04/25/13</t>
  </si>
  <si>
    <t>s/Drona/04/25/14</t>
  </si>
  <si>
    <t>s/Drona/04/25/15</t>
  </si>
  <si>
    <t>s/Drona/04/25/16</t>
  </si>
  <si>
    <t>s/Drona/04/25/17</t>
  </si>
  <si>
    <t>s/Drona/04/25/18</t>
  </si>
  <si>
    <t>rudraprayag</t>
  </si>
  <si>
    <t>CANCEL BY DRONA ( 20 L- 100 pcs)</t>
  </si>
  <si>
    <t>s/Drona/04/25/19</t>
  </si>
  <si>
    <t>s/Drona/04/25/20</t>
  </si>
  <si>
    <t>s/Drona/04/25/21</t>
  </si>
  <si>
    <t>s/Drona/04/25/22</t>
  </si>
  <si>
    <t>s/Drona/04/25/23</t>
  </si>
  <si>
    <t>farswan tyres</t>
  </si>
  <si>
    <t>chamoli</t>
  </si>
  <si>
    <t>s/Drona/04/25/24</t>
  </si>
  <si>
    <t>s/Drona/04/25/25</t>
  </si>
  <si>
    <t>s/Drona/04/25/26</t>
  </si>
  <si>
    <t>s/Drona/04/25/27</t>
  </si>
  <si>
    <t>s/Drona/04/25/28</t>
  </si>
  <si>
    <t>s/Drona/04/25/29</t>
  </si>
  <si>
    <t>s/Drona/04/25/30</t>
  </si>
  <si>
    <t>s/Drona/04/25/31</t>
  </si>
  <si>
    <t>s/Drona/04/25/32</t>
  </si>
  <si>
    <t>s/Drona/04/25/33</t>
  </si>
  <si>
    <t>s/Drona/04/25/34</t>
  </si>
  <si>
    <t>s/Drona/04/25/35</t>
  </si>
  <si>
    <t>s/Drona/04/25/36</t>
  </si>
  <si>
    <t>s/Drona/04/25/37</t>
  </si>
  <si>
    <t>s/Drona/04/25/38</t>
  </si>
  <si>
    <t>s/Drona/04/25/39</t>
  </si>
  <si>
    <t>s/Drona/04/25/40</t>
  </si>
  <si>
    <t>s/Drona/04/25/41</t>
  </si>
  <si>
    <t>karnal</t>
  </si>
  <si>
    <t>s/Drona/04/25/42</t>
  </si>
  <si>
    <t>dharuhera</t>
  </si>
  <si>
    <t>s/Drona/04/25/43</t>
  </si>
  <si>
    <t>s/Drona/04/25/44</t>
  </si>
  <si>
    <t>s/Drona/04/25/45</t>
  </si>
  <si>
    <t>s/Drona/04/25/46</t>
  </si>
  <si>
    <t>s/Drona/04/25/47</t>
  </si>
  <si>
    <t>s/Drona/04/25/48</t>
  </si>
  <si>
    <t>s/Drona/04/25/49</t>
  </si>
  <si>
    <t>s/Drona/04/25/50</t>
  </si>
  <si>
    <t>s/Drona/04/25/51</t>
  </si>
  <si>
    <t>s/Drona/04/25/52</t>
  </si>
  <si>
    <t>s/Drona/04/25/53</t>
  </si>
  <si>
    <t>jai goljeu motors</t>
  </si>
  <si>
    <t>s/Drona/04/25/54</t>
  </si>
  <si>
    <t>us nagar</t>
  </si>
  <si>
    <t>s/Drona/04/25/55</t>
  </si>
  <si>
    <t>s/Drona/04/25/56</t>
  </si>
  <si>
    <t>s/Drona/04/25/57</t>
  </si>
  <si>
    <t>s/Drona/04/25/58</t>
  </si>
  <si>
    <t>s/Drona/04/25/59</t>
  </si>
  <si>
    <t>s/Drona/04/25/60</t>
  </si>
  <si>
    <t>s/Drona/04/25/61</t>
  </si>
  <si>
    <t>s/Drona/04/25/62</t>
  </si>
  <si>
    <t>s/Drona/04/25/63</t>
  </si>
  <si>
    <t>s/Drona/04/25/64</t>
  </si>
  <si>
    <t>s/Drona/04/25/65</t>
  </si>
  <si>
    <t>s/Drona/04/25/66</t>
  </si>
  <si>
    <t>s/Drona/04/25/67</t>
  </si>
  <si>
    <t>s/Drona/04/25/68</t>
  </si>
  <si>
    <t>s/Drona/04/25/69</t>
  </si>
  <si>
    <t>s/Drona/04/25/70</t>
  </si>
  <si>
    <t>s/Drona/04/25/71</t>
  </si>
  <si>
    <t>s/Drona/04/25/72</t>
  </si>
  <si>
    <t>s/Drona/04/25/73</t>
  </si>
  <si>
    <t>s/Drona/04/25/74</t>
  </si>
  <si>
    <t>s/Drona/04/25/75</t>
  </si>
  <si>
    <t>s/Drona/04/25/76</t>
  </si>
  <si>
    <t>s/Drona/04/25/77</t>
  </si>
  <si>
    <t>s/Drona/04/25/78</t>
  </si>
  <si>
    <t>s/Drona/04/25/79</t>
  </si>
  <si>
    <t>s/Drona/04/25/80</t>
  </si>
  <si>
    <t>9E37E7</t>
  </si>
  <si>
    <t>s/Drona/04/25/81</t>
  </si>
  <si>
    <t>s/Drona/04/25/82</t>
  </si>
  <si>
    <t>s/Drona/04/25/83</t>
  </si>
  <si>
    <t>s/Drona/04/25/84</t>
  </si>
  <si>
    <t>s/Drona/04/25/85</t>
  </si>
  <si>
    <t>s/Drona/04/25/86</t>
  </si>
  <si>
    <t>s/Drona/04/25/87</t>
  </si>
  <si>
    <t>s/Drona/05/25/01</t>
  </si>
  <si>
    <t>s/Drona/05/25/02</t>
  </si>
  <si>
    <t>s/Drona/05/25/03</t>
  </si>
  <si>
    <t>vijay shree automobiles</t>
  </si>
  <si>
    <t>s/drona/05/25/04</t>
  </si>
  <si>
    <t>s/drona/05/25/05</t>
  </si>
  <si>
    <t>s/drona/05/25/06</t>
  </si>
  <si>
    <t>s/drona/05/25/07</t>
  </si>
  <si>
    <t>s/drona/05/25/08</t>
  </si>
  <si>
    <t>s/drona/05/25/09</t>
  </si>
  <si>
    <t>s/drona/05/25/10</t>
  </si>
  <si>
    <t>s/drona/05/25/11</t>
  </si>
  <si>
    <t>s/drona/05/25/12</t>
  </si>
  <si>
    <t>s/drona/05/25/13</t>
  </si>
  <si>
    <t>s/drona/05/25/14</t>
  </si>
  <si>
    <t>s/drona/05/25/15</t>
  </si>
  <si>
    <t>s/drona/05/25/16</t>
  </si>
  <si>
    <t>s/drona/05/25/17</t>
  </si>
  <si>
    <t>s/drona/05/25/18</t>
  </si>
  <si>
    <t>s/drona/05/25/19</t>
  </si>
  <si>
    <t>s/drona/05/25/20</t>
  </si>
  <si>
    <t>s/drona/05/25/21</t>
  </si>
  <si>
    <t>s/drona/05/25/22</t>
  </si>
  <si>
    <t>s/drona/05/25/23</t>
  </si>
  <si>
    <t>s/drona/05/25/24</t>
  </si>
  <si>
    <t>s/drona/05/25/25</t>
  </si>
  <si>
    <t>s/drona/05/25/26</t>
  </si>
  <si>
    <t>s/drona/05/25/27</t>
  </si>
  <si>
    <t>s/drona/05/25/28</t>
  </si>
  <si>
    <t>s/drona/05/25/29</t>
  </si>
  <si>
    <t>s/drona/05/25/30</t>
  </si>
  <si>
    <t>waseem filling station</t>
  </si>
  <si>
    <t>s/drona/05/25/31</t>
  </si>
  <si>
    <t>Bee gee automobiles</t>
  </si>
  <si>
    <t>s/drona/05/25/32</t>
  </si>
  <si>
    <t>bhiwani</t>
  </si>
  <si>
    <t>s/drona/05/25/33</t>
  </si>
  <si>
    <t>s/drona/05/25/34</t>
  </si>
  <si>
    <t>s/drona/05/25/35</t>
  </si>
  <si>
    <t>ACDD16</t>
  </si>
  <si>
    <t>s/drona/05/25/36</t>
  </si>
  <si>
    <t>E386A6</t>
  </si>
  <si>
    <t>s/drona/05/25/37</t>
  </si>
  <si>
    <t>D9D124</t>
  </si>
  <si>
    <t>s/drona/05/25/38</t>
  </si>
  <si>
    <t>8BD209</t>
  </si>
  <si>
    <t>s/drona/05/25/39</t>
  </si>
  <si>
    <t>CAC470</t>
  </si>
  <si>
    <t>s/drona/05/25/40</t>
  </si>
  <si>
    <t>91F02E</t>
  </si>
  <si>
    <t>s/drona/05/25/41</t>
  </si>
  <si>
    <t>C70D02</t>
  </si>
  <si>
    <t>s/drona/05/25/42</t>
  </si>
  <si>
    <t>DA56B6</t>
  </si>
  <si>
    <t>s/drona/05/25/43</t>
  </si>
  <si>
    <t>29AD06</t>
  </si>
  <si>
    <t>s/drona/05/25/44</t>
  </si>
  <si>
    <t>CANCEL BY DRONA (20 L- 300 PCS)</t>
  </si>
  <si>
    <t>s/drona/05/25/45</t>
  </si>
  <si>
    <t>s/drona/05/25/46</t>
  </si>
  <si>
    <t>E57CDA</t>
  </si>
  <si>
    <t>s/drona/05/25/47</t>
  </si>
  <si>
    <t>EE1F00</t>
  </si>
  <si>
    <t>s/drona/05/25/48</t>
  </si>
  <si>
    <t>CE678C</t>
  </si>
  <si>
    <t>s/drona/05/25/49</t>
  </si>
  <si>
    <t>FFE29C</t>
  </si>
  <si>
    <t>NOT RECEIVE FROM TML</t>
  </si>
  <si>
    <t>CB7539</t>
  </si>
  <si>
    <t>40E33F</t>
  </si>
  <si>
    <t xml:space="preserve">jain traders </t>
  </si>
  <si>
    <t>sikandra rao</t>
  </si>
  <si>
    <t>CANCEL BY DRONA ( 20 L -100 PCS)</t>
  </si>
  <si>
    <t>s/drona/05/25/53</t>
  </si>
  <si>
    <t>s/drona/05/25/54</t>
  </si>
  <si>
    <t>F40986</t>
  </si>
  <si>
    <t>s/drona/05/25/55</t>
  </si>
  <si>
    <t>sahibabad</t>
  </si>
  <si>
    <t>600BBF</t>
  </si>
  <si>
    <t>s/drona/05/25/63</t>
  </si>
  <si>
    <t>s/drona/05/25/64</t>
  </si>
  <si>
    <t>483C9A</t>
  </si>
  <si>
    <t>s/drona/05/25/66</t>
  </si>
  <si>
    <t>CBE722</t>
  </si>
  <si>
    <t>s/drona/05/25/67</t>
  </si>
  <si>
    <t>7B5D11</t>
  </si>
  <si>
    <t>s/drona/05/25/68</t>
  </si>
  <si>
    <t>8CD51F</t>
  </si>
  <si>
    <t>s/drona/05/25/69</t>
  </si>
  <si>
    <t>04648A</t>
  </si>
  <si>
    <t>s/drona/05/25/71</t>
  </si>
  <si>
    <t>8A8A93</t>
  </si>
  <si>
    <t>s/drona/05/25/70</t>
  </si>
  <si>
    <t>8B82D0</t>
  </si>
  <si>
    <t>s/drona/05/25/76</t>
  </si>
  <si>
    <t>8AFD59</t>
  </si>
  <si>
    <t>s/drona/05/25/74</t>
  </si>
  <si>
    <t>A34EE9</t>
  </si>
  <si>
    <t>s/drona/05/25/78</t>
  </si>
  <si>
    <t>53BA42</t>
  </si>
  <si>
    <t>s/drona/05/25/79</t>
  </si>
  <si>
    <t>5A659F</t>
  </si>
  <si>
    <t>s/drona/05/25/83</t>
  </si>
  <si>
    <t>69B1D0</t>
  </si>
  <si>
    <t>s/drona/05/25/81</t>
  </si>
  <si>
    <t>CANCEL BY DRONA ( 20 L -600 PCS)</t>
  </si>
  <si>
    <t>s/drona/05/25/82</t>
  </si>
  <si>
    <t>s/drona/05/25/80</t>
  </si>
  <si>
    <t>s/drona/05/25/56</t>
  </si>
  <si>
    <t>F35A93</t>
  </si>
  <si>
    <t>s/drona/05/25/57</t>
  </si>
  <si>
    <t>DB00D3</t>
  </si>
  <si>
    <t>s/drona/05/25/58</t>
  </si>
  <si>
    <t>6B8BC6</t>
  </si>
  <si>
    <t>s/drona/05/25/59</t>
  </si>
  <si>
    <t>00A68A</t>
  </si>
  <si>
    <t>s/drona/05/25/60</t>
  </si>
  <si>
    <t>E4579F</t>
  </si>
  <si>
    <t>s/drona/05/25/61</t>
  </si>
  <si>
    <t>BD9CB2</t>
  </si>
  <si>
    <t>s/drona/05/25/62</t>
  </si>
  <si>
    <t>s/drona/05/25/73</t>
  </si>
  <si>
    <t>4C19B2</t>
  </si>
  <si>
    <t>s/drona/06/25/01</t>
  </si>
  <si>
    <t>CANCEL BY DRONA ( 20 L-200 PCS)</t>
  </si>
  <si>
    <t>s/drona/06/25/02</t>
  </si>
  <si>
    <t>31FC84</t>
  </si>
  <si>
    <t>s/drona/06/25/03</t>
  </si>
  <si>
    <t>A9C69D</t>
  </si>
  <si>
    <t>s/drona/06/25/04</t>
  </si>
  <si>
    <t>77F4AD</t>
  </si>
  <si>
    <t>s/drona/06/25/05</t>
  </si>
  <si>
    <t>FF5A0D</t>
  </si>
  <si>
    <t>s/drona/06/25/06</t>
  </si>
  <si>
    <t>EC4872</t>
  </si>
  <si>
    <t>as per indent pin code range 0-100km (94km)</t>
  </si>
  <si>
    <t>s/drona/06/25/07</t>
  </si>
  <si>
    <t>8969D9</t>
  </si>
  <si>
    <t>s/drona/06/25/08</t>
  </si>
  <si>
    <t>6FDC04</t>
  </si>
  <si>
    <t>s/drona/06/25/09</t>
  </si>
  <si>
    <t>9DCE64</t>
  </si>
  <si>
    <t>s/drona/06/25/10</t>
  </si>
  <si>
    <t>2F273E</t>
  </si>
  <si>
    <t>s/drona/06/25/11</t>
  </si>
  <si>
    <t>C4A8DD</t>
  </si>
  <si>
    <t>s/drona/06/25/12</t>
  </si>
  <si>
    <t>CANCEL BY DRONA (20 L- 100 PCS)</t>
  </si>
  <si>
    <t>s/drona/06/25/13</t>
  </si>
  <si>
    <t>s/drona/06/25/14</t>
  </si>
  <si>
    <t>37C77B</t>
  </si>
  <si>
    <t>s/drona/06/25/15</t>
  </si>
  <si>
    <t>s/drona/06/25/16</t>
  </si>
  <si>
    <t>BD60E7</t>
  </si>
  <si>
    <t>s/drona/06/25/17</t>
  </si>
  <si>
    <t>0A0C3D</t>
  </si>
  <si>
    <t>s/drona/06/25/18</t>
  </si>
  <si>
    <t>DB149D</t>
  </si>
  <si>
    <t>s/drona/06/25/19</t>
  </si>
  <si>
    <t>7BC845</t>
  </si>
  <si>
    <t>s/drona/06/25/20</t>
  </si>
  <si>
    <t>A4E253</t>
  </si>
  <si>
    <t>s/drona/06/25/21</t>
  </si>
  <si>
    <t>9E950C</t>
  </si>
  <si>
    <t>s/drona/06/25/22</t>
  </si>
  <si>
    <t>7EECC6</t>
  </si>
  <si>
    <t>s/drona/06/25/23</t>
  </si>
  <si>
    <t>26 1E69</t>
  </si>
  <si>
    <t>s/drona/06/25/24</t>
  </si>
  <si>
    <t>3F86DF</t>
  </si>
  <si>
    <t>s/drona/06/25/25</t>
  </si>
  <si>
    <t>D87FFF</t>
  </si>
  <si>
    <t>s/drona/06/25/26</t>
  </si>
  <si>
    <t>E894A8</t>
  </si>
  <si>
    <t>s/drona/06/25/27</t>
  </si>
  <si>
    <t>B3610A</t>
  </si>
  <si>
    <t>s/drona/06/25/28</t>
  </si>
  <si>
    <t>42E5F9</t>
  </si>
  <si>
    <t>s/drona/06/25/29</t>
  </si>
  <si>
    <t>7369D8</t>
  </si>
  <si>
    <t>s/drona/06/25/30</t>
  </si>
  <si>
    <t>0504DA</t>
  </si>
  <si>
    <t>s/drona/06/25/31</t>
  </si>
  <si>
    <t>9A08C6</t>
  </si>
  <si>
    <t>s/drona/06/25/32</t>
  </si>
  <si>
    <t>93D8DE</t>
  </si>
  <si>
    <t>s/drona/06/25/33</t>
  </si>
  <si>
    <t>F4C802</t>
  </si>
  <si>
    <t>2E89B8</t>
  </si>
  <si>
    <t>s/drona/06/25/35</t>
  </si>
  <si>
    <t>06E22A</t>
  </si>
  <si>
    <t>s/drona/06/25/36</t>
  </si>
  <si>
    <t>s/drona/06/25/37</t>
  </si>
  <si>
    <t>CANCEL BY DRONA (20 L- 200 PCS)</t>
  </si>
  <si>
    <t>s/drona/06/25/38</t>
  </si>
  <si>
    <t>ECDC48</t>
  </si>
  <si>
    <t>s/drona/06/25/39</t>
  </si>
  <si>
    <t>DC3A17</t>
  </si>
  <si>
    <t>s/drona/06/25/40</t>
  </si>
  <si>
    <t>6895AC</t>
  </si>
  <si>
    <t>s/drona/06/25/41</t>
  </si>
  <si>
    <t>1A0499</t>
  </si>
  <si>
    <t>as per indent pin code range 0-100km (95km)</t>
  </si>
  <si>
    <t>s/drona/06/25/42</t>
  </si>
  <si>
    <t>6F2554</t>
  </si>
  <si>
    <t>s/drona/06/25/43</t>
  </si>
  <si>
    <t>SEB4E9</t>
  </si>
  <si>
    <t>s/drona/06/25/44</t>
  </si>
  <si>
    <t>BE4AC8</t>
  </si>
  <si>
    <t>s/drona/06/25/45</t>
  </si>
  <si>
    <t>s/drona/06/25/46</t>
  </si>
  <si>
    <t>9E4C3B</t>
  </si>
  <si>
    <t>s/drona/06/25/47</t>
  </si>
  <si>
    <t>CC1A68</t>
  </si>
  <si>
    <t>s/drona/06/25/48</t>
  </si>
  <si>
    <t>0B910A</t>
  </si>
  <si>
    <t>s/drona/06/25/50</t>
  </si>
  <si>
    <t>A3991D</t>
  </si>
  <si>
    <t>s/drona/06/25/51</t>
  </si>
  <si>
    <t>AC4572</t>
  </si>
  <si>
    <t>s/drona/06/25/52</t>
  </si>
  <si>
    <t>1AEF64</t>
  </si>
  <si>
    <t>s/drona/06/25/53</t>
  </si>
  <si>
    <t>0-100KM</t>
  </si>
  <si>
    <t>88BBA2</t>
  </si>
  <si>
    <t>s/drona/06/25/54</t>
  </si>
  <si>
    <t>s/drona/06/25/55</t>
  </si>
  <si>
    <t>040D7A</t>
  </si>
  <si>
    <t>s/drona/06/25/56</t>
  </si>
  <si>
    <t>s/drona/06/25/57</t>
  </si>
  <si>
    <t>7DCD1E</t>
  </si>
  <si>
    <t>s/drona/06/25/58</t>
  </si>
  <si>
    <t>6DCD85</t>
  </si>
  <si>
    <t>s/drona/06/25/59</t>
  </si>
  <si>
    <t>38DC14</t>
  </si>
  <si>
    <t>s/drona/06/25/60</t>
  </si>
  <si>
    <t>C33562</t>
  </si>
  <si>
    <t>s/drona/06/25/61</t>
  </si>
  <si>
    <t>C00CB5</t>
  </si>
  <si>
    <t>s/drona/06/25/62</t>
  </si>
  <si>
    <t>F39DAA</t>
  </si>
  <si>
    <t>s/drona/06/25/63</t>
  </si>
  <si>
    <t>2B257A</t>
  </si>
  <si>
    <t>s/drona/06/25/64</t>
  </si>
  <si>
    <t>985D49</t>
  </si>
  <si>
    <t>s/drona/06/25/65</t>
  </si>
  <si>
    <t>CB31E6</t>
  </si>
  <si>
    <t>s/drona/06/25/66</t>
  </si>
  <si>
    <t>8489E 5</t>
  </si>
  <si>
    <t>s/drona/06/25/67</t>
  </si>
  <si>
    <t>DB17B6</t>
  </si>
  <si>
    <t>s/drona/06/25/68</t>
  </si>
  <si>
    <t>C24CEE</t>
  </si>
  <si>
    <t>s/drona/06/25/69</t>
  </si>
  <si>
    <t>6CD7F9</t>
  </si>
  <si>
    <t>s/drona/06/25/70</t>
  </si>
  <si>
    <t>6C0071</t>
  </si>
  <si>
    <t>s/drona/06/25/71</t>
  </si>
  <si>
    <t>CANCEL BY DRONA (20 L- 600 PCS)</t>
  </si>
  <si>
    <t>s/drona/06/25/72</t>
  </si>
  <si>
    <t>s/drona/06/25/73</t>
  </si>
  <si>
    <t>s/drona/06/25/74</t>
  </si>
  <si>
    <t>s/drona/06/25/75</t>
  </si>
  <si>
    <t>7E815D</t>
  </si>
  <si>
    <t>s/drona/06/25/76</t>
  </si>
  <si>
    <t>s/drona/06/25/77</t>
  </si>
  <si>
    <t>8E47EE</t>
  </si>
  <si>
    <t>s/drona/06/25/78</t>
  </si>
  <si>
    <t>s/drona/06/25/79</t>
  </si>
  <si>
    <t>CANCEL BY DRONA (10 L- 350 PCS)</t>
  </si>
  <si>
    <t>s/drona/06/25/80</t>
  </si>
  <si>
    <t>s/drona/06/25/81</t>
  </si>
  <si>
    <t>AD8677</t>
  </si>
  <si>
    <t>s/drona/06/25/82</t>
  </si>
  <si>
    <t>73032A</t>
  </si>
  <si>
    <t>s/drona/06/25/83</t>
  </si>
  <si>
    <t>C6F43A</t>
  </si>
  <si>
    <t>s/drona/06/25/84</t>
  </si>
  <si>
    <t>3400 E6</t>
  </si>
  <si>
    <t>s/drona/06/25/86</t>
  </si>
  <si>
    <t>33CEDA</t>
  </si>
  <si>
    <t>s/drona/06/25/87</t>
  </si>
  <si>
    <t>3002D4</t>
  </si>
  <si>
    <t>s/drona/06/25/88</t>
  </si>
  <si>
    <t>6E13D3</t>
  </si>
  <si>
    <t>s/drona/06/25/89</t>
  </si>
  <si>
    <t>75CA35</t>
  </si>
  <si>
    <t>s/drona/06/25/90</t>
  </si>
  <si>
    <t>051 E31</t>
  </si>
  <si>
    <t>s/drona/07/25/01</t>
  </si>
  <si>
    <t>1B5462</t>
  </si>
  <si>
    <t>s/drona/07/25/02</t>
  </si>
  <si>
    <t>6DF531</t>
  </si>
  <si>
    <t>s/drona/07/25/03</t>
  </si>
  <si>
    <t>s/drona/07/25/04</t>
  </si>
  <si>
    <t>FE00B1</t>
  </si>
  <si>
    <t>s/drona/07/25/05</t>
  </si>
  <si>
    <t>meerut</t>
  </si>
  <si>
    <t>34961F</t>
  </si>
  <si>
    <t>s/drona/07/25/06</t>
  </si>
  <si>
    <t>INDENT DIVERT ( 210 L- 30 PCS</t>
  </si>
  <si>
    <t>s/drona/07/25/07</t>
  </si>
  <si>
    <t>318F63</t>
  </si>
  <si>
    <t>s/drona/07/25/08</t>
  </si>
  <si>
    <t>INDENT DIVERT (20 L- 200 PCS)</t>
  </si>
  <si>
    <t>s/drona/07/25/09</t>
  </si>
  <si>
    <t>62948A</t>
  </si>
  <si>
    <t>s/drona/07/25/10</t>
  </si>
  <si>
    <t>94D001</t>
  </si>
  <si>
    <t>s/drona/07/25/11</t>
  </si>
  <si>
    <t>270 E18</t>
  </si>
  <si>
    <t>s/drona/07/25/13</t>
  </si>
  <si>
    <t>INDENT DIVERT (20 L- 300 PCS)</t>
  </si>
  <si>
    <t>s/drona/07/25/14</t>
  </si>
  <si>
    <t>4711CF</t>
  </si>
  <si>
    <t>s/drona/07/25/15</t>
  </si>
  <si>
    <t>A7BAF0</t>
  </si>
  <si>
    <t>s/drona/07/25/16</t>
  </si>
  <si>
    <t>INDENT DIVERT (210 L- 30 PCS)</t>
  </si>
  <si>
    <t>s/drona/07/25/17</t>
  </si>
  <si>
    <t>E6EBCC</t>
  </si>
  <si>
    <t>s/drona/07/25/18</t>
  </si>
  <si>
    <t>s/drona/07/25/19</t>
  </si>
  <si>
    <t>E55471</t>
  </si>
  <si>
    <t>s/drona/07/25/20</t>
  </si>
  <si>
    <t>35DC31</t>
  </si>
  <si>
    <t>s/drona/07/25/21</t>
  </si>
  <si>
    <t>79FE2C</t>
  </si>
  <si>
    <t>s/drona/07/25/22</t>
  </si>
  <si>
    <t>4270B3</t>
  </si>
  <si>
    <t>s/drona/07/25/23</t>
  </si>
  <si>
    <t>33A352</t>
  </si>
  <si>
    <t>s/drona/07/25/24</t>
  </si>
  <si>
    <t>83A955</t>
  </si>
  <si>
    <t>s/drona/07/25/25</t>
  </si>
  <si>
    <t>4D6F94</t>
  </si>
  <si>
    <t>s/drona/07/25/26</t>
  </si>
  <si>
    <t>5384F7</t>
  </si>
  <si>
    <t>s/drona/07/25/27</t>
  </si>
  <si>
    <t>E7A816</t>
  </si>
  <si>
    <t>s/drona/07/25/28</t>
  </si>
  <si>
    <t>E68C76</t>
  </si>
  <si>
    <t>s/drona/07/25/29</t>
  </si>
  <si>
    <t>s/drona/07/25/30</t>
  </si>
  <si>
    <t>5B4F30</t>
  </si>
  <si>
    <t>s/drona/07/25/31</t>
  </si>
  <si>
    <t>s/drona/07/25/32</t>
  </si>
  <si>
    <t>B80F71</t>
  </si>
  <si>
    <t>s/drona/07/25/33</t>
  </si>
  <si>
    <t>INDENT DIVERT (210 L -25 PCS)</t>
  </si>
  <si>
    <t>s/drona/07/25/34</t>
  </si>
  <si>
    <t>s/drona/07/25/35</t>
  </si>
  <si>
    <t>8A9B46</t>
  </si>
  <si>
    <t>s/drona/07/25/36</t>
  </si>
  <si>
    <t>67B6C4</t>
  </si>
  <si>
    <t>s/drona/07/25/37</t>
  </si>
  <si>
    <t>4005AC</t>
  </si>
  <si>
    <t>s/drona/07/25/38</t>
  </si>
  <si>
    <t>excellent automotive</t>
  </si>
  <si>
    <t>INDENT DIVERT/CANCEL (10 L -100 PCS) RATE NOT PROVIDE FROM TML</t>
  </si>
  <si>
    <t>s/drona/07/25/39</t>
  </si>
  <si>
    <t>INDENT DIVERT (210 L -30 PCS)</t>
  </si>
  <si>
    <t>s/drona/07/25/40</t>
  </si>
  <si>
    <t>75FF30</t>
  </si>
  <si>
    <t>s/drona/07/25/41</t>
  </si>
  <si>
    <t>C1D71B</t>
  </si>
  <si>
    <t>s/drona/07/25/42</t>
  </si>
  <si>
    <t>s/drona/07/25/43</t>
  </si>
  <si>
    <t>D3277C</t>
  </si>
  <si>
    <t>s/drona/07/25/44</t>
  </si>
  <si>
    <t>41BA9C</t>
  </si>
  <si>
    <t>s/drona/07/25/45</t>
  </si>
  <si>
    <t>584D3B</t>
  </si>
  <si>
    <t>s/drona/07/25/46</t>
  </si>
  <si>
    <t>F7F649</t>
  </si>
  <si>
    <t>s/drona/07/25/47</t>
  </si>
  <si>
    <t>s/drona/07/25/48</t>
  </si>
  <si>
    <t>INDENT DIVERT (20 L -300 PCS)</t>
  </si>
  <si>
    <t>s/drona/07/25/49</t>
  </si>
  <si>
    <t>s/drona/07/25/50</t>
  </si>
  <si>
    <t>INDENT DIVERT (20 L-200 PCS)</t>
  </si>
  <si>
    <t>s/drona/07/25/51</t>
  </si>
  <si>
    <t>E2D33D</t>
  </si>
  <si>
    <t>s/drona/07/25/52</t>
  </si>
  <si>
    <t>D5AD1E</t>
  </si>
  <si>
    <t>s/drona/07/25/53</t>
  </si>
  <si>
    <t>40A164</t>
  </si>
  <si>
    <t>s/drona/07/25/54</t>
  </si>
  <si>
    <t>6305D8</t>
  </si>
  <si>
    <t>s/drona/07/25/55</t>
  </si>
  <si>
    <t>s/drona/07/25/56</t>
  </si>
  <si>
    <t>4CCDB3</t>
  </si>
  <si>
    <t>s/drona/07/25/57</t>
  </si>
  <si>
    <t>400D29</t>
  </si>
  <si>
    <t>s/drona/07/25/58</t>
  </si>
  <si>
    <t>E028EC</t>
  </si>
  <si>
    <t>s/drona/07/25/60</t>
  </si>
  <si>
    <t>F1E8AF</t>
  </si>
  <si>
    <t>s/drona/07/25/61</t>
  </si>
  <si>
    <t>2CFE6B</t>
  </si>
  <si>
    <t>s/drona/07/25/62</t>
  </si>
  <si>
    <t>6F6163</t>
  </si>
  <si>
    <t>s/drona/07/25/63</t>
  </si>
  <si>
    <t>s/drona/07/25/64</t>
  </si>
  <si>
    <t>INDENT DIVERT (20 L -100 PCS)</t>
  </si>
  <si>
    <t>s/drona/07/25/65</t>
  </si>
  <si>
    <t>3AE10C</t>
  </si>
  <si>
    <t>s/drona/07/25/66</t>
  </si>
  <si>
    <t>898F37</t>
  </si>
  <si>
    <t>s/drona/07/25/67</t>
  </si>
  <si>
    <t>720D52</t>
  </si>
  <si>
    <t>s/drona/07/25/68</t>
  </si>
  <si>
    <t>4BC143</t>
  </si>
  <si>
    <t>s/drona/07/25/69</t>
  </si>
  <si>
    <t>s/drona/07/25/70</t>
  </si>
  <si>
    <t>F088BD</t>
  </si>
  <si>
    <t>s/drona/07/25/71</t>
  </si>
  <si>
    <t>F1FB85</t>
  </si>
  <si>
    <t>s/drona/07/25/72</t>
  </si>
  <si>
    <t>ED87E1</t>
  </si>
  <si>
    <t>s/drona/07/25/73</t>
  </si>
  <si>
    <t>AF09DE</t>
  </si>
  <si>
    <t>s/drona/07/25/74</t>
  </si>
  <si>
    <t>jaipur</t>
  </si>
  <si>
    <t>FEA774</t>
  </si>
  <si>
    <t>s/drona/07/25/75</t>
  </si>
  <si>
    <t>hloc auto parts pvt ltd</t>
  </si>
  <si>
    <t>2994 E0</t>
  </si>
  <si>
    <t>s/drona/08/25/01</t>
  </si>
  <si>
    <t>F659EA</t>
  </si>
  <si>
    <t>s/drona/08/25/03</t>
  </si>
  <si>
    <t>om sai ram motors</t>
  </si>
  <si>
    <t>8D3D19</t>
  </si>
  <si>
    <t>s/drona/08/25/04</t>
  </si>
  <si>
    <t>911FDE</t>
  </si>
  <si>
    <t>s/drona/08/25/05</t>
  </si>
  <si>
    <t>8F156A</t>
  </si>
  <si>
    <t>s/drona/08/25/06</t>
  </si>
  <si>
    <t>DCF129</t>
  </si>
  <si>
    <t>s/drona/08/25/07</t>
  </si>
  <si>
    <t>4414B7</t>
  </si>
  <si>
    <t>s/drona/08/25/08</t>
  </si>
  <si>
    <t>56C018</t>
  </si>
  <si>
    <t>s/drona/08/25/09</t>
  </si>
  <si>
    <t>1F986F</t>
  </si>
  <si>
    <t>s/drona/08/25/10</t>
  </si>
  <si>
    <t>B3CC15</t>
  </si>
  <si>
    <t>s/drona/08/25/11</t>
  </si>
  <si>
    <t>38030B</t>
  </si>
  <si>
    <t>s/drona/08/25/13</t>
  </si>
  <si>
    <t>7728AF</t>
  </si>
  <si>
    <t>s/drona/08/25/14</t>
  </si>
  <si>
    <t>E2DD05</t>
  </si>
  <si>
    <t>s/drona/08/25/15</t>
  </si>
  <si>
    <t>444EF9</t>
  </si>
  <si>
    <t>s/drona/08/25/16</t>
  </si>
  <si>
    <t>s/drona/08/25/18</t>
  </si>
  <si>
    <t>E98ED9</t>
  </si>
  <si>
    <t>AF2B00</t>
  </si>
  <si>
    <t>s/drona/08/25/19</t>
  </si>
  <si>
    <t>0FFEB9</t>
  </si>
  <si>
    <t>s/drona/08/25/20</t>
  </si>
  <si>
    <t>u s nagar</t>
  </si>
  <si>
    <t>3EE2A2</t>
  </si>
  <si>
    <t>z s motors</t>
  </si>
  <si>
    <t>s/drona/08/25/22</t>
  </si>
  <si>
    <t>bala ji</t>
  </si>
  <si>
    <t>8A46FD</t>
  </si>
  <si>
    <t>s/drona/08/25/23</t>
  </si>
  <si>
    <t>s/drona/08/25/24</t>
  </si>
  <si>
    <t>BA2E4A</t>
  </si>
  <si>
    <t>s/drona/08/25/25</t>
  </si>
  <si>
    <t>2E22EE</t>
  </si>
  <si>
    <t>s/drona/08/25/26</t>
  </si>
  <si>
    <t>0F038F</t>
  </si>
  <si>
    <t>s/drona/08/25/28</t>
  </si>
  <si>
    <t>66612D</t>
  </si>
  <si>
    <t>s/drona/08/25/29</t>
  </si>
  <si>
    <t>chutmalpur</t>
  </si>
  <si>
    <t>E0EED1</t>
  </si>
  <si>
    <t>s/drona/08/25/30</t>
  </si>
  <si>
    <t>s/drona/08/25/31</t>
  </si>
  <si>
    <t>5F541E</t>
  </si>
  <si>
    <t>s/drona/08/25/32</t>
  </si>
  <si>
    <t>mateen khan</t>
  </si>
  <si>
    <t>0 21159</t>
  </si>
  <si>
    <t>s/drona/08/25/33</t>
  </si>
  <si>
    <t>6CADC1</t>
  </si>
  <si>
    <t>s/drona/08/25/34</t>
  </si>
  <si>
    <t>D0FB4C</t>
  </si>
  <si>
    <t>s/drona/08/25/35</t>
  </si>
  <si>
    <t>783B75</t>
  </si>
  <si>
    <t>dashmesh auto spare parts</t>
  </si>
  <si>
    <t>s/drona/08/25/37</t>
  </si>
  <si>
    <t>E04D2B</t>
  </si>
  <si>
    <t>s/drona/08/25/38</t>
  </si>
  <si>
    <t>75CE2F</t>
  </si>
  <si>
    <t>s/drona/08/25/39</t>
  </si>
  <si>
    <t>25A823</t>
  </si>
  <si>
    <t>s/drona/08/25/40</t>
  </si>
  <si>
    <t>CE4FBA</t>
  </si>
  <si>
    <t>s/drona/08/25/41</t>
  </si>
  <si>
    <t>8D387B</t>
  </si>
  <si>
    <t>s/drona/08/25/42</t>
  </si>
  <si>
    <t>052F48</t>
  </si>
  <si>
    <t>s/drona/08/25/43</t>
  </si>
  <si>
    <t>C33D8F</t>
  </si>
  <si>
    <t>s/drona/08/25/44</t>
  </si>
  <si>
    <t>laxmi motors</t>
  </si>
  <si>
    <t>243F81</t>
  </si>
  <si>
    <t>s/drona/08/25/45</t>
  </si>
  <si>
    <t>krishna auto sales</t>
  </si>
  <si>
    <t>29E458</t>
  </si>
  <si>
    <t>s/drona/08/25/46</t>
  </si>
  <si>
    <t>90DBA4</t>
  </si>
  <si>
    <t>.</t>
  </si>
  <si>
    <t>s/drona/08/25/47</t>
  </si>
  <si>
    <t>DDC6F1</t>
  </si>
  <si>
    <t>s/drona/08/25/48</t>
  </si>
  <si>
    <t>F962EF</t>
  </si>
  <si>
    <t>s/drona/08/25/49</t>
  </si>
  <si>
    <t>7DF43B</t>
  </si>
  <si>
    <t>s/drona/08/25/50</t>
  </si>
  <si>
    <t>33E01 2</t>
  </si>
  <si>
    <t>s/drona/08/25/51</t>
  </si>
  <si>
    <t>DFCE7E</t>
  </si>
  <si>
    <t>s/drona/08/25/52</t>
  </si>
  <si>
    <t>6E8BD7</t>
  </si>
  <si>
    <t>s/drona/08/25/53</t>
  </si>
  <si>
    <t>E8C00A</t>
  </si>
  <si>
    <t>s/drona/08/25/54</t>
  </si>
  <si>
    <t>9E26DE</t>
  </si>
  <si>
    <t>s/drona/08/25/55</t>
  </si>
  <si>
    <t>hind motors</t>
  </si>
  <si>
    <t>DEF64D</t>
  </si>
  <si>
    <t>s/drona/08/25/56</t>
  </si>
  <si>
    <t>219D9F</t>
  </si>
  <si>
    <t>s/drona/08/25/57</t>
  </si>
  <si>
    <t>9B71BA</t>
  </si>
  <si>
    <t>s/drona/08/25/58</t>
  </si>
  <si>
    <t>8AA8C3</t>
  </si>
  <si>
    <t>s/drona/08/25/59</t>
  </si>
  <si>
    <t>7D321A</t>
  </si>
  <si>
    <t>s/drona/08/25/60</t>
  </si>
  <si>
    <t>DDB141</t>
  </si>
  <si>
    <t>s/drona/08/25/61</t>
  </si>
  <si>
    <t>6202DS</t>
  </si>
  <si>
    <t>s/drona/08/25/62</t>
  </si>
  <si>
    <t>A39B81</t>
  </si>
  <si>
    <t>S/DRONA/09/25/01</t>
  </si>
  <si>
    <t>759 E50</t>
  </si>
  <si>
    <t>S/DRONA/09/25/02</t>
  </si>
  <si>
    <t>S/DRONA/09/25/03</t>
  </si>
  <si>
    <t>5AAAF6</t>
  </si>
  <si>
    <t>S/DRONA/09/25/04</t>
  </si>
  <si>
    <t>58F84D</t>
  </si>
  <si>
    <t>S/DRONA/09/25/05</t>
  </si>
  <si>
    <t>S/DRONA/09/25/06</t>
  </si>
  <si>
    <t>C96E58</t>
  </si>
  <si>
    <t>S/DRONA/09/25/08</t>
  </si>
  <si>
    <t>346A17</t>
  </si>
  <si>
    <t>S/DRONA/09/25/09</t>
  </si>
  <si>
    <t>ACAECD</t>
  </si>
  <si>
    <t>S/DRONA/09/25/10</t>
  </si>
  <si>
    <t>82912B</t>
  </si>
  <si>
    <t>S/DRONA/09/25/11</t>
  </si>
  <si>
    <t>7D5F04</t>
  </si>
  <si>
    <t>S/DRONA/09/25/12</t>
  </si>
  <si>
    <t>F5319A</t>
  </si>
  <si>
    <t>S/DRONA/09/25/13</t>
  </si>
  <si>
    <t>21ED75</t>
  </si>
  <si>
    <t>S/DRONA/09/25/14</t>
  </si>
  <si>
    <t>52A5A8</t>
  </si>
  <si>
    <t>INDENT NOT RECEIVE</t>
  </si>
  <si>
    <t>F6C768</t>
  </si>
  <si>
    <t>S/DRONA/09/25/15</t>
  </si>
  <si>
    <t>F49620</t>
  </si>
  <si>
    <t>S/DRONA/09/25/16</t>
  </si>
  <si>
    <t>CD776F</t>
  </si>
  <si>
    <t>S/DRONA/09/25/17</t>
  </si>
  <si>
    <t>ED692F</t>
  </si>
  <si>
    <t>S/DRONA/09/25/18</t>
  </si>
  <si>
    <t>B4CABA</t>
  </si>
  <si>
    <t>S/DRONA/09/25/19</t>
  </si>
  <si>
    <t>09B402</t>
  </si>
  <si>
    <t>S/DRONA/09/25/20</t>
  </si>
  <si>
    <t>C34137</t>
  </si>
  <si>
    <t>S/DRONA/09/25/21</t>
  </si>
  <si>
    <t>C53E1D</t>
  </si>
  <si>
    <t>S/DRONA/09/25/22</t>
  </si>
  <si>
    <t>S/DRONA/09/25/23</t>
  </si>
  <si>
    <t>375A67</t>
  </si>
  <si>
    <t>gautam budh nagar</t>
  </si>
  <si>
    <t>S/DRONA/09/25/24</t>
  </si>
  <si>
    <t>BDC73B</t>
  </si>
  <si>
    <t>S/DRONA/09/25/25</t>
  </si>
  <si>
    <t>B74D06</t>
  </si>
  <si>
    <t>S/DRONA/09/25/26</t>
  </si>
  <si>
    <t>C47EC1</t>
  </si>
  <si>
    <t>S/DRONA/09/25/27</t>
  </si>
  <si>
    <t>9AD57A</t>
  </si>
  <si>
    <t>S/DRONA/09/25/28</t>
  </si>
  <si>
    <t>lalkaun</t>
  </si>
  <si>
    <t>0562 E5</t>
  </si>
  <si>
    <t>S/DRONA/09/25/29</t>
  </si>
  <si>
    <t>C235B5</t>
  </si>
  <si>
    <t>S/DRONA/09/25/30</t>
  </si>
  <si>
    <t>101-250KM</t>
  </si>
  <si>
    <t>5C7FF2</t>
  </si>
  <si>
    <t>S/DRONA/09/25/31</t>
  </si>
  <si>
    <t>11DD95</t>
  </si>
  <si>
    <t>S/DRONA/09/25/32</t>
  </si>
  <si>
    <t>26EE4D</t>
  </si>
  <si>
    <t>S/DRONA/09/25/33</t>
  </si>
  <si>
    <t>1481FF</t>
  </si>
  <si>
    <t>S/DRONA/09/25/34</t>
  </si>
  <si>
    <t xml:space="preserve">vlh marketing </t>
  </si>
  <si>
    <t>S/DRONA/09/25/35</t>
  </si>
  <si>
    <t>306DE6</t>
  </si>
  <si>
    <t>S/DRONA/09/25/36</t>
  </si>
  <si>
    <t>7ED61F</t>
  </si>
  <si>
    <t>S/DRONA/09/25/37</t>
  </si>
  <si>
    <t>38605B</t>
  </si>
  <si>
    <t>S/DRONA/09/25/38</t>
  </si>
  <si>
    <t>2434FE</t>
  </si>
  <si>
    <t>S/DRONA/09/25/39</t>
  </si>
  <si>
    <t>shahranpur</t>
  </si>
  <si>
    <t>EEDBBB</t>
  </si>
  <si>
    <t>S/DRONA/09/25/40</t>
  </si>
  <si>
    <t>BF7234</t>
  </si>
  <si>
    <t>S/DRONA/09/25/41</t>
  </si>
  <si>
    <t>14ED4B</t>
  </si>
  <si>
    <t>S/DRONA/09/25/42</t>
  </si>
  <si>
    <t>B61173</t>
  </si>
  <si>
    <t>S/DRONA/09/25/43</t>
  </si>
  <si>
    <t>28FB94</t>
  </si>
  <si>
    <t>S/DRONA/09/25/44</t>
  </si>
  <si>
    <t>E5EAE5</t>
  </si>
  <si>
    <t>S/DRONA/09/25/45</t>
  </si>
  <si>
    <t>CCD05F</t>
  </si>
  <si>
    <t>S/DRONA/09/25/46</t>
  </si>
  <si>
    <t>89DA1E</t>
  </si>
  <si>
    <t>S/DRONA/09/25/47</t>
  </si>
  <si>
    <t>03ED5E</t>
  </si>
  <si>
    <t>S/DRONA/09/25/48</t>
  </si>
  <si>
    <t>BC1367</t>
  </si>
  <si>
    <t>S/DRONA/09/25/49</t>
  </si>
  <si>
    <t>5E08BE</t>
  </si>
  <si>
    <t>S/DRONA/09/25/50</t>
  </si>
  <si>
    <t>18E 219</t>
  </si>
  <si>
    <t>S/DRONA/09/25/51</t>
  </si>
  <si>
    <t>8CBF6A</t>
  </si>
  <si>
    <t>S/DRONA/09/25/52</t>
  </si>
  <si>
    <t>C296CE</t>
  </si>
  <si>
    <t>S/DRONA/09/25/53</t>
  </si>
  <si>
    <t>0DC8E8</t>
  </si>
  <si>
    <t>S/DRONA/09/25/54</t>
  </si>
  <si>
    <t>2DB73A</t>
  </si>
  <si>
    <t>S/DRONA/09/25/55</t>
  </si>
  <si>
    <t>S/DRONA/09/25/56</t>
  </si>
  <si>
    <t>S/DRONA/09/25/57</t>
  </si>
  <si>
    <t>No</t>
  </si>
  <si>
    <t>C6C0CA</t>
  </si>
  <si>
    <t>S/DRONA/09/25/58</t>
  </si>
  <si>
    <t>44F912</t>
  </si>
  <si>
    <t>S/DRONA/09/25/59</t>
  </si>
  <si>
    <t>F2F016</t>
  </si>
  <si>
    <t>S/DRONA/09/25/60</t>
  </si>
  <si>
    <t>5490BD</t>
  </si>
  <si>
    <t>S/DRONA/09/25/61</t>
  </si>
  <si>
    <t>A53972</t>
  </si>
  <si>
    <t>S/DRONA/09/25/62</t>
  </si>
  <si>
    <t>2BFC3F</t>
  </si>
  <si>
    <t>S/DRONA/09/25/63</t>
  </si>
  <si>
    <t>B4CC58</t>
  </si>
  <si>
    <t>S/DRONA/09/25/64</t>
  </si>
  <si>
    <t>DE1DEA</t>
  </si>
  <si>
    <t>S/DRONA/09/25/65</t>
  </si>
  <si>
    <t>greater noida</t>
  </si>
  <si>
    <t>442D8D</t>
  </si>
  <si>
    <t>S/DRONA/09/25/66</t>
  </si>
  <si>
    <t>DE3E87</t>
  </si>
  <si>
    <t>S/DRONA/09/25/67</t>
  </si>
  <si>
    <t>9121AC</t>
  </si>
  <si>
    <t>S/DRONA/09/25/68</t>
  </si>
  <si>
    <t>862F22</t>
  </si>
  <si>
    <t>S/DRONA/10/25/01</t>
  </si>
  <si>
    <t>0ct-25</t>
  </si>
  <si>
    <t>S/DRONA/10/25/02</t>
  </si>
  <si>
    <t>1A046A</t>
  </si>
  <si>
    <t>S/DRONA/10/25/04</t>
  </si>
  <si>
    <t>74C119</t>
  </si>
  <si>
    <t>S/DRONA/10/25/06</t>
  </si>
  <si>
    <t>B7D4DE</t>
  </si>
  <si>
    <t>S/DRONA/10/25/07</t>
  </si>
  <si>
    <t>5CCC3C</t>
  </si>
  <si>
    <t>S/DRONA/10/25/08</t>
  </si>
  <si>
    <t>E3E27D</t>
  </si>
  <si>
    <t>S/DRONA/10/25/09</t>
  </si>
  <si>
    <t>4406C9</t>
  </si>
  <si>
    <t>S/DRONA/10/25/10</t>
  </si>
  <si>
    <t>S/DRONA/10/25/11</t>
  </si>
  <si>
    <t>947A3B</t>
  </si>
  <si>
    <t>S/DRONA/10/25/12</t>
  </si>
  <si>
    <t>INDENT DIVERT (20 L -600 PCS)</t>
  </si>
  <si>
    <t>S/DRONA/10/25/13</t>
  </si>
  <si>
    <t>S/DRONA/10/25/14</t>
  </si>
  <si>
    <t>097CCC</t>
  </si>
  <si>
    <t>S/DRONA/10/25/15</t>
  </si>
  <si>
    <t>EA1573</t>
  </si>
  <si>
    <t>S/DRONA/10/25/18</t>
  </si>
  <si>
    <t>S/DRONA/10/25/19</t>
  </si>
  <si>
    <t>S/DRONA/10/25/20</t>
  </si>
  <si>
    <t>Loading Charge (Rs.95 per Ton)</t>
  </si>
  <si>
    <t>Actual Running</t>
  </si>
  <si>
    <t>Billable Running</t>
  </si>
  <si>
    <t>PnL</t>
  </si>
  <si>
    <t>0003</t>
  </si>
  <si>
    <t>DEF Buckets</t>
  </si>
  <si>
    <t>Barrels</t>
  </si>
  <si>
    <t>0001</t>
  </si>
  <si>
    <t>0002</t>
  </si>
  <si>
    <t>0004</t>
  </si>
  <si>
    <t>0009</t>
  </si>
  <si>
    <t>0006</t>
  </si>
  <si>
    <t>0005</t>
  </si>
  <si>
    <t>DEF Barrels</t>
  </si>
  <si>
    <t>0007</t>
  </si>
  <si>
    <t>0008</t>
  </si>
  <si>
    <t>0010</t>
  </si>
  <si>
    <t>Jerry Can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</si>
</sst>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#,##0.0"/>
    <numFmt numFmtId="165" formatCode="$#,##0_);($#,##0)"/>
    <numFmt numFmtId="166" formatCode="#,##0%"/>
    <numFmt numFmtId="167" formatCode="0.00e+00"/>
  </numFmts>
  <fonts count="40" x14ac:knownFonts="1">
    <font>
      <sz val="11"/>
      <color theme="1"/>
      <name val="Calibri"/>
      <family val="2"/>
      <scheme val="minor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44546a"/>
      <name val="Calibri"/>
      <family val="2"/>
    </font>
    <font>
      <b/>
      <sz val="11"/>
      <color rgb="FFfa7d00"/>
      <name val="Calibri"/>
      <family val="2"/>
    </font>
    <font>
      <b/>
      <sz val="13"/>
      <color rgb="FF44546a"/>
      <name val="Calibri"/>
      <family val="2"/>
    </font>
    <font>
      <b/>
      <sz val="11"/>
      <color rgb="FF3f3f3f"/>
      <name val="Calibri"/>
      <family val="2"/>
    </font>
    <font>
      <b/>
      <sz val="11"/>
      <color rgb="FF000000"/>
      <name val="Verdana"/>
      <family val="2"/>
    </font>
    <font>
      <b/>
      <sz val="11"/>
      <color rgb="FFffffff"/>
      <name val="Calibri"/>
      <family val="2"/>
    </font>
    <font>
      <sz val="11"/>
      <color rgb="FF242424"/>
      <name val="Aptos Narrow"/>
      <family val="2"/>
    </font>
    <font>
      <sz val="11"/>
      <color rgb="FF3f3f76"/>
      <name val="Verdana"/>
      <family val="2"/>
    </font>
    <font>
      <b/>
      <sz val="11"/>
      <color rgb="FFfa7d00"/>
      <name val="Verdana"/>
      <family val="2"/>
    </font>
    <font>
      <sz val="11"/>
      <color rgb="FF3f3f76"/>
      <name val="Calibri"/>
      <family val="2"/>
    </font>
    <font>
      <sz val="11"/>
      <color rgb="FF000000"/>
      <name val="Verdana"/>
      <family val="2"/>
    </font>
    <font>
      <sz val="14"/>
      <color rgb="FF000000"/>
      <name val="Verdana"/>
      <family val="2"/>
    </font>
    <font>
      <sz val="14"/>
      <color rgb="FF3f3f76"/>
      <name val="Verdana"/>
      <family val="2"/>
    </font>
    <font>
      <b/>
      <sz val="14"/>
      <color rgb="FFfa7d00"/>
      <name val="Verdana"/>
      <family val="2"/>
    </font>
    <font>
      <sz val="11"/>
      <color rgb="FFf4b183"/>
      <name val="Calibri"/>
      <family val="2"/>
    </font>
    <font>
      <sz val="8"/>
      <color rgb="FF3f3f76"/>
      <name val="Verdana"/>
      <family val="2"/>
    </font>
    <font>
      <b/>
      <sz val="8"/>
      <color rgb="FFffffff"/>
      <name val="Verdana"/>
      <family val="2"/>
    </font>
    <font>
      <sz val="8"/>
      <color rgb="FFfa7d00"/>
      <name val="Verdana"/>
      <family val="2"/>
    </font>
    <font>
      <b/>
      <sz val="8"/>
      <color rgb="FFfa7d00"/>
      <name val="Verdana"/>
      <family val="2"/>
    </font>
    <font>
      <sz val="8"/>
      <color rgb="FFffffff"/>
      <name val="Verdana"/>
      <family val="2"/>
    </font>
    <font>
      <sz val="8"/>
      <color rgb="FFee0000"/>
      <name val="Verdana"/>
      <family val="2"/>
    </font>
    <font>
      <sz val="8"/>
      <color rgb="FF00b0f0"/>
      <name val="Verdana"/>
      <family val="2"/>
    </font>
    <font>
      <b/>
      <sz val="8"/>
      <color rgb="FF00b0f0"/>
      <name val="Verdana"/>
      <family val="2"/>
    </font>
    <font>
      <b/>
      <sz val="8"/>
      <color rgb="FFee0000"/>
      <name val="Verdana"/>
      <family val="2"/>
    </font>
    <font>
      <sz val="8"/>
      <color rgb="FFff0000"/>
      <name val="Verdana"/>
      <family val="2"/>
    </font>
    <font>
      <sz val="8"/>
      <color rgb="FFee0000"/>
      <name val="Calibri"/>
      <family val="2"/>
    </font>
    <font>
      <sz val="8"/>
      <color rgb="FF44546a"/>
      <name val="Verdana"/>
      <family val="2"/>
    </font>
    <font>
      <b/>
      <sz val="8"/>
      <color rgb="FF44546a"/>
      <name val="Verdana"/>
      <family val="2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Calibri"/>
      <family val="2"/>
    </font>
    <font>
      <sz val="8"/>
      <color rgb="FF4472c4"/>
      <name val="Verdana"/>
      <family val="2"/>
    </font>
    <font>
      <b/>
      <sz val="8"/>
      <color rgb="FF4472c4"/>
      <name val="Verdana"/>
      <family val="2"/>
    </font>
  </fonts>
  <fills count="13">
    <fill>
      <patternFill patternType="none"/>
    </fill>
    <fill>
      <patternFill patternType="gray125"/>
    </fill>
    <fill>
      <patternFill patternType="solid">
        <fgColor rgb="FFadb9ca"/>
      </patternFill>
    </fill>
    <fill>
      <patternFill patternType="solid">
        <fgColor rgb="FFf2f2f2"/>
      </patternFill>
    </fill>
    <fill>
      <patternFill patternType="solid">
        <fgColor rgb="FF8497b0"/>
      </patternFill>
    </fill>
    <fill>
      <patternFill patternType="solid">
        <fgColor rgb="FFffcc99"/>
      </patternFill>
    </fill>
    <fill>
      <patternFill patternType="solid">
        <fgColor rgb="FFafabab"/>
      </patternFill>
    </fill>
    <fill>
      <patternFill patternType="solid">
        <fgColor rgb="FFb4c7e7"/>
      </patternFill>
    </fill>
    <fill>
      <patternFill patternType="solid">
        <fgColor rgb="FFffc000"/>
      </patternFill>
    </fill>
    <fill>
      <patternFill patternType="solid">
        <fgColor rgb="FFc5e0b4"/>
      </patternFill>
    </fill>
    <fill>
      <patternFill patternType="solid">
        <fgColor rgb="FFffff00"/>
      </patternFill>
    </fill>
    <fill>
      <patternFill patternType="solid">
        <fgColor rgb="FFf8cbad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c6c6c6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rgb="FF8faadc"/>
      </bottom>
      <diagonal/>
    </border>
    <border>
      <left style="thin">
        <color rgb="FFc6c6c6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c6c6c6"/>
      </bottom>
      <diagonal/>
    </border>
    <border>
      <left style="thin">
        <color rgb="FF7f7f7f"/>
      </left>
      <right style="thin">
        <color rgb="FFc6c6c6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96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164" applyNumberFormat="1" borderId="1" applyBorder="1" fontId="2" applyFont="1" fillId="0" applyAlignment="1">
      <alignment horizontal="right"/>
    </xf>
    <xf xfId="0" numFmtId="0" borderId="2" applyBorder="1" fontId="2" applyFont="1" fillId="0" applyAlignment="1">
      <alignment horizontal="left"/>
    </xf>
    <xf xfId="0" numFmtId="3" applyNumberFormat="1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3" applyBorder="1" fontId="3" applyFont="1" fillId="0" applyAlignment="1">
      <alignment horizontal="center"/>
    </xf>
    <xf xfId="0" numFmtId="7" applyNumberFormat="1" borderId="2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4" applyNumberFormat="1" borderId="1" applyBorder="1" fontId="3" applyFont="1" fillId="0" applyAlignment="1">
      <alignment horizontal="center"/>
    </xf>
    <xf xfId="0" numFmtId="4" applyNumberFormat="1" borderId="0" fontId="0" fillId="0" applyAlignment="1">
      <alignment horizontal="general"/>
    </xf>
    <xf xfId="0" numFmtId="0" borderId="1" applyBorder="1" fontId="3" applyFont="1" fillId="2" applyFill="1" applyAlignment="1">
      <alignment horizontal="center"/>
    </xf>
    <xf xfId="0" numFmtId="7" applyNumberFormat="1" borderId="1" applyBorder="1" fontId="4" applyFont="1" fillId="0" applyAlignment="1">
      <alignment horizontal="left"/>
    </xf>
    <xf xfId="0" numFmtId="0" borderId="1" applyBorder="1" fontId="3" applyFont="1" fillId="2" applyFill="1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4" applyNumberFormat="1" borderId="1" applyBorder="1" fontId="3" applyFont="1" fillId="2" applyFill="1" applyAlignment="1">
      <alignment horizontal="left"/>
    </xf>
    <xf xfId="0" numFmtId="4" applyNumberFormat="1" borderId="1" applyBorder="1" fontId="4" applyFont="1" fillId="0" applyAlignment="1">
      <alignment horizontal="right"/>
    </xf>
    <xf xfId="0" numFmtId="0" borderId="1" applyBorder="1" fontId="5" applyFont="1" fillId="0" applyAlignment="1">
      <alignment horizontal="left"/>
    </xf>
    <xf xfId="0" numFmtId="7" applyNumberFormat="1" borderId="1" applyBorder="1" fontId="5" applyFont="1" fillId="0" applyAlignment="1">
      <alignment horizontal="right"/>
    </xf>
    <xf xfId="0" numFmtId="7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7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3" applyNumberFormat="1" borderId="2" applyBorder="1" fontId="4" applyFont="1" fillId="0" applyAlignment="1">
      <alignment horizontal="right"/>
    </xf>
    <xf xfId="0" numFmtId="0" borderId="4" applyBorder="1" fontId="4" applyFont="1" fillId="0" applyAlignment="1">
      <alignment horizontal="left"/>
    </xf>
    <xf xfId="0" numFmtId="1" applyNumberFormat="1" borderId="1" applyBorder="1" fontId="6" applyFont="1" fillId="0" applyAlignment="1">
      <alignment horizontal="right"/>
    </xf>
    <xf xfId="0" numFmtId="4" applyNumberFormat="1" borderId="1" applyBorder="1" fontId="3" applyFont="1" fillId="0" applyAlignment="1">
      <alignment horizontal="left"/>
    </xf>
    <xf xfId="0" numFmtId="15" applyNumberFormat="1" borderId="5" applyBorder="1" fontId="6" applyFont="1" fillId="0" applyAlignment="1">
      <alignment horizontal="right"/>
    </xf>
    <xf xfId="0" numFmtId="4" applyNumberFormat="1" borderId="6" applyBorder="1" fontId="7" applyFont="1" fillId="3" applyFill="1" applyAlignment="1">
      <alignment horizontal="right"/>
    </xf>
    <xf xfId="0" numFmtId="15" applyNumberFormat="1" borderId="1" applyBorder="1" fontId="6" applyFont="1" fillId="0" applyAlignment="1">
      <alignment horizontal="right"/>
    </xf>
    <xf xfId="0" numFmtId="4" applyNumberFormat="1" borderId="7" applyBorder="1" fontId="7" applyFont="1" fillId="3" applyFill="1" applyAlignment="1">
      <alignment horizontal="right"/>
    </xf>
    <xf xfId="0" numFmtId="1" applyNumberFormat="1" borderId="0" fontId="0" fillId="0" applyAlignment="1">
      <alignment horizontal="right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8" applyBorder="1" fontId="8" applyFont="1" fillId="0" applyAlignment="1">
      <alignment horizontal="center"/>
    </xf>
    <xf xfId="0" numFmtId="165" applyNumberFormat="1" borderId="0" fontId="0" fillId="0" applyAlignment="1">
      <alignment horizontal="right"/>
    </xf>
    <xf xfId="0" numFmtId="1" applyNumberFormat="1" borderId="2" applyBorder="1" fontId="6" applyFont="1" fillId="0" applyAlignment="1">
      <alignment horizontal="left"/>
    </xf>
    <xf xfId="0" numFmtId="3" applyNumberFormat="1" borderId="9" applyBorder="1" fontId="6" applyFont="1" fillId="0" applyAlignment="1">
      <alignment horizontal="left"/>
    </xf>
    <xf xfId="0" numFmtId="165" applyNumberFormat="1" borderId="9" applyBorder="1" fontId="6" applyFont="1" fillId="0" applyAlignment="1">
      <alignment horizontal="left"/>
    </xf>
    <xf xfId="0" numFmtId="15" applyNumberFormat="1" borderId="1" applyBorder="1" fontId="6" applyFont="1" fillId="0" applyAlignment="1">
      <alignment horizontal="left"/>
    </xf>
    <xf xfId="0" numFmtId="3" applyNumberFormat="1" borderId="10" applyBorder="1" fontId="7" applyFont="1" fillId="3" applyFill="1" applyAlignment="1">
      <alignment horizontal="right"/>
    </xf>
    <xf xfId="0" numFmtId="3" applyNumberFormat="1" borderId="7" applyBorder="1" fontId="7" applyFont="1" fillId="3" applyFill="1" applyAlignment="1">
      <alignment horizontal="right"/>
    </xf>
    <xf xfId="0" numFmtId="165" applyNumberFormat="1" borderId="11" applyBorder="1" fontId="9" applyFont="1" fillId="3" applyFill="1" applyAlignment="1">
      <alignment horizontal="right"/>
    </xf>
    <xf xfId="0" numFmtId="1" applyNumberFormat="1" borderId="0" fontId="0" fillId="0" applyAlignment="1">
      <alignment horizontal="general"/>
    </xf>
    <xf xfId="0" numFmtId="165" applyNumberFormat="1" borderId="0" fontId="0" fillId="0" applyAlignment="1">
      <alignment horizontal="right"/>
    </xf>
    <xf xfId="0" numFmtId="1" applyNumberFormat="1" borderId="9" applyBorder="1" fontId="6" applyFont="1" fillId="0" applyAlignment="1">
      <alignment horizontal="left"/>
    </xf>
    <xf xfId="0" numFmtId="0" borderId="9" applyBorder="1" fontId="6" applyFont="1" fillId="0" applyAlignment="1">
      <alignment horizontal="left"/>
    </xf>
    <xf xfId="0" numFmtId="7" applyNumberFormat="1" borderId="9" applyBorder="1" fontId="6" applyFont="1" fillId="0" applyAlignment="1">
      <alignment horizontal="left"/>
    </xf>
    <xf xfId="0" numFmtId="166" applyNumberFormat="1" borderId="9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7" applyNumberFormat="1" borderId="7" applyBorder="1" fontId="7" applyFont="1" fillId="3" applyFill="1" applyAlignment="1">
      <alignment horizontal="right"/>
    </xf>
    <xf xfId="0" numFmtId="7" applyNumberFormat="1" borderId="11" applyBorder="1" fontId="9" applyFont="1" fillId="3" applyFill="1" applyAlignment="1">
      <alignment horizontal="left"/>
    </xf>
    <xf xfId="0" numFmtId="166" applyNumberFormat="1" borderId="11" applyBorder="1" fontId="9" applyFont="1" fillId="3" applyFill="1" applyAlignment="1">
      <alignment horizontal="right"/>
    </xf>
    <xf xfId="0" numFmtId="7" applyNumberFormat="1" borderId="11" applyBorder="1" fontId="9" applyFont="1" fillId="3" applyFill="1" applyAlignment="1">
      <alignment horizontal="right"/>
    </xf>
    <xf xfId="0" numFmtId="14" applyNumberFormat="1" borderId="2" applyBorder="1" fontId="4" applyFont="1" fillId="0" applyAlignment="1">
      <alignment horizontal="left"/>
    </xf>
    <xf xfId="0" numFmtId="7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3" applyNumberFormat="1" borderId="1" applyBorder="1" fontId="3" applyFont="1" fillId="2" applyFill="1" applyAlignment="1">
      <alignment horizontal="center"/>
    </xf>
    <xf xfId="0" numFmtId="0" borderId="12" applyBorder="1" fontId="3" applyFont="1" fillId="2" applyFill="1" applyAlignment="1">
      <alignment horizontal="center"/>
    </xf>
    <xf xfId="0" numFmtId="3" applyNumberFormat="1" borderId="1" applyBorder="1" fontId="10" applyFont="1" fillId="0" applyAlignment="1">
      <alignment horizontal="right"/>
    </xf>
    <xf xfId="0" numFmtId="0" borderId="1" applyBorder="1" fontId="10" applyFont="1" fillId="0" applyAlignment="1">
      <alignment horizontal="left"/>
    </xf>
    <xf xfId="0" numFmtId="3" applyNumberFormat="1" borderId="1" applyBorder="1" fontId="10" applyFont="1" fillId="0" applyAlignment="1">
      <alignment horizontal="left"/>
    </xf>
    <xf xfId="0" numFmtId="0" borderId="1" applyBorder="1" fontId="10" applyFont="1" fillId="0" applyAlignment="1">
      <alignment horizontal="center"/>
    </xf>
    <xf xfId="0" numFmtId="0" borderId="13" applyBorder="1" fontId="10" applyFont="1" fillId="0" applyAlignment="1">
      <alignment horizontal="left"/>
    </xf>
    <xf xfId="0" numFmtId="0" borderId="1" applyBorder="1" fontId="10" applyFont="1" fillId="0" applyAlignment="1">
      <alignment horizontal="center"/>
    </xf>
    <xf xfId="0" numFmtId="0" borderId="5" applyBorder="1" fontId="10" applyFont="1" fillId="0" applyAlignment="1">
      <alignment horizontal="left"/>
    </xf>
    <xf xfId="0" numFmtId="0" borderId="14" applyBorder="1" fontId="10" applyFont="1" fillId="0" applyAlignment="1">
      <alignment horizontal="left"/>
    </xf>
    <xf xfId="0" numFmtId="0" borderId="4" applyBorder="1" fontId="10" applyFont="1" fillId="0" applyAlignment="1">
      <alignment horizontal="left"/>
    </xf>
    <xf xfId="0" numFmtId="3" applyNumberFormat="1" borderId="4" applyBorder="1" fontId="10" applyFont="1" fillId="0" applyAlignment="1">
      <alignment horizontal="left"/>
    </xf>
    <xf xfId="0" numFmtId="3" applyNumberFormat="1" borderId="4" applyBorder="1" fontId="10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0" borderId="15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1" applyNumberFormat="1" borderId="8" applyBorder="1" fontId="8" applyFont="1" fillId="0" applyAlignment="1">
      <alignment horizontal="left"/>
    </xf>
    <xf xfId="0" numFmtId="3" applyNumberFormat="1" borderId="8" applyBorder="1" fontId="8" applyFont="1" fillId="0" applyAlignment="1">
      <alignment horizontal="left"/>
    </xf>
    <xf xfId="0" numFmtId="4" applyNumberFormat="1" borderId="8" applyBorder="1" fontId="8" applyFont="1" fillId="0" applyAlignment="1">
      <alignment horizontal="left"/>
    </xf>
    <xf xfId="0" numFmtId="4" applyNumberFormat="1" borderId="9" applyBorder="1" fontId="6" applyFont="1" fillId="0" applyAlignment="1">
      <alignment horizontal="left"/>
    </xf>
    <xf xfId="0" numFmtId="4" applyNumberFormat="1" borderId="10" applyBorder="1" fontId="7" applyFont="1" fillId="3" applyFill="1" applyAlignment="1">
      <alignment horizontal="right"/>
    </xf>
    <xf xfId="0" numFmtId="3" applyNumberFormat="1" borderId="1" applyBorder="1" fontId="11" applyFont="1" fillId="4" applyFill="1" applyAlignment="1">
      <alignment horizontal="center"/>
    </xf>
    <xf xfId="0" numFmtId="0" borderId="1" applyBorder="1" fontId="11" applyFont="1" fillId="4" applyFill="1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0" borderId="1" applyBorder="1" fontId="12" applyFont="1" fillId="0" applyAlignment="1">
      <alignment horizontal="left"/>
    </xf>
    <xf xfId="0" numFmtId="3" applyNumberFormat="1" borderId="0" fontId="0" fillId="0" applyAlignment="1">
      <alignment horizontal="center"/>
    </xf>
    <xf xfId="0" numFmtId="14" applyNumberFormat="1" borderId="1" applyBorder="1" fontId="10" applyFont="1" fillId="0" applyAlignment="1">
      <alignment horizontal="left"/>
    </xf>
    <xf xfId="0" numFmtId="7" applyNumberFormat="1" borderId="1" applyBorder="1" fontId="10" applyFont="1" fillId="0" applyAlignment="1">
      <alignment horizontal="left"/>
    </xf>
    <xf xfId="0" numFmtId="15" applyNumberFormat="1" borderId="1" applyBorder="1" fontId="13" applyFont="1" fillId="5" applyFill="1" applyAlignment="1">
      <alignment horizontal="left"/>
    </xf>
    <xf xfId="0" numFmtId="0" borderId="1" applyBorder="1" fontId="13" applyFont="1" fillId="5" applyFill="1" applyAlignment="1">
      <alignment horizontal="left"/>
    </xf>
    <xf xfId="0" numFmtId="3" applyNumberFormat="1" borderId="1" applyBorder="1" fontId="13" applyFont="1" fillId="5" applyFill="1" applyAlignment="1">
      <alignment horizontal="right"/>
    </xf>
    <xf xfId="0" numFmtId="3" applyNumberFormat="1" borderId="1" applyBorder="1" fontId="14" applyFont="1" fillId="3" applyFill="1" applyAlignment="1">
      <alignment horizontal="right"/>
    </xf>
    <xf xfId="0" numFmtId="0" borderId="1" applyBorder="1" fontId="14" applyFont="1" fillId="3" applyFill="1" applyAlignment="1">
      <alignment horizontal="left"/>
    </xf>
    <xf xfId="0" numFmtId="7" applyNumberFormat="1" borderId="1" applyBorder="1" fontId="14" applyFont="1" fillId="3" applyFill="1" applyAlignment="1">
      <alignment horizontal="right"/>
    </xf>
    <xf xfId="0" numFmtId="14" applyNumberFormat="1" borderId="1" applyBorder="1" fontId="13" applyFont="1" fillId="5" applyFill="1" applyAlignment="1">
      <alignment horizontal="left"/>
    </xf>
    <xf xfId="0" numFmtId="0" borderId="1" applyBorder="1" fontId="15" applyFont="1" fillId="5" applyFill="1" applyAlignment="1">
      <alignment horizontal="left"/>
    </xf>
    <xf xfId="0" numFmtId="3" applyNumberFormat="1" borderId="1" applyBorder="1" fontId="15" applyFont="1" fillId="5" applyFill="1" applyAlignment="1">
      <alignment horizontal="right"/>
    </xf>
    <xf xfId="0" numFmtId="3" applyNumberFormat="1" borderId="1" applyBorder="1" fontId="7" applyFont="1" fillId="3" applyFill="1" applyAlignment="1">
      <alignment horizontal="right"/>
    </xf>
    <xf xfId="0" numFmtId="0" borderId="1" applyBorder="1" fontId="7" applyFont="1" fillId="3" applyFill="1" applyAlignment="1">
      <alignment horizontal="left"/>
    </xf>
    <xf xfId="0" numFmtId="3" applyNumberFormat="1" borderId="1" applyBorder="1" fontId="16" applyFont="1" fillId="0" applyAlignment="1">
      <alignment horizontal="left"/>
    </xf>
    <xf xfId="0" numFmtId="3" applyNumberFormat="1" borderId="1" applyBorder="1" fontId="16" applyFont="1" fillId="0" applyAlignment="1">
      <alignment horizontal="right"/>
    </xf>
    <xf xfId="0" numFmtId="0" borderId="1" applyBorder="1" fontId="17" applyFont="1" fillId="0" applyAlignment="1">
      <alignment horizontal="left"/>
    </xf>
    <xf xfId="0" numFmtId="3" applyNumberFormat="1" borderId="1" applyBorder="1" fontId="13" applyFont="1" fillId="5" applyFill="1" applyAlignment="1">
      <alignment horizontal="left"/>
    </xf>
    <xf xfId="0" numFmtId="14" applyNumberFormat="1" borderId="1" applyBorder="1" fontId="18" applyFont="1" fillId="5" applyFill="1" applyAlignment="1">
      <alignment horizontal="left"/>
    </xf>
    <xf xfId="0" numFmtId="0" borderId="1" applyBorder="1" fontId="18" applyFont="1" fillId="5" applyFill="1" applyAlignment="1">
      <alignment horizontal="left"/>
    </xf>
    <xf xfId="0" numFmtId="3" applyNumberFormat="1" borderId="1" applyBorder="1" fontId="18" applyFont="1" fillId="5" applyFill="1" applyAlignment="1">
      <alignment horizontal="left"/>
    </xf>
    <xf xfId="0" numFmtId="3" applyNumberFormat="1" borderId="1" applyBorder="1" fontId="19" applyFont="1" fillId="3" applyFill="1" applyAlignment="1">
      <alignment horizontal="left"/>
    </xf>
    <xf xfId="0" numFmtId="0" borderId="1" applyBorder="1" fontId="19" applyFont="1" fillId="3" applyFill="1" applyAlignment="1">
      <alignment horizontal="left"/>
    </xf>
    <xf xfId="0" numFmtId="7" applyNumberFormat="1" borderId="1" applyBorder="1" fontId="19" applyFont="1" fillId="3" applyFill="1" applyAlignment="1">
      <alignment horizontal="right"/>
    </xf>
    <xf xfId="0" numFmtId="3" applyNumberFormat="1" borderId="1" applyBorder="1" fontId="17" applyFont="1" fillId="0" applyAlignment="1">
      <alignment horizontal="left"/>
    </xf>
    <xf xfId="0" numFmtId="3" applyNumberFormat="1" borderId="1" applyBorder="1" fontId="14" applyFont="1" fillId="3" applyFill="1" applyAlignment="1">
      <alignment horizontal="left"/>
    </xf>
    <xf xfId="0" numFmtId="14" applyNumberFormat="1" borderId="0" fontId="0" fillId="0" applyAlignment="1">
      <alignment horizontal="general"/>
    </xf>
    <xf xfId="0" numFmtId="14" applyNumberFormat="1" borderId="1" applyBorder="1" fontId="3" applyFont="1" fillId="0" applyAlignment="1">
      <alignment horizontal="left"/>
    </xf>
    <xf xfId="0" numFmtId="16" applyNumberFormat="1" borderId="1" applyBorder="1" fontId="20" applyFont="1" fillId="0" applyAlignment="1">
      <alignment horizontal="left"/>
    </xf>
    <xf xfId="0" numFmtId="0" borderId="10" applyBorder="1" fontId="21" applyFont="1" fillId="5" applyFill="1" applyAlignment="1">
      <alignment horizontal="left"/>
    </xf>
    <xf xfId="0" numFmtId="0" borderId="7" applyBorder="1" fontId="15" applyFont="1" fillId="5" applyFill="1" applyAlignment="1">
      <alignment horizontal="center"/>
    </xf>
    <xf xfId="0" numFmtId="0" borderId="7" applyBorder="1" fontId="15" applyFont="1" fillId="5" applyFill="1" applyAlignment="1">
      <alignment horizontal="left"/>
    </xf>
    <xf xfId="0" numFmtId="3" applyNumberFormat="1" borderId="7" applyBorder="1" fontId="15" applyFont="1" fillId="5" applyFill="1" applyAlignment="1">
      <alignment horizontal="right"/>
    </xf>
    <xf xfId="0" numFmtId="14" applyNumberFormat="1" borderId="1" applyBorder="1" fontId="20" applyFont="1" fillId="0" applyAlignment="1">
      <alignment horizontal="left"/>
    </xf>
    <xf xfId="0" numFmtId="3" applyNumberFormat="1" borderId="7" applyBorder="1" fontId="15" applyFont="1" fillId="5" applyFill="1" applyAlignment="1">
      <alignment horizontal="left"/>
    </xf>
    <xf xfId="0" numFmtId="0" borderId="16" applyBorder="1" fontId="15" applyFont="1" fillId="5" applyFill="1" applyAlignment="1">
      <alignment horizontal="left"/>
    </xf>
    <xf xfId="0" numFmtId="14" applyNumberFormat="1" borderId="0" fontId="0" fillId="0" applyAlignment="1">
      <alignment horizontal="general"/>
    </xf>
    <xf xfId="0" numFmtId="3" applyNumberFormat="1" borderId="17" applyBorder="1" fontId="15" applyFont="1" fillId="5" applyFill="1" applyAlignment="1">
      <alignment horizontal="left"/>
    </xf>
    <xf xfId="0" numFmtId="3" applyNumberFormat="1" borderId="1" applyBorder="1" fontId="1" applyFont="1" fillId="6" applyFill="1" applyAlignment="1">
      <alignment horizontal="center"/>
    </xf>
    <xf xfId="0" numFmtId="1" applyNumberFormat="1" borderId="1" applyBorder="1" fontId="1" applyFont="1" fillId="6" applyFill="1" applyAlignment="1">
      <alignment horizontal="center"/>
    </xf>
    <xf xfId="0" numFmtId="0" borderId="1" applyBorder="1" fontId="1" applyFont="1" fillId="6" applyFill="1" applyAlignment="1">
      <alignment horizontal="center"/>
    </xf>
    <xf xfId="0" numFmtId="0" borderId="1" applyBorder="1" fontId="1" applyFont="1" fillId="6" applyFill="1" applyAlignment="1">
      <alignment horizontal="right"/>
    </xf>
    <xf xfId="0" numFmtId="3" applyNumberFormat="1" borderId="1" applyBorder="1" fontId="1" applyFont="1" fillId="7" applyFill="1" applyAlignment="1">
      <alignment horizontal="center"/>
    </xf>
    <xf xfId="0" numFmtId="17" applyNumberFormat="1" borderId="1" applyBorder="1" fontId="1" applyFont="1" fillId="6" applyFill="1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1" applyBorder="1" fontId="1" applyFont="1" fillId="8" applyFill="1" applyAlignment="1">
      <alignment horizontal="center"/>
    </xf>
    <xf xfId="0" numFmtId="4" applyNumberFormat="1" borderId="1" applyBorder="1" fontId="1" applyFont="1" fillId="9" applyFill="1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2" applyNumberFormat="1" borderId="1" applyBorder="1" fontId="1" applyFont="1" fillId="7" applyFill="1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4" applyNumberFormat="1" borderId="1" applyBorder="1" fontId="1" applyFont="1" fillId="7" applyFill="1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7" applyFill="1" applyAlignment="1">
      <alignment horizontal="right"/>
    </xf>
    <xf xfId="0" numFmtId="4" applyNumberFormat="1" borderId="1" applyBorder="1" fontId="22" applyFont="1" fillId="7" applyFill="1" applyAlignment="1">
      <alignment horizontal="center"/>
    </xf>
    <xf xfId="0" numFmtId="1" applyNumberFormat="1" borderId="1" applyBorder="1" fontId="2" applyFont="1" fillId="10" applyFill="1" applyAlignment="1">
      <alignment horizontal="left"/>
    </xf>
    <xf xfId="0" numFmtId="3" applyNumberFormat="1" borderId="1" applyBorder="1" fontId="2" applyFont="1" fillId="0" applyAlignment="1">
      <alignment horizontal="center"/>
    </xf>
    <xf xfId="0" numFmtId="15" applyNumberFormat="1" borderId="1" applyBorder="1" fontId="21" applyFont="1" fillId="0" applyAlignment="1">
      <alignment horizontal="center"/>
    </xf>
    <xf xfId="0" numFmtId="0" borderId="1" applyBorder="1" fontId="2" applyFont="1" fillId="0" applyAlignment="1">
      <alignment horizontal="right"/>
    </xf>
    <xf xfId="0" numFmtId="3" applyNumberFormat="1" borderId="1" applyBorder="1" fontId="23" applyFont="1" fillId="7" applyFill="1" applyAlignment="1">
      <alignment horizontal="center"/>
    </xf>
    <xf xfId="0" numFmtId="3" applyNumberFormat="1" borderId="1" applyBorder="1" fontId="24" applyFont="1" fillId="7" applyFill="1" applyAlignment="1">
      <alignment horizontal="center"/>
    </xf>
    <xf xfId="0" numFmtId="17" applyNumberFormat="1" borderId="1" applyBorder="1" fontId="2" applyFont="1" fillId="0" applyAlignment="1">
      <alignment horizontal="center"/>
    </xf>
    <xf xfId="0" numFmtId="3" applyNumberFormat="1" borderId="1" applyBorder="1" fontId="2" applyFont="1" fillId="7" applyFill="1" applyAlignment="1">
      <alignment horizontal="center"/>
    </xf>
    <xf xfId="0" numFmtId="4" applyNumberFormat="1" borderId="1" applyBorder="1" fontId="2" applyFont="1" fillId="9" applyFill="1" applyAlignment="1">
      <alignment horizontal="right"/>
    </xf>
    <xf xfId="0" numFmtId="4" applyNumberFormat="1" borderId="1" applyBorder="1" fontId="2" applyFont="1" fillId="7" applyFill="1" applyAlignment="1">
      <alignment horizontal="right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0" borderId="1" applyBorder="1" fontId="2" applyFont="1" fillId="7" applyFill="1" applyAlignment="1">
      <alignment horizontal="right"/>
    </xf>
    <xf xfId="0" numFmtId="4" applyNumberFormat="1" borderId="1" applyBorder="1" fontId="25" applyFont="1" fillId="7" applyFill="1" applyAlignment="1">
      <alignment horizontal="right"/>
    </xf>
    <xf xfId="0" numFmtId="1" applyNumberFormat="1" borderId="1" applyBorder="1" fontId="2" applyFont="1" fillId="0" applyAlignment="1">
      <alignment horizontal="right"/>
    </xf>
    <xf xfId="0" numFmtId="0" borderId="1" applyBorder="1" fontId="2" applyFont="1" fillId="11" applyFill="1" applyAlignment="1">
      <alignment horizontal="center"/>
    </xf>
    <xf xfId="0" numFmtId="0" borderId="1" applyBorder="1" fontId="26" applyFont="1" fillId="0" applyAlignment="1">
      <alignment horizontal="center"/>
    </xf>
    <xf xfId="0" numFmtId="0" borderId="1" applyBorder="1" fontId="27" applyFont="1" fillId="0" applyAlignment="1">
      <alignment horizontal="center"/>
    </xf>
    <xf xfId="0" numFmtId="0" borderId="1" applyBorder="1" fontId="27" applyFont="1" fillId="0" applyAlignment="1">
      <alignment horizontal="right"/>
    </xf>
    <xf xfId="0" numFmtId="3" applyNumberFormat="1" borderId="1" applyBorder="1" fontId="27" applyFont="1" fillId="0" applyAlignment="1">
      <alignment horizontal="center"/>
    </xf>
    <xf xfId="0" numFmtId="3" applyNumberFormat="1" borderId="1" applyBorder="1" fontId="27" applyFont="1" fillId="7" applyFill="1" applyAlignment="1">
      <alignment horizontal="center"/>
    </xf>
    <xf xfId="0" numFmtId="3" applyNumberFormat="1" borderId="1" applyBorder="1" fontId="28" applyFont="1" fillId="7" applyFill="1" applyAlignment="1">
      <alignment horizontal="center"/>
    </xf>
    <xf xfId="0" numFmtId="17" applyNumberFormat="1" borderId="1" applyBorder="1" fontId="27" applyFont="1" fillId="0" applyAlignment="1">
      <alignment horizontal="center"/>
    </xf>
    <xf xfId="0" numFmtId="4" applyNumberFormat="1" borderId="1" applyBorder="1" fontId="27" applyFont="1" fillId="9" applyFill="1" applyAlignment="1">
      <alignment horizontal="right"/>
    </xf>
    <xf xfId="0" numFmtId="3" applyNumberFormat="1" borderId="1" applyBorder="1" fontId="27" applyFont="1" fillId="0" applyAlignment="1">
      <alignment horizontal="left"/>
    </xf>
    <xf xfId="0" numFmtId="4" applyNumberFormat="1" borderId="1" applyBorder="1" fontId="27" applyFont="1" fillId="0" applyAlignment="1">
      <alignment horizontal="center"/>
    </xf>
    <xf xfId="0" numFmtId="1" applyNumberFormat="1" borderId="1" applyBorder="1" fontId="27" applyFont="1" fillId="0" applyAlignment="1">
      <alignment horizontal="center"/>
    </xf>
    <xf xfId="0" numFmtId="3" applyNumberFormat="1" borderId="1" applyBorder="1" fontId="26" applyFont="1" fillId="0" applyAlignment="1">
      <alignment horizontal="center"/>
    </xf>
    <xf xfId="0" numFmtId="3" applyNumberFormat="1" borderId="1" applyBorder="1" fontId="26" applyFont="1" fillId="7" applyFill="1" applyAlignment="1">
      <alignment horizontal="center"/>
    </xf>
    <xf xfId="0" numFmtId="3" applyNumberFormat="1" borderId="1" applyBorder="1" fontId="29" applyFont="1" fillId="7" applyFill="1" applyAlignment="1">
      <alignment horizontal="center"/>
    </xf>
    <xf xfId="0" numFmtId="17" applyNumberFormat="1" borderId="1" applyBorder="1" fontId="26" applyFont="1" fillId="0" applyAlignment="1">
      <alignment horizontal="center"/>
    </xf>
    <xf xfId="0" numFmtId="0" borderId="1" applyBorder="1" fontId="26" applyFont="1" fillId="0" applyAlignment="1">
      <alignment horizontal="left"/>
    </xf>
    <xf xfId="0" numFmtId="4" applyNumberFormat="1" borderId="1" applyBorder="1" fontId="26" applyFont="1" fillId="9" applyFill="1" applyAlignment="1">
      <alignment horizontal="right"/>
    </xf>
    <xf xfId="0" numFmtId="3" applyNumberFormat="1" borderId="1" applyBorder="1" fontId="26" applyFont="1" fillId="0" applyAlignment="1">
      <alignment horizontal="left"/>
    </xf>
    <xf xfId="0" numFmtId="2" applyNumberFormat="1" borderId="1" applyBorder="1" fontId="2" applyFont="1" fillId="7" applyFill="1" applyAlignment="1">
      <alignment horizontal="right"/>
    </xf>
    <xf xfId="0" numFmtId="4" applyNumberFormat="1" borderId="1" applyBorder="1" fontId="26" applyFont="1" fillId="0" applyAlignment="1">
      <alignment horizontal="left"/>
    </xf>
    <xf xfId="0" numFmtId="1" applyNumberFormat="1" borderId="1" applyBorder="1" fontId="26" applyFont="1" fillId="0" applyAlignment="1">
      <alignment horizontal="left"/>
    </xf>
    <xf xfId="0" numFmtId="3" applyNumberFormat="1" borderId="1" applyBorder="1" fontId="2" applyFont="1" fillId="8" applyFill="1" applyAlignment="1">
      <alignment horizontal="center"/>
    </xf>
    <xf xfId="0" numFmtId="4" applyNumberFormat="1" borderId="1" applyBorder="1" fontId="2" applyFont="1" fillId="0" applyAlignment="1">
      <alignment horizontal="left"/>
    </xf>
    <xf xfId="0" numFmtId="1" applyNumberFormat="1" borderId="1" applyBorder="1" fontId="2" applyFont="1" fillId="0" applyAlignment="1">
      <alignment horizontal="left"/>
    </xf>
    <xf xfId="0" numFmtId="0" borderId="1" applyBorder="1" fontId="21" applyFont="1" fillId="12" applyFill="1" applyAlignment="1">
      <alignment horizontal="center"/>
    </xf>
    <xf xfId="0" numFmtId="0" borderId="1" applyBorder="1" fontId="21" applyFont="1" fillId="0" applyAlignment="1">
      <alignment horizontal="center"/>
    </xf>
    <xf xfId="0" numFmtId="3" applyNumberFormat="1" borderId="1" applyBorder="1" fontId="21" applyFont="1" fillId="0" applyAlignment="1">
      <alignment horizontal="center"/>
    </xf>
    <xf xfId="0" numFmtId="0" borderId="1" applyBorder="1" fontId="27" applyFont="1" fillId="0" applyAlignment="1">
      <alignment horizontal="left"/>
    </xf>
    <xf xfId="0" numFmtId="4" applyNumberFormat="1" borderId="1" applyBorder="1" fontId="27" applyFont="1" fillId="0" applyAlignment="1">
      <alignment horizontal="left"/>
    </xf>
    <xf xfId="0" numFmtId="1" applyNumberFormat="1" borderId="1" applyBorder="1" fontId="27" applyFont="1" fillId="0" applyAlignment="1">
      <alignment horizontal="left"/>
    </xf>
    <xf xfId="0" numFmtId="0" borderId="1" applyBorder="1" fontId="30" applyFont="1" fillId="0" applyAlignment="1">
      <alignment horizontal="center"/>
    </xf>
    <xf xfId="0" numFmtId="0" borderId="1" applyBorder="1" fontId="26" applyFont="1" fillId="0" applyAlignment="1">
      <alignment horizontal="right"/>
    </xf>
    <xf xfId="0" numFmtId="0" borderId="1" applyBorder="1" fontId="31" applyFont="1" fillId="0" applyAlignment="1">
      <alignment horizontal="center"/>
    </xf>
    <xf xfId="0" numFmtId="0" borderId="1" applyBorder="1" fontId="32" applyFont="1" fillId="0" applyAlignment="1">
      <alignment horizontal="center"/>
    </xf>
    <xf xfId="0" numFmtId="0" borderId="1" applyBorder="1" fontId="32" applyFont="1" fillId="0" applyAlignment="1">
      <alignment horizontal="right"/>
    </xf>
    <xf xfId="0" numFmtId="3" applyNumberFormat="1" borderId="1" applyBorder="1" fontId="32" applyFont="1" fillId="0" applyAlignment="1">
      <alignment horizontal="center"/>
    </xf>
    <xf xfId="0" numFmtId="3" applyNumberFormat="1" borderId="1" applyBorder="1" fontId="32" applyFont="1" fillId="7" applyFill="1" applyAlignment="1">
      <alignment horizontal="center"/>
    </xf>
    <xf xfId="0" numFmtId="3" applyNumberFormat="1" borderId="1" applyBorder="1" fontId="33" applyFont="1" fillId="7" applyFill="1" applyAlignment="1">
      <alignment horizontal="center"/>
    </xf>
    <xf xfId="0" numFmtId="17" applyNumberFormat="1" borderId="1" applyBorder="1" fontId="32" applyFont="1" fillId="0" applyAlignment="1">
      <alignment horizontal="center"/>
    </xf>
    <xf xfId="0" numFmtId="0" borderId="1" applyBorder="1" fontId="32" applyFont="1" fillId="0" applyAlignment="1">
      <alignment horizontal="left"/>
    </xf>
    <xf xfId="0" numFmtId="4" applyNumberFormat="1" borderId="1" applyBorder="1" fontId="32" applyFont="1" fillId="9" applyFill="1" applyAlignment="1">
      <alignment horizontal="right"/>
    </xf>
    <xf xfId="0" numFmtId="3" applyNumberFormat="1" borderId="1" applyBorder="1" fontId="32" applyFont="1" fillId="0" applyAlignment="1">
      <alignment horizontal="left"/>
    </xf>
    <xf xfId="0" numFmtId="4" applyNumberFormat="1" borderId="1" applyBorder="1" fontId="32" applyFont="1" fillId="0" applyAlignment="1">
      <alignment horizontal="left"/>
    </xf>
    <xf xfId="0" numFmtId="1" applyNumberFormat="1" borderId="1" applyBorder="1" fontId="32" applyFont="1" fillId="0" applyAlignment="1">
      <alignment horizontal="left"/>
    </xf>
    <xf xfId="0" numFmtId="0" borderId="1" applyBorder="1" fontId="34" applyFont="1" fillId="0" applyAlignment="1">
      <alignment horizontal="center"/>
    </xf>
    <xf xfId="0" numFmtId="0" borderId="1" applyBorder="1" fontId="34" applyFont="1" fillId="0" applyAlignment="1">
      <alignment horizontal="right"/>
    </xf>
    <xf xfId="0" numFmtId="3" applyNumberFormat="1" borderId="1" applyBorder="1" fontId="34" applyFont="1" fillId="0" applyAlignment="1">
      <alignment horizontal="center"/>
    </xf>
    <xf xfId="0" numFmtId="3" applyNumberFormat="1" borderId="1" applyBorder="1" fontId="34" applyFont="1" fillId="7" applyFill="1" applyAlignment="1">
      <alignment horizontal="center"/>
    </xf>
    <xf xfId="0" numFmtId="3" applyNumberFormat="1" borderId="1" applyBorder="1" fontId="35" applyFont="1" fillId="7" applyFill="1" applyAlignment="1">
      <alignment horizontal="center"/>
    </xf>
    <xf xfId="0" numFmtId="0" borderId="1" applyBorder="1" fontId="34" applyFont="1" fillId="0" applyAlignment="1">
      <alignment horizontal="left"/>
    </xf>
    <xf xfId="0" numFmtId="4" applyNumberFormat="1" borderId="1" applyBorder="1" fontId="34" applyFont="1" fillId="9" applyFill="1" applyAlignment="1">
      <alignment horizontal="right"/>
    </xf>
    <xf xfId="0" numFmtId="3" applyNumberFormat="1" borderId="1" applyBorder="1" fontId="34" applyFont="1" fillId="0" applyAlignment="1">
      <alignment horizontal="left"/>
    </xf>
    <xf xfId="0" numFmtId="4" applyNumberFormat="1" borderId="1" applyBorder="1" fontId="34" applyFont="1" fillId="0" applyAlignment="1">
      <alignment horizontal="left"/>
    </xf>
    <xf xfId="0" numFmtId="1" applyNumberFormat="1" borderId="1" applyBorder="1" fontId="34" applyFont="1" fillId="0" applyAlignment="1">
      <alignment horizontal="left"/>
    </xf>
    <xf xfId="0" numFmtId="0" borderId="1" applyBorder="1" fontId="30" applyFont="1" fillId="0" applyAlignment="1">
      <alignment horizontal="right"/>
    </xf>
    <xf xfId="0" numFmtId="3" applyNumberFormat="1" borderId="1" applyBorder="1" fontId="30" applyFont="1" fillId="0" applyAlignment="1">
      <alignment horizontal="center"/>
    </xf>
    <xf xfId="0" numFmtId="3" applyNumberFormat="1" borderId="1" applyBorder="1" fontId="30" applyFont="1" fillId="7" applyFill="1" applyAlignment="1">
      <alignment horizontal="center"/>
    </xf>
    <xf xfId="0" numFmtId="3" applyNumberFormat="1" borderId="1" applyBorder="1" fontId="36" applyFont="1" fillId="7" applyFill="1" applyAlignment="1">
      <alignment horizontal="center"/>
    </xf>
    <xf xfId="0" numFmtId="17" applyNumberFormat="1" borderId="1" applyBorder="1" fontId="30" applyFont="1" fillId="0" applyAlignment="1">
      <alignment horizontal="center"/>
    </xf>
    <xf xfId="0" numFmtId="0" borderId="1" applyBorder="1" fontId="30" applyFont="1" fillId="0" applyAlignment="1">
      <alignment horizontal="left"/>
    </xf>
    <xf xfId="0" numFmtId="4" applyNumberFormat="1" borderId="1" applyBorder="1" fontId="30" applyFont="1" fillId="9" applyFill="1" applyAlignment="1">
      <alignment horizontal="right"/>
    </xf>
    <xf xfId="0" numFmtId="3" applyNumberFormat="1" borderId="1" applyBorder="1" fontId="30" applyFont="1" fillId="0" applyAlignment="1">
      <alignment horizontal="left"/>
    </xf>
    <xf xfId="0" numFmtId="4" applyNumberFormat="1" borderId="1" applyBorder="1" fontId="30" applyFont="1" fillId="0" applyAlignment="1">
      <alignment horizontal="left"/>
    </xf>
    <xf xfId="0" numFmtId="1" applyNumberFormat="1" borderId="1" applyBorder="1" fontId="30" applyFont="1" fillId="0" applyAlignment="1">
      <alignment horizontal="left"/>
    </xf>
    <xf xfId="0" numFmtId="15" applyNumberFormat="1" borderId="1" applyBorder="1" fontId="30" applyFont="1" fillId="0" applyAlignment="1">
      <alignment horizontal="center"/>
    </xf>
    <xf xfId="0" numFmtId="2" applyNumberFormat="1" borderId="1" applyBorder="1" fontId="30" applyFont="1" fillId="7" applyFill="1" applyAlignment="1">
      <alignment horizontal="right"/>
    </xf>
    <xf xfId="0" numFmtId="4" applyNumberFormat="1" borderId="1" applyBorder="1" fontId="30" applyFont="1" fillId="7" applyFill="1" applyAlignment="1">
      <alignment horizontal="right"/>
    </xf>
    <xf xfId="0" numFmtId="0" borderId="1" applyBorder="1" fontId="30" applyFont="1" fillId="7" applyFill="1" applyAlignment="1">
      <alignment horizontal="right"/>
    </xf>
    <xf xfId="0" numFmtId="1" applyNumberFormat="1" borderId="1" applyBorder="1" fontId="30" applyFont="1" fillId="0" applyAlignment="1">
      <alignment horizontal="right"/>
    </xf>
    <xf xfId="0" numFmtId="0" borderId="1" applyBorder="1" fontId="37" applyFont="1" fillId="0" applyAlignment="1">
      <alignment horizontal="center"/>
    </xf>
    <xf xfId="0" numFmtId="167" applyNumberFormat="1" borderId="1" applyBorder="1" fontId="2" applyFont="1" fillId="0" applyAlignment="1">
      <alignment horizontal="center"/>
    </xf>
    <xf xfId="0" numFmtId="3" applyNumberFormat="1" borderId="1" applyBorder="1" fontId="38" applyFont="1" fillId="0" applyAlignment="1">
      <alignment horizontal="center"/>
    </xf>
    <xf xfId="0" numFmtId="15" applyNumberFormat="1" borderId="1" applyBorder="1" fontId="38" applyFont="1" fillId="0" applyAlignment="1">
      <alignment horizontal="center"/>
    </xf>
    <xf xfId="0" numFmtId="0" borderId="1" applyBorder="1" fontId="38" applyFont="1" fillId="0" applyAlignment="1">
      <alignment horizontal="center"/>
    </xf>
    <xf xfId="0" numFmtId="0" borderId="1" applyBorder="1" fontId="38" applyFont="1" fillId="0" applyAlignment="1">
      <alignment horizontal="right"/>
    </xf>
    <xf xfId="0" numFmtId="3" applyNumberFormat="1" borderId="1" applyBorder="1" fontId="38" applyFont="1" fillId="7" applyFill="1" applyAlignment="1">
      <alignment horizontal="center"/>
    </xf>
    <xf xfId="0" numFmtId="3" applyNumberFormat="1" borderId="1" applyBorder="1" fontId="39" applyFont="1" fillId="7" applyFill="1" applyAlignment="1">
      <alignment horizontal="center"/>
    </xf>
    <xf xfId="0" numFmtId="17" applyNumberFormat="1" borderId="1" applyBorder="1" fontId="38" applyFont="1" fillId="0" applyAlignment="1">
      <alignment horizontal="center"/>
    </xf>
    <xf xfId="0" numFmtId="4" applyNumberFormat="1" borderId="1" applyBorder="1" fontId="38" applyFont="1" fillId="9" applyFill="1" applyAlignment="1">
      <alignment horizontal="right"/>
    </xf>
    <xf xfId="0" numFmtId="3" applyNumberFormat="1" borderId="1" applyBorder="1" fontId="38" applyFont="1" fillId="0" applyAlignment="1">
      <alignment horizontal="left"/>
    </xf>
    <xf xfId="0" numFmtId="4" applyNumberFormat="1" borderId="1" applyBorder="1" fontId="38" applyFont="1" fillId="7" applyFill="1" applyAlignment="1">
      <alignment horizontal="right"/>
    </xf>
    <xf xfId="0" numFmtId="4" applyNumberFormat="1" borderId="1" applyBorder="1" fontId="38" applyFont="1" fillId="0" applyAlignment="1">
      <alignment horizontal="center"/>
    </xf>
    <xf xfId="0" numFmtId="1" applyNumberFormat="1" borderId="1" applyBorder="1" fontId="38" applyFont="1" fillId="0" applyAlignment="1">
      <alignment horizontal="center"/>
    </xf>
    <xf xfId="0" numFmtId="0" borderId="1" applyBorder="1" fontId="38" applyFont="1" fillId="7" applyFill="1" applyAlignment="1">
      <alignment horizontal="right"/>
    </xf>
    <xf xfId="0" numFmtId="1" applyNumberFormat="1" borderId="1" applyBorder="1" fontId="38" applyFont="1" fillId="0" applyAlignment="1">
      <alignment horizontal="right"/>
    </xf>
    <xf xfId="0" numFmtId="4" applyNumberFormat="1" borderId="1" applyBorder="1" fontId="30" applyFont="1" fillId="0" applyAlignment="1">
      <alignment horizontal="center"/>
    </xf>
    <xf xfId="0" numFmtId="1" applyNumberFormat="1" borderId="1" applyBorder="1" fontId="30" applyFont="1" fillId="0" applyAlignment="1">
      <alignment horizontal="center"/>
    </xf>
    <xf xfId="0" numFmtId="3" applyNumberFormat="1" borderId="4" applyBorder="1" fontId="2" applyFont="1" fillId="0" applyAlignment="1">
      <alignment horizontal="center"/>
    </xf>
    <xf xfId="0" numFmtId="1" applyNumberFormat="1" borderId="4" applyBorder="1" fontId="21" applyFont="1" fillId="0" applyAlignment="1">
      <alignment horizontal="center"/>
    </xf>
    <xf xfId="0" numFmtId="0" borderId="4" applyBorder="1" fontId="2" applyFont="1" fillId="0" applyAlignment="1">
      <alignment horizontal="left"/>
    </xf>
    <xf xfId="0" numFmtId="0" borderId="4" applyBorder="1" fontId="21" applyFont="1" fillId="0" applyAlignment="1">
      <alignment horizontal="center"/>
    </xf>
    <xf xfId="0" numFmtId="0" borderId="4" applyBorder="1" fontId="2" applyFont="1" fillId="0" applyAlignment="1">
      <alignment horizontal="right"/>
    </xf>
    <xf xfId="0" numFmtId="3" applyNumberFormat="1" borderId="4" applyBorder="1" fontId="2" applyFont="1" fillId="0" applyAlignment="1">
      <alignment horizontal="left"/>
    </xf>
    <xf xfId="0" numFmtId="0" borderId="4" applyBorder="1" fontId="2" applyFont="1" fillId="0" applyAlignment="1">
      <alignment horizontal="center"/>
    </xf>
    <xf xfId="0" numFmtId="3" applyNumberFormat="1" borderId="18" applyBorder="1" fontId="23" applyFont="1" fillId="7" applyFill="1" applyAlignment="1">
      <alignment horizontal="center"/>
    </xf>
    <xf xfId="0" numFmtId="3" applyNumberFormat="1" borderId="18" applyBorder="1" fontId="24" applyFont="1" fillId="7" applyFill="1" applyAlignment="1">
      <alignment horizontal="center"/>
    </xf>
    <xf xfId="0" numFmtId="17" applyNumberFormat="1" borderId="4" applyBorder="1" fontId="2" applyFont="1" fillId="0" applyAlignment="1">
      <alignment horizontal="center"/>
    </xf>
    <xf xfId="0" numFmtId="3" applyNumberFormat="1" borderId="18" applyBorder="1" fontId="2" applyFont="1" fillId="7" applyFill="1" applyAlignment="1">
      <alignment horizontal="center"/>
    </xf>
    <xf xfId="0" numFmtId="4" applyNumberFormat="1" borderId="18" applyBorder="1" fontId="2" applyFont="1" fillId="9" applyFill="1" applyAlignment="1">
      <alignment horizontal="right"/>
    </xf>
    <xf xfId="0" numFmtId="2" applyNumberFormat="1" borderId="18" applyBorder="1" fontId="2" applyFont="1" fillId="7" applyFill="1" applyAlignment="1">
      <alignment horizontal="right"/>
    </xf>
    <xf xfId="0" numFmtId="4" applyNumberFormat="1" borderId="4" applyBorder="1" fontId="2" applyFont="1" fillId="0" applyAlignment="1">
      <alignment horizontal="left"/>
    </xf>
    <xf xfId="0" numFmtId="4" applyNumberFormat="1" borderId="18" applyBorder="1" fontId="2" applyFont="1" fillId="7" applyFill="1" applyAlignment="1">
      <alignment horizontal="right"/>
    </xf>
    <xf xfId="0" numFmtId="1" applyNumberFormat="1" borderId="4" applyBorder="1" fontId="2" applyFont="1" fillId="0" applyAlignment="1">
      <alignment horizontal="left"/>
    </xf>
    <xf xfId="0" numFmtId="0" borderId="18" applyBorder="1" fontId="2" applyFont="1" fillId="7" applyFill="1" applyAlignment="1">
      <alignment horizontal="right"/>
    </xf>
    <xf xfId="0" numFmtId="4" applyNumberFormat="1" borderId="18" applyBorder="1" fontId="25" applyFont="1" fillId="7" applyFill="1" applyAlignment="1">
      <alignment horizontal="right"/>
    </xf>
    <xf xfId="0" numFmtId="1" applyNumberFormat="1" borderId="4" applyBorder="1" fontId="2" applyFont="1" fillId="0" applyAlignment="1">
      <alignment horizontal="righ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right"/>
    </xf>
    <xf xfId="0" numFmtId="17" applyNumberFormat="1" borderId="0" fontId="0" fillId="0" applyAlignment="1">
      <alignment horizontal="center"/>
    </xf>
    <xf xfId="0" numFmtId="2" applyNumberFormat="1" borderId="0" fontId="0" fillId="0" applyAlignment="1">
      <alignment horizontal="right"/>
    </xf>
    <xf xfId="0" numFmtId="1" applyNumberFormat="1" borderId="1" applyBorder="1" fontId="3" applyFont="1" fillId="2" applyFill="1" applyAlignment="1">
      <alignment horizontal="center"/>
    </xf>
    <xf xfId="0" numFmtId="1" applyNumberFormat="1" borderId="1" applyBorder="1" fontId="3" applyFont="1" fillId="2" applyFill="1" applyAlignment="1">
      <alignment horizontal="left"/>
    </xf>
    <xf xfId="0" numFmtId="4" applyNumberFormat="1" borderId="1" applyBorder="1" fontId="3" applyFont="1" fillId="2" applyFill="1" applyAlignment="1">
      <alignment horizontal="center"/>
    </xf>
    <xf xfId="0" numFmtId="7" applyNumberFormat="1" borderId="1" applyBorder="1" fontId="3" applyFont="1" fillId="2" applyFill="1" applyAlignment="1">
      <alignment horizontal="center"/>
    </xf>
    <xf xfId="0" numFmtId="15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center"/>
    </xf>
    <xf xfId="0" numFmtId="4" applyNumberFormat="1" borderId="1" applyBorder="1" fontId="4" applyFont="1" fillId="0" applyAlignment="1">
      <alignment horizontal="center"/>
    </xf>
    <xf xfId="0" numFmtId="7" applyNumberFormat="1" borderId="1" applyBorder="1" fontId="4" applyFont="1" fillId="0" applyAlignment="1">
      <alignment horizontal="center"/>
    </xf>
    <xf xfId="0" numFmtId="15" applyNumberFormat="1" borderId="1" applyBorder="1" fontId="4" applyFont="1" fillId="0" applyAlignment="1">
      <alignment horizontal="center"/>
    </xf>
    <xf xfId="0" numFmtId="1" applyNumberFormat="1" borderId="1" applyBorder="1" fontId="4" applyFont="1" fillId="0" applyAlignment="1">
      <alignment horizontal="left"/>
    </xf>
    <xf xfId="0" numFmtId="4" applyNumberFormat="1" borderId="1" applyBorder="1" fontId="4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sharedStrings.xml" Type="http://schemas.openxmlformats.org/officeDocument/2006/relationships/sharedStrings" Id="rId15"/><Relationship Target="styles.xml" Type="http://schemas.openxmlformats.org/officeDocument/2006/relationships/styles" Id="rId16"/><Relationship Target="theme/theme1.xml" Type="http://schemas.openxmlformats.org/officeDocument/2006/relationships/theme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18"/>
  <sheetViews>
    <sheetView workbookViewId="0"/>
  </sheetViews>
  <sheetFormatPr defaultRowHeight="15" x14ac:dyDescent="0.25"/>
  <cols>
    <col min="1" max="1" style="15" width="5.2907142857142855" customWidth="1" bestFit="1"/>
    <col min="2" max="2" style="59" width="10.862142857142858" customWidth="1" bestFit="1"/>
    <col min="3" max="3" style="14" width="16.862142857142857" customWidth="1" bestFit="1"/>
    <col min="4" max="4" style="59" width="13.862142857142858" customWidth="1" bestFit="1"/>
    <col min="5" max="5" style="281" width="31.862142857142857" customWidth="1" bestFit="1"/>
    <col min="6" max="6" style="14" width="10.290714285714287" customWidth="1" bestFit="1"/>
    <col min="7" max="7" style="15" width="13.147857142857141" customWidth="1" bestFit="1"/>
    <col min="8" max="8" style="14" width="15.43357142857143" customWidth="1" bestFit="1"/>
    <col min="9" max="9" style="14" width="12.43357142857143" customWidth="1" bestFit="1"/>
    <col min="10" max="10" style="14" width="6.433571428571429" customWidth="1" bestFit="1"/>
    <col min="11" max="11" style="14" width="10.862142857142858" customWidth="1" bestFit="1"/>
    <col min="12" max="12" style="15" width="28.14785714285714" customWidth="1" bestFit="1"/>
    <col min="13" max="13" style="15" width="20.005" customWidth="1" bestFit="1"/>
    <col min="14" max="14" style="15" width="11.719285714285713" customWidth="1" bestFit="1"/>
    <col min="15" max="15" style="14" width="12.719285714285713" customWidth="1" bestFit="1"/>
    <col min="16" max="16" style="36" width="27.433571428571426" customWidth="1" bestFit="1"/>
    <col min="17" max="17" style="73" width="16.14785714285714" customWidth="1" bestFit="1"/>
    <col min="18" max="18" style="15" width="14.43357142857143" customWidth="1" bestFit="1"/>
    <col min="19" max="19" style="15" width="15.43357142857143" customWidth="1" bestFit="1"/>
    <col min="20" max="20" style="14" width="6.2907142857142855" customWidth="1" bestFit="1"/>
    <col min="21" max="21" style="14" width="8.290714285714287" customWidth="1" bestFit="1"/>
    <col min="22" max="22" style="36" width="11.290714285714287" customWidth="1" bestFit="1"/>
    <col min="23" max="23" style="36" width="12.005" customWidth="1" bestFit="1"/>
  </cols>
  <sheetData>
    <row x14ac:dyDescent="0.25" r="1" customHeight="1" ht="18.75">
      <c r="A1" s="75" t="s">
        <v>379</v>
      </c>
      <c r="B1" s="285" t="s">
        <v>380</v>
      </c>
      <c r="C1" s="24" t="s">
        <v>381</v>
      </c>
      <c r="D1" s="286" t="s">
        <v>382</v>
      </c>
      <c r="E1" s="24" t="s">
        <v>65</v>
      </c>
      <c r="F1" s="26" t="s">
        <v>66</v>
      </c>
      <c r="G1" s="75" t="s">
        <v>383</v>
      </c>
      <c r="H1" s="24" t="s">
        <v>297</v>
      </c>
      <c r="I1" s="24" t="s">
        <v>384</v>
      </c>
      <c r="J1" s="24" t="s">
        <v>385</v>
      </c>
      <c r="K1" s="24" t="s">
        <v>386</v>
      </c>
      <c r="L1" s="75" t="s">
        <v>387</v>
      </c>
      <c r="M1" s="75" t="s">
        <v>388</v>
      </c>
      <c r="N1" s="75" t="s">
        <v>389</v>
      </c>
      <c r="O1" s="24" t="s">
        <v>390</v>
      </c>
      <c r="P1" s="287" t="s">
        <v>1294</v>
      </c>
      <c r="Q1" s="288" t="s">
        <v>25</v>
      </c>
      <c r="R1" s="75" t="s">
        <v>1295</v>
      </c>
      <c r="S1" s="75" t="s">
        <v>1296</v>
      </c>
      <c r="T1" s="24" t="s">
        <v>9</v>
      </c>
      <c r="U1" s="24" t="s">
        <v>6</v>
      </c>
      <c r="V1" s="287" t="s">
        <v>395</v>
      </c>
      <c r="W1" s="287" t="s">
        <v>1297</v>
      </c>
    </row>
    <row x14ac:dyDescent="0.25" r="2" customHeight="1" ht="18.75">
      <c r="A2" s="34">
        <v>1</v>
      </c>
      <c r="B2" s="289">
        <v>45733</v>
      </c>
      <c r="C2" s="33" t="s">
        <v>401</v>
      </c>
      <c r="D2" s="289">
        <v>45734</v>
      </c>
      <c r="E2" s="290" t="s">
        <v>69</v>
      </c>
      <c r="F2" s="33" t="s">
        <v>70</v>
      </c>
      <c r="G2" s="34">
        <v>1109</v>
      </c>
      <c r="H2" s="33" t="s">
        <v>303</v>
      </c>
      <c r="I2" s="290" t="s">
        <v>301</v>
      </c>
      <c r="J2" s="33" t="s">
        <v>1298</v>
      </c>
      <c r="K2" s="33" t="s">
        <v>1299</v>
      </c>
      <c r="L2" s="34">
        <v>20</v>
      </c>
      <c r="M2" s="34">
        <v>200</v>
      </c>
      <c r="N2" s="34">
        <f>L2*M2</f>
      </c>
      <c r="O2" s="33" t="s">
        <v>402</v>
      </c>
      <c r="P2" s="291">
        <f>(N2/1000)*'Rate Card'!$L$2</f>
      </c>
      <c r="Q2" s="292">
        <f>M2*5</f>
      </c>
      <c r="R2" s="34">
        <v>321</v>
      </c>
      <c r="S2" s="29">
        <f>R2/2</f>
      </c>
      <c r="T2" s="33"/>
      <c r="U2" s="33"/>
      <c r="V2" s="29">
        <f>R2*'Vehicle Master'!$F$2+MIS!P2+MIS!Q2</f>
      </c>
      <c r="W2" s="29">
        <f>U2-V2</f>
      </c>
    </row>
    <row x14ac:dyDescent="0.25" r="3" customHeight="1" ht="18.75">
      <c r="A3" s="34">
        <f>A2+1</f>
      </c>
      <c r="B3" s="289">
        <v>45733</v>
      </c>
      <c r="C3" s="33" t="s">
        <v>401</v>
      </c>
      <c r="D3" s="289">
        <v>45734</v>
      </c>
      <c r="E3" s="290" t="s">
        <v>69</v>
      </c>
      <c r="F3" s="33" t="s">
        <v>70</v>
      </c>
      <c r="G3" s="34">
        <v>1109</v>
      </c>
      <c r="H3" s="33" t="s">
        <v>303</v>
      </c>
      <c r="I3" s="290" t="s">
        <v>301</v>
      </c>
      <c r="J3" s="33" t="s">
        <v>1298</v>
      </c>
      <c r="K3" s="33" t="s">
        <v>1300</v>
      </c>
      <c r="L3" s="34">
        <v>210</v>
      </c>
      <c r="M3" s="34">
        <v>3</v>
      </c>
      <c r="N3" s="34">
        <f>L3*M3</f>
      </c>
      <c r="O3" s="33" t="s">
        <v>402</v>
      </c>
      <c r="P3" s="291">
        <f>(N3/1000)*'Rate Card'!$L$2</f>
      </c>
      <c r="Q3" s="292">
        <v>0</v>
      </c>
      <c r="R3" s="34">
        <v>0</v>
      </c>
      <c r="S3" s="34">
        <v>0</v>
      </c>
      <c r="T3" s="33"/>
      <c r="U3" s="33"/>
      <c r="V3" s="29">
        <f>R3*'Vehicle Master'!$F$2+MIS!P3+MIS!Q3</f>
      </c>
      <c r="W3" s="29">
        <f>U3-V3</f>
      </c>
    </row>
    <row x14ac:dyDescent="0.25" r="4" customHeight="1" ht="18.75">
      <c r="A4" s="34">
        <f>A3+1</f>
      </c>
      <c r="B4" s="293">
        <v>45733</v>
      </c>
      <c r="C4" s="290" t="s">
        <v>403</v>
      </c>
      <c r="D4" s="289">
        <v>45734</v>
      </c>
      <c r="E4" s="290" t="s">
        <v>71</v>
      </c>
      <c r="F4" s="33" t="s">
        <v>72</v>
      </c>
      <c r="G4" s="34">
        <v>1109</v>
      </c>
      <c r="H4" s="33" t="s">
        <v>305</v>
      </c>
      <c r="I4" s="290" t="s">
        <v>301</v>
      </c>
      <c r="J4" s="33" t="s">
        <v>1301</v>
      </c>
      <c r="K4" s="33" t="s">
        <v>1299</v>
      </c>
      <c r="L4" s="34">
        <v>20</v>
      </c>
      <c r="M4" s="34">
        <v>300</v>
      </c>
      <c r="N4" s="34">
        <f>L4*M4</f>
      </c>
      <c r="O4" s="33" t="s">
        <v>402</v>
      </c>
      <c r="P4" s="291">
        <f>(N4/1000)*'Rate Card'!$L$2</f>
      </c>
      <c r="Q4" s="292">
        <f>M4*5</f>
      </c>
      <c r="R4" s="34">
        <v>189</v>
      </c>
      <c r="S4" s="29">
        <f>R4/2</f>
      </c>
      <c r="T4" s="33"/>
      <c r="U4" s="33"/>
      <c r="V4" s="29">
        <f>R4*'Vehicle Master'!$F$2+MIS!P4+MIS!Q4</f>
      </c>
      <c r="W4" s="29">
        <f>U4-V4</f>
      </c>
    </row>
    <row x14ac:dyDescent="0.25" r="5" customHeight="1" ht="18.75">
      <c r="A5" s="34">
        <f>A4+1</f>
      </c>
      <c r="B5" s="293">
        <v>45734</v>
      </c>
      <c r="C5" s="290" t="s">
        <v>404</v>
      </c>
      <c r="D5" s="289">
        <v>45734</v>
      </c>
      <c r="E5" s="290" t="s">
        <v>73</v>
      </c>
      <c r="F5" s="33" t="s">
        <v>74</v>
      </c>
      <c r="G5" s="34">
        <v>1109</v>
      </c>
      <c r="H5" s="33" t="s">
        <v>304</v>
      </c>
      <c r="I5" s="290" t="s">
        <v>301</v>
      </c>
      <c r="J5" s="33" t="s">
        <v>1302</v>
      </c>
      <c r="K5" s="33" t="s">
        <v>1299</v>
      </c>
      <c r="L5" s="34">
        <v>20</v>
      </c>
      <c r="M5" s="34">
        <v>300</v>
      </c>
      <c r="N5" s="34">
        <f>L5*M5</f>
      </c>
      <c r="O5" s="33" t="s">
        <v>402</v>
      </c>
      <c r="P5" s="291">
        <f>(N5/1000)*'Rate Card'!$L$2</f>
      </c>
      <c r="Q5" s="292">
        <f>M5*5</f>
      </c>
      <c r="R5" s="34">
        <v>73</v>
      </c>
      <c r="S5" s="29">
        <f>R5/2</f>
      </c>
      <c r="T5" s="33"/>
      <c r="U5" s="33"/>
      <c r="V5" s="29">
        <f>R5*'Vehicle Master'!$F$2+MIS!P5+MIS!Q5</f>
      </c>
      <c r="W5" s="29">
        <f>U5-V5</f>
      </c>
    </row>
    <row x14ac:dyDescent="0.25" r="6" customHeight="1" ht="18.75">
      <c r="A6" s="34">
        <f>A5+1</f>
      </c>
      <c r="B6" s="293">
        <v>45734</v>
      </c>
      <c r="C6" s="290" t="s">
        <v>405</v>
      </c>
      <c r="D6" s="289">
        <v>45734</v>
      </c>
      <c r="E6" s="290" t="s">
        <v>75</v>
      </c>
      <c r="F6" s="33" t="s">
        <v>76</v>
      </c>
      <c r="G6" s="34">
        <v>1109</v>
      </c>
      <c r="H6" s="33" t="s">
        <v>302</v>
      </c>
      <c r="I6" s="290" t="s">
        <v>301</v>
      </c>
      <c r="J6" s="33" t="s">
        <v>1303</v>
      </c>
      <c r="K6" s="33" t="s">
        <v>1299</v>
      </c>
      <c r="L6" s="34">
        <v>20</v>
      </c>
      <c r="M6" s="34">
        <v>300</v>
      </c>
      <c r="N6" s="34">
        <f>L6*M6</f>
      </c>
      <c r="O6" s="33" t="s">
        <v>402</v>
      </c>
      <c r="P6" s="291">
        <f>(N6/1000)*'Rate Card'!$L$2</f>
      </c>
      <c r="Q6" s="292">
        <f>M6*5</f>
      </c>
      <c r="R6" s="34">
        <v>139</v>
      </c>
      <c r="S6" s="29">
        <f>R6/2</f>
      </c>
      <c r="T6" s="33"/>
      <c r="U6" s="33"/>
      <c r="V6" s="29">
        <f>R6*'Vehicle Master'!$F$2+MIS!P6+MIS!Q6</f>
      </c>
      <c r="W6" s="29">
        <f>U6-V6</f>
      </c>
    </row>
    <row x14ac:dyDescent="0.25" r="7" customHeight="1" ht="18.75">
      <c r="A7" s="34">
        <f>A6+1</f>
      </c>
      <c r="B7" s="293">
        <v>45734</v>
      </c>
      <c r="C7" s="290" t="s">
        <v>406</v>
      </c>
      <c r="D7" s="289">
        <v>45736</v>
      </c>
      <c r="E7" s="290" t="s">
        <v>75</v>
      </c>
      <c r="F7" s="33" t="s">
        <v>76</v>
      </c>
      <c r="G7" s="34">
        <v>1109</v>
      </c>
      <c r="H7" s="33" t="s">
        <v>305</v>
      </c>
      <c r="I7" s="290" t="s">
        <v>301</v>
      </c>
      <c r="J7" s="33" t="s">
        <v>1304</v>
      </c>
      <c r="K7" s="33" t="s">
        <v>1299</v>
      </c>
      <c r="L7" s="34">
        <v>20</v>
      </c>
      <c r="M7" s="34">
        <v>100</v>
      </c>
      <c r="N7" s="34">
        <f>L7*M7</f>
      </c>
      <c r="O7" s="33"/>
      <c r="P7" s="291">
        <f>(N7/1000)*'Rate Card'!$L$2</f>
      </c>
      <c r="Q7" s="292">
        <f>M7*5</f>
      </c>
      <c r="R7" s="93"/>
      <c r="S7" s="34">
        <f>R7/2</f>
      </c>
      <c r="T7" s="33"/>
      <c r="U7" s="33"/>
      <c r="V7" s="29">
        <f>R7*'Vehicle Master'!$F$2+MIS!P7+MIS!Q7</f>
      </c>
      <c r="W7" s="29">
        <f>U7-V7</f>
      </c>
    </row>
    <row x14ac:dyDescent="0.25" r="8" customHeight="1" ht="18.75">
      <c r="A8" s="34">
        <f>A7+1</f>
      </c>
      <c r="B8" s="293">
        <v>45734</v>
      </c>
      <c r="C8" s="290" t="s">
        <v>407</v>
      </c>
      <c r="D8" s="289">
        <v>45735</v>
      </c>
      <c r="E8" s="290" t="s">
        <v>77</v>
      </c>
      <c r="F8" s="33" t="s">
        <v>78</v>
      </c>
      <c r="G8" s="34">
        <v>1109</v>
      </c>
      <c r="H8" s="33" t="s">
        <v>302</v>
      </c>
      <c r="I8" s="290" t="s">
        <v>301</v>
      </c>
      <c r="J8" s="33" t="s">
        <v>1305</v>
      </c>
      <c r="K8" s="33" t="s">
        <v>1299</v>
      </c>
      <c r="L8" s="34">
        <v>20</v>
      </c>
      <c r="M8" s="34">
        <v>300</v>
      </c>
      <c r="N8" s="34">
        <f>L8*M8</f>
      </c>
      <c r="O8" s="33" t="s">
        <v>402</v>
      </c>
      <c r="P8" s="291">
        <f>(N8/1000)*'Rate Card'!$L$2</f>
      </c>
      <c r="Q8" s="292">
        <f>M8*5</f>
      </c>
      <c r="R8" s="34">
        <v>372</v>
      </c>
      <c r="S8" s="34">
        <f>R8/2</f>
      </c>
      <c r="T8" s="33"/>
      <c r="U8" s="33"/>
      <c r="V8" s="29">
        <f>R8*'Vehicle Master'!$F$2+MIS!P8+MIS!Q8</f>
      </c>
      <c r="W8" s="29">
        <f>U8-V8</f>
      </c>
    </row>
    <row x14ac:dyDescent="0.25" r="9" customHeight="1" ht="18.75">
      <c r="A9" s="34">
        <f>A8+1</f>
      </c>
      <c r="B9" s="293">
        <v>45734</v>
      </c>
      <c r="C9" s="290" t="s">
        <v>408</v>
      </c>
      <c r="D9" s="289">
        <v>45735</v>
      </c>
      <c r="E9" s="290" t="s">
        <v>79</v>
      </c>
      <c r="F9" s="33" t="s">
        <v>86</v>
      </c>
      <c r="G9" s="34">
        <v>1109</v>
      </c>
      <c r="H9" s="33" t="s">
        <v>303</v>
      </c>
      <c r="I9" s="290" t="s">
        <v>301</v>
      </c>
      <c r="J9" s="33" t="s">
        <v>1306</v>
      </c>
      <c r="K9" s="33" t="s">
        <v>1307</v>
      </c>
      <c r="L9" s="34">
        <v>210</v>
      </c>
      <c r="M9" s="34">
        <v>30</v>
      </c>
      <c r="N9" s="34">
        <f>L9*M9</f>
      </c>
      <c r="O9" s="33" t="s">
        <v>402</v>
      </c>
      <c r="P9" s="291">
        <f>(N9/1000)*'Rate Card'!$L$2</f>
      </c>
      <c r="Q9" s="32">
        <f>M9*30</f>
      </c>
      <c r="R9" s="34">
        <v>183</v>
      </c>
      <c r="S9" s="29">
        <f>R9/2</f>
      </c>
      <c r="T9" s="33"/>
      <c r="U9" s="33"/>
      <c r="V9" s="29">
        <f>R9*'Vehicle Master'!$F$2+MIS!P9+MIS!Q9</f>
      </c>
      <c r="W9" s="29">
        <f>U9-V9</f>
      </c>
    </row>
    <row x14ac:dyDescent="0.25" r="10" customHeight="1" ht="18.75">
      <c r="A10" s="34">
        <f>A9+1</f>
      </c>
      <c r="B10" s="293">
        <v>45734</v>
      </c>
      <c r="C10" s="290" t="s">
        <v>409</v>
      </c>
      <c r="D10" s="289">
        <v>45735</v>
      </c>
      <c r="E10" s="290" t="s">
        <v>79</v>
      </c>
      <c r="F10" s="33" t="s">
        <v>86</v>
      </c>
      <c r="G10" s="34">
        <v>1109</v>
      </c>
      <c r="H10" s="33" t="s">
        <v>305</v>
      </c>
      <c r="I10" s="290" t="s">
        <v>301</v>
      </c>
      <c r="J10" s="33" t="s">
        <v>1308</v>
      </c>
      <c r="K10" s="33" t="s">
        <v>1307</v>
      </c>
      <c r="L10" s="34">
        <v>210</v>
      </c>
      <c r="M10" s="34">
        <v>30</v>
      </c>
      <c r="N10" s="34">
        <f>L10*M10</f>
      </c>
      <c r="O10" s="33" t="s">
        <v>1242</v>
      </c>
      <c r="P10" s="291">
        <f>(N10/1000)*'Rate Card'!$L$2</f>
      </c>
      <c r="Q10" s="32">
        <f>M10*30</f>
      </c>
      <c r="R10" s="34">
        <v>166</v>
      </c>
      <c r="S10" s="34">
        <f>R10/2</f>
      </c>
      <c r="T10" s="33"/>
      <c r="U10" s="33"/>
      <c r="V10" s="29">
        <f>R10*'Vehicle Master'!$F$2+MIS!P10+MIS!Q10</f>
      </c>
      <c r="W10" s="29">
        <f>U10-V10</f>
      </c>
    </row>
    <row x14ac:dyDescent="0.25" r="11" customHeight="1" ht="18.75">
      <c r="A11" s="34">
        <f>A10+1</f>
      </c>
      <c r="B11" s="293">
        <v>45735</v>
      </c>
      <c r="C11" s="290" t="s">
        <v>410</v>
      </c>
      <c r="D11" s="289">
        <v>45736</v>
      </c>
      <c r="E11" s="290" t="s">
        <v>81</v>
      </c>
      <c r="F11" s="33" t="s">
        <v>82</v>
      </c>
      <c r="G11" s="34">
        <v>1109</v>
      </c>
      <c r="H11" s="33" t="s">
        <v>304</v>
      </c>
      <c r="I11" s="290" t="s">
        <v>301</v>
      </c>
      <c r="J11" s="33" t="s">
        <v>1309</v>
      </c>
      <c r="K11" s="33" t="s">
        <v>1299</v>
      </c>
      <c r="L11" s="34">
        <v>20</v>
      </c>
      <c r="M11" s="34">
        <v>100</v>
      </c>
      <c r="N11" s="34">
        <f>L11*M11</f>
      </c>
      <c r="O11" s="33" t="s">
        <v>402</v>
      </c>
      <c r="P11" s="291">
        <f>(N11/1000)*'Rate Card'!$L$2</f>
      </c>
      <c r="Q11" s="32">
        <f>M11*5</f>
      </c>
      <c r="R11" s="34">
        <v>243</v>
      </c>
      <c r="S11" s="29">
        <f>R11/2</f>
      </c>
      <c r="T11" s="33"/>
      <c r="U11" s="33"/>
      <c r="V11" s="29">
        <f>R11*'Vehicle Master'!$F$2+MIS!P11+MIS!Q11</f>
      </c>
      <c r="W11" s="29">
        <f>U11-V11</f>
      </c>
    </row>
    <row x14ac:dyDescent="0.25" r="12" customHeight="1" ht="18.75">
      <c r="A12" s="34">
        <f>A11+1</f>
      </c>
      <c r="B12" s="289">
        <v>45735</v>
      </c>
      <c r="C12" s="33" t="s">
        <v>411</v>
      </c>
      <c r="D12" s="289">
        <v>45736</v>
      </c>
      <c r="E12" s="290" t="s">
        <v>83</v>
      </c>
      <c r="F12" s="33" t="s">
        <v>72</v>
      </c>
      <c r="G12" s="34">
        <v>1109</v>
      </c>
      <c r="H12" s="33" t="s">
        <v>303</v>
      </c>
      <c r="I12" s="290" t="s">
        <v>301</v>
      </c>
      <c r="J12" s="33" t="s">
        <v>1310</v>
      </c>
      <c r="K12" s="33" t="s">
        <v>1299</v>
      </c>
      <c r="L12" s="34">
        <v>20</v>
      </c>
      <c r="M12" s="34">
        <v>200</v>
      </c>
      <c r="N12" s="34">
        <f>L12*M12</f>
      </c>
      <c r="O12" s="33" t="s">
        <v>1242</v>
      </c>
      <c r="P12" s="291">
        <f>(N12/1000)*'Rate Card'!$L$2</f>
      </c>
      <c r="Q12" s="292">
        <f>M12*5</f>
      </c>
      <c r="R12" s="34">
        <v>177</v>
      </c>
      <c r="S12" s="29">
        <f>R12/2</f>
      </c>
      <c r="T12" s="33"/>
      <c r="U12" s="33"/>
      <c r="V12" s="29">
        <f>R12*'Vehicle Master'!$F$2+MIS!P12+MIS!Q12</f>
      </c>
      <c r="W12" s="29">
        <f>U12-V12</f>
      </c>
    </row>
    <row x14ac:dyDescent="0.25" r="13" customHeight="1" ht="18.75">
      <c r="A13" s="34">
        <f>A12+1</f>
      </c>
      <c r="B13" s="289">
        <v>45735</v>
      </c>
      <c r="C13" s="33" t="s">
        <v>411</v>
      </c>
      <c r="D13" s="289">
        <v>45736</v>
      </c>
      <c r="E13" s="290" t="s">
        <v>83</v>
      </c>
      <c r="F13" s="33" t="s">
        <v>72</v>
      </c>
      <c r="G13" s="34">
        <v>1109</v>
      </c>
      <c r="H13" s="33" t="s">
        <v>303</v>
      </c>
      <c r="I13" s="290" t="s">
        <v>301</v>
      </c>
      <c r="J13" s="33" t="s">
        <v>1310</v>
      </c>
      <c r="K13" s="33" t="s">
        <v>1311</v>
      </c>
      <c r="L13" s="34">
        <v>20</v>
      </c>
      <c r="M13" s="34">
        <v>100</v>
      </c>
      <c r="N13" s="34">
        <f>L13*M13</f>
      </c>
      <c r="O13" s="33" t="s">
        <v>1242</v>
      </c>
      <c r="P13" s="291">
        <f>(N13/1000)*'Rate Card'!$L$2</f>
      </c>
      <c r="Q13" s="292">
        <f>M13*5</f>
      </c>
      <c r="R13" s="34">
        <v>0</v>
      </c>
      <c r="S13" s="34">
        <f>R13/2</f>
      </c>
      <c r="T13" s="33"/>
      <c r="U13" s="33"/>
      <c r="V13" s="29">
        <f>R13*'Vehicle Master'!$F$2+MIS!P13+MIS!Q13</f>
      </c>
      <c r="W13" s="29">
        <f>U13-V13</f>
      </c>
    </row>
    <row x14ac:dyDescent="0.25" r="14" customHeight="1" ht="18.75">
      <c r="A14" s="101"/>
      <c r="B14" s="293"/>
      <c r="C14" s="33"/>
      <c r="D14" s="294"/>
      <c r="E14" s="290"/>
      <c r="F14" s="33"/>
      <c r="G14" s="93"/>
      <c r="H14" s="33"/>
      <c r="I14" s="33"/>
      <c r="J14" s="33"/>
      <c r="K14" s="33"/>
      <c r="L14" s="93"/>
      <c r="M14" s="93"/>
      <c r="N14" s="93"/>
      <c r="O14" s="33"/>
      <c r="P14" s="295"/>
      <c r="Q14" s="25"/>
      <c r="R14" s="93"/>
      <c r="S14" s="93"/>
      <c r="T14" s="33"/>
      <c r="U14" s="33"/>
      <c r="V14" s="295"/>
      <c r="W14" s="295"/>
    </row>
    <row x14ac:dyDescent="0.25" r="15" customHeight="1" ht="18.75">
      <c r="A15" s="93"/>
      <c r="B15" s="294"/>
      <c r="C15" s="33"/>
      <c r="D15" s="294"/>
      <c r="E15" s="290"/>
      <c r="F15" s="33"/>
      <c r="G15" s="93"/>
      <c r="H15" s="33"/>
      <c r="I15" s="33"/>
      <c r="J15" s="33"/>
      <c r="K15" s="33"/>
      <c r="L15" s="93"/>
      <c r="M15" s="93"/>
      <c r="N15" s="93"/>
      <c r="O15" s="33"/>
      <c r="P15" s="295"/>
      <c r="Q15" s="25"/>
      <c r="R15" s="93"/>
      <c r="S15" s="93"/>
      <c r="T15" s="33"/>
      <c r="U15" s="33"/>
      <c r="V15" s="295"/>
      <c r="W15" s="295"/>
    </row>
    <row x14ac:dyDescent="0.25" r="16" customHeight="1" ht="18.75">
      <c r="A16" s="93"/>
      <c r="B16" s="294"/>
      <c r="C16" s="33"/>
      <c r="D16" s="294"/>
      <c r="E16" s="290"/>
      <c r="F16" s="33"/>
      <c r="G16" s="93"/>
      <c r="H16" s="33"/>
      <c r="I16" s="33"/>
      <c r="J16" s="33"/>
      <c r="K16" s="33"/>
      <c r="L16" s="93"/>
      <c r="M16" s="93"/>
      <c r="N16" s="93"/>
      <c r="O16" s="33"/>
      <c r="P16" s="295"/>
      <c r="Q16" s="25"/>
      <c r="R16" s="93"/>
      <c r="S16" s="93"/>
      <c r="T16" s="33"/>
      <c r="U16" s="33"/>
      <c r="V16" s="295"/>
      <c r="W16" s="295"/>
    </row>
    <row x14ac:dyDescent="0.25" r="17" customHeight="1" ht="18.75">
      <c r="A17" s="93"/>
      <c r="B17" s="294"/>
      <c r="C17" s="33"/>
      <c r="D17" s="294"/>
      <c r="E17" s="290"/>
      <c r="F17" s="33"/>
      <c r="G17" s="93"/>
      <c r="H17" s="33"/>
      <c r="I17" s="33"/>
      <c r="J17" s="33"/>
      <c r="K17" s="33"/>
      <c r="L17" s="93"/>
      <c r="M17" s="93"/>
      <c r="N17" s="93"/>
      <c r="O17" s="33"/>
      <c r="P17" s="295"/>
      <c r="Q17" s="25"/>
      <c r="R17" s="93"/>
      <c r="S17" s="93"/>
      <c r="T17" s="33"/>
      <c r="U17" s="33"/>
      <c r="V17" s="295"/>
      <c r="W17" s="295"/>
    </row>
    <row x14ac:dyDescent="0.25" r="18" customHeight="1" ht="18.75">
      <c r="A18" s="93"/>
      <c r="B18" s="294"/>
      <c r="C18" s="33"/>
      <c r="D18" s="294"/>
      <c r="E18" s="290"/>
      <c r="F18" s="33"/>
      <c r="G18" s="93"/>
      <c r="H18" s="33"/>
      <c r="I18" s="33"/>
      <c r="J18" s="33"/>
      <c r="K18" s="33"/>
      <c r="L18" s="93"/>
      <c r="M18" s="93"/>
      <c r="N18" s="93"/>
      <c r="O18" s="33"/>
      <c r="P18" s="295"/>
      <c r="Q18" s="25"/>
      <c r="R18" s="93"/>
      <c r="S18" s="93"/>
      <c r="T18" s="33"/>
      <c r="U18" s="33"/>
      <c r="V18" s="295"/>
      <c r="W18" s="29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999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03" width="9.43357142857143" customWidth="1" bestFit="1"/>
    <col min="2" max="2" style="279" width="15.005" customWidth="1" bestFit="1"/>
    <col min="3" max="3" style="280" width="19.290714285714284" customWidth="1" bestFit="1"/>
    <col min="4" max="4" style="279" width="17.290714285714284" customWidth="1" bestFit="1"/>
    <col min="5" max="5" style="281" width="29.005" customWidth="1" bestFit="1"/>
    <col min="6" max="6" style="282" width="9.290714285714287" customWidth="1" bestFit="1"/>
    <col min="7" max="7" style="14" width="17.862142857142857" customWidth="1" bestFit="1"/>
    <col min="8" max="8" style="14" width="17.862142857142857" customWidth="1" bestFit="1"/>
    <col min="9" max="9" style="15" width="16.14785714285714" customWidth="1" bestFit="1"/>
    <col min="10" max="10" style="281" width="16.433571428571426" customWidth="1" bestFit="1"/>
    <col min="11" max="11" style="15" width="10.576428571428572" customWidth="1" bestFit="1"/>
    <col min="12" max="12" style="281" width="11.862142857142858" customWidth="1" bestFit="1"/>
    <col min="13" max="13" style="103" width="23.576428571428572" customWidth="1" bestFit="1"/>
    <col min="14" max="14" style="15" width="23.862142857142857" customWidth="1" bestFit="1"/>
    <col min="15" max="15" style="103" width="16.433571428571426" customWidth="1" bestFit="1"/>
    <col min="16" max="16" style="14" width="16.576428571428572" customWidth="1" bestFit="1"/>
    <col min="17" max="17" style="103" width="24.290714285714284" customWidth="1" bestFit="1"/>
    <col min="18" max="18" style="283" width="21.14785714285714" customWidth="1" bestFit="1"/>
    <col min="19" max="19" style="281" width="55.86214285714286" customWidth="1" bestFit="1"/>
    <col min="20" max="20" style="14" width="7.433571428571429" customWidth="1" bestFit="1"/>
    <col min="21" max="21" style="103" width="18.290714285714284" customWidth="1" bestFit="1"/>
    <col min="22" max="22" style="103" width="9.147857142857141" customWidth="1" bestFit="1"/>
    <col min="23" max="23" style="17" width="13.43357142857143" customWidth="1" bestFit="1"/>
    <col min="24" max="24" style="15" width="7.862142857142857" customWidth="1" bestFit="1"/>
    <col min="25" max="25" style="284" width="21.576428571428572" customWidth="1" bestFit="1"/>
    <col min="26" max="26" style="36" width="13.43357142857143" customWidth="1" bestFit="1"/>
    <col min="27" max="27" style="103" width="11.290714285714287" customWidth="1" bestFit="1"/>
    <col min="28" max="28" style="17" width="19.290714285714284" customWidth="1" bestFit="1"/>
    <col min="29" max="29" style="15" width="11.43357142857143" customWidth="1" bestFit="1"/>
    <col min="30" max="30" style="15" width="17.576428571428572" customWidth="1" bestFit="1"/>
    <col min="31" max="31" style="17" width="13.43357142857143" customWidth="1" bestFit="1"/>
    <col min="32" max="32" style="36" width="14.43357142857143" customWidth="1" bestFit="1"/>
    <col min="33" max="33" style="282" width="12.576428571428572" customWidth="1" bestFit="1"/>
    <col min="34" max="34" style="284" width="8.862142857142858" customWidth="1" bestFit="1"/>
    <col min="35" max="35" style="17" width="12.43357142857143" customWidth="1" bestFit="1"/>
    <col min="36" max="36" style="15" width="14.43357142857143" customWidth="1" bestFit="1"/>
    <col min="37" max="37" style="17" width="9.576428571428572" customWidth="1" bestFit="1"/>
    <col min="38" max="38" style="36" width="14.147857142857141" customWidth="1" bestFit="1"/>
    <col min="39" max="39" style="14" width="8.862142857142858" customWidth="1" bestFit="1"/>
    <col min="40" max="40" style="47" width="7.005" customWidth="1" bestFit="1"/>
  </cols>
  <sheetData>
    <row x14ac:dyDescent="0.25" r="1" customHeight="1" ht="18.75">
      <c r="A1" s="141" t="s">
        <v>379</v>
      </c>
      <c r="B1" s="142" t="s">
        <v>380</v>
      </c>
      <c r="C1" s="143" t="s">
        <v>381</v>
      </c>
      <c r="D1" s="142" t="s">
        <v>382</v>
      </c>
      <c r="E1" s="143" t="s">
        <v>65</v>
      </c>
      <c r="F1" s="144" t="s">
        <v>9</v>
      </c>
      <c r="G1" s="143" t="s">
        <v>66</v>
      </c>
      <c r="H1" s="143" t="s">
        <v>297</v>
      </c>
      <c r="I1" s="141" t="s">
        <v>383</v>
      </c>
      <c r="J1" s="143" t="s">
        <v>384</v>
      </c>
      <c r="K1" s="141" t="s">
        <v>385</v>
      </c>
      <c r="L1" s="143" t="s">
        <v>386</v>
      </c>
      <c r="M1" s="145" t="s">
        <v>387</v>
      </c>
      <c r="N1" s="141" t="s">
        <v>388</v>
      </c>
      <c r="O1" s="145" t="s">
        <v>389</v>
      </c>
      <c r="P1" s="143" t="s">
        <v>390</v>
      </c>
      <c r="Q1" s="141" t="s">
        <v>391</v>
      </c>
      <c r="R1" s="146" t="s">
        <v>392</v>
      </c>
      <c r="S1" s="143" t="s">
        <v>393</v>
      </c>
      <c r="T1" s="147"/>
      <c r="U1" s="148" t="s">
        <v>394</v>
      </c>
      <c r="V1" s="145" t="s">
        <v>1</v>
      </c>
      <c r="W1" s="149" t="s">
        <v>395</v>
      </c>
      <c r="X1" s="150">
        <f>SUBTOTAL(9,W:W)</f>
      </c>
      <c r="Y1" s="151" t="s">
        <v>396</v>
      </c>
      <c r="Z1" s="152">
        <f>SUBTOTAL(9,Y:Y)</f>
      </c>
      <c r="AA1" s="145" t="s">
        <v>2</v>
      </c>
      <c r="AB1" s="153" t="s">
        <v>397</v>
      </c>
      <c r="AC1" s="154">
        <f>SUBTOTAL(9,AB:AB)</f>
      </c>
      <c r="AD1" s="148" t="s">
        <v>398</v>
      </c>
      <c r="AE1" s="153" t="s">
        <v>395</v>
      </c>
      <c r="AF1" s="152">
        <f>SUBTOTAL(9,AE:AE)</f>
      </c>
      <c r="AG1" s="155" t="s">
        <v>2</v>
      </c>
      <c r="AH1" s="151" t="s">
        <v>0</v>
      </c>
      <c r="AI1" s="153" t="s">
        <v>6</v>
      </c>
      <c r="AJ1" s="154">
        <f>SUBTOTAL(9,AI:AI)</f>
      </c>
      <c r="AK1" s="156" t="s">
        <v>399</v>
      </c>
      <c r="AL1" s="152">
        <f>SUBTOTAL(9,AK:AK)</f>
      </c>
      <c r="AM1" s="147"/>
      <c r="AN1" s="157" t="s">
        <v>400</v>
      </c>
    </row>
    <row x14ac:dyDescent="0.25" r="2" customHeight="1" ht="18.75">
      <c r="A2" s="158">
        <v>1</v>
      </c>
      <c r="B2" s="159">
        <v>45733</v>
      </c>
      <c r="C2" s="147" t="s">
        <v>401</v>
      </c>
      <c r="D2" s="159">
        <v>45734</v>
      </c>
      <c r="E2" s="147" t="s">
        <v>69</v>
      </c>
      <c r="F2" s="160" t="s">
        <v>11</v>
      </c>
      <c r="G2" s="147" t="s">
        <v>70</v>
      </c>
      <c r="H2" s="147" t="s">
        <v>303</v>
      </c>
      <c r="I2" s="158">
        <v>1109</v>
      </c>
      <c r="J2" s="147" t="s">
        <v>301</v>
      </c>
      <c r="K2" s="158">
        <v>3</v>
      </c>
      <c r="L2" s="147" t="s">
        <v>10</v>
      </c>
      <c r="M2" s="161">
        <f>IFERROR(VLOOKUP(L2,'Material Master'!B:C,2,0),"")</f>
      </c>
      <c r="N2" s="158">
        <v>200</v>
      </c>
      <c r="O2" s="162">
        <f>IFERROR(M2*N2,"")</f>
      </c>
      <c r="P2" s="147" t="s">
        <v>402</v>
      </c>
      <c r="Q2" s="158"/>
      <c r="R2" s="163">
        <v>45717</v>
      </c>
      <c r="S2" s="147"/>
      <c r="T2" s="147"/>
      <c r="U2" s="158">
        <v>73</v>
      </c>
      <c r="V2" s="164">
        <v>31</v>
      </c>
      <c r="W2" s="165">
        <f>IFERROR(U2*V2,"0")</f>
      </c>
      <c r="X2" s="7"/>
      <c r="Y2" s="166">
        <f>IFERROR((O2/1000)*Masters!$C$3,"0")</f>
      </c>
      <c r="Z2" s="167"/>
      <c r="AA2" s="164">
        <f>IFERROR(VLOOKUP(L2,Masters!G:H,2,0),"0")</f>
      </c>
      <c r="AB2" s="166">
        <f>IFERROR(AA2*N2,"0")</f>
      </c>
      <c r="AC2" s="168"/>
      <c r="AD2" s="168"/>
      <c r="AE2" s="166">
        <f>W2+Y2+AB2+AD2</f>
      </c>
      <c r="AF2" s="167"/>
      <c r="AG2" s="169">
        <f>M2&amp;"-"&amp;F2</f>
      </c>
      <c r="AH2" s="166">
        <f>IFERROR(VLOOKUP(AG2,Masters!N:O,2,0),"0")</f>
      </c>
      <c r="AI2" s="166">
        <f>AH2*N2</f>
      </c>
      <c r="AJ2" s="158"/>
      <c r="AK2" s="170">
        <f>AI2-AE2</f>
      </c>
      <c r="AL2" s="167"/>
      <c r="AM2" s="147"/>
      <c r="AN2" s="171">
        <f>IFERROR(U2/2,"0")</f>
      </c>
    </row>
    <row x14ac:dyDescent="0.25" r="3" customHeight="1" ht="18.75">
      <c r="A3" s="158">
        <f>A2+1</f>
      </c>
      <c r="B3" s="159">
        <v>45733</v>
      </c>
      <c r="C3" s="147" t="s">
        <v>401</v>
      </c>
      <c r="D3" s="159">
        <v>45734</v>
      </c>
      <c r="E3" s="147" t="s">
        <v>69</v>
      </c>
      <c r="F3" s="160" t="s">
        <v>11</v>
      </c>
      <c r="G3" s="147" t="s">
        <v>70</v>
      </c>
      <c r="H3" s="147" t="s">
        <v>303</v>
      </c>
      <c r="I3" s="158">
        <v>1109</v>
      </c>
      <c r="J3" s="147" t="s">
        <v>301</v>
      </c>
      <c r="K3" s="158">
        <v>3</v>
      </c>
      <c r="L3" s="147" t="s">
        <v>15</v>
      </c>
      <c r="M3" s="161">
        <f>IFERROR(VLOOKUP(L3,'Material Master'!B:C,2,0),"")</f>
      </c>
      <c r="N3" s="158">
        <v>3</v>
      </c>
      <c r="O3" s="162">
        <f>IFERROR(M3*N3,"")</f>
      </c>
      <c r="P3" s="147" t="s">
        <v>402</v>
      </c>
      <c r="Q3" s="158"/>
      <c r="R3" s="163">
        <v>45717</v>
      </c>
      <c r="S3" s="147"/>
      <c r="T3" s="147"/>
      <c r="U3" s="158">
        <v>0</v>
      </c>
      <c r="V3" s="164">
        <v>31</v>
      </c>
      <c r="W3" s="165">
        <f>IFERROR(U3*V3,"0")</f>
      </c>
      <c r="X3" s="7"/>
      <c r="Y3" s="166">
        <f>IFERROR((O3/1000)*Masters!$C$3,"0")</f>
      </c>
      <c r="Z3" s="167"/>
      <c r="AA3" s="164">
        <f>IFERROR(VLOOKUP(L3,Masters!G:H,2,0),"0")</f>
      </c>
      <c r="AB3" s="166">
        <f>IFERROR(AA3*N3,"0")</f>
      </c>
      <c r="AC3" s="168"/>
      <c r="AD3" s="158"/>
      <c r="AE3" s="166">
        <f>W3+Y3+AB3+AD3</f>
      </c>
      <c r="AF3" s="167"/>
      <c r="AG3" s="169">
        <f>M3&amp;"-"&amp;F3</f>
      </c>
      <c r="AH3" s="166">
        <f>IFERROR(VLOOKUP(AG3,Masters!N:O,2,0),"0")</f>
      </c>
      <c r="AI3" s="166">
        <f>AH3*N3</f>
      </c>
      <c r="AJ3" s="158"/>
      <c r="AK3" s="170">
        <f>AI3-AE3</f>
      </c>
      <c r="AL3" s="167"/>
      <c r="AM3" s="147"/>
      <c r="AN3" s="171">
        <f>IFERROR(U3/2,"0")</f>
      </c>
    </row>
    <row x14ac:dyDescent="0.25" r="4" customHeight="1" ht="18.75">
      <c r="A4" s="158">
        <f>A3+1</f>
      </c>
      <c r="B4" s="159">
        <v>45733</v>
      </c>
      <c r="C4" s="147" t="s">
        <v>403</v>
      </c>
      <c r="D4" s="159">
        <v>45734</v>
      </c>
      <c r="E4" s="147" t="s">
        <v>71</v>
      </c>
      <c r="F4" s="160" t="s">
        <v>11</v>
      </c>
      <c r="G4" s="147" t="s">
        <v>72</v>
      </c>
      <c r="H4" s="147" t="s">
        <v>305</v>
      </c>
      <c r="I4" s="158">
        <v>1109</v>
      </c>
      <c r="J4" s="147" t="s">
        <v>301</v>
      </c>
      <c r="K4" s="158">
        <v>1</v>
      </c>
      <c r="L4" s="147" t="s">
        <v>10</v>
      </c>
      <c r="M4" s="161">
        <f>IFERROR(VLOOKUP(L4,'Material Master'!B:C,2,0),"")</f>
      </c>
      <c r="N4" s="158">
        <v>300</v>
      </c>
      <c r="O4" s="162">
        <f>IFERROR(M4*N4,"")</f>
      </c>
      <c r="P4" s="147" t="s">
        <v>402</v>
      </c>
      <c r="Q4" s="158"/>
      <c r="R4" s="163">
        <v>45717</v>
      </c>
      <c r="S4" s="147"/>
      <c r="T4" s="147"/>
      <c r="U4" s="158">
        <v>189</v>
      </c>
      <c r="V4" s="164">
        <v>31</v>
      </c>
      <c r="W4" s="165">
        <f>IFERROR(U4*V4,"0")</f>
      </c>
      <c r="X4" s="7"/>
      <c r="Y4" s="166">
        <f>IFERROR((O4/1000)*Masters!$C$3,"0")</f>
      </c>
      <c r="Z4" s="167"/>
      <c r="AA4" s="164">
        <f>IFERROR(VLOOKUP(L4,Masters!G:H,2,0),"0")</f>
      </c>
      <c r="AB4" s="166">
        <f>IFERROR(AA4*N4,"0")</f>
      </c>
      <c r="AC4" s="168"/>
      <c r="AD4" s="158"/>
      <c r="AE4" s="166">
        <f>W4+Y4+AB4+AD4</f>
      </c>
      <c r="AF4" s="167"/>
      <c r="AG4" s="169">
        <f>M4&amp;"-"&amp;F4</f>
      </c>
      <c r="AH4" s="166">
        <f>IFERROR(VLOOKUP(AG4,Masters!N:O,2,0),"0")</f>
      </c>
      <c r="AI4" s="166">
        <f>AH4*N4</f>
      </c>
      <c r="AJ4" s="158"/>
      <c r="AK4" s="170">
        <f>AI4-AE4</f>
      </c>
      <c r="AL4" s="167"/>
      <c r="AM4" s="147"/>
      <c r="AN4" s="171">
        <f>IFERROR(U4/2,"0")</f>
      </c>
    </row>
    <row x14ac:dyDescent="0.25" r="5" customHeight="1" ht="18.75">
      <c r="A5" s="158">
        <f>A4+1</f>
      </c>
      <c r="B5" s="159">
        <v>45734</v>
      </c>
      <c r="C5" s="147" t="s">
        <v>404</v>
      </c>
      <c r="D5" s="159">
        <v>45734</v>
      </c>
      <c r="E5" s="147" t="s">
        <v>73</v>
      </c>
      <c r="F5" s="160" t="s">
        <v>16</v>
      </c>
      <c r="G5" s="147" t="s">
        <v>74</v>
      </c>
      <c r="H5" s="147" t="s">
        <v>304</v>
      </c>
      <c r="I5" s="158">
        <v>1109</v>
      </c>
      <c r="J5" s="147" t="s">
        <v>301</v>
      </c>
      <c r="K5" s="158">
        <v>2</v>
      </c>
      <c r="L5" s="147" t="s">
        <v>10</v>
      </c>
      <c r="M5" s="161">
        <f>IFERROR(VLOOKUP(L5,'Material Master'!B:C,2,0),"")</f>
      </c>
      <c r="N5" s="158">
        <v>300</v>
      </c>
      <c r="O5" s="162">
        <f>IFERROR(M5*N5,"")</f>
      </c>
      <c r="P5" s="147" t="s">
        <v>402</v>
      </c>
      <c r="Q5" s="158"/>
      <c r="R5" s="163">
        <v>45717</v>
      </c>
      <c r="S5" s="147"/>
      <c r="T5" s="147"/>
      <c r="U5" s="158">
        <v>321</v>
      </c>
      <c r="V5" s="164">
        <v>31</v>
      </c>
      <c r="W5" s="165">
        <f>IFERROR(U5*V5,"0")</f>
      </c>
      <c r="X5" s="7"/>
      <c r="Y5" s="166">
        <f>IFERROR((O5/1000)*Masters!$C$3,"0")</f>
      </c>
      <c r="Z5" s="167"/>
      <c r="AA5" s="164">
        <f>IFERROR(VLOOKUP(L5,Masters!G:H,2,0),"0")</f>
      </c>
      <c r="AB5" s="166">
        <f>IFERROR(AA5*N5,"0")</f>
      </c>
      <c r="AC5" s="168"/>
      <c r="AD5" s="158"/>
      <c r="AE5" s="166">
        <f>W5+Y5+AB5+AD5</f>
      </c>
      <c r="AF5" s="167"/>
      <c r="AG5" s="169">
        <f>M5&amp;"-"&amp;F5</f>
      </c>
      <c r="AH5" s="166">
        <f>IFERROR(VLOOKUP(AG5,Masters!N:O,2,0),"0")</f>
      </c>
      <c r="AI5" s="166">
        <f>AH5*N5</f>
      </c>
      <c r="AJ5" s="158"/>
      <c r="AK5" s="170">
        <f>AI5-AE5</f>
      </c>
      <c r="AL5" s="167"/>
      <c r="AM5" s="147"/>
      <c r="AN5" s="171">
        <f>IFERROR(U5/2,"0")</f>
      </c>
    </row>
    <row x14ac:dyDescent="0.25" r="6" customHeight="1" ht="18.75">
      <c r="A6" s="158">
        <f>A5+1</f>
      </c>
      <c r="B6" s="159">
        <v>45734</v>
      </c>
      <c r="C6" s="147" t="s">
        <v>405</v>
      </c>
      <c r="D6" s="159">
        <v>45734</v>
      </c>
      <c r="E6" s="147" t="s">
        <v>75</v>
      </c>
      <c r="F6" s="160" t="s">
        <v>11</v>
      </c>
      <c r="G6" s="147" t="s">
        <v>76</v>
      </c>
      <c r="H6" s="147" t="s">
        <v>302</v>
      </c>
      <c r="I6" s="158">
        <v>1109</v>
      </c>
      <c r="J6" s="147" t="s">
        <v>301</v>
      </c>
      <c r="K6" s="158">
        <v>4</v>
      </c>
      <c r="L6" s="147" t="s">
        <v>10</v>
      </c>
      <c r="M6" s="161">
        <f>IFERROR(VLOOKUP(L6,'Material Master'!B:C,2,0),"")</f>
      </c>
      <c r="N6" s="158">
        <v>300</v>
      </c>
      <c r="O6" s="162">
        <f>IFERROR(M6*N6,"")</f>
      </c>
      <c r="P6" s="147" t="s">
        <v>402</v>
      </c>
      <c r="Q6" s="158"/>
      <c r="R6" s="163">
        <v>45717</v>
      </c>
      <c r="S6" s="147"/>
      <c r="T6" s="147"/>
      <c r="U6" s="158">
        <v>139</v>
      </c>
      <c r="V6" s="164">
        <v>31</v>
      </c>
      <c r="W6" s="165">
        <f>IFERROR(U6*V6,"0")</f>
      </c>
      <c r="X6" s="7"/>
      <c r="Y6" s="166">
        <f>IFERROR((O6/1000)*Masters!$C$3,"0")</f>
      </c>
      <c r="Z6" s="167"/>
      <c r="AA6" s="164">
        <f>IFERROR(VLOOKUP(L6,Masters!G:H,2,0),"0")</f>
      </c>
      <c r="AB6" s="166">
        <f>IFERROR(AA6*N6,"0")</f>
      </c>
      <c r="AC6" s="168"/>
      <c r="AD6" s="158"/>
      <c r="AE6" s="166">
        <f>W6+Y6+AB6+AD6</f>
      </c>
      <c r="AF6" s="167"/>
      <c r="AG6" s="169">
        <f>M6&amp;"-"&amp;F6</f>
      </c>
      <c r="AH6" s="166">
        <f>IFERROR(VLOOKUP(AG6,Masters!N:O,2,0),"0")</f>
      </c>
      <c r="AI6" s="166">
        <f>AH6*N6</f>
      </c>
      <c r="AJ6" s="158"/>
      <c r="AK6" s="170">
        <f>AI6-AE6</f>
      </c>
      <c r="AL6" s="167"/>
      <c r="AM6" s="147"/>
      <c r="AN6" s="171">
        <f>IFERROR(U6/2,"0")</f>
      </c>
    </row>
    <row x14ac:dyDescent="0.25" r="7" customHeight="1" ht="18.75">
      <c r="A7" s="158">
        <f>A6+1</f>
      </c>
      <c r="B7" s="159">
        <v>45734</v>
      </c>
      <c r="C7" s="147" t="s">
        <v>406</v>
      </c>
      <c r="D7" s="159">
        <v>45736</v>
      </c>
      <c r="E7" s="147" t="s">
        <v>75</v>
      </c>
      <c r="F7" s="160" t="s">
        <v>11</v>
      </c>
      <c r="G7" s="147" t="s">
        <v>76</v>
      </c>
      <c r="H7" s="147" t="s">
        <v>305</v>
      </c>
      <c r="I7" s="158">
        <v>1109</v>
      </c>
      <c r="J7" s="147" t="s">
        <v>301</v>
      </c>
      <c r="K7" s="158">
        <v>9</v>
      </c>
      <c r="L7" s="147" t="s">
        <v>10</v>
      </c>
      <c r="M7" s="161">
        <f>IFERROR(VLOOKUP(L7,'Material Master'!B:C,2,0),"")</f>
      </c>
      <c r="N7" s="158">
        <v>100</v>
      </c>
      <c r="O7" s="162">
        <f>IFERROR(M7*N7,"")</f>
      </c>
      <c r="P7" s="147" t="s">
        <v>402</v>
      </c>
      <c r="Q7" s="158"/>
      <c r="R7" s="163">
        <v>45717</v>
      </c>
      <c r="S7" s="147"/>
      <c r="T7" s="147"/>
      <c r="U7" s="158">
        <v>146</v>
      </c>
      <c r="V7" s="164">
        <v>31</v>
      </c>
      <c r="W7" s="165">
        <f>IFERROR(U7*V7,"0")</f>
      </c>
      <c r="X7" s="7"/>
      <c r="Y7" s="166">
        <f>IFERROR((O7/1000)*Masters!$C$3,"0")</f>
      </c>
      <c r="Z7" s="167"/>
      <c r="AA7" s="164">
        <f>IFERROR(VLOOKUP(L7,Masters!G:H,2,0),"0")</f>
      </c>
      <c r="AB7" s="166">
        <f>IFERROR(AA7*N7,"0")</f>
      </c>
      <c r="AC7" s="168"/>
      <c r="AD7" s="158"/>
      <c r="AE7" s="166">
        <f>W7+Y7+AB7+AD7</f>
      </c>
      <c r="AF7" s="167"/>
      <c r="AG7" s="169">
        <f>M7&amp;"-"&amp;F7</f>
      </c>
      <c r="AH7" s="166">
        <f>IFERROR(VLOOKUP(AG7,Masters!N:O,2,0),"0")</f>
      </c>
      <c r="AI7" s="166">
        <f>AH7*N7</f>
      </c>
      <c r="AJ7" s="158"/>
      <c r="AK7" s="170">
        <f>AI7-AE7</f>
      </c>
      <c r="AL7" s="167"/>
      <c r="AM7" s="147"/>
      <c r="AN7" s="171">
        <f>IFERROR(U7/2,"0")</f>
      </c>
    </row>
    <row x14ac:dyDescent="0.25" r="8" customHeight="1" ht="18.75">
      <c r="A8" s="158">
        <f>A7+1</f>
      </c>
      <c r="B8" s="159">
        <v>45734</v>
      </c>
      <c r="C8" s="147" t="s">
        <v>407</v>
      </c>
      <c r="D8" s="159">
        <v>45735</v>
      </c>
      <c r="E8" s="147" t="s">
        <v>77</v>
      </c>
      <c r="F8" s="160" t="s">
        <v>16</v>
      </c>
      <c r="G8" s="147" t="s">
        <v>78</v>
      </c>
      <c r="H8" s="147" t="s">
        <v>302</v>
      </c>
      <c r="I8" s="158">
        <v>1109</v>
      </c>
      <c r="J8" s="147" t="s">
        <v>301</v>
      </c>
      <c r="K8" s="158">
        <v>6</v>
      </c>
      <c r="L8" s="147" t="s">
        <v>10</v>
      </c>
      <c r="M8" s="161">
        <f>IFERROR(VLOOKUP(L8,'Material Master'!B:C,2,0),"")</f>
      </c>
      <c r="N8" s="158">
        <v>300</v>
      </c>
      <c r="O8" s="162">
        <f>IFERROR(M8*N8,"")</f>
      </c>
      <c r="P8" s="147" t="s">
        <v>402</v>
      </c>
      <c r="Q8" s="158"/>
      <c r="R8" s="163">
        <v>45717</v>
      </c>
      <c r="S8" s="147"/>
      <c r="T8" s="147"/>
      <c r="U8" s="158">
        <v>372</v>
      </c>
      <c r="V8" s="164">
        <v>31</v>
      </c>
      <c r="W8" s="165">
        <f>IFERROR(U8*V8,"0")</f>
      </c>
      <c r="X8" s="7"/>
      <c r="Y8" s="166">
        <f>IFERROR((O8/1000)*Masters!$C$3,"0")</f>
      </c>
      <c r="Z8" s="167"/>
      <c r="AA8" s="164">
        <f>IFERROR(VLOOKUP(L8,Masters!G:H,2,0),"0")</f>
      </c>
      <c r="AB8" s="166">
        <f>IFERROR(AA8*N8,"0")</f>
      </c>
      <c r="AC8" s="168"/>
      <c r="AD8" s="158"/>
      <c r="AE8" s="166">
        <f>W8+Y8+AB8+AD8</f>
      </c>
      <c r="AF8" s="167"/>
      <c r="AG8" s="169">
        <f>M8&amp;"-"&amp;F8</f>
      </c>
      <c r="AH8" s="166">
        <f>IFERROR(VLOOKUP(AG8,Masters!N:O,2,0),"0")</f>
      </c>
      <c r="AI8" s="166">
        <f>AH8*N8</f>
      </c>
      <c r="AJ8" s="158"/>
      <c r="AK8" s="170">
        <f>AI8-AE8</f>
      </c>
      <c r="AL8" s="167"/>
      <c r="AM8" s="147"/>
      <c r="AN8" s="171">
        <f>IFERROR(U8/2,"0")</f>
      </c>
    </row>
    <row x14ac:dyDescent="0.25" r="9" customHeight="1" ht="18.75">
      <c r="A9" s="158">
        <f>A8+1</f>
      </c>
      <c r="B9" s="159">
        <v>45734</v>
      </c>
      <c r="C9" s="147" t="s">
        <v>408</v>
      </c>
      <c r="D9" s="159">
        <v>45735</v>
      </c>
      <c r="E9" s="147" t="s">
        <v>79</v>
      </c>
      <c r="F9" s="160" t="s">
        <v>11</v>
      </c>
      <c r="G9" s="147" t="s">
        <v>86</v>
      </c>
      <c r="H9" s="147" t="s">
        <v>303</v>
      </c>
      <c r="I9" s="158">
        <v>1109</v>
      </c>
      <c r="J9" s="147" t="s">
        <v>301</v>
      </c>
      <c r="K9" s="158">
        <v>5</v>
      </c>
      <c r="L9" s="147" t="s">
        <v>15</v>
      </c>
      <c r="M9" s="161">
        <f>IFERROR(VLOOKUP(L9,'Material Master'!B:C,2,0),"")</f>
      </c>
      <c r="N9" s="158">
        <v>30</v>
      </c>
      <c r="O9" s="162">
        <f>IFERROR(M9*N9,"")</f>
      </c>
      <c r="P9" s="147" t="s">
        <v>402</v>
      </c>
      <c r="Q9" s="158"/>
      <c r="R9" s="163">
        <v>45717</v>
      </c>
      <c r="S9" s="147"/>
      <c r="T9" s="147"/>
      <c r="U9" s="158">
        <v>183</v>
      </c>
      <c r="V9" s="164">
        <v>31</v>
      </c>
      <c r="W9" s="165">
        <f>IFERROR(U9*V9,"0")</f>
      </c>
      <c r="X9" s="7"/>
      <c r="Y9" s="166">
        <f>IFERROR((O9/1000)*Masters!$C$3,"0")</f>
      </c>
      <c r="Z9" s="167"/>
      <c r="AA9" s="164">
        <f>IFERROR(VLOOKUP(L9,Masters!G:H,2,0),"0")</f>
      </c>
      <c r="AB9" s="166">
        <f>IFERROR(AA9*N9,"0")</f>
      </c>
      <c r="AC9" s="168"/>
      <c r="AD9" s="158"/>
      <c r="AE9" s="166">
        <f>W9+Y9+AB9+AD9</f>
      </c>
      <c r="AF9" s="167"/>
      <c r="AG9" s="169">
        <f>M9&amp;"-"&amp;F9</f>
      </c>
      <c r="AH9" s="166">
        <f>IFERROR(VLOOKUP(AG9,Masters!N:O,2,0),"0")</f>
      </c>
      <c r="AI9" s="166">
        <f>AH9*N9</f>
      </c>
      <c r="AJ9" s="158"/>
      <c r="AK9" s="170">
        <f>AI9-AE9</f>
      </c>
      <c r="AL9" s="167"/>
      <c r="AM9" s="147"/>
      <c r="AN9" s="171">
        <f>IFERROR(U9/2,"0")</f>
      </c>
    </row>
    <row x14ac:dyDescent="0.25" r="10" customHeight="1" ht="18.75">
      <c r="A10" s="158">
        <f>A9+1</f>
      </c>
      <c r="B10" s="159">
        <v>45734</v>
      </c>
      <c r="C10" s="147" t="s">
        <v>409</v>
      </c>
      <c r="D10" s="159">
        <v>45735</v>
      </c>
      <c r="E10" s="147" t="s">
        <v>79</v>
      </c>
      <c r="F10" s="160" t="s">
        <v>11</v>
      </c>
      <c r="G10" s="147" t="s">
        <v>86</v>
      </c>
      <c r="H10" s="147" t="s">
        <v>305</v>
      </c>
      <c r="I10" s="158">
        <v>1109</v>
      </c>
      <c r="J10" s="147" t="s">
        <v>301</v>
      </c>
      <c r="K10" s="158">
        <v>7</v>
      </c>
      <c r="L10" s="147" t="s">
        <v>15</v>
      </c>
      <c r="M10" s="161">
        <f>IFERROR(VLOOKUP(L10,'Material Master'!B:C,2,0),"")</f>
      </c>
      <c r="N10" s="158">
        <v>30</v>
      </c>
      <c r="O10" s="162">
        <f>IFERROR(M10*N10,"")</f>
      </c>
      <c r="P10" s="147" t="s">
        <v>402</v>
      </c>
      <c r="Q10" s="158"/>
      <c r="R10" s="163">
        <v>45717</v>
      </c>
      <c r="S10" s="147"/>
      <c r="T10" s="147"/>
      <c r="U10" s="158">
        <v>166</v>
      </c>
      <c r="V10" s="164">
        <v>31</v>
      </c>
      <c r="W10" s="165">
        <f>IFERROR(U10*V10,"0")</f>
      </c>
      <c r="X10" s="7"/>
      <c r="Y10" s="166">
        <f>IFERROR((O10/1000)*Masters!$C$3,"0")</f>
      </c>
      <c r="Z10" s="167"/>
      <c r="AA10" s="164">
        <f>IFERROR(VLOOKUP(L10,Masters!G:H,2,0),"0")</f>
      </c>
      <c r="AB10" s="166">
        <f>IFERROR(AA10*N10,"0")</f>
      </c>
      <c r="AC10" s="168"/>
      <c r="AD10" s="158"/>
      <c r="AE10" s="166">
        <f>W10+Y10+AB10+AD10</f>
      </c>
      <c r="AF10" s="167"/>
      <c r="AG10" s="169">
        <f>M10&amp;"-"&amp;F10</f>
      </c>
      <c r="AH10" s="166">
        <f>IFERROR(VLOOKUP(AG10,Masters!N:O,2,0),"0")</f>
      </c>
      <c r="AI10" s="166">
        <f>AH10*N10</f>
      </c>
      <c r="AJ10" s="158"/>
      <c r="AK10" s="170">
        <f>AI10-AE10</f>
      </c>
      <c r="AL10" s="167"/>
      <c r="AM10" s="147"/>
      <c r="AN10" s="171">
        <f>IFERROR(U10/2,"0")</f>
      </c>
    </row>
    <row x14ac:dyDescent="0.25" r="11" customHeight="1" ht="18.75">
      <c r="A11" s="158">
        <f>A10+1</f>
      </c>
      <c r="B11" s="159">
        <v>45735</v>
      </c>
      <c r="C11" s="147" t="s">
        <v>410</v>
      </c>
      <c r="D11" s="159">
        <v>45736</v>
      </c>
      <c r="E11" s="147" t="s">
        <v>81</v>
      </c>
      <c r="F11" s="160" t="s">
        <v>16</v>
      </c>
      <c r="G11" s="147" t="s">
        <v>82</v>
      </c>
      <c r="H11" s="147" t="s">
        <v>304</v>
      </c>
      <c r="I11" s="158">
        <v>1109</v>
      </c>
      <c r="J11" s="147" t="s">
        <v>301</v>
      </c>
      <c r="K11" s="158">
        <v>8</v>
      </c>
      <c r="L11" s="147" t="s">
        <v>10</v>
      </c>
      <c r="M11" s="161">
        <f>IFERROR(VLOOKUP(L11,'Material Master'!B:C,2,0),"")</f>
      </c>
      <c r="N11" s="158">
        <v>100</v>
      </c>
      <c r="O11" s="162">
        <f>IFERROR(M11*N11,"")</f>
      </c>
      <c r="P11" s="147" t="s">
        <v>402</v>
      </c>
      <c r="Q11" s="158"/>
      <c r="R11" s="163">
        <v>45717</v>
      </c>
      <c r="S11" s="147"/>
      <c r="T11" s="147"/>
      <c r="U11" s="158">
        <v>243</v>
      </c>
      <c r="V11" s="164">
        <v>31</v>
      </c>
      <c r="W11" s="165">
        <f>IFERROR(U11*V11,"0")</f>
      </c>
      <c r="X11" s="7"/>
      <c r="Y11" s="166">
        <f>IFERROR((O11/1000)*Masters!$C$3,"0")</f>
      </c>
      <c r="Z11" s="167"/>
      <c r="AA11" s="164">
        <f>IFERROR(VLOOKUP(L11,Masters!G:H,2,0),"0")</f>
      </c>
      <c r="AB11" s="166">
        <f>IFERROR(AA11*N11,"0")</f>
      </c>
      <c r="AC11" s="168"/>
      <c r="AD11" s="158"/>
      <c r="AE11" s="166">
        <f>W11+Y11+AB11+AD11</f>
      </c>
      <c r="AF11" s="167"/>
      <c r="AG11" s="169">
        <f>M11&amp;"-"&amp;F11</f>
      </c>
      <c r="AH11" s="166">
        <f>IFERROR(VLOOKUP(AG11,Masters!N:O,2,0),"0")</f>
      </c>
      <c r="AI11" s="166">
        <f>AH11*N11</f>
      </c>
      <c r="AJ11" s="158"/>
      <c r="AK11" s="170">
        <f>AI11-AE11</f>
      </c>
      <c r="AL11" s="167"/>
      <c r="AM11" s="147"/>
      <c r="AN11" s="171">
        <f>IFERROR(U11/2,"0")</f>
      </c>
    </row>
    <row x14ac:dyDescent="0.25" r="12" customHeight="1" ht="18.75">
      <c r="A12" s="158">
        <f>A11+1</f>
      </c>
      <c r="B12" s="159">
        <v>45735</v>
      </c>
      <c r="C12" s="147" t="s">
        <v>411</v>
      </c>
      <c r="D12" s="159">
        <v>45736</v>
      </c>
      <c r="E12" s="147" t="s">
        <v>83</v>
      </c>
      <c r="F12" s="160" t="s">
        <v>11</v>
      </c>
      <c r="G12" s="147" t="s">
        <v>72</v>
      </c>
      <c r="H12" s="147" t="s">
        <v>303</v>
      </c>
      <c r="I12" s="158">
        <v>1109</v>
      </c>
      <c r="J12" s="147" t="s">
        <v>301</v>
      </c>
      <c r="K12" s="158">
        <v>10</v>
      </c>
      <c r="L12" s="147" t="s">
        <v>10</v>
      </c>
      <c r="M12" s="161">
        <f>IFERROR(VLOOKUP(L12,'Material Master'!B:C,2,0),"")</f>
      </c>
      <c r="N12" s="158">
        <v>200</v>
      </c>
      <c r="O12" s="162">
        <f>IFERROR(M12*N12,"")</f>
      </c>
      <c r="P12" s="147" t="s">
        <v>402</v>
      </c>
      <c r="Q12" s="158"/>
      <c r="R12" s="163">
        <v>45717</v>
      </c>
      <c r="S12" s="147"/>
      <c r="T12" s="147"/>
      <c r="U12" s="158">
        <v>177</v>
      </c>
      <c r="V12" s="164">
        <v>31</v>
      </c>
      <c r="W12" s="165">
        <f>IFERROR(U12*V12,"0")</f>
      </c>
      <c r="X12" s="7"/>
      <c r="Y12" s="166">
        <f>IFERROR((O12/1000)*Masters!$C$3,"0")</f>
      </c>
      <c r="Z12" s="167"/>
      <c r="AA12" s="164">
        <f>IFERROR(VLOOKUP(L12,Masters!G:H,2,0),"0")</f>
      </c>
      <c r="AB12" s="166">
        <f>IFERROR(AA12*N12,"0")</f>
      </c>
      <c r="AC12" s="168"/>
      <c r="AD12" s="158"/>
      <c r="AE12" s="166">
        <f>W12+Y12+AB12+AD12</f>
      </c>
      <c r="AF12" s="167"/>
      <c r="AG12" s="169">
        <f>M12&amp;"-"&amp;F12</f>
      </c>
      <c r="AH12" s="166">
        <f>IFERROR(VLOOKUP(AG12,Masters!N:O,2,0),"0")</f>
      </c>
      <c r="AI12" s="166">
        <f>AH12*N12</f>
      </c>
      <c r="AJ12" s="158"/>
      <c r="AK12" s="170">
        <f>AI12-AE12</f>
      </c>
      <c r="AL12" s="167"/>
      <c r="AM12" s="147"/>
      <c r="AN12" s="171">
        <f>IFERROR(U12/2,"0")</f>
      </c>
    </row>
    <row x14ac:dyDescent="0.25" r="13" customHeight="1" ht="18.75">
      <c r="A13" s="158">
        <f>A12+1</f>
      </c>
      <c r="B13" s="159">
        <v>45735</v>
      </c>
      <c r="C13" s="147" t="s">
        <v>411</v>
      </c>
      <c r="D13" s="159">
        <v>45736</v>
      </c>
      <c r="E13" s="147" t="s">
        <v>83</v>
      </c>
      <c r="F13" s="160" t="s">
        <v>11</v>
      </c>
      <c r="G13" s="147" t="s">
        <v>72</v>
      </c>
      <c r="H13" s="147" t="s">
        <v>303</v>
      </c>
      <c r="I13" s="158">
        <v>1109</v>
      </c>
      <c r="J13" s="147" t="s">
        <v>301</v>
      </c>
      <c r="K13" s="158">
        <v>10</v>
      </c>
      <c r="L13" s="147" t="s">
        <v>10</v>
      </c>
      <c r="M13" s="161">
        <f>IFERROR(VLOOKUP(L13,'Material Master'!B:C,2,0),"")</f>
      </c>
      <c r="N13" s="158">
        <v>100</v>
      </c>
      <c r="O13" s="162">
        <f>IFERROR(M13*N13,"")</f>
      </c>
      <c r="P13" s="147" t="s">
        <v>402</v>
      </c>
      <c r="Q13" s="158"/>
      <c r="R13" s="163">
        <v>45717</v>
      </c>
      <c r="S13" s="147" t="s">
        <v>412</v>
      </c>
      <c r="T13" s="147"/>
      <c r="U13" s="158">
        <v>0</v>
      </c>
      <c r="V13" s="164">
        <v>31</v>
      </c>
      <c r="W13" s="165">
        <f>IFERROR(U13*V13,"0")</f>
      </c>
      <c r="X13" s="7"/>
      <c r="Y13" s="166">
        <f>IFERROR((O13/1000)*Masters!$C$3,"0")</f>
      </c>
      <c r="Z13" s="167"/>
      <c r="AA13" s="164">
        <f>IFERROR(VLOOKUP(L13,Masters!G:H,2,0),"0")</f>
      </c>
      <c r="AB13" s="166">
        <f>IFERROR(AA13*N13,"0")</f>
      </c>
      <c r="AC13" s="168"/>
      <c r="AD13" s="158"/>
      <c r="AE13" s="166">
        <f>W13+Y13+AB13+AD13</f>
      </c>
      <c r="AF13" s="167"/>
      <c r="AG13" s="169">
        <f>M13&amp;"-"&amp;F13</f>
      </c>
      <c r="AH13" s="166">
        <f>IFERROR(VLOOKUP(AG13,Masters!N:O,2,0),"0")</f>
      </c>
      <c r="AI13" s="166">
        <f>AH13*N13</f>
      </c>
      <c r="AJ13" s="158"/>
      <c r="AK13" s="170">
        <f>AI13-AE13</f>
      </c>
      <c r="AL13" s="167"/>
      <c r="AM13" s="147"/>
      <c r="AN13" s="171">
        <f>IFERROR(U13/2,"0")</f>
      </c>
    </row>
    <row x14ac:dyDescent="0.25" r="14" customHeight="1" ht="18.75">
      <c r="A14" s="158">
        <f>A13+1</f>
      </c>
      <c r="B14" s="159">
        <v>45737</v>
      </c>
      <c r="C14" s="147" t="s">
        <v>413</v>
      </c>
      <c r="D14" s="159">
        <v>45737</v>
      </c>
      <c r="E14" s="147" t="s">
        <v>85</v>
      </c>
      <c r="F14" s="160" t="s">
        <v>11</v>
      </c>
      <c r="G14" s="147" t="s">
        <v>72</v>
      </c>
      <c r="H14" s="147" t="s">
        <v>304</v>
      </c>
      <c r="I14" s="158">
        <v>1109</v>
      </c>
      <c r="J14" s="147" t="s">
        <v>301</v>
      </c>
      <c r="K14" s="158">
        <v>11</v>
      </c>
      <c r="L14" s="147" t="s">
        <v>10</v>
      </c>
      <c r="M14" s="161">
        <f>IFERROR(VLOOKUP(L14,'Material Master'!B:C,2,0),"")</f>
      </c>
      <c r="N14" s="158">
        <v>300</v>
      </c>
      <c r="O14" s="162">
        <f>IFERROR(M14*N14,"")</f>
      </c>
      <c r="P14" s="147" t="s">
        <v>402</v>
      </c>
      <c r="Q14" s="158"/>
      <c r="R14" s="163">
        <v>45717</v>
      </c>
      <c r="S14" s="147"/>
      <c r="T14" s="147"/>
      <c r="U14" s="158">
        <v>132</v>
      </c>
      <c r="V14" s="164">
        <v>31</v>
      </c>
      <c r="W14" s="165">
        <f>IFERROR(U14*V14,"0")</f>
      </c>
      <c r="X14" s="7"/>
      <c r="Y14" s="166">
        <f>IFERROR((O14/1000)*Masters!$C$3,"0")</f>
      </c>
      <c r="Z14" s="167"/>
      <c r="AA14" s="164">
        <f>IFERROR(VLOOKUP(L14,Masters!G:H,2,0),"0")</f>
      </c>
      <c r="AB14" s="166">
        <f>IFERROR(AA14*N14,"0")</f>
      </c>
      <c r="AC14" s="168"/>
      <c r="AD14" s="158"/>
      <c r="AE14" s="166">
        <f>W14+Y14+AB14+AD14</f>
      </c>
      <c r="AF14" s="167"/>
      <c r="AG14" s="169">
        <f>M14&amp;"-"&amp;F14</f>
      </c>
      <c r="AH14" s="166">
        <f>IFERROR(VLOOKUP(AG14,Masters!N:O,2,0),"0")</f>
      </c>
      <c r="AI14" s="166">
        <f>AH14*N14</f>
      </c>
      <c r="AJ14" s="158"/>
      <c r="AK14" s="170">
        <f>AI14-AE14</f>
      </c>
      <c r="AL14" s="167"/>
      <c r="AM14" s="147"/>
      <c r="AN14" s="171">
        <f>IFERROR(U14/2,"0")</f>
      </c>
    </row>
    <row x14ac:dyDescent="0.25" r="15" customHeight="1" ht="18.75">
      <c r="A15" s="158">
        <f>A14+1</f>
      </c>
      <c r="B15" s="159">
        <v>45737</v>
      </c>
      <c r="C15" s="147" t="s">
        <v>414</v>
      </c>
      <c r="D15" s="159">
        <v>45737</v>
      </c>
      <c r="E15" s="147" t="s">
        <v>87</v>
      </c>
      <c r="F15" s="160" t="s">
        <v>16</v>
      </c>
      <c r="G15" s="147" t="s">
        <v>88</v>
      </c>
      <c r="H15" s="147" t="s">
        <v>302</v>
      </c>
      <c r="I15" s="158">
        <v>1109</v>
      </c>
      <c r="J15" s="147" t="s">
        <v>301</v>
      </c>
      <c r="K15" s="158">
        <v>12</v>
      </c>
      <c r="L15" s="147" t="s">
        <v>10</v>
      </c>
      <c r="M15" s="161">
        <f>IFERROR(VLOOKUP(L15,'Material Master'!B:C,2,0),"")</f>
      </c>
      <c r="N15" s="158">
        <v>300</v>
      </c>
      <c r="O15" s="162">
        <f>IFERROR(M15*N15,"")</f>
      </c>
      <c r="P15" s="147" t="s">
        <v>402</v>
      </c>
      <c r="Q15" s="158"/>
      <c r="R15" s="163">
        <v>45717</v>
      </c>
      <c r="S15" s="147"/>
      <c r="T15" s="147"/>
      <c r="U15" s="158">
        <v>371</v>
      </c>
      <c r="V15" s="164">
        <v>31</v>
      </c>
      <c r="W15" s="165">
        <f>IFERROR(U15*V15,"0")</f>
      </c>
      <c r="X15" s="7"/>
      <c r="Y15" s="166">
        <f>IFERROR((O15/1000)*Masters!$C$3,"0")</f>
      </c>
      <c r="Z15" s="167"/>
      <c r="AA15" s="164">
        <f>IFERROR(VLOOKUP(L15,Masters!G:H,2,0),"0")</f>
      </c>
      <c r="AB15" s="166">
        <f>IFERROR(AA15*N15,"0")</f>
      </c>
      <c r="AC15" s="168"/>
      <c r="AD15" s="158"/>
      <c r="AE15" s="166">
        <f>W15+Y15+AB15+AD15</f>
      </c>
      <c r="AF15" s="167"/>
      <c r="AG15" s="169">
        <f>M15&amp;"-"&amp;F15</f>
      </c>
      <c r="AH15" s="166">
        <f>IFERROR(VLOOKUP(AG15,Masters!N:O,2,0),"0")</f>
      </c>
      <c r="AI15" s="166">
        <f>AH15*N15</f>
      </c>
      <c r="AJ15" s="158"/>
      <c r="AK15" s="170">
        <f>AI15-AE15</f>
      </c>
      <c r="AL15" s="167"/>
      <c r="AM15" s="147"/>
      <c r="AN15" s="171">
        <f>IFERROR(U15/2,"0")</f>
      </c>
    </row>
    <row x14ac:dyDescent="0.25" r="16" customHeight="1" ht="18.75">
      <c r="A16" s="158">
        <f>A15+1</f>
      </c>
      <c r="B16" s="159">
        <v>45737</v>
      </c>
      <c r="C16" s="147" t="s">
        <v>415</v>
      </c>
      <c r="D16" s="159">
        <v>45737</v>
      </c>
      <c r="E16" s="147" t="s">
        <v>89</v>
      </c>
      <c r="F16" s="160" t="s">
        <v>19</v>
      </c>
      <c r="G16" s="147" t="s">
        <v>90</v>
      </c>
      <c r="H16" s="147" t="s">
        <v>303</v>
      </c>
      <c r="I16" s="158">
        <v>1109</v>
      </c>
      <c r="J16" s="147" t="s">
        <v>301</v>
      </c>
      <c r="K16" s="158">
        <v>13</v>
      </c>
      <c r="L16" s="147" t="s">
        <v>10</v>
      </c>
      <c r="M16" s="161">
        <f>IFERROR(VLOOKUP(L16,'Material Master'!B:C,2,0),"")</f>
      </c>
      <c r="N16" s="158">
        <v>300</v>
      </c>
      <c r="O16" s="162">
        <f>IFERROR(M16*N16,"")</f>
      </c>
      <c r="P16" s="147" t="s">
        <v>402</v>
      </c>
      <c r="Q16" s="158"/>
      <c r="R16" s="163">
        <v>45717</v>
      </c>
      <c r="S16" s="147"/>
      <c r="T16" s="147"/>
      <c r="U16" s="158">
        <v>502</v>
      </c>
      <c r="V16" s="164">
        <v>31</v>
      </c>
      <c r="W16" s="165">
        <f>IFERROR(U16*V16,"0")</f>
      </c>
      <c r="X16" s="7"/>
      <c r="Y16" s="166">
        <f>IFERROR((O16/1000)*Masters!$C$3,"0")</f>
      </c>
      <c r="Z16" s="167"/>
      <c r="AA16" s="164">
        <f>IFERROR(VLOOKUP(L16,Masters!G:H,2,0),"0")</f>
      </c>
      <c r="AB16" s="166">
        <f>IFERROR(AA16*N16,"0")</f>
      </c>
      <c r="AC16" s="168"/>
      <c r="AD16" s="158"/>
      <c r="AE16" s="166">
        <f>W16+Y16+AB16+AD16</f>
      </c>
      <c r="AF16" s="167"/>
      <c r="AG16" s="169">
        <f>M16&amp;"-"&amp;F16</f>
      </c>
      <c r="AH16" s="166">
        <f>IFERROR(VLOOKUP(AG16,Masters!N:O,2,0),"0")</f>
      </c>
      <c r="AI16" s="166">
        <f>AH16*N16</f>
      </c>
      <c r="AJ16" s="158"/>
      <c r="AK16" s="170">
        <f>AI16-AE16</f>
      </c>
      <c r="AL16" s="167"/>
      <c r="AM16" s="147"/>
      <c r="AN16" s="171">
        <f>IFERROR(U16/2,"0")</f>
      </c>
    </row>
    <row x14ac:dyDescent="0.25" r="17" customHeight="1" ht="18.75">
      <c r="A17" s="158">
        <f>A16+1</f>
      </c>
      <c r="B17" s="159">
        <v>45737</v>
      </c>
      <c r="C17" s="147" t="s">
        <v>416</v>
      </c>
      <c r="D17" s="159">
        <v>45737</v>
      </c>
      <c r="E17" s="147" t="s">
        <v>95</v>
      </c>
      <c r="F17" s="160" t="s">
        <v>11</v>
      </c>
      <c r="G17" s="147" t="s">
        <v>96</v>
      </c>
      <c r="H17" s="147" t="s">
        <v>305</v>
      </c>
      <c r="I17" s="158">
        <v>1109</v>
      </c>
      <c r="J17" s="147" t="s">
        <v>301</v>
      </c>
      <c r="K17" s="158">
        <v>14</v>
      </c>
      <c r="L17" s="147" t="s">
        <v>15</v>
      </c>
      <c r="M17" s="161">
        <f>IFERROR(VLOOKUP(L17,'Material Master'!B:C,2,0),"")</f>
      </c>
      <c r="N17" s="158">
        <v>30</v>
      </c>
      <c r="O17" s="162">
        <f>IFERROR(M17*N17,"")</f>
      </c>
      <c r="P17" s="147" t="s">
        <v>402</v>
      </c>
      <c r="Q17" s="158"/>
      <c r="R17" s="163">
        <v>45717</v>
      </c>
      <c r="S17" s="147"/>
      <c r="T17" s="147"/>
      <c r="U17" s="158">
        <v>159</v>
      </c>
      <c r="V17" s="164">
        <v>31</v>
      </c>
      <c r="W17" s="165">
        <f>IFERROR(U17*V17,"0")</f>
      </c>
      <c r="X17" s="7"/>
      <c r="Y17" s="166">
        <f>IFERROR((O17/1000)*Masters!$C$3,"0")</f>
      </c>
      <c r="Z17" s="167"/>
      <c r="AA17" s="164">
        <f>IFERROR(VLOOKUP(L17,Masters!G:H,2,0),"0")</f>
      </c>
      <c r="AB17" s="166">
        <f>IFERROR(AA17*N17,"0")</f>
      </c>
      <c r="AC17" s="168"/>
      <c r="AD17" s="158"/>
      <c r="AE17" s="166">
        <f>W17+Y17+AB17+AD17</f>
      </c>
      <c r="AF17" s="167"/>
      <c r="AG17" s="169">
        <f>M17&amp;"-"&amp;F17</f>
      </c>
      <c r="AH17" s="166">
        <f>IFERROR(VLOOKUP(AG17,Masters!N:O,2,0),"0")</f>
      </c>
      <c r="AI17" s="166">
        <f>AH17*N17</f>
      </c>
      <c r="AJ17" s="158"/>
      <c r="AK17" s="170">
        <f>AI17-AE17</f>
      </c>
      <c r="AL17" s="167"/>
      <c r="AM17" s="147"/>
      <c r="AN17" s="171">
        <f>IFERROR(U17/2,"0")</f>
      </c>
    </row>
    <row x14ac:dyDescent="0.25" r="18" customHeight="1" ht="18.75">
      <c r="A18" s="158">
        <f>A17+1</f>
      </c>
      <c r="B18" s="159">
        <v>45738</v>
      </c>
      <c r="C18" s="147" t="s">
        <v>417</v>
      </c>
      <c r="D18" s="159">
        <v>45738</v>
      </c>
      <c r="E18" s="147" t="s">
        <v>84</v>
      </c>
      <c r="F18" s="160" t="s">
        <v>11</v>
      </c>
      <c r="G18" s="147" t="s">
        <v>72</v>
      </c>
      <c r="H18" s="147" t="s">
        <v>302</v>
      </c>
      <c r="I18" s="158">
        <v>909</v>
      </c>
      <c r="J18" s="147" t="s">
        <v>301</v>
      </c>
      <c r="K18" s="158">
        <v>15</v>
      </c>
      <c r="L18" s="147" t="s">
        <v>10</v>
      </c>
      <c r="M18" s="161">
        <f>IFERROR(VLOOKUP(L18,'Material Master'!B:C,2,0),"")</f>
      </c>
      <c r="N18" s="158">
        <v>200</v>
      </c>
      <c r="O18" s="162">
        <f>IFERROR(M18*N18,"")</f>
      </c>
      <c r="P18" s="147" t="s">
        <v>402</v>
      </c>
      <c r="Q18" s="158"/>
      <c r="R18" s="163">
        <v>45717</v>
      </c>
      <c r="S18" s="147"/>
      <c r="T18" s="147"/>
      <c r="U18" s="158">
        <v>200</v>
      </c>
      <c r="V18" s="164">
        <v>31</v>
      </c>
      <c r="W18" s="165">
        <f>IFERROR(U18*V18,"0")</f>
      </c>
      <c r="X18" s="7"/>
      <c r="Y18" s="166">
        <f>IFERROR((O18/1000)*Masters!$C$3,"0")</f>
      </c>
      <c r="Z18" s="167"/>
      <c r="AA18" s="164">
        <f>IFERROR(VLOOKUP(L18,Masters!G:H,2,0),"0")</f>
      </c>
      <c r="AB18" s="166">
        <f>IFERROR(AA18*N18,"0")</f>
      </c>
      <c r="AC18" s="168"/>
      <c r="AD18" s="158"/>
      <c r="AE18" s="166">
        <f>W18+Y18+AB18+AD18</f>
      </c>
      <c r="AF18" s="167"/>
      <c r="AG18" s="169">
        <f>M18&amp;"-"&amp;F18</f>
      </c>
      <c r="AH18" s="166">
        <f>IFERROR(VLOOKUP(AG18,Masters!N:O,2,0),"0")</f>
      </c>
      <c r="AI18" s="166">
        <f>AH18*N18</f>
      </c>
      <c r="AJ18" s="158"/>
      <c r="AK18" s="170">
        <f>AI18-AE18</f>
      </c>
      <c r="AL18" s="167"/>
      <c r="AM18" s="147"/>
      <c r="AN18" s="171">
        <f>IFERROR(U18/2,"0")</f>
      </c>
    </row>
    <row x14ac:dyDescent="0.25" r="19" customHeight="1" ht="18.75">
      <c r="A19" s="158">
        <f>A18+1</f>
      </c>
      <c r="B19" s="159">
        <v>45738</v>
      </c>
      <c r="C19" s="147" t="s">
        <v>418</v>
      </c>
      <c r="D19" s="159">
        <v>45738</v>
      </c>
      <c r="E19" s="147" t="s">
        <v>75</v>
      </c>
      <c r="F19" s="160" t="s">
        <v>11</v>
      </c>
      <c r="G19" s="147" t="s">
        <v>76</v>
      </c>
      <c r="H19" s="147" t="s">
        <v>304</v>
      </c>
      <c r="I19" s="158">
        <v>1109</v>
      </c>
      <c r="J19" s="147" t="s">
        <v>301</v>
      </c>
      <c r="K19" s="158">
        <v>16</v>
      </c>
      <c r="L19" s="147" t="s">
        <v>10</v>
      </c>
      <c r="M19" s="161">
        <f>IFERROR(VLOOKUP(L19,'Material Master'!B:C,2,0),"")</f>
      </c>
      <c r="N19" s="158">
        <v>300</v>
      </c>
      <c r="O19" s="162">
        <f>IFERROR(M19*N19,"")</f>
      </c>
      <c r="P19" s="147" t="s">
        <v>402</v>
      </c>
      <c r="Q19" s="158"/>
      <c r="R19" s="163">
        <v>45717</v>
      </c>
      <c r="S19" s="147"/>
      <c r="T19" s="147"/>
      <c r="U19" s="158">
        <v>171</v>
      </c>
      <c r="V19" s="164">
        <v>31</v>
      </c>
      <c r="W19" s="165">
        <f>IFERROR(U19*V19,"0")</f>
      </c>
      <c r="X19" s="7"/>
      <c r="Y19" s="166">
        <f>IFERROR((O19/1000)*Masters!$C$3,"0")</f>
      </c>
      <c r="Z19" s="167"/>
      <c r="AA19" s="164">
        <f>IFERROR(VLOOKUP(L19,Masters!G:H,2,0),"0")</f>
      </c>
      <c r="AB19" s="166">
        <f>IFERROR(AA19*N19,"0")</f>
      </c>
      <c r="AC19" s="168"/>
      <c r="AD19" s="158"/>
      <c r="AE19" s="166">
        <f>W19+Y19+AB19+AD19</f>
      </c>
      <c r="AF19" s="167"/>
      <c r="AG19" s="169">
        <f>M19&amp;"-"&amp;F19</f>
      </c>
      <c r="AH19" s="166">
        <f>IFERROR(VLOOKUP(AG19,Masters!N:O,2,0),"0")</f>
      </c>
      <c r="AI19" s="166">
        <f>AH19*N19</f>
      </c>
      <c r="AJ19" s="158"/>
      <c r="AK19" s="170">
        <f>AI19-AE19</f>
      </c>
      <c r="AL19" s="167"/>
      <c r="AM19" s="147"/>
      <c r="AN19" s="171">
        <f>IFERROR(U19/2,"0")</f>
      </c>
    </row>
    <row x14ac:dyDescent="0.25" r="20" customHeight="1" ht="18.75">
      <c r="A20" s="158">
        <f>A19+1</f>
      </c>
      <c r="B20" s="159">
        <v>45740</v>
      </c>
      <c r="C20" s="147" t="s">
        <v>419</v>
      </c>
      <c r="D20" s="159">
        <v>45740</v>
      </c>
      <c r="E20" s="147" t="s">
        <v>83</v>
      </c>
      <c r="F20" s="160" t="s">
        <v>11</v>
      </c>
      <c r="G20" s="147" t="s">
        <v>72</v>
      </c>
      <c r="H20" s="147" t="s">
        <v>305</v>
      </c>
      <c r="I20" s="158">
        <v>1109</v>
      </c>
      <c r="J20" s="147" t="s">
        <v>301</v>
      </c>
      <c r="K20" s="158">
        <v>17</v>
      </c>
      <c r="L20" s="147" t="s">
        <v>10</v>
      </c>
      <c r="M20" s="161">
        <f>IFERROR(VLOOKUP(L20,'Material Master'!B:C,2,0),"")</f>
      </c>
      <c r="N20" s="158">
        <v>300</v>
      </c>
      <c r="O20" s="162">
        <f>IFERROR(M20*N20,"")</f>
      </c>
      <c r="P20" s="147" t="s">
        <v>402</v>
      </c>
      <c r="Q20" s="158"/>
      <c r="R20" s="163">
        <v>45717</v>
      </c>
      <c r="S20" s="147"/>
      <c r="T20" s="147"/>
      <c r="U20" s="158">
        <v>179</v>
      </c>
      <c r="V20" s="164">
        <v>31</v>
      </c>
      <c r="W20" s="165">
        <f>IFERROR(U20*V20,"0")</f>
      </c>
      <c r="X20" s="7"/>
      <c r="Y20" s="166">
        <f>IFERROR((O20/1000)*Masters!$C$3,"0")</f>
      </c>
      <c r="Z20" s="167"/>
      <c r="AA20" s="164">
        <f>IFERROR(VLOOKUP(L20,Masters!G:H,2,0),"0")</f>
      </c>
      <c r="AB20" s="166">
        <f>IFERROR(AA20*N20,"0")</f>
      </c>
      <c r="AC20" s="168"/>
      <c r="AD20" s="158"/>
      <c r="AE20" s="166">
        <f>W20+Y20+AB20+AD20</f>
      </c>
      <c r="AF20" s="167"/>
      <c r="AG20" s="169">
        <f>M20&amp;"-"&amp;F20</f>
      </c>
      <c r="AH20" s="166">
        <f>IFERROR(VLOOKUP(AG20,Masters!N:O,2,0),"0")</f>
      </c>
      <c r="AI20" s="166">
        <f>AH20*N20</f>
      </c>
      <c r="AJ20" s="158"/>
      <c r="AK20" s="170">
        <f>AI20-AE20</f>
      </c>
      <c r="AL20" s="167"/>
      <c r="AM20" s="147"/>
      <c r="AN20" s="171">
        <f>IFERROR(U20/2,"0")</f>
      </c>
    </row>
    <row x14ac:dyDescent="0.25" r="21" customHeight="1" ht="18.75">
      <c r="A21" s="158">
        <f>A20+1</f>
      </c>
      <c r="B21" s="159">
        <v>45740</v>
      </c>
      <c r="C21" s="147" t="s">
        <v>420</v>
      </c>
      <c r="D21" s="159">
        <v>45740</v>
      </c>
      <c r="E21" s="147" t="s">
        <v>97</v>
      </c>
      <c r="F21" s="160" t="s">
        <v>16</v>
      </c>
      <c r="G21" s="147" t="s">
        <v>98</v>
      </c>
      <c r="H21" s="147" t="s">
        <v>302</v>
      </c>
      <c r="I21" s="158">
        <v>1109</v>
      </c>
      <c r="J21" s="147" t="s">
        <v>301</v>
      </c>
      <c r="K21" s="158">
        <v>18</v>
      </c>
      <c r="L21" s="147" t="s">
        <v>10</v>
      </c>
      <c r="M21" s="161">
        <f>IFERROR(VLOOKUP(L21,'Material Master'!B:C,2,0),"")</f>
      </c>
      <c r="N21" s="158">
        <v>300</v>
      </c>
      <c r="O21" s="162">
        <f>IFERROR(M21*N21,"")</f>
      </c>
      <c r="P21" s="147" t="s">
        <v>402</v>
      </c>
      <c r="Q21" s="158"/>
      <c r="R21" s="163">
        <v>45717</v>
      </c>
      <c r="S21" s="147"/>
      <c r="T21" s="147"/>
      <c r="U21" s="158">
        <v>320</v>
      </c>
      <c r="V21" s="164">
        <v>31</v>
      </c>
      <c r="W21" s="165">
        <f>IFERROR(U21*V21,"0")</f>
      </c>
      <c r="X21" s="7"/>
      <c r="Y21" s="166">
        <f>IFERROR((O21/1000)*Masters!$C$3,"0")</f>
      </c>
      <c r="Z21" s="167"/>
      <c r="AA21" s="164">
        <f>IFERROR(VLOOKUP(L21,Masters!G:H,2,0),"0")</f>
      </c>
      <c r="AB21" s="166">
        <f>IFERROR(AA21*N21,"0")</f>
      </c>
      <c r="AC21" s="168"/>
      <c r="AD21" s="158"/>
      <c r="AE21" s="166">
        <f>W21+Y21+AB21+AD21</f>
      </c>
      <c r="AF21" s="167"/>
      <c r="AG21" s="169">
        <f>M21&amp;"-"&amp;F21</f>
      </c>
      <c r="AH21" s="166">
        <f>IFERROR(VLOOKUP(AG21,Masters!N:O,2,0),"0")</f>
      </c>
      <c r="AI21" s="166">
        <f>AH21*N21</f>
      </c>
      <c r="AJ21" s="158"/>
      <c r="AK21" s="170">
        <f>AI21-AE21</f>
      </c>
      <c r="AL21" s="167"/>
      <c r="AM21" s="147"/>
      <c r="AN21" s="171">
        <f>IFERROR(U21/2,"0")</f>
      </c>
    </row>
    <row x14ac:dyDescent="0.25" r="22" customHeight="1" ht="18.75">
      <c r="A22" s="158">
        <f>A21+1</f>
      </c>
      <c r="B22" s="159">
        <v>45740</v>
      </c>
      <c r="C22" s="147" t="s">
        <v>421</v>
      </c>
      <c r="D22" s="159">
        <v>45740</v>
      </c>
      <c r="E22" s="147" t="s">
        <v>79</v>
      </c>
      <c r="F22" s="160" t="s">
        <v>16</v>
      </c>
      <c r="G22" s="147" t="s">
        <v>99</v>
      </c>
      <c r="H22" s="147" t="s">
        <v>304</v>
      </c>
      <c r="I22" s="158">
        <v>1109</v>
      </c>
      <c r="J22" s="147" t="s">
        <v>301</v>
      </c>
      <c r="K22" s="158">
        <v>19</v>
      </c>
      <c r="L22" s="147" t="s">
        <v>15</v>
      </c>
      <c r="M22" s="161">
        <f>IFERROR(VLOOKUP(L22,'Material Master'!B:C,2,0),"")</f>
      </c>
      <c r="N22" s="158">
        <v>30</v>
      </c>
      <c r="O22" s="162">
        <f>IFERROR(M22*N22,"")</f>
      </c>
      <c r="P22" s="147" t="s">
        <v>402</v>
      </c>
      <c r="Q22" s="158"/>
      <c r="R22" s="163">
        <v>45717</v>
      </c>
      <c r="S22" s="147"/>
      <c r="T22" s="147"/>
      <c r="U22" s="158">
        <v>388</v>
      </c>
      <c r="V22" s="164">
        <v>31</v>
      </c>
      <c r="W22" s="165">
        <f>IFERROR(U22*V22,"0")</f>
      </c>
      <c r="X22" s="7"/>
      <c r="Y22" s="166">
        <f>IFERROR((O22/1000)*Masters!$C$3,"0")</f>
      </c>
      <c r="Z22" s="167"/>
      <c r="AA22" s="164">
        <f>IFERROR(VLOOKUP(L22,Masters!G:H,2,0),"0")</f>
      </c>
      <c r="AB22" s="166">
        <f>IFERROR(AA22*N22,"0")</f>
      </c>
      <c r="AC22" s="168"/>
      <c r="AD22" s="158"/>
      <c r="AE22" s="166">
        <f>W22+Y22+AB22+AD22</f>
      </c>
      <c r="AF22" s="167"/>
      <c r="AG22" s="169">
        <f>M22&amp;"-"&amp;F22</f>
      </c>
      <c r="AH22" s="166">
        <f>IFERROR(VLOOKUP(AG22,Masters!N:O,2,0),"0")</f>
      </c>
      <c r="AI22" s="166">
        <f>AH22*N22</f>
      </c>
      <c r="AJ22" s="158"/>
      <c r="AK22" s="170">
        <f>AI22-AE22</f>
      </c>
      <c r="AL22" s="167"/>
      <c r="AM22" s="147"/>
      <c r="AN22" s="171">
        <f>IFERROR(U22/2,"0")</f>
      </c>
    </row>
    <row x14ac:dyDescent="0.25" r="23" customHeight="1" ht="18.75">
      <c r="A23" s="158">
        <f>A22+1</f>
      </c>
      <c r="B23" s="159">
        <v>45741</v>
      </c>
      <c r="C23" s="147" t="s">
        <v>422</v>
      </c>
      <c r="D23" s="159">
        <v>45741</v>
      </c>
      <c r="E23" s="147" t="s">
        <v>91</v>
      </c>
      <c r="F23" s="160" t="s">
        <v>16</v>
      </c>
      <c r="G23" s="147" t="s">
        <v>92</v>
      </c>
      <c r="H23" s="147" t="s">
        <v>303</v>
      </c>
      <c r="I23" s="158">
        <v>1109</v>
      </c>
      <c r="J23" s="147" t="s">
        <v>301</v>
      </c>
      <c r="K23" s="158">
        <v>20</v>
      </c>
      <c r="L23" s="147" t="s">
        <v>10</v>
      </c>
      <c r="M23" s="161">
        <f>IFERROR(VLOOKUP(L23,'Material Master'!B:C,2,0),"")</f>
      </c>
      <c r="N23" s="158">
        <v>100</v>
      </c>
      <c r="O23" s="162">
        <f>IFERROR(M23*N23,"")</f>
      </c>
      <c r="P23" s="147" t="s">
        <v>402</v>
      </c>
      <c r="Q23" s="158"/>
      <c r="R23" s="163">
        <v>45717</v>
      </c>
      <c r="S23" s="147"/>
      <c r="T23" s="147"/>
      <c r="U23" s="158">
        <v>224</v>
      </c>
      <c r="V23" s="164">
        <v>31</v>
      </c>
      <c r="W23" s="165">
        <f>IFERROR(U23*V23,"0")</f>
      </c>
      <c r="X23" s="7"/>
      <c r="Y23" s="166">
        <f>IFERROR((O23/1000)*Masters!$C$3,"0")</f>
      </c>
      <c r="Z23" s="167"/>
      <c r="AA23" s="164">
        <f>IFERROR(VLOOKUP(L23,Masters!G:H,2,0),"0")</f>
      </c>
      <c r="AB23" s="166">
        <f>IFERROR(AA23*N23,"0")</f>
      </c>
      <c r="AC23" s="168"/>
      <c r="AD23" s="158"/>
      <c r="AE23" s="166">
        <f>W23+Y23+AB23+AD23</f>
      </c>
      <c r="AF23" s="167"/>
      <c r="AG23" s="169">
        <f>M23&amp;"-"&amp;F23</f>
      </c>
      <c r="AH23" s="166">
        <f>IFERROR(VLOOKUP(AG23,Masters!N:O,2,0),"0")</f>
      </c>
      <c r="AI23" s="166">
        <f>AH23*N23</f>
      </c>
      <c r="AJ23" s="158"/>
      <c r="AK23" s="170">
        <f>AI23-AE23</f>
      </c>
      <c r="AL23" s="167"/>
      <c r="AM23" s="147"/>
      <c r="AN23" s="171">
        <f>IFERROR(U23/2,"0")</f>
      </c>
    </row>
    <row x14ac:dyDescent="0.25" r="24" customHeight="1" ht="18.75">
      <c r="A24" s="158">
        <f>A23+1</f>
      </c>
      <c r="B24" s="159">
        <v>45741</v>
      </c>
      <c r="C24" s="147" t="s">
        <v>422</v>
      </c>
      <c r="D24" s="159">
        <v>45741</v>
      </c>
      <c r="E24" s="147" t="s">
        <v>141</v>
      </c>
      <c r="F24" s="160" t="s">
        <v>16</v>
      </c>
      <c r="G24" s="147" t="s">
        <v>142</v>
      </c>
      <c r="H24" s="147" t="s">
        <v>303</v>
      </c>
      <c r="I24" s="158">
        <v>1109</v>
      </c>
      <c r="J24" s="147" t="s">
        <v>301</v>
      </c>
      <c r="K24" s="158">
        <v>21</v>
      </c>
      <c r="L24" s="147" t="s">
        <v>10</v>
      </c>
      <c r="M24" s="161">
        <f>IFERROR(VLOOKUP(L24,'Material Master'!B:C,2,0),"")</f>
      </c>
      <c r="N24" s="158">
        <v>100</v>
      </c>
      <c r="O24" s="162">
        <f>IFERROR(M24*N24,"")</f>
      </c>
      <c r="P24" s="147" t="s">
        <v>402</v>
      </c>
      <c r="Q24" s="158"/>
      <c r="R24" s="163">
        <v>45717</v>
      </c>
      <c r="S24" s="147"/>
      <c r="T24" s="147"/>
      <c r="U24" s="158">
        <v>0</v>
      </c>
      <c r="V24" s="164">
        <v>31</v>
      </c>
      <c r="W24" s="165">
        <f>IFERROR(U24*V24,"0")</f>
      </c>
      <c r="X24" s="7"/>
      <c r="Y24" s="166">
        <f>IFERROR((O24/1000)*Masters!$C$3,"0")</f>
      </c>
      <c r="Z24" s="167"/>
      <c r="AA24" s="164">
        <f>IFERROR(VLOOKUP(L24,Masters!G:H,2,0),"0")</f>
      </c>
      <c r="AB24" s="166">
        <f>IFERROR(AA24*N24,"0")</f>
      </c>
      <c r="AC24" s="168"/>
      <c r="AD24" s="158"/>
      <c r="AE24" s="166">
        <f>W24+Y24+AB24+AD24</f>
      </c>
      <c r="AF24" s="167"/>
      <c r="AG24" s="169">
        <f>M24&amp;"-"&amp;F24</f>
      </c>
      <c r="AH24" s="166">
        <f>IFERROR(VLOOKUP(AG24,Masters!N:O,2,0),"0")</f>
      </c>
      <c r="AI24" s="166">
        <f>AH24*N24</f>
      </c>
      <c r="AJ24" s="158"/>
      <c r="AK24" s="170">
        <f>AI24-AE24</f>
      </c>
      <c r="AL24" s="167"/>
      <c r="AM24" s="147"/>
      <c r="AN24" s="171">
        <f>IFERROR(U24/2,"0")</f>
      </c>
    </row>
    <row x14ac:dyDescent="0.25" r="25" customHeight="1" ht="18.75">
      <c r="A25" s="158">
        <f>A24+1</f>
      </c>
      <c r="B25" s="159">
        <v>45741</v>
      </c>
      <c r="C25" s="147" t="s">
        <v>423</v>
      </c>
      <c r="D25" s="159">
        <v>45741</v>
      </c>
      <c r="E25" s="147" t="s">
        <v>75</v>
      </c>
      <c r="F25" s="160" t="s">
        <v>11</v>
      </c>
      <c r="G25" s="147" t="s">
        <v>76</v>
      </c>
      <c r="H25" s="147" t="s">
        <v>305</v>
      </c>
      <c r="I25" s="158">
        <v>1109</v>
      </c>
      <c r="J25" s="147" t="s">
        <v>301</v>
      </c>
      <c r="K25" s="158">
        <v>22</v>
      </c>
      <c r="L25" s="147" t="s">
        <v>10</v>
      </c>
      <c r="M25" s="161">
        <f>IFERROR(VLOOKUP(L25,'Material Master'!B:C,2,0),"")</f>
      </c>
      <c r="N25" s="158">
        <v>300</v>
      </c>
      <c r="O25" s="162">
        <f>IFERROR(M25*N25,"")</f>
      </c>
      <c r="P25" s="147" t="s">
        <v>402</v>
      </c>
      <c r="Q25" s="158"/>
      <c r="R25" s="163">
        <v>45717</v>
      </c>
      <c r="S25" s="147"/>
      <c r="T25" s="147"/>
      <c r="U25" s="158">
        <v>143</v>
      </c>
      <c r="V25" s="164">
        <v>31</v>
      </c>
      <c r="W25" s="165">
        <f>IFERROR(U25*V25,"0")</f>
      </c>
      <c r="X25" s="7"/>
      <c r="Y25" s="166">
        <f>IFERROR((O25/1000)*Masters!$C$3,"0")</f>
      </c>
      <c r="Z25" s="167"/>
      <c r="AA25" s="164">
        <f>IFERROR(VLOOKUP(L25,Masters!G:H,2,0),"0")</f>
      </c>
      <c r="AB25" s="166">
        <f>IFERROR(AA25*N25,"0")</f>
      </c>
      <c r="AC25" s="168"/>
      <c r="AD25" s="158"/>
      <c r="AE25" s="166">
        <f>W25+Y25+AB25+AD25</f>
      </c>
      <c r="AF25" s="167"/>
      <c r="AG25" s="169">
        <f>M25&amp;"-"&amp;F25</f>
      </c>
      <c r="AH25" s="166">
        <f>IFERROR(VLOOKUP(AG25,Masters!N:O,2,0),"0")</f>
      </c>
      <c r="AI25" s="166">
        <f>AH25*N25</f>
      </c>
      <c r="AJ25" s="158"/>
      <c r="AK25" s="170">
        <f>AI25-AE25</f>
      </c>
      <c r="AL25" s="167"/>
      <c r="AM25" s="147"/>
      <c r="AN25" s="171">
        <f>IFERROR(U25/2,"0")</f>
      </c>
    </row>
    <row x14ac:dyDescent="0.25" r="26" customHeight="1" ht="18.75">
      <c r="A26" s="158">
        <f>A25+1</f>
      </c>
      <c r="B26" s="159">
        <v>45741</v>
      </c>
      <c r="C26" s="147" t="s">
        <v>424</v>
      </c>
      <c r="D26" s="159">
        <v>45741</v>
      </c>
      <c r="E26" s="147" t="s">
        <v>75</v>
      </c>
      <c r="F26" s="160" t="s">
        <v>11</v>
      </c>
      <c r="G26" s="147" t="s">
        <v>76</v>
      </c>
      <c r="H26" s="147" t="s">
        <v>302</v>
      </c>
      <c r="I26" s="158">
        <v>909</v>
      </c>
      <c r="J26" s="147" t="s">
        <v>301</v>
      </c>
      <c r="K26" s="158">
        <v>23</v>
      </c>
      <c r="L26" s="147" t="s">
        <v>10</v>
      </c>
      <c r="M26" s="161">
        <f>IFERROR(VLOOKUP(L26,'Material Master'!B:C,2,0),"")</f>
      </c>
      <c r="N26" s="158">
        <v>200</v>
      </c>
      <c r="O26" s="162">
        <f>IFERROR(M26*N26,"")</f>
      </c>
      <c r="P26" s="147" t="s">
        <v>402</v>
      </c>
      <c r="Q26" s="158"/>
      <c r="R26" s="163">
        <v>45717</v>
      </c>
      <c r="S26" s="147"/>
      <c r="T26" s="147"/>
      <c r="U26" s="158">
        <v>140</v>
      </c>
      <c r="V26" s="164">
        <v>31</v>
      </c>
      <c r="W26" s="165">
        <f>IFERROR(U26*V26,"0")</f>
      </c>
      <c r="X26" s="7"/>
      <c r="Y26" s="166">
        <f>IFERROR((O26/1000)*Masters!$C$3,"0")</f>
      </c>
      <c r="Z26" s="167"/>
      <c r="AA26" s="164">
        <f>IFERROR(VLOOKUP(L26,Masters!G:H,2,0),"0")</f>
      </c>
      <c r="AB26" s="166">
        <f>IFERROR(AA26*N26,"0")</f>
      </c>
      <c r="AC26" s="168"/>
      <c r="AD26" s="158"/>
      <c r="AE26" s="166">
        <f>W26+Y26+AB26+AD26</f>
      </c>
      <c r="AF26" s="167"/>
      <c r="AG26" s="169">
        <f>M26&amp;"-"&amp;F26</f>
      </c>
      <c r="AH26" s="166">
        <f>IFERROR(VLOOKUP(AG26,Masters!N:O,2,0),"0")</f>
      </c>
      <c r="AI26" s="166">
        <f>AH26*N26</f>
      </c>
      <c r="AJ26" s="158"/>
      <c r="AK26" s="170">
        <f>AI26-AE26</f>
      </c>
      <c r="AL26" s="167"/>
      <c r="AM26" s="147"/>
      <c r="AN26" s="171">
        <f>IFERROR(U26/2,"0")</f>
      </c>
    </row>
    <row x14ac:dyDescent="0.25" r="27" customHeight="1" ht="18.75">
      <c r="A27" s="158">
        <f>A26+1</f>
      </c>
      <c r="B27" s="159">
        <v>45741</v>
      </c>
      <c r="C27" s="147" t="s">
        <v>425</v>
      </c>
      <c r="D27" s="159">
        <v>45742</v>
      </c>
      <c r="E27" s="147" t="s">
        <v>75</v>
      </c>
      <c r="F27" s="160" t="s">
        <v>11</v>
      </c>
      <c r="G27" s="147" t="s">
        <v>76</v>
      </c>
      <c r="H27" s="147" t="s">
        <v>303</v>
      </c>
      <c r="I27" s="158">
        <v>1109</v>
      </c>
      <c r="J27" s="147" t="s">
        <v>301</v>
      </c>
      <c r="K27" s="158">
        <v>28</v>
      </c>
      <c r="L27" s="147" t="s">
        <v>10</v>
      </c>
      <c r="M27" s="161">
        <f>IFERROR(VLOOKUP(L27,'Material Master'!B:C,2,0),"")</f>
      </c>
      <c r="N27" s="158">
        <v>300</v>
      </c>
      <c r="O27" s="162">
        <f>IFERROR(M27*N27,"")</f>
      </c>
      <c r="P27" s="147" t="s">
        <v>402</v>
      </c>
      <c r="Q27" s="158"/>
      <c r="R27" s="163">
        <v>45717</v>
      </c>
      <c r="S27" s="147"/>
      <c r="T27" s="147"/>
      <c r="U27" s="158">
        <v>123</v>
      </c>
      <c r="V27" s="164">
        <v>31</v>
      </c>
      <c r="W27" s="165">
        <f>IFERROR(U27*V27,"0")</f>
      </c>
      <c r="X27" s="7"/>
      <c r="Y27" s="166">
        <f>IFERROR((O27/1000)*Masters!$C$3,"0")</f>
      </c>
      <c r="Z27" s="167"/>
      <c r="AA27" s="164">
        <f>IFERROR(VLOOKUP(L27,Masters!G:H,2,0),"0")</f>
      </c>
      <c r="AB27" s="166">
        <f>IFERROR(AA27*N27,"0")</f>
      </c>
      <c r="AC27" s="168"/>
      <c r="AD27" s="158"/>
      <c r="AE27" s="166">
        <f>W27+Y27+AB27+AD27</f>
      </c>
      <c r="AF27" s="167"/>
      <c r="AG27" s="169">
        <f>M27&amp;"-"&amp;F27</f>
      </c>
      <c r="AH27" s="166">
        <f>IFERROR(VLOOKUP(AG27,Masters!N:O,2,0),"0")</f>
      </c>
      <c r="AI27" s="166">
        <f>AH27*N27</f>
      </c>
      <c r="AJ27" s="158"/>
      <c r="AK27" s="170">
        <f>AI27-AE27</f>
      </c>
      <c r="AL27" s="167"/>
      <c r="AM27" s="147"/>
      <c r="AN27" s="171">
        <f>IFERROR(U27/2,"0")</f>
      </c>
    </row>
    <row x14ac:dyDescent="0.25" r="28" customHeight="1" ht="18.75">
      <c r="A28" s="158">
        <f>A27+1</f>
      </c>
      <c r="B28" s="159">
        <v>45742</v>
      </c>
      <c r="C28" s="147" t="s">
        <v>426</v>
      </c>
      <c r="D28" s="159">
        <v>45742</v>
      </c>
      <c r="E28" s="147" t="s">
        <v>102</v>
      </c>
      <c r="F28" s="160" t="s">
        <v>11</v>
      </c>
      <c r="G28" s="147" t="s">
        <v>103</v>
      </c>
      <c r="H28" s="147" t="s">
        <v>302</v>
      </c>
      <c r="I28" s="158">
        <v>1109</v>
      </c>
      <c r="J28" s="147" t="s">
        <v>301</v>
      </c>
      <c r="K28" s="158">
        <v>27</v>
      </c>
      <c r="L28" s="147" t="s">
        <v>10</v>
      </c>
      <c r="M28" s="161">
        <f>IFERROR(VLOOKUP(L28,'Material Master'!B:C,2,0),"")</f>
      </c>
      <c r="N28" s="158">
        <v>300</v>
      </c>
      <c r="O28" s="162">
        <f>IFERROR(M28*N28,"")</f>
      </c>
      <c r="P28" s="147" t="s">
        <v>402</v>
      </c>
      <c r="Q28" s="158"/>
      <c r="R28" s="163">
        <v>45717</v>
      </c>
      <c r="S28" s="147"/>
      <c r="T28" s="147"/>
      <c r="U28" s="158">
        <v>179</v>
      </c>
      <c r="V28" s="164">
        <v>31</v>
      </c>
      <c r="W28" s="165">
        <f>IFERROR(U28*V28,"0")</f>
      </c>
      <c r="X28" s="7"/>
      <c r="Y28" s="166">
        <f>IFERROR((O28/1000)*Masters!$C$3,"0")</f>
      </c>
      <c r="Z28" s="167"/>
      <c r="AA28" s="164">
        <f>IFERROR(VLOOKUP(L28,Masters!G:H,2,0),"0")</f>
      </c>
      <c r="AB28" s="166">
        <f>IFERROR(AA28*N28,"0")</f>
      </c>
      <c r="AC28" s="168"/>
      <c r="AD28" s="158"/>
      <c r="AE28" s="166">
        <f>W28+Y28+AB28+AD28</f>
      </c>
      <c r="AF28" s="167"/>
      <c r="AG28" s="169">
        <f>M28&amp;"-"&amp;F28</f>
      </c>
      <c r="AH28" s="166">
        <f>IFERROR(VLOOKUP(AG28,Masters!N:O,2,0),"0")</f>
      </c>
      <c r="AI28" s="166">
        <f>AH28*N28</f>
      </c>
      <c r="AJ28" s="158"/>
      <c r="AK28" s="170">
        <f>AI28-AE28</f>
      </c>
      <c r="AL28" s="167"/>
      <c r="AM28" s="147"/>
      <c r="AN28" s="171">
        <f>IFERROR(U28/2,"0")</f>
      </c>
    </row>
    <row x14ac:dyDescent="0.25" r="29" customHeight="1" ht="18.75">
      <c r="A29" s="158">
        <f>A28+1</f>
      </c>
      <c r="B29" s="159">
        <v>45742</v>
      </c>
      <c r="C29" s="147" t="s">
        <v>427</v>
      </c>
      <c r="D29" s="159">
        <v>45742</v>
      </c>
      <c r="E29" s="147" t="s">
        <v>100</v>
      </c>
      <c r="F29" s="160" t="s">
        <v>11</v>
      </c>
      <c r="G29" s="147" t="s">
        <v>101</v>
      </c>
      <c r="H29" s="147" t="s">
        <v>305</v>
      </c>
      <c r="I29" s="158">
        <v>1109</v>
      </c>
      <c r="J29" s="147" t="s">
        <v>301</v>
      </c>
      <c r="K29" s="158">
        <v>26</v>
      </c>
      <c r="L29" s="147" t="s">
        <v>10</v>
      </c>
      <c r="M29" s="161">
        <f>IFERROR(VLOOKUP(L29,'Material Master'!B:C,2,0),"")</f>
      </c>
      <c r="N29" s="158">
        <v>300</v>
      </c>
      <c r="O29" s="162">
        <f>IFERROR(M29*N29,"")</f>
      </c>
      <c r="P29" s="147" t="s">
        <v>402</v>
      </c>
      <c r="Q29" s="158"/>
      <c r="R29" s="163">
        <v>45717</v>
      </c>
      <c r="S29" s="147"/>
      <c r="T29" s="147"/>
      <c r="U29" s="158">
        <v>172</v>
      </c>
      <c r="V29" s="164">
        <v>31</v>
      </c>
      <c r="W29" s="165">
        <f>IFERROR(U29*V29,"0")</f>
      </c>
      <c r="X29" s="7"/>
      <c r="Y29" s="166">
        <f>IFERROR((O29/1000)*Masters!$C$3,"0")</f>
      </c>
      <c r="Z29" s="167"/>
      <c r="AA29" s="164">
        <f>IFERROR(VLOOKUP(L29,Masters!G:H,2,0),"0")</f>
      </c>
      <c r="AB29" s="166">
        <f>IFERROR(AA29*N29,"0")</f>
      </c>
      <c r="AC29" s="168"/>
      <c r="AD29" s="158"/>
      <c r="AE29" s="166">
        <f>W29+Y29+AB29+AD29</f>
      </c>
      <c r="AF29" s="167"/>
      <c r="AG29" s="169">
        <f>M29&amp;"-"&amp;F29</f>
      </c>
      <c r="AH29" s="166">
        <f>IFERROR(VLOOKUP(AG29,Masters!N:O,2,0),"0")</f>
      </c>
      <c r="AI29" s="166">
        <f>AH29*N29</f>
      </c>
      <c r="AJ29" s="158"/>
      <c r="AK29" s="170">
        <f>AI29-AE29</f>
      </c>
      <c r="AL29" s="167"/>
      <c r="AM29" s="147"/>
      <c r="AN29" s="171">
        <f>IFERROR(U29/2,"0")</f>
      </c>
    </row>
    <row x14ac:dyDescent="0.25" r="30" customHeight="1" ht="18.75">
      <c r="A30" s="158">
        <f>A29+1</f>
      </c>
      <c r="B30" s="159">
        <v>45742</v>
      </c>
      <c r="C30" s="147" t="s">
        <v>428</v>
      </c>
      <c r="D30" s="159">
        <v>45742</v>
      </c>
      <c r="E30" s="147" t="s">
        <v>104</v>
      </c>
      <c r="F30" s="147" t="s">
        <v>16</v>
      </c>
      <c r="G30" s="147" t="s">
        <v>105</v>
      </c>
      <c r="H30" s="147" t="s">
        <v>307</v>
      </c>
      <c r="I30" s="158">
        <v>709</v>
      </c>
      <c r="J30" s="172" t="s">
        <v>306</v>
      </c>
      <c r="K30" s="158">
        <v>24</v>
      </c>
      <c r="L30" s="147" t="s">
        <v>10</v>
      </c>
      <c r="M30" s="161">
        <f>IFERROR(VLOOKUP(L30,'Material Master'!B:C,2,0),"")</f>
      </c>
      <c r="N30" s="158">
        <v>100</v>
      </c>
      <c r="O30" s="162">
        <f>IFERROR(M30*N30,"")</f>
      </c>
      <c r="P30" s="147" t="s">
        <v>402</v>
      </c>
      <c r="Q30" s="158"/>
      <c r="R30" s="163">
        <v>45717</v>
      </c>
      <c r="S30" s="147" t="s">
        <v>306</v>
      </c>
      <c r="T30" s="147"/>
      <c r="U30" s="158">
        <v>0</v>
      </c>
      <c r="V30" s="164">
        <v>31</v>
      </c>
      <c r="W30" s="165">
        <v>4500</v>
      </c>
      <c r="X30" s="7"/>
      <c r="Y30" s="166">
        <f>IFERROR((O30/1000)*Masters!$C$3,"0")</f>
      </c>
      <c r="Z30" s="167"/>
      <c r="AA30" s="164">
        <f>IFERROR(VLOOKUP(L30,Masters!G:H,2,0),"0")</f>
      </c>
      <c r="AB30" s="166">
        <f>IFERROR(AA30*N30,"0")</f>
      </c>
      <c r="AC30" s="168"/>
      <c r="AD30" s="158"/>
      <c r="AE30" s="166">
        <f>W30+Y30+AB30+AD30</f>
      </c>
      <c r="AF30" s="167"/>
      <c r="AG30" s="169">
        <f>M30&amp;"-"&amp;F30</f>
      </c>
      <c r="AH30" s="166">
        <f>IFERROR(VLOOKUP(AG30,Masters!N:O,2,0),"0")</f>
      </c>
      <c r="AI30" s="166">
        <f>AH30*N30</f>
      </c>
      <c r="AJ30" s="158"/>
      <c r="AK30" s="170">
        <f>AI30-AE30</f>
      </c>
      <c r="AL30" s="167"/>
      <c r="AM30" s="147"/>
      <c r="AN30" s="171">
        <f>IFERROR(U30/2,"0")</f>
      </c>
    </row>
    <row x14ac:dyDescent="0.25" r="31" customHeight="1" ht="18.75">
      <c r="A31" s="158">
        <f>A30+1</f>
      </c>
      <c r="B31" s="159">
        <v>45742</v>
      </c>
      <c r="C31" s="147" t="s">
        <v>429</v>
      </c>
      <c r="D31" s="159">
        <v>45742</v>
      </c>
      <c r="E31" s="147" t="s">
        <v>106</v>
      </c>
      <c r="F31" s="147" t="s">
        <v>16</v>
      </c>
      <c r="G31" s="147" t="s">
        <v>107</v>
      </c>
      <c r="H31" s="147" t="s">
        <v>308</v>
      </c>
      <c r="I31" s="158">
        <v>1109</v>
      </c>
      <c r="J31" s="172" t="s">
        <v>306</v>
      </c>
      <c r="K31" s="158">
        <v>25</v>
      </c>
      <c r="L31" s="147" t="s">
        <v>10</v>
      </c>
      <c r="M31" s="161">
        <f>IFERROR(VLOOKUP(L31,'Material Master'!B:C,2,0),"")</f>
      </c>
      <c r="N31" s="158">
        <v>300</v>
      </c>
      <c r="O31" s="162">
        <f>IFERROR(M31*N31,"")</f>
      </c>
      <c r="P31" s="147" t="s">
        <v>402</v>
      </c>
      <c r="Q31" s="158"/>
      <c r="R31" s="163">
        <v>45717</v>
      </c>
      <c r="S31" s="147" t="s">
        <v>306</v>
      </c>
      <c r="T31" s="147"/>
      <c r="U31" s="158">
        <v>0</v>
      </c>
      <c r="V31" s="164">
        <v>31</v>
      </c>
      <c r="W31" s="165">
        <v>8500</v>
      </c>
      <c r="X31" s="7"/>
      <c r="Y31" s="166">
        <f>IFERROR((O31/1000)*Masters!$C$3,"0")</f>
      </c>
      <c r="Z31" s="167"/>
      <c r="AA31" s="164">
        <f>IFERROR(VLOOKUP(L31,Masters!G:H,2,0),"0")</f>
      </c>
      <c r="AB31" s="166">
        <f>IFERROR(AA31*N31,"0")</f>
      </c>
      <c r="AC31" s="168"/>
      <c r="AD31" s="158"/>
      <c r="AE31" s="166">
        <f>W31+Y31+AB31+AD31</f>
      </c>
      <c r="AF31" s="167"/>
      <c r="AG31" s="169">
        <f>M31&amp;"-"&amp;F31</f>
      </c>
      <c r="AH31" s="166">
        <f>IFERROR(VLOOKUP(AG31,Masters!N:O,2,0),"0")</f>
      </c>
      <c r="AI31" s="166">
        <f>AH31*N31</f>
      </c>
      <c r="AJ31" s="158"/>
      <c r="AK31" s="170">
        <f>AI31-AE31</f>
      </c>
      <c r="AL31" s="167"/>
      <c r="AM31" s="147"/>
      <c r="AN31" s="171">
        <f>IFERROR(U31/2,"0")</f>
      </c>
    </row>
    <row x14ac:dyDescent="0.25" r="32" customHeight="1" ht="18.75">
      <c r="A32" s="158">
        <f>A31+1</f>
      </c>
      <c r="B32" s="159">
        <v>45742</v>
      </c>
      <c r="C32" s="147" t="s">
        <v>430</v>
      </c>
      <c r="D32" s="159">
        <v>45743</v>
      </c>
      <c r="E32" s="147" t="s">
        <v>108</v>
      </c>
      <c r="F32" s="160" t="s">
        <v>11</v>
      </c>
      <c r="G32" s="147" t="s">
        <v>72</v>
      </c>
      <c r="H32" s="147" t="s">
        <v>302</v>
      </c>
      <c r="I32" s="158">
        <v>1109</v>
      </c>
      <c r="J32" s="147" t="s">
        <v>301</v>
      </c>
      <c r="K32" s="158">
        <v>31</v>
      </c>
      <c r="L32" s="147" t="s">
        <v>15</v>
      </c>
      <c r="M32" s="161">
        <f>IFERROR(VLOOKUP(L32,'Material Master'!B:C,2,0),"")</f>
      </c>
      <c r="N32" s="158">
        <v>30</v>
      </c>
      <c r="O32" s="162">
        <f>IFERROR(M32*N32,"")</f>
      </c>
      <c r="P32" s="147" t="s">
        <v>402</v>
      </c>
      <c r="Q32" s="158"/>
      <c r="R32" s="163">
        <v>45717</v>
      </c>
      <c r="S32" s="147"/>
      <c r="T32" s="147"/>
      <c r="U32" s="158">
        <v>180</v>
      </c>
      <c r="V32" s="164">
        <v>31</v>
      </c>
      <c r="W32" s="165">
        <f>IFERROR(U32*V32,"0")</f>
      </c>
      <c r="X32" s="7"/>
      <c r="Y32" s="166">
        <f>IFERROR((O32/1000)*Masters!$C$3,"0")</f>
      </c>
      <c r="Z32" s="167"/>
      <c r="AA32" s="164">
        <f>IFERROR(VLOOKUP(L32,Masters!G:H,2,0),"0")</f>
      </c>
      <c r="AB32" s="166">
        <f>IFERROR(AA32*N32,"0")</f>
      </c>
      <c r="AC32" s="168"/>
      <c r="AD32" s="158"/>
      <c r="AE32" s="166">
        <f>W32+Y32+AB32+AD32</f>
      </c>
      <c r="AF32" s="167"/>
      <c r="AG32" s="169">
        <f>M32&amp;"-"&amp;F32</f>
      </c>
      <c r="AH32" s="166">
        <f>IFERROR(VLOOKUP(AG32,Masters!N:O,2,0),"0")</f>
      </c>
      <c r="AI32" s="166">
        <f>AH32*N32</f>
      </c>
      <c r="AJ32" s="158"/>
      <c r="AK32" s="170">
        <f>AI32-AE32</f>
      </c>
      <c r="AL32" s="167"/>
      <c r="AM32" s="147"/>
      <c r="AN32" s="171">
        <f>IFERROR(U32/2,"0")</f>
      </c>
    </row>
    <row x14ac:dyDescent="0.25" r="33" customHeight="1" ht="18.75">
      <c r="A33" s="158">
        <f>A32+1</f>
      </c>
      <c r="B33" s="159">
        <v>45742</v>
      </c>
      <c r="C33" s="147" t="s">
        <v>431</v>
      </c>
      <c r="D33" s="159">
        <v>45743</v>
      </c>
      <c r="E33" s="147" t="s">
        <v>109</v>
      </c>
      <c r="F33" s="160" t="s">
        <v>11</v>
      </c>
      <c r="G33" s="147" t="s">
        <v>103</v>
      </c>
      <c r="H33" s="147" t="s">
        <v>303</v>
      </c>
      <c r="I33" s="158">
        <v>1109</v>
      </c>
      <c r="J33" s="147" t="s">
        <v>301</v>
      </c>
      <c r="K33" s="158">
        <v>29</v>
      </c>
      <c r="L33" s="147" t="s">
        <v>10</v>
      </c>
      <c r="M33" s="161">
        <f>IFERROR(VLOOKUP(L33,'Material Master'!B:C,2,0),"")</f>
      </c>
      <c r="N33" s="158">
        <v>300</v>
      </c>
      <c r="O33" s="162">
        <f>IFERROR(M33*N33,"")</f>
      </c>
      <c r="P33" s="147" t="s">
        <v>402</v>
      </c>
      <c r="Q33" s="158"/>
      <c r="R33" s="163">
        <v>45717</v>
      </c>
      <c r="S33" s="147"/>
      <c r="T33" s="147"/>
      <c r="U33" s="158">
        <v>179</v>
      </c>
      <c r="V33" s="164">
        <v>31</v>
      </c>
      <c r="W33" s="165">
        <f>IFERROR(U33*V33,"0")</f>
      </c>
      <c r="X33" s="7"/>
      <c r="Y33" s="166">
        <f>IFERROR((O33/1000)*Masters!$C$3,"0")</f>
      </c>
      <c r="Z33" s="167"/>
      <c r="AA33" s="164">
        <f>IFERROR(VLOOKUP(L33,Masters!G:H,2,0),"0")</f>
      </c>
      <c r="AB33" s="166">
        <f>IFERROR(AA33*N33,"0")</f>
      </c>
      <c r="AC33" s="168"/>
      <c r="AD33" s="158"/>
      <c r="AE33" s="166">
        <f>W33+Y33+AB33+AD33</f>
      </c>
      <c r="AF33" s="167"/>
      <c r="AG33" s="169">
        <f>M33&amp;"-"&amp;F33</f>
      </c>
      <c r="AH33" s="166">
        <f>IFERROR(VLOOKUP(AG33,Masters!N:O,2,0),"0")</f>
      </c>
      <c r="AI33" s="166">
        <f>AH33*N33</f>
      </c>
      <c r="AJ33" s="158"/>
      <c r="AK33" s="170">
        <f>AI33-AE33</f>
      </c>
      <c r="AL33" s="167"/>
      <c r="AM33" s="147"/>
      <c r="AN33" s="171">
        <f>IFERROR(U33/2,"0")</f>
      </c>
    </row>
    <row x14ac:dyDescent="0.25" r="34" customHeight="1" ht="18.75">
      <c r="A34" s="158">
        <f>A33+1</f>
      </c>
      <c r="B34" s="159">
        <v>45742</v>
      </c>
      <c r="C34" s="147" t="s">
        <v>432</v>
      </c>
      <c r="D34" s="159">
        <v>45743</v>
      </c>
      <c r="E34" s="147" t="s">
        <v>110</v>
      </c>
      <c r="F34" s="160" t="s">
        <v>11</v>
      </c>
      <c r="G34" s="147" t="s">
        <v>111</v>
      </c>
      <c r="H34" s="147" t="s">
        <v>304</v>
      </c>
      <c r="I34" s="158">
        <v>1109</v>
      </c>
      <c r="J34" s="147" t="s">
        <v>301</v>
      </c>
      <c r="K34" s="158">
        <v>30</v>
      </c>
      <c r="L34" s="147" t="s">
        <v>10</v>
      </c>
      <c r="M34" s="161">
        <f>IFERROR(VLOOKUP(L34,'Material Master'!B:C,2,0),"")</f>
      </c>
      <c r="N34" s="158">
        <v>300</v>
      </c>
      <c r="O34" s="162">
        <f>IFERROR(M34*N34,"")</f>
      </c>
      <c r="P34" s="147" t="s">
        <v>402</v>
      </c>
      <c r="Q34" s="158"/>
      <c r="R34" s="163">
        <v>45717</v>
      </c>
      <c r="S34" s="147"/>
      <c r="T34" s="147"/>
      <c r="U34" s="158">
        <v>36</v>
      </c>
      <c r="V34" s="164">
        <v>31</v>
      </c>
      <c r="W34" s="165">
        <f>IFERROR(U34*V34,"0")</f>
      </c>
      <c r="X34" s="7"/>
      <c r="Y34" s="166">
        <f>IFERROR((O34/1000)*Masters!$C$3,"0")</f>
      </c>
      <c r="Z34" s="167"/>
      <c r="AA34" s="164">
        <f>IFERROR(VLOOKUP(L34,Masters!G:H,2,0),"0")</f>
      </c>
      <c r="AB34" s="166">
        <f>IFERROR(AA34*N34,"0")</f>
      </c>
      <c r="AC34" s="168"/>
      <c r="AD34" s="158"/>
      <c r="AE34" s="166">
        <f>W34+Y34+AB34+AD34</f>
      </c>
      <c r="AF34" s="167"/>
      <c r="AG34" s="169">
        <f>M34&amp;"-"&amp;F34</f>
      </c>
      <c r="AH34" s="166">
        <f>IFERROR(VLOOKUP(AG34,Masters!N:O,2,0),"0")</f>
      </c>
      <c r="AI34" s="166">
        <f>AH34*N34</f>
      </c>
      <c r="AJ34" s="158"/>
      <c r="AK34" s="170">
        <f>AI34-AE34</f>
      </c>
      <c r="AL34" s="167"/>
      <c r="AM34" s="147"/>
      <c r="AN34" s="171">
        <f>IFERROR(U34/2,"0")</f>
      </c>
    </row>
    <row x14ac:dyDescent="0.25" r="35" customHeight="1" ht="18.75">
      <c r="A35" s="158">
        <f>A34+1</f>
      </c>
      <c r="B35" s="159">
        <v>45743</v>
      </c>
      <c r="C35" s="147" t="s">
        <v>433</v>
      </c>
      <c r="D35" s="159">
        <v>45756</v>
      </c>
      <c r="E35" s="147" t="s">
        <v>119</v>
      </c>
      <c r="F35" s="160" t="s">
        <v>231</v>
      </c>
      <c r="G35" s="147" t="s">
        <v>230</v>
      </c>
      <c r="H35" s="147" t="s">
        <v>302</v>
      </c>
      <c r="I35" s="158">
        <v>1109</v>
      </c>
      <c r="J35" s="147" t="s">
        <v>301</v>
      </c>
      <c r="K35" s="158">
        <v>75</v>
      </c>
      <c r="L35" s="147" t="s">
        <v>10</v>
      </c>
      <c r="M35" s="161">
        <f>IFERROR(VLOOKUP(L35,'Material Master'!B:C,2,0),"")</f>
      </c>
      <c r="N35" s="158">
        <v>300</v>
      </c>
      <c r="O35" s="162">
        <f>IFERROR(M35*N35,"")</f>
      </c>
      <c r="P35" s="147" t="s">
        <v>402</v>
      </c>
      <c r="Q35" s="158"/>
      <c r="R35" s="163">
        <v>45717</v>
      </c>
      <c r="S35" s="147"/>
      <c r="T35" s="147"/>
      <c r="U35" s="158">
        <v>74</v>
      </c>
      <c r="V35" s="164">
        <v>31</v>
      </c>
      <c r="W35" s="165">
        <f>IFERROR(U35*V35,"0")</f>
      </c>
      <c r="X35" s="7"/>
      <c r="Y35" s="166">
        <f>IFERROR((O35/1000)*Masters!$C$3,"0")</f>
      </c>
      <c r="Z35" s="167"/>
      <c r="AA35" s="164">
        <f>IFERROR(VLOOKUP(L35,Masters!G:H,2,0),"0")</f>
      </c>
      <c r="AB35" s="166">
        <f>IFERROR(AA35*N35,"0")</f>
      </c>
      <c r="AC35" s="168"/>
      <c r="AD35" s="158"/>
      <c r="AE35" s="166">
        <f>W35+Y35+AB35+AD35</f>
      </c>
      <c r="AF35" s="167"/>
      <c r="AG35" s="169">
        <f>M35&amp;"-"&amp;F35</f>
      </c>
      <c r="AH35" s="166">
        <f>IFERROR(VLOOKUP(AG35,Masters!N:O,2,0),"0")</f>
      </c>
      <c r="AI35" s="166">
        <f>AH35*N35</f>
      </c>
      <c r="AJ35" s="158"/>
      <c r="AK35" s="170">
        <f>AI35-AE35</f>
      </c>
      <c r="AL35" s="167"/>
      <c r="AM35" s="147"/>
      <c r="AN35" s="171">
        <f>IFERROR(U35/2,"0")</f>
      </c>
    </row>
    <row x14ac:dyDescent="0.25" r="36" customHeight="1" ht="18.75">
      <c r="A36" s="158">
        <f>A35+1</f>
      </c>
      <c r="B36" s="159">
        <v>45743</v>
      </c>
      <c r="C36" s="147" t="s">
        <v>434</v>
      </c>
      <c r="D36" s="159">
        <v>45757</v>
      </c>
      <c r="E36" s="147" t="s">
        <v>119</v>
      </c>
      <c r="F36" s="160" t="s">
        <v>231</v>
      </c>
      <c r="G36" s="147" t="s">
        <v>230</v>
      </c>
      <c r="H36" s="147" t="s">
        <v>303</v>
      </c>
      <c r="I36" s="158">
        <v>1109</v>
      </c>
      <c r="J36" s="147" t="s">
        <v>301</v>
      </c>
      <c r="K36" s="158">
        <v>78</v>
      </c>
      <c r="L36" s="147" t="s">
        <v>10</v>
      </c>
      <c r="M36" s="161">
        <f>IFERROR(VLOOKUP(L36,'Material Master'!B:C,2,0),"")</f>
      </c>
      <c r="N36" s="158">
        <v>300</v>
      </c>
      <c r="O36" s="162">
        <f>IFERROR(M36*N36,"")</f>
      </c>
      <c r="P36" s="147" t="s">
        <v>402</v>
      </c>
      <c r="Q36" s="158"/>
      <c r="R36" s="163">
        <v>45717</v>
      </c>
      <c r="S36" s="147"/>
      <c r="T36" s="147"/>
      <c r="U36" s="158">
        <v>75</v>
      </c>
      <c r="V36" s="164">
        <v>31</v>
      </c>
      <c r="W36" s="165">
        <f>IFERROR(U36*V36,"0")</f>
      </c>
      <c r="X36" s="7"/>
      <c r="Y36" s="166">
        <f>IFERROR((O36/1000)*Masters!$C$3,"0")</f>
      </c>
      <c r="Z36" s="167"/>
      <c r="AA36" s="164">
        <f>IFERROR(VLOOKUP(L36,Masters!G:H,2,0),"0")</f>
      </c>
      <c r="AB36" s="166">
        <f>IFERROR(AA36*N36,"0")</f>
      </c>
      <c r="AC36" s="168"/>
      <c r="AD36" s="158"/>
      <c r="AE36" s="166">
        <f>W36+Y36+AB36+AD36</f>
      </c>
      <c r="AF36" s="167"/>
      <c r="AG36" s="169">
        <f>M36&amp;"-"&amp;F36</f>
      </c>
      <c r="AH36" s="166">
        <f>IFERROR(VLOOKUP(AG36,Masters!N:O,2,0),"0")</f>
      </c>
      <c r="AI36" s="166">
        <f>AH36*N36</f>
      </c>
      <c r="AJ36" s="158"/>
      <c r="AK36" s="170">
        <f>AI36-AE36</f>
      </c>
      <c r="AL36" s="167"/>
      <c r="AM36" s="147"/>
      <c r="AN36" s="171">
        <f>IFERROR(U36/2,"0")</f>
      </c>
    </row>
    <row x14ac:dyDescent="0.25" r="37" customHeight="1" ht="18.75">
      <c r="A37" s="158">
        <f>A36+1</f>
      </c>
      <c r="B37" s="159">
        <v>45743</v>
      </c>
      <c r="C37" s="147" t="s">
        <v>435</v>
      </c>
      <c r="D37" s="159">
        <v>45762</v>
      </c>
      <c r="E37" s="147" t="s">
        <v>119</v>
      </c>
      <c r="F37" s="160" t="s">
        <v>231</v>
      </c>
      <c r="G37" s="147" t="s">
        <v>230</v>
      </c>
      <c r="H37" s="147" t="s">
        <v>436</v>
      </c>
      <c r="I37" s="158">
        <v>1109</v>
      </c>
      <c r="J37" s="147" t="s">
        <v>301</v>
      </c>
      <c r="K37" s="158">
        <v>88</v>
      </c>
      <c r="L37" s="147" t="s">
        <v>10</v>
      </c>
      <c r="M37" s="161">
        <f>IFERROR(VLOOKUP(L37,'Material Master'!B:C,2,0),"")</f>
      </c>
      <c r="N37" s="158">
        <v>300</v>
      </c>
      <c r="O37" s="162">
        <f>IFERROR(M37*N37,"")</f>
      </c>
      <c r="P37" s="147" t="s">
        <v>402</v>
      </c>
      <c r="Q37" s="158"/>
      <c r="R37" s="163">
        <v>45717</v>
      </c>
      <c r="S37" s="147"/>
      <c r="T37" s="147"/>
      <c r="U37" s="158">
        <v>74</v>
      </c>
      <c r="V37" s="164">
        <v>31</v>
      </c>
      <c r="W37" s="165">
        <f>IFERROR(U37*V37,"0")</f>
      </c>
      <c r="X37" s="7"/>
      <c r="Y37" s="166">
        <f>IFERROR((O37/1000)*Masters!$C$3,"0")</f>
      </c>
      <c r="Z37" s="167"/>
      <c r="AA37" s="164">
        <f>IFERROR(VLOOKUP(L37,Masters!G:H,2,0),"0")</f>
      </c>
      <c r="AB37" s="166">
        <f>IFERROR(AA37*N37,"0")</f>
      </c>
      <c r="AC37" s="168"/>
      <c r="AD37" s="158"/>
      <c r="AE37" s="166">
        <f>W37+Y37+AB37+AD37</f>
      </c>
      <c r="AF37" s="167"/>
      <c r="AG37" s="169">
        <f>M37&amp;"-"&amp;F37</f>
      </c>
      <c r="AH37" s="166">
        <f>IFERROR(VLOOKUP(AG37,Masters!N:O,2,0),"0")</f>
      </c>
      <c r="AI37" s="166">
        <f>AH37*N37</f>
      </c>
      <c r="AJ37" s="158"/>
      <c r="AK37" s="170">
        <f>AI37-AE37</f>
      </c>
      <c r="AL37" s="167"/>
      <c r="AM37" s="147"/>
      <c r="AN37" s="171">
        <f>IFERROR(U37/2,"0")</f>
      </c>
    </row>
    <row x14ac:dyDescent="0.25" r="38" customHeight="1" ht="18.75">
      <c r="A38" s="158">
        <f>A37+1</f>
      </c>
      <c r="B38" s="159">
        <v>45743</v>
      </c>
      <c r="C38" s="147" t="s">
        <v>437</v>
      </c>
      <c r="D38" s="159">
        <v>45766</v>
      </c>
      <c r="E38" s="147" t="s">
        <v>119</v>
      </c>
      <c r="F38" s="160" t="s">
        <v>231</v>
      </c>
      <c r="G38" s="147" t="s">
        <v>230</v>
      </c>
      <c r="H38" s="147" t="s">
        <v>438</v>
      </c>
      <c r="I38" s="158">
        <v>1109</v>
      </c>
      <c r="J38" s="147" t="s">
        <v>301</v>
      </c>
      <c r="K38" s="158">
        <v>100</v>
      </c>
      <c r="L38" s="147" t="s">
        <v>10</v>
      </c>
      <c r="M38" s="161">
        <f>IFERROR(VLOOKUP(L38,'Material Master'!B:C,2,0),"")</f>
      </c>
      <c r="N38" s="158">
        <v>300</v>
      </c>
      <c r="O38" s="162">
        <f>IFERROR(M38*N38,"")</f>
      </c>
      <c r="P38" s="147" t="s">
        <v>402</v>
      </c>
      <c r="Q38" s="158"/>
      <c r="R38" s="163">
        <v>45717</v>
      </c>
      <c r="S38" s="147"/>
      <c r="T38" s="147"/>
      <c r="U38" s="158">
        <v>67</v>
      </c>
      <c r="V38" s="164">
        <v>31</v>
      </c>
      <c r="W38" s="165">
        <f>IFERROR(U38*V38,"0")</f>
      </c>
      <c r="X38" s="7"/>
      <c r="Y38" s="166">
        <f>IFERROR((O38/1000)*Masters!$C$3,"0")</f>
      </c>
      <c r="Z38" s="167"/>
      <c r="AA38" s="164">
        <f>IFERROR(VLOOKUP(L38,Masters!G:H,2,0),"0")</f>
      </c>
      <c r="AB38" s="166">
        <f>IFERROR(AA38*N38,"0")</f>
      </c>
      <c r="AC38" s="168"/>
      <c r="AD38" s="158"/>
      <c r="AE38" s="166">
        <f>W38+Y38+AB38+AD38</f>
      </c>
      <c r="AF38" s="167"/>
      <c r="AG38" s="169">
        <f>M38&amp;"-"&amp;F38</f>
      </c>
      <c r="AH38" s="166">
        <f>IFERROR(VLOOKUP(AG38,Masters!N:O,2,0),"0")</f>
      </c>
      <c r="AI38" s="166">
        <f>AH38*N38</f>
      </c>
      <c r="AJ38" s="158"/>
      <c r="AK38" s="170">
        <f>AI38-AE38</f>
      </c>
      <c r="AL38" s="167"/>
      <c r="AM38" s="147"/>
      <c r="AN38" s="171">
        <f>IFERROR(U38/2,"0")</f>
      </c>
    </row>
    <row x14ac:dyDescent="0.25" r="39" customHeight="1" ht="18.75">
      <c r="A39" s="158">
        <f>A38+1</f>
      </c>
      <c r="B39" s="159">
        <v>45743</v>
      </c>
      <c r="C39" s="147" t="s">
        <v>439</v>
      </c>
      <c r="D39" s="159">
        <v>45769</v>
      </c>
      <c r="E39" s="147" t="s">
        <v>119</v>
      </c>
      <c r="F39" s="160" t="s">
        <v>231</v>
      </c>
      <c r="G39" s="147" t="s">
        <v>230</v>
      </c>
      <c r="H39" s="147" t="s">
        <v>440</v>
      </c>
      <c r="I39" s="158">
        <v>1109</v>
      </c>
      <c r="J39" s="147" t="s">
        <v>301</v>
      </c>
      <c r="K39" s="158">
        <v>105</v>
      </c>
      <c r="L39" s="147" t="s">
        <v>10</v>
      </c>
      <c r="M39" s="161">
        <f>IFERROR(VLOOKUP(L39,'Material Master'!B:C,2,0),"")</f>
      </c>
      <c r="N39" s="158">
        <v>300</v>
      </c>
      <c r="O39" s="162">
        <f>IFERROR(M39*N39,"")</f>
      </c>
      <c r="P39" s="147" t="s">
        <v>402</v>
      </c>
      <c r="Q39" s="158"/>
      <c r="R39" s="163">
        <v>45717</v>
      </c>
      <c r="S39" s="147"/>
      <c r="T39" s="147"/>
      <c r="U39" s="158">
        <v>90</v>
      </c>
      <c r="V39" s="164">
        <v>31</v>
      </c>
      <c r="W39" s="165">
        <f>IFERROR(U39*V39,"0")</f>
      </c>
      <c r="X39" s="7"/>
      <c r="Y39" s="166">
        <f>IFERROR((O39/1000)*Masters!$C$3,"0")</f>
      </c>
      <c r="Z39" s="167"/>
      <c r="AA39" s="164">
        <f>IFERROR(VLOOKUP(L39,Masters!G:H,2,0),"0")</f>
      </c>
      <c r="AB39" s="166">
        <f>IFERROR(AA39*N39,"0")</f>
      </c>
      <c r="AC39" s="168"/>
      <c r="AD39" s="158"/>
      <c r="AE39" s="166">
        <f>W39+Y39+AB39+AD39</f>
      </c>
      <c r="AF39" s="167"/>
      <c r="AG39" s="169">
        <f>M39&amp;"-"&amp;F39</f>
      </c>
      <c r="AH39" s="166">
        <f>IFERROR(VLOOKUP(AG39,Masters!N:O,2,0),"0")</f>
      </c>
      <c r="AI39" s="166">
        <f>AH39*N39</f>
      </c>
      <c r="AJ39" s="158"/>
      <c r="AK39" s="170">
        <f>AI39-AE39</f>
      </c>
      <c r="AL39" s="167"/>
      <c r="AM39" s="147"/>
      <c r="AN39" s="171">
        <f>IFERROR(U39/2,"0")</f>
      </c>
    </row>
    <row x14ac:dyDescent="0.25" r="40" customHeight="1" ht="18.75">
      <c r="A40" s="158">
        <f>A39+1</f>
      </c>
      <c r="B40" s="159">
        <v>45744</v>
      </c>
      <c r="C40" s="147" t="s">
        <v>441</v>
      </c>
      <c r="D40" s="159">
        <v>45744</v>
      </c>
      <c r="E40" s="147" t="s">
        <v>116</v>
      </c>
      <c r="F40" s="160" t="s">
        <v>16</v>
      </c>
      <c r="G40" s="147" t="s">
        <v>107</v>
      </c>
      <c r="H40" s="147" t="s">
        <v>304</v>
      </c>
      <c r="I40" s="158">
        <v>1109</v>
      </c>
      <c r="J40" s="147" t="s">
        <v>301</v>
      </c>
      <c r="K40" s="158">
        <v>35</v>
      </c>
      <c r="L40" s="147" t="s">
        <v>10</v>
      </c>
      <c r="M40" s="161">
        <f>IFERROR(VLOOKUP(L40,'Material Master'!B:C,2,0),"")</f>
      </c>
      <c r="N40" s="158">
        <v>300</v>
      </c>
      <c r="O40" s="162">
        <f>IFERROR(M40*N40,"")</f>
      </c>
      <c r="P40" s="147" t="s">
        <v>402</v>
      </c>
      <c r="Q40" s="158"/>
      <c r="R40" s="163">
        <v>45717</v>
      </c>
      <c r="S40" s="147"/>
      <c r="T40" s="147"/>
      <c r="U40" s="158">
        <v>372</v>
      </c>
      <c r="V40" s="164">
        <v>31</v>
      </c>
      <c r="W40" s="165">
        <f>IFERROR(U40*V40,"0")</f>
      </c>
      <c r="X40" s="7"/>
      <c r="Y40" s="166">
        <f>IFERROR((O40/1000)*Masters!$C$3,"0")</f>
      </c>
      <c r="Z40" s="167"/>
      <c r="AA40" s="164">
        <f>IFERROR(VLOOKUP(L40,Masters!G:H,2,0),"0")</f>
      </c>
      <c r="AB40" s="166">
        <f>IFERROR(AA40*N40,"0")</f>
      </c>
      <c r="AC40" s="168"/>
      <c r="AD40" s="158"/>
      <c r="AE40" s="166">
        <f>W40+Y40+AB40+AD40</f>
      </c>
      <c r="AF40" s="167"/>
      <c r="AG40" s="169">
        <f>M40&amp;"-"&amp;F40</f>
      </c>
      <c r="AH40" s="166">
        <f>IFERROR(VLOOKUP(AG40,Masters!N:O,2,0),"0")</f>
      </c>
      <c r="AI40" s="166">
        <f>AH40*N40</f>
      </c>
      <c r="AJ40" s="158"/>
      <c r="AK40" s="170">
        <f>AI40-AE40</f>
      </c>
      <c r="AL40" s="167"/>
      <c r="AM40" s="147"/>
      <c r="AN40" s="171">
        <f>IFERROR(U40/2,"0")</f>
      </c>
    </row>
    <row x14ac:dyDescent="0.25" r="41" customHeight="1" ht="18.75">
      <c r="A41" s="158">
        <f>A40+1</f>
      </c>
      <c r="B41" s="159">
        <v>45744</v>
      </c>
      <c r="C41" s="147" t="s">
        <v>442</v>
      </c>
      <c r="D41" s="159">
        <v>45744</v>
      </c>
      <c r="E41" s="147" t="s">
        <v>114</v>
      </c>
      <c r="F41" s="160" t="s">
        <v>16</v>
      </c>
      <c r="G41" s="147" t="s">
        <v>115</v>
      </c>
      <c r="H41" s="147" t="s">
        <v>309</v>
      </c>
      <c r="I41" s="158">
        <v>709</v>
      </c>
      <c r="J41" s="147" t="s">
        <v>301</v>
      </c>
      <c r="K41" s="158">
        <v>33</v>
      </c>
      <c r="L41" s="147" t="s">
        <v>10</v>
      </c>
      <c r="M41" s="161">
        <f>IFERROR(VLOOKUP(L41,'Material Master'!B:C,2,0),"")</f>
      </c>
      <c r="N41" s="158">
        <v>100</v>
      </c>
      <c r="O41" s="162">
        <f>IFERROR(M41*N41,"")</f>
      </c>
      <c r="P41" s="147" t="s">
        <v>402</v>
      </c>
      <c r="Q41" s="158"/>
      <c r="R41" s="163">
        <v>45717</v>
      </c>
      <c r="S41" s="147"/>
      <c r="T41" s="147"/>
      <c r="U41" s="158">
        <v>280</v>
      </c>
      <c r="V41" s="164">
        <v>31</v>
      </c>
      <c r="W41" s="165">
        <f>IFERROR(U41*V41,"0")</f>
      </c>
      <c r="X41" s="7"/>
      <c r="Y41" s="166">
        <f>IFERROR((O41/1000)*Masters!$C$3,"0")</f>
      </c>
      <c r="Z41" s="167"/>
      <c r="AA41" s="164">
        <f>IFERROR(VLOOKUP(L41,Masters!G:H,2,0),"0")</f>
      </c>
      <c r="AB41" s="166">
        <f>IFERROR(AA41*N41,"0")</f>
      </c>
      <c r="AC41" s="168"/>
      <c r="AD41" s="158"/>
      <c r="AE41" s="166">
        <f>W41+Y41+AB41+AD41</f>
      </c>
      <c r="AF41" s="167"/>
      <c r="AG41" s="169">
        <f>M41&amp;"-"&amp;F41</f>
      </c>
      <c r="AH41" s="166">
        <f>IFERROR(VLOOKUP(AG41,Masters!N:O,2,0),"0")</f>
      </c>
      <c r="AI41" s="166">
        <f>AH41*N41</f>
      </c>
      <c r="AJ41" s="158"/>
      <c r="AK41" s="170">
        <f>AI41-AE41</f>
      </c>
      <c r="AL41" s="167"/>
      <c r="AM41" s="147"/>
      <c r="AN41" s="171">
        <f>IFERROR(U41/2,"0")</f>
      </c>
    </row>
    <row x14ac:dyDescent="0.25" r="42" customHeight="1" ht="18.75">
      <c r="A42" s="158">
        <f>A41+1</f>
      </c>
      <c r="B42" s="159">
        <v>45744</v>
      </c>
      <c r="C42" s="147" t="s">
        <v>443</v>
      </c>
      <c r="D42" s="159">
        <v>45744</v>
      </c>
      <c r="E42" s="147" t="s">
        <v>83</v>
      </c>
      <c r="F42" s="160" t="s">
        <v>11</v>
      </c>
      <c r="G42" s="147" t="s">
        <v>72</v>
      </c>
      <c r="H42" s="147" t="s">
        <v>305</v>
      </c>
      <c r="I42" s="158">
        <v>1109</v>
      </c>
      <c r="J42" s="147" t="s">
        <v>301</v>
      </c>
      <c r="K42" s="158">
        <v>34</v>
      </c>
      <c r="L42" s="147" t="s">
        <v>10</v>
      </c>
      <c r="M42" s="161">
        <f>IFERROR(VLOOKUP(L42,'Material Master'!B:C,2,0),"")</f>
      </c>
      <c r="N42" s="158">
        <v>300</v>
      </c>
      <c r="O42" s="162">
        <f>IFERROR(M42*N42,"")</f>
      </c>
      <c r="P42" s="147" t="s">
        <v>402</v>
      </c>
      <c r="Q42" s="158"/>
      <c r="R42" s="163">
        <v>45717</v>
      </c>
      <c r="S42" s="147"/>
      <c r="T42" s="147"/>
      <c r="U42" s="158">
        <v>179</v>
      </c>
      <c r="V42" s="164">
        <v>31</v>
      </c>
      <c r="W42" s="165">
        <f>IFERROR(U42*V42,"0")</f>
      </c>
      <c r="X42" s="7"/>
      <c r="Y42" s="166">
        <f>IFERROR((O42/1000)*Masters!$C$3,"0")</f>
      </c>
      <c r="Z42" s="167"/>
      <c r="AA42" s="164">
        <f>IFERROR(VLOOKUP(L42,Masters!G:H,2,0),"0")</f>
      </c>
      <c r="AB42" s="166">
        <f>IFERROR(AA42*N42,"0")</f>
      </c>
      <c r="AC42" s="168"/>
      <c r="AD42" s="158"/>
      <c r="AE42" s="166">
        <f>W42+Y42+AB42+AD42</f>
      </c>
      <c r="AF42" s="167"/>
      <c r="AG42" s="169">
        <f>M42&amp;"-"&amp;F42</f>
      </c>
      <c r="AH42" s="166">
        <f>IFERROR(VLOOKUP(AG42,Masters!N:O,2,0),"0")</f>
      </c>
      <c r="AI42" s="166">
        <f>AH42*N42</f>
      </c>
      <c r="AJ42" s="158"/>
      <c r="AK42" s="170">
        <f>AI42-AE42</f>
      </c>
      <c r="AL42" s="167"/>
      <c r="AM42" s="147"/>
      <c r="AN42" s="171">
        <f>IFERROR(U42/2,"0")</f>
      </c>
    </row>
    <row x14ac:dyDescent="0.25" r="43" customHeight="1" ht="18.75">
      <c r="A43" s="158">
        <f>A42+1</f>
      </c>
      <c r="B43" s="159">
        <v>45744</v>
      </c>
      <c r="C43" s="147" t="s">
        <v>444</v>
      </c>
      <c r="D43" s="159">
        <v>45744</v>
      </c>
      <c r="E43" s="147" t="s">
        <v>112</v>
      </c>
      <c r="F43" s="160" t="s">
        <v>11</v>
      </c>
      <c r="G43" s="147" t="s">
        <v>113</v>
      </c>
      <c r="H43" s="147" t="s">
        <v>303</v>
      </c>
      <c r="I43" s="158">
        <v>909</v>
      </c>
      <c r="J43" s="147" t="s">
        <v>301</v>
      </c>
      <c r="K43" s="158">
        <v>32</v>
      </c>
      <c r="L43" s="147" t="s">
        <v>10</v>
      </c>
      <c r="M43" s="161">
        <f>IFERROR(VLOOKUP(L43,'Material Master'!B:C,2,0),"")</f>
      </c>
      <c r="N43" s="158">
        <v>200</v>
      </c>
      <c r="O43" s="162">
        <f>IFERROR(M43*N43,"")</f>
      </c>
      <c r="P43" s="147" t="s">
        <v>402</v>
      </c>
      <c r="Q43" s="158"/>
      <c r="R43" s="163">
        <v>45717</v>
      </c>
      <c r="S43" s="147"/>
      <c r="T43" s="147"/>
      <c r="U43" s="158">
        <v>175</v>
      </c>
      <c r="V43" s="164">
        <v>31</v>
      </c>
      <c r="W43" s="165">
        <f>IFERROR(U43*V43,"0")</f>
      </c>
      <c r="X43" s="7"/>
      <c r="Y43" s="166">
        <f>IFERROR((O43/1000)*Masters!$C$3,"0")</f>
      </c>
      <c r="Z43" s="167"/>
      <c r="AA43" s="164">
        <f>IFERROR(VLOOKUP(L43,Masters!G:H,2,0),"0")</f>
      </c>
      <c r="AB43" s="166">
        <f>IFERROR(AA43*N43,"0")</f>
      </c>
      <c r="AC43" s="168"/>
      <c r="AD43" s="158"/>
      <c r="AE43" s="166">
        <f>W43+Y43+AB43+AD43</f>
      </c>
      <c r="AF43" s="167"/>
      <c r="AG43" s="169">
        <f>M43&amp;"-"&amp;F43</f>
      </c>
      <c r="AH43" s="166">
        <f>IFERROR(VLOOKUP(AG43,Masters!N:O,2,0),"0")</f>
      </c>
      <c r="AI43" s="166">
        <f>AH43*N43</f>
      </c>
      <c r="AJ43" s="158"/>
      <c r="AK43" s="170">
        <f>AI43-AE43</f>
      </c>
      <c r="AL43" s="167"/>
      <c r="AM43" s="147"/>
      <c r="AN43" s="171">
        <f>IFERROR(U43/2,"0")</f>
      </c>
    </row>
    <row x14ac:dyDescent="0.25" r="44" customHeight="1" ht="18.75">
      <c r="A44" s="158">
        <f>A43+1</f>
      </c>
      <c r="B44" s="159">
        <v>45744</v>
      </c>
      <c r="C44" s="147" t="s">
        <v>445</v>
      </c>
      <c r="D44" s="159">
        <v>45744</v>
      </c>
      <c r="E44" s="147" t="s">
        <v>118</v>
      </c>
      <c r="F44" s="160" t="s">
        <v>11</v>
      </c>
      <c r="G44" s="147" t="s">
        <v>103</v>
      </c>
      <c r="H44" s="147" t="s">
        <v>302</v>
      </c>
      <c r="I44" s="158">
        <v>1109</v>
      </c>
      <c r="J44" s="147" t="s">
        <v>301</v>
      </c>
      <c r="K44" s="158">
        <v>36</v>
      </c>
      <c r="L44" s="147" t="s">
        <v>10</v>
      </c>
      <c r="M44" s="161">
        <f>IFERROR(VLOOKUP(L44,'Material Master'!B:C,2,0),"")</f>
      </c>
      <c r="N44" s="158">
        <v>300</v>
      </c>
      <c r="O44" s="162">
        <f>IFERROR(M44*N44,"")</f>
      </c>
      <c r="P44" s="147" t="s">
        <v>402</v>
      </c>
      <c r="Q44" s="158"/>
      <c r="R44" s="163">
        <v>45717</v>
      </c>
      <c r="S44" s="147"/>
      <c r="T44" s="147"/>
      <c r="U44" s="158">
        <v>147</v>
      </c>
      <c r="V44" s="164">
        <v>31</v>
      </c>
      <c r="W44" s="165">
        <f>IFERROR(U44*V44,"0")</f>
      </c>
      <c r="X44" s="7"/>
      <c r="Y44" s="166">
        <f>IFERROR((O44/1000)*Masters!$C$3,"0")</f>
      </c>
      <c r="Z44" s="167"/>
      <c r="AA44" s="164">
        <f>IFERROR(VLOOKUP(L44,Masters!G:H,2,0),"0")</f>
      </c>
      <c r="AB44" s="166">
        <f>IFERROR(AA44*N44,"0")</f>
      </c>
      <c r="AC44" s="168"/>
      <c r="AD44" s="158"/>
      <c r="AE44" s="166">
        <f>W44+Y44+AB44+AD44</f>
      </c>
      <c r="AF44" s="167"/>
      <c r="AG44" s="169">
        <f>M44&amp;"-"&amp;F44</f>
      </c>
      <c r="AH44" s="166">
        <f>IFERROR(VLOOKUP(AG44,Masters!N:O,2,0),"0")</f>
      </c>
      <c r="AI44" s="166">
        <f>AH44*N44</f>
      </c>
      <c r="AJ44" s="158"/>
      <c r="AK44" s="170">
        <f>AI44-AE44</f>
      </c>
      <c r="AL44" s="167"/>
      <c r="AM44" s="147"/>
      <c r="AN44" s="171">
        <f>IFERROR(U44/2,"0")</f>
      </c>
    </row>
    <row x14ac:dyDescent="0.25" r="45" customHeight="1" ht="18.75">
      <c r="A45" s="158">
        <f>A44+1</f>
      </c>
      <c r="B45" s="159">
        <v>45744</v>
      </c>
      <c r="C45" s="147" t="s">
        <v>446</v>
      </c>
      <c r="D45" s="159">
        <v>45745</v>
      </c>
      <c r="E45" s="147" t="s">
        <v>71</v>
      </c>
      <c r="F45" s="160" t="s">
        <v>11</v>
      </c>
      <c r="G45" s="147" t="s">
        <v>72</v>
      </c>
      <c r="H45" s="147" t="s">
        <v>440</v>
      </c>
      <c r="I45" s="158">
        <v>1109</v>
      </c>
      <c r="J45" s="147" t="s">
        <v>301</v>
      </c>
      <c r="K45" s="158">
        <v>37</v>
      </c>
      <c r="L45" s="147" t="s">
        <v>10</v>
      </c>
      <c r="M45" s="161">
        <f>IFERROR(VLOOKUP(L45,'Material Master'!B:C,2,0),"")</f>
      </c>
      <c r="N45" s="158">
        <v>300</v>
      </c>
      <c r="O45" s="162">
        <f>IFERROR(M45*N45,"")</f>
      </c>
      <c r="P45" s="147" t="s">
        <v>402</v>
      </c>
      <c r="Q45" s="158"/>
      <c r="R45" s="163">
        <v>45717</v>
      </c>
      <c r="S45" s="147"/>
      <c r="T45" s="147"/>
      <c r="U45" s="158">
        <v>189</v>
      </c>
      <c r="V45" s="164">
        <v>31</v>
      </c>
      <c r="W45" s="165">
        <f>IFERROR(U45*V45,"0")</f>
      </c>
      <c r="X45" s="7"/>
      <c r="Y45" s="166">
        <f>IFERROR((O45/1000)*Masters!$C$3,"0")</f>
      </c>
      <c r="Z45" s="167"/>
      <c r="AA45" s="164">
        <f>IFERROR(VLOOKUP(L45,Masters!G:H,2,0),"0")</f>
      </c>
      <c r="AB45" s="166">
        <f>IFERROR(AA45*N45,"0")</f>
      </c>
      <c r="AC45" s="168"/>
      <c r="AD45" s="158"/>
      <c r="AE45" s="166">
        <f>W45+Y45+AB45+AD45</f>
      </c>
      <c r="AF45" s="167"/>
      <c r="AG45" s="169">
        <f>M45&amp;"-"&amp;F45</f>
      </c>
      <c r="AH45" s="166">
        <f>IFERROR(VLOOKUP(AG45,Masters!N:O,2,0),"0")</f>
      </c>
      <c r="AI45" s="166">
        <f>AH45*N45</f>
      </c>
      <c r="AJ45" s="158"/>
      <c r="AK45" s="170">
        <f>AI45-AE45</f>
      </c>
      <c r="AL45" s="167"/>
      <c r="AM45" s="147"/>
      <c r="AN45" s="171">
        <f>IFERROR(U45/2,"0")</f>
      </c>
    </row>
    <row x14ac:dyDescent="0.25" r="46" customHeight="1" ht="18.75">
      <c r="A46" s="158">
        <f>A45+1</f>
      </c>
      <c r="B46" s="159">
        <v>45744</v>
      </c>
      <c r="C46" s="147" t="s">
        <v>447</v>
      </c>
      <c r="D46" s="159">
        <v>45746</v>
      </c>
      <c r="E46" s="147" t="s">
        <v>448</v>
      </c>
      <c r="F46" s="160" t="s">
        <v>11</v>
      </c>
      <c r="G46" s="147" t="s">
        <v>121</v>
      </c>
      <c r="H46" s="147" t="s">
        <v>309</v>
      </c>
      <c r="I46" s="158">
        <v>909</v>
      </c>
      <c r="J46" s="147" t="s">
        <v>301</v>
      </c>
      <c r="K46" s="158">
        <v>41</v>
      </c>
      <c r="L46" s="147" t="s">
        <v>10</v>
      </c>
      <c r="M46" s="161">
        <f>IFERROR(VLOOKUP(L46,'Material Master'!B:C,2,0),"")</f>
      </c>
      <c r="N46" s="158">
        <v>200</v>
      </c>
      <c r="O46" s="162">
        <f>IFERROR(M46*N46,"")</f>
      </c>
      <c r="P46" s="147" t="s">
        <v>402</v>
      </c>
      <c r="Q46" s="158"/>
      <c r="R46" s="163">
        <v>45717</v>
      </c>
      <c r="S46" s="147"/>
      <c r="T46" s="147"/>
      <c r="U46" s="158">
        <v>190</v>
      </c>
      <c r="V46" s="164">
        <v>31</v>
      </c>
      <c r="W46" s="165">
        <f>IFERROR(U46*V46,"0")</f>
      </c>
      <c r="X46" s="7"/>
      <c r="Y46" s="166">
        <f>IFERROR((O46/1000)*Masters!$C$3,"0")</f>
      </c>
      <c r="Z46" s="167"/>
      <c r="AA46" s="164">
        <f>IFERROR(VLOOKUP(L46,Masters!G:H,2,0),"0")</f>
      </c>
      <c r="AB46" s="166">
        <f>IFERROR(AA46*N46,"0")</f>
      </c>
      <c r="AC46" s="168"/>
      <c r="AD46" s="158"/>
      <c r="AE46" s="166">
        <f>W46+Y46+AB46+AD46</f>
      </c>
      <c r="AF46" s="167"/>
      <c r="AG46" s="169">
        <f>M46&amp;"-"&amp;F46</f>
      </c>
      <c r="AH46" s="166">
        <f>IFERROR(VLOOKUP(AG46,Masters!N:O,2,0),"0")</f>
      </c>
      <c r="AI46" s="166">
        <f>AH46*N46</f>
      </c>
      <c r="AJ46" s="158"/>
      <c r="AK46" s="170">
        <f>AI46-AE46</f>
      </c>
      <c r="AL46" s="167"/>
      <c r="AM46" s="147"/>
      <c r="AN46" s="171">
        <f>IFERROR(U46/2,"0")</f>
      </c>
    </row>
    <row x14ac:dyDescent="0.25" r="47" customHeight="1" ht="18.75">
      <c r="A47" s="158">
        <f>A46+1</f>
      </c>
      <c r="B47" s="159">
        <v>45745</v>
      </c>
      <c r="C47" s="147" t="s">
        <v>449</v>
      </c>
      <c r="D47" s="159">
        <v>45745</v>
      </c>
      <c r="E47" s="147" t="s">
        <v>122</v>
      </c>
      <c r="F47" s="160" t="s">
        <v>11</v>
      </c>
      <c r="G47" s="147" t="s">
        <v>123</v>
      </c>
      <c r="H47" s="147" t="s">
        <v>450</v>
      </c>
      <c r="I47" s="158">
        <v>1109</v>
      </c>
      <c r="J47" s="147" t="s">
        <v>301</v>
      </c>
      <c r="K47" s="158">
        <v>39</v>
      </c>
      <c r="L47" s="147" t="s">
        <v>10</v>
      </c>
      <c r="M47" s="161">
        <f>IFERROR(VLOOKUP(L47,'Material Master'!B:C,2,0),"")</f>
      </c>
      <c r="N47" s="158">
        <v>300</v>
      </c>
      <c r="O47" s="162">
        <f>IFERROR(M47*N47,"")</f>
      </c>
      <c r="P47" s="147" t="s">
        <v>402</v>
      </c>
      <c r="Q47" s="158"/>
      <c r="R47" s="163">
        <v>45717</v>
      </c>
      <c r="S47" s="147"/>
      <c r="T47" s="147"/>
      <c r="U47" s="158">
        <v>134</v>
      </c>
      <c r="V47" s="164">
        <v>31</v>
      </c>
      <c r="W47" s="165">
        <f>IFERROR(U47*V47,"0")</f>
      </c>
      <c r="X47" s="7"/>
      <c r="Y47" s="166">
        <f>IFERROR((O47/1000)*Masters!$C$3,"0")</f>
      </c>
      <c r="Z47" s="167"/>
      <c r="AA47" s="164">
        <f>IFERROR(VLOOKUP(L47,Masters!G:H,2,0),"0")</f>
      </c>
      <c r="AB47" s="166">
        <f>IFERROR(AA47*N47,"0")</f>
      </c>
      <c r="AC47" s="168"/>
      <c r="AD47" s="158"/>
      <c r="AE47" s="166">
        <f>W47+Y47+AB47+AD47</f>
      </c>
      <c r="AF47" s="167"/>
      <c r="AG47" s="169">
        <f>M47&amp;"-"&amp;F47</f>
      </c>
      <c r="AH47" s="166">
        <f>IFERROR(VLOOKUP(AG47,Masters!N:O,2,0),"0")</f>
      </c>
      <c r="AI47" s="166">
        <f>AH47*N47</f>
      </c>
      <c r="AJ47" s="158"/>
      <c r="AK47" s="170">
        <f>AI47-AE47</f>
      </c>
      <c r="AL47" s="167"/>
      <c r="AM47" s="147"/>
      <c r="AN47" s="171">
        <f>IFERROR(U47/2,"0")</f>
      </c>
    </row>
    <row x14ac:dyDescent="0.25" r="48" customHeight="1" ht="18.75">
      <c r="A48" s="158">
        <f>A47+1</f>
      </c>
      <c r="B48" s="159">
        <v>45745</v>
      </c>
      <c r="C48" s="147" t="s">
        <v>451</v>
      </c>
      <c r="D48" s="159">
        <v>45745</v>
      </c>
      <c r="E48" s="147" t="s">
        <v>124</v>
      </c>
      <c r="F48" s="160" t="s">
        <v>16</v>
      </c>
      <c r="G48" s="147" t="s">
        <v>125</v>
      </c>
      <c r="H48" s="147" t="s">
        <v>305</v>
      </c>
      <c r="I48" s="158">
        <v>1109</v>
      </c>
      <c r="J48" s="147" t="s">
        <v>301</v>
      </c>
      <c r="K48" s="158">
        <v>40</v>
      </c>
      <c r="L48" s="147" t="s">
        <v>10</v>
      </c>
      <c r="M48" s="161">
        <f>IFERROR(VLOOKUP(L48,'Material Master'!B:C,2,0),"")</f>
      </c>
      <c r="N48" s="158">
        <v>300</v>
      </c>
      <c r="O48" s="162">
        <f>IFERROR(M48*N48,"")</f>
      </c>
      <c r="P48" s="147" t="s">
        <v>402</v>
      </c>
      <c r="Q48" s="158"/>
      <c r="R48" s="163">
        <v>45717</v>
      </c>
      <c r="S48" s="147"/>
      <c r="T48" s="147"/>
      <c r="U48" s="158">
        <v>298</v>
      </c>
      <c r="V48" s="164">
        <v>31</v>
      </c>
      <c r="W48" s="165">
        <f>IFERROR(U48*V48,"0")</f>
      </c>
      <c r="X48" s="7"/>
      <c r="Y48" s="166">
        <f>IFERROR((O48/1000)*Masters!$C$3,"0")</f>
      </c>
      <c r="Z48" s="167"/>
      <c r="AA48" s="164">
        <f>IFERROR(VLOOKUP(L48,Masters!G:H,2,0),"0")</f>
      </c>
      <c r="AB48" s="166">
        <f>IFERROR(AA48*N48,"0")</f>
      </c>
      <c r="AC48" s="168"/>
      <c r="AD48" s="158"/>
      <c r="AE48" s="166">
        <f>W48+Y48+AB48+AD48</f>
      </c>
      <c r="AF48" s="167"/>
      <c r="AG48" s="169">
        <f>M48&amp;"-"&amp;F48</f>
      </c>
      <c r="AH48" s="166">
        <f>IFERROR(VLOOKUP(AG48,Masters!N:O,2,0),"0")</f>
      </c>
      <c r="AI48" s="166">
        <f>AH48*N48</f>
      </c>
      <c r="AJ48" s="158"/>
      <c r="AK48" s="170">
        <f>AI48-AE48</f>
      </c>
      <c r="AL48" s="167"/>
      <c r="AM48" s="147"/>
      <c r="AN48" s="171">
        <f>IFERROR(U48/2,"0")</f>
      </c>
    </row>
    <row x14ac:dyDescent="0.25" r="49" customHeight="1" ht="18.75">
      <c r="A49" s="158">
        <f>A48+1</f>
      </c>
      <c r="B49" s="159">
        <v>45745</v>
      </c>
      <c r="C49" s="147" t="s">
        <v>452</v>
      </c>
      <c r="D49" s="159">
        <v>45745</v>
      </c>
      <c r="E49" s="147" t="s">
        <v>83</v>
      </c>
      <c r="F49" s="160" t="s">
        <v>11</v>
      </c>
      <c r="G49" s="147" t="s">
        <v>72</v>
      </c>
      <c r="H49" s="147" t="s">
        <v>303</v>
      </c>
      <c r="I49" s="158">
        <v>1109</v>
      </c>
      <c r="J49" s="147" t="s">
        <v>301</v>
      </c>
      <c r="K49" s="158">
        <v>38</v>
      </c>
      <c r="L49" s="147" t="s">
        <v>10</v>
      </c>
      <c r="M49" s="161">
        <f>IFERROR(VLOOKUP(L49,'Material Master'!B:C,2,0),"")</f>
      </c>
      <c r="N49" s="158">
        <v>300</v>
      </c>
      <c r="O49" s="162">
        <f>IFERROR(M49*N49,"")</f>
      </c>
      <c r="P49" s="147" t="s">
        <v>402</v>
      </c>
      <c r="Q49" s="158"/>
      <c r="R49" s="163">
        <v>45717</v>
      </c>
      <c r="S49" s="147"/>
      <c r="T49" s="147"/>
      <c r="U49" s="158">
        <v>181</v>
      </c>
      <c r="V49" s="164">
        <v>31</v>
      </c>
      <c r="W49" s="165">
        <f>IFERROR(U49*V49,"0")</f>
      </c>
      <c r="X49" s="7"/>
      <c r="Y49" s="166">
        <f>IFERROR((O49/1000)*Masters!$C$3,"0")</f>
      </c>
      <c r="Z49" s="167"/>
      <c r="AA49" s="164">
        <f>IFERROR(VLOOKUP(L49,Masters!G:H,2,0),"0")</f>
      </c>
      <c r="AB49" s="166">
        <f>IFERROR(AA49*N49,"0")</f>
      </c>
      <c r="AC49" s="168"/>
      <c r="AD49" s="158"/>
      <c r="AE49" s="166">
        <f>W49+Y49+AB49+AD49</f>
      </c>
      <c r="AF49" s="167"/>
      <c r="AG49" s="169">
        <f>M49&amp;"-"&amp;F49</f>
      </c>
      <c r="AH49" s="166">
        <f>IFERROR(VLOOKUP(AG49,Masters!N:O,2,0),"0")</f>
      </c>
      <c r="AI49" s="166">
        <f>AH49*N49</f>
      </c>
      <c r="AJ49" s="158"/>
      <c r="AK49" s="170">
        <f>AI49-AE49</f>
      </c>
      <c r="AL49" s="167"/>
      <c r="AM49" s="147"/>
      <c r="AN49" s="171">
        <f>IFERROR(U49/2,"0")</f>
      </c>
    </row>
    <row x14ac:dyDescent="0.25" r="50" customHeight="1" ht="18.75">
      <c r="A50" s="158">
        <f>A49+1</f>
      </c>
      <c r="B50" s="159">
        <v>45746</v>
      </c>
      <c r="C50" s="147" t="s">
        <v>453</v>
      </c>
      <c r="D50" s="159">
        <v>45746</v>
      </c>
      <c r="E50" s="147" t="s">
        <v>126</v>
      </c>
      <c r="F50" s="160" t="s">
        <v>16</v>
      </c>
      <c r="G50" s="147" t="s">
        <v>197</v>
      </c>
      <c r="H50" s="147" t="s">
        <v>304</v>
      </c>
      <c r="I50" s="158">
        <v>1109</v>
      </c>
      <c r="J50" s="147" t="s">
        <v>301</v>
      </c>
      <c r="K50" s="158">
        <v>43</v>
      </c>
      <c r="L50" s="147" t="s">
        <v>10</v>
      </c>
      <c r="M50" s="161">
        <f>IFERROR(VLOOKUP(L50,'Material Master'!B:C,2,0),"")</f>
      </c>
      <c r="N50" s="158">
        <v>225</v>
      </c>
      <c r="O50" s="162">
        <f>IFERROR(M50*N50,"")</f>
      </c>
      <c r="P50" s="147" t="s">
        <v>402</v>
      </c>
      <c r="Q50" s="158"/>
      <c r="R50" s="163">
        <v>45717</v>
      </c>
      <c r="S50" s="147"/>
      <c r="T50" s="147"/>
      <c r="U50" s="158">
        <v>217</v>
      </c>
      <c r="V50" s="164">
        <v>31</v>
      </c>
      <c r="W50" s="165">
        <f>IFERROR(U50*V50,"0")</f>
      </c>
      <c r="X50" s="7"/>
      <c r="Y50" s="166">
        <f>IFERROR((O50/1000)*Masters!$C$3,"0")</f>
      </c>
      <c r="Z50" s="167"/>
      <c r="AA50" s="164">
        <f>IFERROR(VLOOKUP(L50,Masters!G:H,2,0),"0")</f>
      </c>
      <c r="AB50" s="166">
        <f>IFERROR(AA50*N50,"0")</f>
      </c>
      <c r="AC50" s="168"/>
      <c r="AD50" s="158"/>
      <c r="AE50" s="166">
        <f>W50+Y50+AB50+AD50</f>
      </c>
      <c r="AF50" s="167"/>
      <c r="AG50" s="169">
        <f>M50&amp;"-"&amp;F50</f>
      </c>
      <c r="AH50" s="166">
        <f>IFERROR(VLOOKUP(AG50,Masters!N:O,2,0),"0")</f>
      </c>
      <c r="AI50" s="166">
        <f>AH50*N50</f>
      </c>
      <c r="AJ50" s="158"/>
      <c r="AK50" s="170">
        <f>AI50-AE50</f>
      </c>
      <c r="AL50" s="167"/>
      <c r="AM50" s="147"/>
      <c r="AN50" s="171">
        <f>IFERROR(U50/2,"0")</f>
      </c>
    </row>
    <row x14ac:dyDescent="0.25" r="51" customHeight="1" ht="18.75">
      <c r="A51" s="158">
        <f>A50+1</f>
      </c>
      <c r="B51" s="159">
        <v>45746</v>
      </c>
      <c r="C51" s="147" t="s">
        <v>454</v>
      </c>
      <c r="D51" s="159">
        <v>45748</v>
      </c>
      <c r="E51" s="147" t="s">
        <v>128</v>
      </c>
      <c r="F51" s="160" t="s">
        <v>19</v>
      </c>
      <c r="G51" s="147" t="s">
        <v>129</v>
      </c>
      <c r="H51" s="147" t="s">
        <v>309</v>
      </c>
      <c r="I51" s="158">
        <v>709</v>
      </c>
      <c r="J51" s="147" t="s">
        <v>301</v>
      </c>
      <c r="K51" s="158">
        <v>49</v>
      </c>
      <c r="L51" s="147" t="s">
        <v>10</v>
      </c>
      <c r="M51" s="161">
        <f>IFERROR(VLOOKUP(L51,'Material Master'!B:C,2,0),"")</f>
      </c>
      <c r="N51" s="158">
        <v>100</v>
      </c>
      <c r="O51" s="162">
        <f>IFERROR(M51*N51,"")</f>
      </c>
      <c r="P51" s="147" t="s">
        <v>402</v>
      </c>
      <c r="Q51" s="158"/>
      <c r="R51" s="163">
        <v>45717</v>
      </c>
      <c r="S51" s="147"/>
      <c r="T51" s="147"/>
      <c r="U51" s="158">
        <v>574</v>
      </c>
      <c r="V51" s="164">
        <v>31</v>
      </c>
      <c r="W51" s="165">
        <f>IFERROR(U51*V51,"0")</f>
      </c>
      <c r="X51" s="7"/>
      <c r="Y51" s="166">
        <f>IFERROR((O51/1000)*Masters!$C$3,"0")</f>
      </c>
      <c r="Z51" s="167"/>
      <c r="AA51" s="164">
        <f>IFERROR(VLOOKUP(L51,Masters!G:H,2,0),"0")</f>
      </c>
      <c r="AB51" s="166">
        <f>IFERROR(AA51*N51,"0")</f>
      </c>
      <c r="AC51" s="168"/>
      <c r="AD51" s="158"/>
      <c r="AE51" s="166">
        <f>W51+Y51+AB51+AD51</f>
      </c>
      <c r="AF51" s="167"/>
      <c r="AG51" s="169">
        <f>M51&amp;"-"&amp;F51</f>
      </c>
      <c r="AH51" s="166">
        <f>IFERROR(VLOOKUP(AG51,Masters!N:O,2,0),"0")</f>
      </c>
      <c r="AI51" s="166">
        <f>AH51*N51</f>
      </c>
      <c r="AJ51" s="158"/>
      <c r="AK51" s="170">
        <f>AI51-AE51</f>
      </c>
      <c r="AL51" s="167"/>
      <c r="AM51" s="147"/>
      <c r="AN51" s="171">
        <f>IFERROR(U51/2,"0")</f>
      </c>
    </row>
    <row x14ac:dyDescent="0.25" r="52" customHeight="1" ht="18.75">
      <c r="A52" s="158">
        <f>A51+1</f>
      </c>
      <c r="B52" s="159">
        <v>45746</v>
      </c>
      <c r="C52" s="147" t="s">
        <v>455</v>
      </c>
      <c r="D52" s="159">
        <v>45746</v>
      </c>
      <c r="E52" s="147" t="s">
        <v>130</v>
      </c>
      <c r="F52" s="160" t="s">
        <v>11</v>
      </c>
      <c r="G52" s="147" t="s">
        <v>76</v>
      </c>
      <c r="H52" s="147" t="s">
        <v>303</v>
      </c>
      <c r="I52" s="158">
        <v>909</v>
      </c>
      <c r="J52" s="147" t="s">
        <v>301</v>
      </c>
      <c r="K52" s="158">
        <v>44</v>
      </c>
      <c r="L52" s="147" t="s">
        <v>10</v>
      </c>
      <c r="M52" s="161">
        <f>IFERROR(VLOOKUP(L52,'Material Master'!B:C,2,0),"")</f>
      </c>
      <c r="N52" s="158">
        <v>200</v>
      </c>
      <c r="O52" s="162">
        <f>IFERROR(M52*N52,"")</f>
      </c>
      <c r="P52" s="147" t="s">
        <v>402</v>
      </c>
      <c r="Q52" s="158"/>
      <c r="R52" s="163">
        <v>45717</v>
      </c>
      <c r="S52" s="147"/>
      <c r="T52" s="147"/>
      <c r="U52" s="158">
        <v>112</v>
      </c>
      <c r="V52" s="164">
        <v>31</v>
      </c>
      <c r="W52" s="165">
        <f>IFERROR(U52*V52,"0")</f>
      </c>
      <c r="X52" s="7"/>
      <c r="Y52" s="166">
        <f>IFERROR((O52/1000)*Masters!$C$3,"0")</f>
      </c>
      <c r="Z52" s="167"/>
      <c r="AA52" s="164">
        <f>IFERROR(VLOOKUP(L52,Masters!G:H,2,0),"0")</f>
      </c>
      <c r="AB52" s="166">
        <f>IFERROR(AA52*N52,"0")</f>
      </c>
      <c r="AC52" s="168"/>
      <c r="AD52" s="158"/>
      <c r="AE52" s="166">
        <f>W52+Y52+AB52+AD52</f>
      </c>
      <c r="AF52" s="167"/>
      <c r="AG52" s="169">
        <f>M52&amp;"-"&amp;F52</f>
      </c>
      <c r="AH52" s="166">
        <f>IFERROR(VLOOKUP(AG52,Masters!N:O,2,0),"0")</f>
      </c>
      <c r="AI52" s="166">
        <f>AH52*N52</f>
      </c>
      <c r="AJ52" s="158"/>
      <c r="AK52" s="170">
        <f>AI52-AE52</f>
      </c>
      <c r="AL52" s="167"/>
      <c r="AM52" s="147"/>
      <c r="AN52" s="171">
        <f>IFERROR(U52/2,"0")</f>
      </c>
    </row>
    <row x14ac:dyDescent="0.25" r="53" customHeight="1" ht="18.75">
      <c r="A53" s="158">
        <f>A52+1</f>
      </c>
      <c r="B53" s="159">
        <v>45746</v>
      </c>
      <c r="C53" s="147" t="s">
        <v>456</v>
      </c>
      <c r="D53" s="159">
        <v>45747</v>
      </c>
      <c r="E53" s="147" t="s">
        <v>81</v>
      </c>
      <c r="F53" s="160" t="s">
        <v>16</v>
      </c>
      <c r="G53" s="147" t="s">
        <v>82</v>
      </c>
      <c r="H53" s="147" t="s">
        <v>309</v>
      </c>
      <c r="I53" s="158">
        <v>909</v>
      </c>
      <c r="J53" s="147" t="s">
        <v>301</v>
      </c>
      <c r="K53" s="158">
        <v>45</v>
      </c>
      <c r="L53" s="147" t="s">
        <v>10</v>
      </c>
      <c r="M53" s="161">
        <f>IFERROR(VLOOKUP(L53,'Material Master'!B:C,2,0),"")</f>
      </c>
      <c r="N53" s="158">
        <v>100</v>
      </c>
      <c r="O53" s="162">
        <f>IFERROR(M53*N53,"")</f>
      </c>
      <c r="P53" s="147" t="s">
        <v>402</v>
      </c>
      <c r="Q53" s="158"/>
      <c r="R53" s="163">
        <v>45717</v>
      </c>
      <c r="S53" s="147"/>
      <c r="T53" s="147"/>
      <c r="U53" s="158">
        <v>247</v>
      </c>
      <c r="V53" s="164">
        <v>31</v>
      </c>
      <c r="W53" s="165">
        <f>IFERROR(U53*V53,"0")</f>
      </c>
      <c r="X53" s="7"/>
      <c r="Y53" s="166">
        <f>IFERROR((O53/1000)*Masters!$C$3,"0")</f>
      </c>
      <c r="Z53" s="167"/>
      <c r="AA53" s="164">
        <f>IFERROR(VLOOKUP(L53,Masters!G:H,2,0),"0")</f>
      </c>
      <c r="AB53" s="166">
        <f>IFERROR(AA53*N53,"0")</f>
      </c>
      <c r="AC53" s="168"/>
      <c r="AD53" s="158"/>
      <c r="AE53" s="166">
        <f>W53+Y53+AB53+AD53</f>
      </c>
      <c r="AF53" s="167"/>
      <c r="AG53" s="169">
        <f>M53&amp;"-"&amp;F53</f>
      </c>
      <c r="AH53" s="166">
        <f>IFERROR(VLOOKUP(AG53,Masters!N:O,2,0),"0")</f>
      </c>
      <c r="AI53" s="166">
        <f>AH53*N53</f>
      </c>
      <c r="AJ53" s="158"/>
      <c r="AK53" s="170">
        <f>AI53-AE53</f>
      </c>
      <c r="AL53" s="167"/>
      <c r="AM53" s="147"/>
      <c r="AN53" s="171">
        <f>IFERROR(U53/2,"0")</f>
      </c>
    </row>
    <row x14ac:dyDescent="0.25" r="54" customHeight="1" ht="18.75">
      <c r="A54" s="158">
        <f>A53+1</f>
      </c>
      <c r="B54" s="159">
        <v>45746</v>
      </c>
      <c r="C54" s="147" t="s">
        <v>457</v>
      </c>
      <c r="D54" s="159">
        <v>45746</v>
      </c>
      <c r="E54" s="147" t="s">
        <v>118</v>
      </c>
      <c r="F54" s="160" t="s">
        <v>11</v>
      </c>
      <c r="G54" s="147" t="s">
        <v>103</v>
      </c>
      <c r="H54" s="147" t="s">
        <v>302</v>
      </c>
      <c r="I54" s="158">
        <v>1109</v>
      </c>
      <c r="J54" s="147" t="s">
        <v>301</v>
      </c>
      <c r="K54" s="158">
        <v>42</v>
      </c>
      <c r="L54" s="147" t="s">
        <v>10</v>
      </c>
      <c r="M54" s="161">
        <f>IFERROR(VLOOKUP(L54,'Material Master'!B:C,2,0),"")</f>
      </c>
      <c r="N54" s="158">
        <v>300</v>
      </c>
      <c r="O54" s="162">
        <f>IFERROR(M54*N54,"")</f>
      </c>
      <c r="P54" s="147" t="s">
        <v>402</v>
      </c>
      <c r="Q54" s="158"/>
      <c r="R54" s="163">
        <v>45717</v>
      </c>
      <c r="S54" s="147"/>
      <c r="T54" s="147"/>
      <c r="U54" s="158">
        <v>151</v>
      </c>
      <c r="V54" s="164">
        <v>31</v>
      </c>
      <c r="W54" s="165">
        <f>IFERROR(U54*V54,"0")</f>
      </c>
      <c r="X54" s="7"/>
      <c r="Y54" s="166">
        <f>IFERROR((O54/1000)*Masters!$C$3,"0")</f>
      </c>
      <c r="Z54" s="167"/>
      <c r="AA54" s="164">
        <f>IFERROR(VLOOKUP(L54,Masters!G:H,2,0),"0")</f>
      </c>
      <c r="AB54" s="166">
        <f>IFERROR(AA54*N54,"0")</f>
      </c>
      <c r="AC54" s="168"/>
      <c r="AD54" s="158"/>
      <c r="AE54" s="166">
        <f>W54+Y54+AB54+AD54</f>
      </c>
      <c r="AF54" s="167"/>
      <c r="AG54" s="169">
        <f>M54&amp;"-"&amp;F54</f>
      </c>
      <c r="AH54" s="166">
        <f>IFERROR(VLOOKUP(AG54,Masters!N:O,2,0),"0")</f>
      </c>
      <c r="AI54" s="166">
        <f>AH54*N54</f>
      </c>
      <c r="AJ54" s="158"/>
      <c r="AK54" s="170">
        <f>AI54-AE54</f>
      </c>
      <c r="AL54" s="167"/>
      <c r="AM54" s="147"/>
      <c r="AN54" s="171">
        <f>IFERROR(U54/2,"0")</f>
      </c>
    </row>
    <row x14ac:dyDescent="0.25" r="55" customHeight="1" ht="18.75">
      <c r="A55" s="158">
        <f>A54+1</f>
      </c>
      <c r="B55" s="159">
        <v>45747</v>
      </c>
      <c r="C55" s="147" t="s">
        <v>458</v>
      </c>
      <c r="D55" s="159">
        <v>45747</v>
      </c>
      <c r="E55" s="147" t="s">
        <v>84</v>
      </c>
      <c r="F55" s="160" t="s">
        <v>11</v>
      </c>
      <c r="G55" s="147" t="s">
        <v>123</v>
      </c>
      <c r="H55" s="147" t="s">
        <v>303</v>
      </c>
      <c r="I55" s="158">
        <v>909</v>
      </c>
      <c r="J55" s="147" t="s">
        <v>301</v>
      </c>
      <c r="K55" s="158">
        <v>48</v>
      </c>
      <c r="L55" s="147" t="s">
        <v>10</v>
      </c>
      <c r="M55" s="161">
        <f>IFERROR(VLOOKUP(L55,'Material Master'!B:C,2,0),"")</f>
      </c>
      <c r="N55" s="158">
        <v>200</v>
      </c>
      <c r="O55" s="162">
        <f>IFERROR(M55*N55,"")</f>
      </c>
      <c r="P55" s="147" t="s">
        <v>402</v>
      </c>
      <c r="Q55" s="158"/>
      <c r="R55" s="163">
        <v>45717</v>
      </c>
      <c r="S55" s="147"/>
      <c r="T55" s="147"/>
      <c r="U55" s="158">
        <v>112</v>
      </c>
      <c r="V55" s="164">
        <v>31</v>
      </c>
      <c r="W55" s="165">
        <f>IFERROR(U55*V55,"0")</f>
      </c>
      <c r="X55" s="7"/>
      <c r="Y55" s="166">
        <f>IFERROR((O55/1000)*Masters!$C$3,"0")</f>
      </c>
      <c r="Z55" s="167"/>
      <c r="AA55" s="164">
        <f>IFERROR(VLOOKUP(L55,Masters!G:H,2,0),"0")</f>
      </c>
      <c r="AB55" s="166">
        <f>IFERROR(AA55*N55,"0")</f>
      </c>
      <c r="AC55" s="168"/>
      <c r="AD55" s="158"/>
      <c r="AE55" s="166">
        <f>W55+Y55+AB55+AD55</f>
      </c>
      <c r="AF55" s="167"/>
      <c r="AG55" s="169">
        <f>M55&amp;"-"&amp;F55</f>
      </c>
      <c r="AH55" s="166">
        <f>IFERROR(VLOOKUP(AG55,Masters!N:O,2,0),"0")</f>
      </c>
      <c r="AI55" s="166">
        <f>AH55*N55</f>
      </c>
      <c r="AJ55" s="158"/>
      <c r="AK55" s="170">
        <f>AI55-AE55</f>
      </c>
      <c r="AL55" s="167"/>
      <c r="AM55" s="147"/>
      <c r="AN55" s="171">
        <f>IFERROR(U55/2,"0")</f>
      </c>
    </row>
    <row x14ac:dyDescent="0.25" r="56" customHeight="1" ht="18.75">
      <c r="A56" s="158">
        <f>A55+1</f>
      </c>
      <c r="B56" s="159">
        <v>45747</v>
      </c>
      <c r="C56" s="147" t="s">
        <v>459</v>
      </c>
      <c r="D56" s="159">
        <v>45747</v>
      </c>
      <c r="E56" s="147" t="s">
        <v>83</v>
      </c>
      <c r="F56" s="160" t="s">
        <v>11</v>
      </c>
      <c r="G56" s="147" t="s">
        <v>72</v>
      </c>
      <c r="H56" s="147" t="s">
        <v>304</v>
      </c>
      <c r="I56" s="158">
        <v>1109</v>
      </c>
      <c r="J56" s="147" t="s">
        <v>301</v>
      </c>
      <c r="K56" s="158">
        <v>46</v>
      </c>
      <c r="L56" s="147" t="s">
        <v>10</v>
      </c>
      <c r="M56" s="161">
        <f>IFERROR(VLOOKUP(L56,'Material Master'!B:C,2,0),"")</f>
      </c>
      <c r="N56" s="158">
        <v>300</v>
      </c>
      <c r="O56" s="162">
        <f>IFERROR(M56*N56,"")</f>
      </c>
      <c r="P56" s="147" t="s">
        <v>402</v>
      </c>
      <c r="Q56" s="158"/>
      <c r="R56" s="163">
        <v>45717</v>
      </c>
      <c r="S56" s="147"/>
      <c r="T56" s="147"/>
      <c r="U56" s="158">
        <v>181</v>
      </c>
      <c r="V56" s="164">
        <v>31</v>
      </c>
      <c r="W56" s="165">
        <f>IFERROR(U56*V56,"0")</f>
      </c>
      <c r="X56" s="7"/>
      <c r="Y56" s="166">
        <f>IFERROR((O56/1000)*Masters!$C$3,"0")</f>
      </c>
      <c r="Z56" s="167"/>
      <c r="AA56" s="164">
        <f>IFERROR(VLOOKUP(L56,Masters!G:H,2,0),"0")</f>
      </c>
      <c r="AB56" s="166">
        <f>IFERROR(AA56*N56,"0")</f>
      </c>
      <c r="AC56" s="168"/>
      <c r="AD56" s="158"/>
      <c r="AE56" s="166">
        <f>W56+Y56+AB56+AD56</f>
      </c>
      <c r="AF56" s="167"/>
      <c r="AG56" s="169">
        <f>M56&amp;"-"&amp;F56</f>
      </c>
      <c r="AH56" s="166">
        <f>IFERROR(VLOOKUP(AG56,Masters!N:O,2,0),"0")</f>
      </c>
      <c r="AI56" s="166">
        <f>AH56*N56</f>
      </c>
      <c r="AJ56" s="158"/>
      <c r="AK56" s="170">
        <f>AI56-AE56</f>
      </c>
      <c r="AL56" s="167"/>
      <c r="AM56" s="147"/>
      <c r="AN56" s="171">
        <f>IFERROR(U56/2,"0")</f>
      </c>
    </row>
    <row x14ac:dyDescent="0.25" r="57" customHeight="1" ht="18.75">
      <c r="A57" s="158">
        <f>A56+1</f>
      </c>
      <c r="B57" s="159">
        <v>45747</v>
      </c>
      <c r="C57" s="147" t="s">
        <v>460</v>
      </c>
      <c r="D57" s="159">
        <v>45747</v>
      </c>
      <c r="E57" s="147" t="s">
        <v>83</v>
      </c>
      <c r="F57" s="160" t="s">
        <v>11</v>
      </c>
      <c r="G57" s="147" t="s">
        <v>72</v>
      </c>
      <c r="H57" s="147" t="s">
        <v>302</v>
      </c>
      <c r="I57" s="158">
        <v>1109</v>
      </c>
      <c r="J57" s="147" t="s">
        <v>301</v>
      </c>
      <c r="K57" s="158">
        <v>47</v>
      </c>
      <c r="L57" s="147" t="s">
        <v>10</v>
      </c>
      <c r="M57" s="161">
        <f>IFERROR(VLOOKUP(L57,'Material Master'!B:C,2,0),"")</f>
      </c>
      <c r="N57" s="158">
        <v>300</v>
      </c>
      <c r="O57" s="162">
        <f>IFERROR(M57*N57,"")</f>
      </c>
      <c r="P57" s="147" t="s">
        <v>402</v>
      </c>
      <c r="Q57" s="158"/>
      <c r="R57" s="163">
        <v>45717</v>
      </c>
      <c r="S57" s="147"/>
      <c r="T57" s="147"/>
      <c r="U57" s="158">
        <v>174</v>
      </c>
      <c r="V57" s="164">
        <v>31</v>
      </c>
      <c r="W57" s="165">
        <f>IFERROR(U57*V57,"0")</f>
      </c>
      <c r="X57" s="7"/>
      <c r="Y57" s="166">
        <f>IFERROR((O57/1000)*Masters!$C$3,"0")</f>
      </c>
      <c r="Z57" s="167"/>
      <c r="AA57" s="164">
        <f>IFERROR(VLOOKUP(L57,Masters!G:H,2,0),"0")</f>
      </c>
      <c r="AB57" s="166">
        <f>IFERROR(AA57*N57,"0")</f>
      </c>
      <c r="AC57" s="168"/>
      <c r="AD57" s="158"/>
      <c r="AE57" s="166">
        <f>W57+Y57+AB57+AD57</f>
      </c>
      <c r="AF57" s="167"/>
      <c r="AG57" s="169">
        <f>M57&amp;"-"&amp;F57</f>
      </c>
      <c r="AH57" s="166">
        <f>IFERROR(VLOOKUP(AG57,Masters!N:O,2,0),"0")</f>
      </c>
      <c r="AI57" s="166">
        <f>AH57*N57</f>
      </c>
      <c r="AJ57" s="158"/>
      <c r="AK57" s="170">
        <f>AI57-AE57</f>
      </c>
      <c r="AL57" s="167"/>
      <c r="AM57" s="147"/>
      <c r="AN57" s="171">
        <f>IFERROR(U57/2,"0")</f>
      </c>
    </row>
    <row x14ac:dyDescent="0.25" r="58" customHeight="1" ht="18.75">
      <c r="A58" s="158">
        <f>A57+1</f>
      </c>
      <c r="B58" s="159">
        <v>45747</v>
      </c>
      <c r="C58" s="147" t="s">
        <v>461</v>
      </c>
      <c r="D58" s="159">
        <v>45748</v>
      </c>
      <c r="E58" s="147" t="s">
        <v>134</v>
      </c>
      <c r="F58" s="160" t="s">
        <v>16</v>
      </c>
      <c r="G58" s="147" t="s">
        <v>115</v>
      </c>
      <c r="H58" s="147" t="s">
        <v>305</v>
      </c>
      <c r="I58" s="158">
        <v>1109</v>
      </c>
      <c r="J58" s="147" t="s">
        <v>301</v>
      </c>
      <c r="K58" s="158">
        <v>55</v>
      </c>
      <c r="L58" s="147" t="s">
        <v>10</v>
      </c>
      <c r="M58" s="161">
        <f>IFERROR(VLOOKUP(L58,'Material Master'!B:C,2,0),"")</f>
      </c>
      <c r="N58" s="158">
        <v>300</v>
      </c>
      <c r="O58" s="162">
        <f>IFERROR(M58*N58,"")</f>
      </c>
      <c r="P58" s="147" t="s">
        <v>402</v>
      </c>
      <c r="Q58" s="158"/>
      <c r="R58" s="163">
        <v>45717</v>
      </c>
      <c r="S58" s="147"/>
      <c r="T58" s="147"/>
      <c r="U58" s="158">
        <v>284</v>
      </c>
      <c r="V58" s="164">
        <v>31</v>
      </c>
      <c r="W58" s="165">
        <f>IFERROR(U58*V58,"0")</f>
      </c>
      <c r="X58" s="7"/>
      <c r="Y58" s="166">
        <f>IFERROR((O58/1000)*Masters!$C$3,"0")</f>
      </c>
      <c r="Z58" s="167"/>
      <c r="AA58" s="164">
        <f>IFERROR(VLOOKUP(L58,Masters!G:H,2,0),"0")</f>
      </c>
      <c r="AB58" s="166">
        <f>IFERROR(AA58*N58,"0")</f>
      </c>
      <c r="AC58" s="168"/>
      <c r="AD58" s="158"/>
      <c r="AE58" s="166">
        <f>W58+Y58+AB58+AD58</f>
      </c>
      <c r="AF58" s="167"/>
      <c r="AG58" s="169">
        <f>M58&amp;"-"&amp;F58</f>
      </c>
      <c r="AH58" s="166">
        <f>IFERROR(VLOOKUP(AG58,Masters!N:O,2,0),"0")</f>
      </c>
      <c r="AI58" s="166">
        <f>AH58*N58</f>
      </c>
      <c r="AJ58" s="158"/>
      <c r="AK58" s="170">
        <f>AI58-AE58</f>
      </c>
      <c r="AL58" s="167"/>
      <c r="AM58" s="147"/>
      <c r="AN58" s="171">
        <f>IFERROR(U58/2,"0")</f>
      </c>
    </row>
    <row x14ac:dyDescent="0.25" r="59" customHeight="1" ht="18.75">
      <c r="A59" s="158">
        <f>A58+1</f>
      </c>
      <c r="B59" s="159">
        <v>45747</v>
      </c>
      <c r="C59" s="147" t="s">
        <v>462</v>
      </c>
      <c r="D59" s="159">
        <v>45749</v>
      </c>
      <c r="E59" s="147" t="s">
        <v>135</v>
      </c>
      <c r="F59" s="160" t="s">
        <v>16</v>
      </c>
      <c r="G59" s="147" t="s">
        <v>136</v>
      </c>
      <c r="H59" s="147" t="s">
        <v>303</v>
      </c>
      <c r="I59" s="158">
        <v>1109</v>
      </c>
      <c r="J59" s="147" t="s">
        <v>301</v>
      </c>
      <c r="K59" s="158">
        <v>57</v>
      </c>
      <c r="L59" s="147" t="s">
        <v>15</v>
      </c>
      <c r="M59" s="161">
        <f>IFERROR(VLOOKUP(L59,'Material Master'!B:C,2,0),"")</f>
      </c>
      <c r="N59" s="158">
        <v>30</v>
      </c>
      <c r="O59" s="162">
        <f>IFERROR(M59*N59,"")</f>
      </c>
      <c r="P59" s="147" t="s">
        <v>402</v>
      </c>
      <c r="Q59" s="158"/>
      <c r="R59" s="163">
        <v>45717</v>
      </c>
      <c r="S59" s="147"/>
      <c r="T59" s="147"/>
      <c r="U59" s="158">
        <v>337</v>
      </c>
      <c r="V59" s="164">
        <v>31</v>
      </c>
      <c r="W59" s="165">
        <f>IFERROR(U59*V59,"0")</f>
      </c>
      <c r="X59" s="7"/>
      <c r="Y59" s="166">
        <f>IFERROR((O59/1000)*Masters!$C$3,"0")</f>
      </c>
      <c r="Z59" s="167"/>
      <c r="AA59" s="164">
        <f>IFERROR(VLOOKUP(L59,Masters!G:H,2,0),"0")</f>
      </c>
      <c r="AB59" s="166">
        <f>IFERROR(AA59*N59,"0")</f>
      </c>
      <c r="AC59" s="168"/>
      <c r="AD59" s="158"/>
      <c r="AE59" s="166">
        <f>W59+Y59+AB59+AD59</f>
      </c>
      <c r="AF59" s="167"/>
      <c r="AG59" s="169">
        <f>M59&amp;"-"&amp;F59</f>
      </c>
      <c r="AH59" s="166">
        <f>IFERROR(VLOOKUP(AG59,Masters!N:O,2,0),"0")</f>
      </c>
      <c r="AI59" s="166">
        <f>AH59*N59</f>
      </c>
      <c r="AJ59" s="158"/>
      <c r="AK59" s="170">
        <f>AI59-AE59</f>
      </c>
      <c r="AL59" s="167"/>
      <c r="AM59" s="147"/>
      <c r="AN59" s="171">
        <f>IFERROR(U59/2,"0")</f>
      </c>
    </row>
    <row x14ac:dyDescent="0.25" r="60" customHeight="1" ht="18.75">
      <c r="A60" s="158">
        <f>A59+1</f>
      </c>
      <c r="B60" s="159">
        <v>45747</v>
      </c>
      <c r="C60" s="147" t="s">
        <v>463</v>
      </c>
      <c r="D60" s="159">
        <v>45748</v>
      </c>
      <c r="E60" s="147" t="s">
        <v>110</v>
      </c>
      <c r="F60" s="160" t="s">
        <v>11</v>
      </c>
      <c r="G60" s="147" t="s">
        <v>111</v>
      </c>
      <c r="H60" s="147" t="s">
        <v>304</v>
      </c>
      <c r="I60" s="158">
        <v>1109</v>
      </c>
      <c r="J60" s="147" t="s">
        <v>301</v>
      </c>
      <c r="K60" s="158">
        <v>54</v>
      </c>
      <c r="L60" s="147" t="s">
        <v>10</v>
      </c>
      <c r="M60" s="161">
        <f>IFERROR(VLOOKUP(L60,'Material Master'!B:C,2,0),"")</f>
      </c>
      <c r="N60" s="158">
        <v>300</v>
      </c>
      <c r="O60" s="162">
        <f>IFERROR(M60*N60,"")</f>
      </c>
      <c r="P60" s="147" t="s">
        <v>402</v>
      </c>
      <c r="Q60" s="158"/>
      <c r="R60" s="163">
        <v>45717</v>
      </c>
      <c r="S60" s="147"/>
      <c r="T60" s="147"/>
      <c r="U60" s="158">
        <v>37</v>
      </c>
      <c r="V60" s="164">
        <v>31</v>
      </c>
      <c r="W60" s="165">
        <f>IFERROR(U60*V60,"0")</f>
      </c>
      <c r="X60" s="7"/>
      <c r="Y60" s="166">
        <f>IFERROR((O60/1000)*Masters!$C$3,"0")</f>
      </c>
      <c r="Z60" s="167"/>
      <c r="AA60" s="164">
        <f>IFERROR(VLOOKUP(L60,Masters!G:H,2,0),"0")</f>
      </c>
      <c r="AB60" s="166">
        <f>IFERROR(AA60*N60,"0")</f>
      </c>
      <c r="AC60" s="168"/>
      <c r="AD60" s="158"/>
      <c r="AE60" s="166">
        <f>W60+Y60+AB60+AD60</f>
      </c>
      <c r="AF60" s="167"/>
      <c r="AG60" s="169">
        <f>M60&amp;"-"&amp;F60</f>
      </c>
      <c r="AH60" s="166">
        <f>IFERROR(VLOOKUP(AG60,Masters!N:O,2,0),"0")</f>
      </c>
      <c r="AI60" s="166">
        <f>AH60*N60</f>
      </c>
      <c r="AJ60" s="158"/>
      <c r="AK60" s="170">
        <f>AI60-AE60</f>
      </c>
      <c r="AL60" s="167"/>
      <c r="AM60" s="147"/>
      <c r="AN60" s="171">
        <f>IFERROR(U60/2,"0")</f>
      </c>
    </row>
    <row x14ac:dyDescent="0.25" r="61" customHeight="1" ht="18.75">
      <c r="A61" s="158">
        <f>A60+1</f>
      </c>
      <c r="B61" s="159">
        <v>45747</v>
      </c>
      <c r="C61" s="147" t="s">
        <v>464</v>
      </c>
      <c r="D61" s="159">
        <v>45749</v>
      </c>
      <c r="E61" s="147" t="s">
        <v>116</v>
      </c>
      <c r="F61" s="160" t="s">
        <v>16</v>
      </c>
      <c r="G61" s="147" t="s">
        <v>107</v>
      </c>
      <c r="H61" s="147" t="s">
        <v>305</v>
      </c>
      <c r="I61" s="158">
        <v>1109</v>
      </c>
      <c r="J61" s="147" t="s">
        <v>301</v>
      </c>
      <c r="K61" s="158">
        <v>58</v>
      </c>
      <c r="L61" s="147" t="s">
        <v>10</v>
      </c>
      <c r="M61" s="161">
        <f>IFERROR(VLOOKUP(L61,'Material Master'!B:C,2,0),"")</f>
      </c>
      <c r="N61" s="158">
        <v>300</v>
      </c>
      <c r="O61" s="162">
        <f>IFERROR(M61*N61,"")</f>
      </c>
      <c r="P61" s="147" t="s">
        <v>402</v>
      </c>
      <c r="Q61" s="158"/>
      <c r="R61" s="163">
        <v>45717</v>
      </c>
      <c r="S61" s="147"/>
      <c r="T61" s="147"/>
      <c r="U61" s="158">
        <v>308</v>
      </c>
      <c r="V61" s="164">
        <v>31</v>
      </c>
      <c r="W61" s="165">
        <f>IFERROR(U61*V61,"0")</f>
      </c>
      <c r="X61" s="7"/>
      <c r="Y61" s="166">
        <f>IFERROR((O61/1000)*Masters!$C$3,"0")</f>
      </c>
      <c r="Z61" s="167"/>
      <c r="AA61" s="164">
        <f>IFERROR(VLOOKUP(L61,Masters!G:H,2,0),"0")</f>
      </c>
      <c r="AB61" s="166">
        <f>IFERROR(AA61*N61,"0")</f>
      </c>
      <c r="AC61" s="168"/>
      <c r="AD61" s="158"/>
      <c r="AE61" s="166">
        <f>W61+Y61+AB61+AD61</f>
      </c>
      <c r="AF61" s="167"/>
      <c r="AG61" s="169">
        <f>M61&amp;"-"&amp;F61</f>
      </c>
      <c r="AH61" s="166">
        <f>IFERROR(VLOOKUP(AG61,Masters!N:O,2,0),"0")</f>
      </c>
      <c r="AI61" s="166">
        <f>AH61*N61</f>
      </c>
      <c r="AJ61" s="158"/>
      <c r="AK61" s="170">
        <f>AI61-AE61</f>
      </c>
      <c r="AL61" s="167"/>
      <c r="AM61" s="147"/>
      <c r="AN61" s="171">
        <f>IFERROR(U61/2,"0")</f>
      </c>
    </row>
    <row x14ac:dyDescent="0.25" r="62" customHeight="1" ht="18.75">
      <c r="A62" s="158">
        <f>A61+1</f>
      </c>
      <c r="B62" s="159">
        <v>45747</v>
      </c>
      <c r="C62" s="147" t="s">
        <v>465</v>
      </c>
      <c r="D62" s="159">
        <v>45748</v>
      </c>
      <c r="E62" s="147" t="s">
        <v>131</v>
      </c>
      <c r="F62" s="147" t="s">
        <v>16</v>
      </c>
      <c r="G62" s="147" t="s">
        <v>132</v>
      </c>
      <c r="H62" s="147" t="s">
        <v>311</v>
      </c>
      <c r="I62" s="158">
        <v>2515</v>
      </c>
      <c r="J62" s="172" t="s">
        <v>306</v>
      </c>
      <c r="K62" s="158">
        <v>50</v>
      </c>
      <c r="L62" s="147" t="s">
        <v>10</v>
      </c>
      <c r="M62" s="161">
        <f>IFERROR(VLOOKUP(L62,'Material Master'!B:C,2,0),"")</f>
      </c>
      <c r="N62" s="158">
        <v>600</v>
      </c>
      <c r="O62" s="162">
        <f>IFERROR(M62*N62,"")</f>
      </c>
      <c r="P62" s="147" t="s">
        <v>402</v>
      </c>
      <c r="Q62" s="158"/>
      <c r="R62" s="163">
        <v>45717</v>
      </c>
      <c r="S62" s="147" t="s">
        <v>306</v>
      </c>
      <c r="T62" s="147"/>
      <c r="U62" s="158">
        <v>0</v>
      </c>
      <c r="V62" s="164">
        <v>31</v>
      </c>
      <c r="W62" s="165">
        <v>15000</v>
      </c>
      <c r="X62" s="7"/>
      <c r="Y62" s="166">
        <f>IFERROR((O62/1000)*Masters!$C$3,"0")</f>
      </c>
      <c r="Z62" s="167"/>
      <c r="AA62" s="164">
        <f>IFERROR(VLOOKUP(L62,Masters!G:H,2,0),"0")</f>
      </c>
      <c r="AB62" s="166">
        <f>IFERROR(AA62*N62,"0")</f>
      </c>
      <c r="AC62" s="168"/>
      <c r="AD62" s="158"/>
      <c r="AE62" s="166">
        <f>W62+Y62+AB62+AD62</f>
      </c>
      <c r="AF62" s="167"/>
      <c r="AG62" s="169">
        <f>M62&amp;"-"&amp;F62</f>
      </c>
      <c r="AH62" s="166">
        <f>IFERROR(VLOOKUP(AG62,Masters!N:O,2,0),"0")</f>
      </c>
      <c r="AI62" s="166">
        <f>AH62*N62</f>
      </c>
      <c r="AJ62" s="158"/>
      <c r="AK62" s="170">
        <f>AI62-AE62</f>
      </c>
      <c r="AL62" s="167"/>
      <c r="AM62" s="147"/>
      <c r="AN62" s="171">
        <f>IFERROR(U62/2,"0")</f>
      </c>
    </row>
    <row x14ac:dyDescent="0.25" r="63" customHeight="1" ht="18.75">
      <c r="A63" s="158">
        <f>A62+1</f>
      </c>
      <c r="B63" s="159">
        <v>45747</v>
      </c>
      <c r="C63" s="147" t="s">
        <v>466</v>
      </c>
      <c r="D63" s="159">
        <v>45750</v>
      </c>
      <c r="E63" s="147" t="s">
        <v>131</v>
      </c>
      <c r="F63" s="147" t="s">
        <v>16</v>
      </c>
      <c r="G63" s="147" t="s">
        <v>132</v>
      </c>
      <c r="H63" s="147" t="s">
        <v>313</v>
      </c>
      <c r="I63" s="158">
        <v>2515</v>
      </c>
      <c r="J63" s="172" t="s">
        <v>306</v>
      </c>
      <c r="K63" s="158">
        <v>59</v>
      </c>
      <c r="L63" s="147" t="s">
        <v>10</v>
      </c>
      <c r="M63" s="161">
        <f>IFERROR(VLOOKUP(L63,'Material Master'!B:C,2,0),"")</f>
      </c>
      <c r="N63" s="158">
        <v>600</v>
      </c>
      <c r="O63" s="162">
        <f>IFERROR(M63*N63,"")</f>
      </c>
      <c r="P63" s="147" t="s">
        <v>402</v>
      </c>
      <c r="Q63" s="158"/>
      <c r="R63" s="163">
        <v>45717</v>
      </c>
      <c r="S63" s="147" t="s">
        <v>306</v>
      </c>
      <c r="T63" s="147"/>
      <c r="U63" s="158">
        <v>0</v>
      </c>
      <c r="V63" s="164">
        <v>31</v>
      </c>
      <c r="W63" s="165">
        <v>15000</v>
      </c>
      <c r="X63" s="7"/>
      <c r="Y63" s="166">
        <f>IFERROR((O63/1000)*Masters!$C$3,"0")</f>
      </c>
      <c r="Z63" s="167"/>
      <c r="AA63" s="164">
        <f>IFERROR(VLOOKUP(L63,Masters!G:H,2,0),"0")</f>
      </c>
      <c r="AB63" s="166">
        <f>IFERROR(AA63*N63,"0")</f>
      </c>
      <c r="AC63" s="168"/>
      <c r="AD63" s="158"/>
      <c r="AE63" s="166">
        <f>W63+Y63+AB63+AD63</f>
      </c>
      <c r="AF63" s="167"/>
      <c r="AG63" s="169">
        <f>M63&amp;"-"&amp;F63</f>
      </c>
      <c r="AH63" s="166">
        <f>IFERROR(VLOOKUP(AG63,Masters!N:O,2,0),"0")</f>
      </c>
      <c r="AI63" s="166">
        <f>AH63*N63</f>
      </c>
      <c r="AJ63" s="158"/>
      <c r="AK63" s="170">
        <f>AI63-AE63</f>
      </c>
      <c r="AL63" s="167"/>
      <c r="AM63" s="147"/>
      <c r="AN63" s="171">
        <f>IFERROR(U63/2,"0")</f>
      </c>
    </row>
    <row x14ac:dyDescent="0.25" r="64" customHeight="1" ht="18.75">
      <c r="A64" s="158">
        <f>A63+1</f>
      </c>
      <c r="B64" s="159">
        <v>45747</v>
      </c>
      <c r="C64" s="147" t="s">
        <v>467</v>
      </c>
      <c r="D64" s="159">
        <v>45748</v>
      </c>
      <c r="E64" s="147" t="s">
        <v>131</v>
      </c>
      <c r="F64" s="147" t="s">
        <v>16</v>
      </c>
      <c r="G64" s="147" t="s">
        <v>132</v>
      </c>
      <c r="H64" s="147" t="s">
        <v>312</v>
      </c>
      <c r="I64" s="158">
        <v>2515</v>
      </c>
      <c r="J64" s="172" t="s">
        <v>306</v>
      </c>
      <c r="K64" s="158">
        <v>51</v>
      </c>
      <c r="L64" s="147" t="s">
        <v>10</v>
      </c>
      <c r="M64" s="161">
        <f>IFERROR(VLOOKUP(L64,'Material Master'!B:C,2,0),"")</f>
      </c>
      <c r="N64" s="158">
        <v>600</v>
      </c>
      <c r="O64" s="162">
        <f>IFERROR(M64*N64,"")</f>
      </c>
      <c r="P64" s="147" t="s">
        <v>402</v>
      </c>
      <c r="Q64" s="158"/>
      <c r="R64" s="163">
        <v>45717</v>
      </c>
      <c r="S64" s="147" t="s">
        <v>306</v>
      </c>
      <c r="T64" s="147"/>
      <c r="U64" s="158">
        <v>0</v>
      </c>
      <c r="V64" s="164">
        <v>31</v>
      </c>
      <c r="W64" s="165">
        <v>15000</v>
      </c>
      <c r="X64" s="7"/>
      <c r="Y64" s="166">
        <f>IFERROR((O64/1000)*Masters!$C$3,"0")</f>
      </c>
      <c r="Z64" s="167"/>
      <c r="AA64" s="164">
        <f>IFERROR(VLOOKUP(L64,Masters!G:H,2,0),"0")</f>
      </c>
      <c r="AB64" s="166">
        <f>IFERROR(AA64*N64,"0")</f>
      </c>
      <c r="AC64" s="168"/>
      <c r="AD64" s="158"/>
      <c r="AE64" s="166">
        <f>W64+Y64+AB64+AD64</f>
      </c>
      <c r="AF64" s="167"/>
      <c r="AG64" s="169">
        <f>M64&amp;"-"&amp;F64</f>
      </c>
      <c r="AH64" s="166">
        <f>IFERROR(VLOOKUP(AG64,Masters!N:O,2,0),"0")</f>
      </c>
      <c r="AI64" s="166">
        <f>AH64*N64</f>
      </c>
      <c r="AJ64" s="158"/>
      <c r="AK64" s="170">
        <f>AI64-AE64</f>
      </c>
      <c r="AL64" s="167"/>
      <c r="AM64" s="147"/>
      <c r="AN64" s="171">
        <f>IFERROR(U64/2,"0")</f>
      </c>
    </row>
    <row x14ac:dyDescent="0.25" r="65" customHeight="1" ht="18.75">
      <c r="A65" s="158">
        <f>A64+1</f>
      </c>
      <c r="B65" s="159">
        <v>45747</v>
      </c>
      <c r="C65" s="147" t="s">
        <v>468</v>
      </c>
      <c r="D65" s="159">
        <v>45751</v>
      </c>
      <c r="E65" s="147" t="s">
        <v>131</v>
      </c>
      <c r="F65" s="147" t="s">
        <v>16</v>
      </c>
      <c r="G65" s="147" t="s">
        <v>132</v>
      </c>
      <c r="H65" s="147" t="s">
        <v>314</v>
      </c>
      <c r="I65" s="158">
        <v>2515</v>
      </c>
      <c r="J65" s="172" t="s">
        <v>306</v>
      </c>
      <c r="K65" s="158">
        <v>64</v>
      </c>
      <c r="L65" s="147" t="s">
        <v>10</v>
      </c>
      <c r="M65" s="161">
        <f>IFERROR(VLOOKUP(L65,'Material Master'!B:C,2,0),"")</f>
      </c>
      <c r="N65" s="158">
        <v>600</v>
      </c>
      <c r="O65" s="162">
        <f>IFERROR(M65*N65,"")</f>
      </c>
      <c r="P65" s="147" t="s">
        <v>402</v>
      </c>
      <c r="Q65" s="158"/>
      <c r="R65" s="163">
        <v>45717</v>
      </c>
      <c r="S65" s="147" t="s">
        <v>306</v>
      </c>
      <c r="T65" s="147"/>
      <c r="U65" s="158">
        <v>0</v>
      </c>
      <c r="V65" s="164">
        <v>31</v>
      </c>
      <c r="W65" s="165">
        <v>15000</v>
      </c>
      <c r="X65" s="7"/>
      <c r="Y65" s="166">
        <f>IFERROR((O65/1000)*Masters!$C$3,"0")</f>
      </c>
      <c r="Z65" s="167"/>
      <c r="AA65" s="164">
        <f>IFERROR(VLOOKUP(L65,Masters!G:H,2,0),"0")</f>
      </c>
      <c r="AB65" s="166">
        <f>IFERROR(AA65*N65,"0")</f>
      </c>
      <c r="AC65" s="168"/>
      <c r="AD65" s="158"/>
      <c r="AE65" s="166">
        <f>W65+Y65+AB65+AD65</f>
      </c>
      <c r="AF65" s="167"/>
      <c r="AG65" s="169">
        <f>M65&amp;"-"&amp;F65</f>
      </c>
      <c r="AH65" s="166">
        <f>IFERROR(VLOOKUP(AG65,Masters!N:O,2,0),"0")</f>
      </c>
      <c r="AI65" s="166">
        <f>AH65*N65</f>
      </c>
      <c r="AJ65" s="158"/>
      <c r="AK65" s="170">
        <f>AI65-AE65</f>
      </c>
      <c r="AL65" s="167"/>
      <c r="AM65" s="147"/>
      <c r="AN65" s="171">
        <f>IFERROR(U65/2,"0")</f>
      </c>
    </row>
    <row x14ac:dyDescent="0.25" r="66" customHeight="1" ht="18.75">
      <c r="A66" s="158">
        <f>A65+1</f>
      </c>
      <c r="B66" s="159">
        <v>45747</v>
      </c>
      <c r="C66" s="147" t="s">
        <v>469</v>
      </c>
      <c r="D66" s="159">
        <v>45751</v>
      </c>
      <c r="E66" s="147" t="s">
        <v>131</v>
      </c>
      <c r="F66" s="147" t="s">
        <v>16</v>
      </c>
      <c r="G66" s="147" t="s">
        <v>132</v>
      </c>
      <c r="H66" s="147" t="s">
        <v>315</v>
      </c>
      <c r="I66" s="158">
        <v>2515</v>
      </c>
      <c r="J66" s="172" t="s">
        <v>306</v>
      </c>
      <c r="K66" s="158">
        <v>62</v>
      </c>
      <c r="L66" s="147" t="s">
        <v>10</v>
      </c>
      <c r="M66" s="161">
        <f>IFERROR(VLOOKUP(L66,'Material Master'!B:C,2,0),"")</f>
      </c>
      <c r="N66" s="158">
        <v>600</v>
      </c>
      <c r="O66" s="162">
        <f>IFERROR(M66*N66,"")</f>
      </c>
      <c r="P66" s="147" t="s">
        <v>402</v>
      </c>
      <c r="Q66" s="158"/>
      <c r="R66" s="163">
        <v>45717</v>
      </c>
      <c r="S66" s="147" t="s">
        <v>306</v>
      </c>
      <c r="T66" s="147"/>
      <c r="U66" s="158">
        <v>0</v>
      </c>
      <c r="V66" s="164">
        <v>31</v>
      </c>
      <c r="W66" s="165">
        <v>15000</v>
      </c>
      <c r="X66" s="7"/>
      <c r="Y66" s="166">
        <f>IFERROR((O66/1000)*Masters!$C$3,"0")</f>
      </c>
      <c r="Z66" s="167"/>
      <c r="AA66" s="164">
        <f>IFERROR(VLOOKUP(L66,Masters!G:H,2,0),"0")</f>
      </c>
      <c r="AB66" s="166">
        <f>IFERROR(AA66*N66,"0")</f>
      </c>
      <c r="AC66" s="168"/>
      <c r="AD66" s="158"/>
      <c r="AE66" s="166">
        <f>W66+Y66+AB66+AD66</f>
      </c>
      <c r="AF66" s="167"/>
      <c r="AG66" s="169">
        <f>M66&amp;"-"&amp;F66</f>
      </c>
      <c r="AH66" s="166">
        <f>IFERROR(VLOOKUP(AG66,Masters!N:O,2,0),"0")</f>
      </c>
      <c r="AI66" s="166">
        <f>AH66*N66</f>
      </c>
      <c r="AJ66" s="158"/>
      <c r="AK66" s="170">
        <f>AI66-AE66</f>
      </c>
      <c r="AL66" s="167"/>
      <c r="AM66" s="147"/>
      <c r="AN66" s="171">
        <f>IFERROR(U66/2,"0")</f>
      </c>
    </row>
    <row x14ac:dyDescent="0.25" r="67" customHeight="1" ht="18.75">
      <c r="A67" s="158">
        <f>A66+1</f>
      </c>
      <c r="B67" s="159">
        <v>45747</v>
      </c>
      <c r="C67" s="147" t="s">
        <v>470</v>
      </c>
      <c r="D67" s="159">
        <v>45752</v>
      </c>
      <c r="E67" s="147" t="s">
        <v>131</v>
      </c>
      <c r="F67" s="160" t="s">
        <v>16</v>
      </c>
      <c r="G67" s="147" t="s">
        <v>132</v>
      </c>
      <c r="H67" s="147" t="s">
        <v>304</v>
      </c>
      <c r="I67" s="158">
        <v>1109</v>
      </c>
      <c r="J67" s="147" t="s">
        <v>301</v>
      </c>
      <c r="K67" s="158">
        <v>68</v>
      </c>
      <c r="L67" s="147" t="s">
        <v>10</v>
      </c>
      <c r="M67" s="161">
        <f>IFERROR(VLOOKUP(L67,'Material Master'!B:C,2,0),"")</f>
      </c>
      <c r="N67" s="158">
        <v>300</v>
      </c>
      <c r="O67" s="162">
        <f>IFERROR(M67*N67,"")</f>
      </c>
      <c r="P67" s="147" t="s">
        <v>402</v>
      </c>
      <c r="Q67" s="158"/>
      <c r="R67" s="163">
        <v>45717</v>
      </c>
      <c r="S67" s="147"/>
      <c r="T67" s="147"/>
      <c r="U67" s="158">
        <v>485</v>
      </c>
      <c r="V67" s="164">
        <v>31</v>
      </c>
      <c r="W67" s="165">
        <f>IFERROR(U67*V67,"0")</f>
      </c>
      <c r="X67" s="7"/>
      <c r="Y67" s="166">
        <f>IFERROR((O67/1000)*Masters!$C$3,"0")</f>
      </c>
      <c r="Z67" s="167"/>
      <c r="AA67" s="164">
        <f>IFERROR(VLOOKUP(L67,Masters!G:H,2,0),"0")</f>
      </c>
      <c r="AB67" s="166">
        <f>IFERROR(AA67*N67,"0")</f>
      </c>
      <c r="AC67" s="168"/>
      <c r="AD67" s="158"/>
      <c r="AE67" s="166">
        <f>W67+Y67+AB67+AD67</f>
      </c>
      <c r="AF67" s="167"/>
      <c r="AG67" s="169">
        <f>M67&amp;"-"&amp;F67</f>
      </c>
      <c r="AH67" s="166">
        <f>IFERROR(VLOOKUP(AG67,Masters!N:O,2,0),"0")</f>
      </c>
      <c r="AI67" s="166">
        <f>AH67*N67</f>
      </c>
      <c r="AJ67" s="158"/>
      <c r="AK67" s="170">
        <f>AI67-AE67</f>
      </c>
      <c r="AL67" s="167"/>
      <c r="AM67" s="147"/>
      <c r="AN67" s="171">
        <f>IFERROR(U67/2,"0")</f>
      </c>
    </row>
    <row x14ac:dyDescent="0.25" r="68" customHeight="1" ht="18.75">
      <c r="A68" s="158">
        <f>A67+1</f>
      </c>
      <c r="B68" s="159">
        <v>45747</v>
      </c>
      <c r="C68" s="147" t="s">
        <v>471</v>
      </c>
      <c r="D68" s="159">
        <v>45751</v>
      </c>
      <c r="E68" s="147" t="s">
        <v>131</v>
      </c>
      <c r="F68" s="160" t="s">
        <v>19</v>
      </c>
      <c r="G68" s="147" t="s">
        <v>143</v>
      </c>
      <c r="H68" s="147" t="s">
        <v>305</v>
      </c>
      <c r="I68" s="158">
        <v>1109</v>
      </c>
      <c r="J68" s="147" t="s">
        <v>301</v>
      </c>
      <c r="K68" s="158">
        <v>65</v>
      </c>
      <c r="L68" s="147" t="s">
        <v>10</v>
      </c>
      <c r="M68" s="161">
        <f>IFERROR(VLOOKUP(L68,'Material Master'!B:C,2,0),"")</f>
      </c>
      <c r="N68" s="158">
        <v>300</v>
      </c>
      <c r="O68" s="162">
        <f>IFERROR(M68*N68,"")</f>
      </c>
      <c r="P68" s="147" t="s">
        <v>402</v>
      </c>
      <c r="Q68" s="158"/>
      <c r="R68" s="163">
        <v>45717</v>
      </c>
      <c r="S68" s="147"/>
      <c r="T68" s="147"/>
      <c r="U68" s="158">
        <v>658</v>
      </c>
      <c r="V68" s="164">
        <v>31</v>
      </c>
      <c r="W68" s="165">
        <f>IFERROR(U68*V68,"0")</f>
      </c>
      <c r="X68" s="7"/>
      <c r="Y68" s="166">
        <f>IFERROR((O68/1000)*Masters!$C$3,"0")</f>
      </c>
      <c r="Z68" s="167"/>
      <c r="AA68" s="164">
        <f>IFERROR(VLOOKUP(L68,Masters!G:H,2,0),"0")</f>
      </c>
      <c r="AB68" s="166">
        <f>IFERROR(AA68*N68,"0")</f>
      </c>
      <c r="AC68" s="168"/>
      <c r="AD68" s="158"/>
      <c r="AE68" s="166">
        <f>W68+Y68+AB68+AD68</f>
      </c>
      <c r="AF68" s="167"/>
      <c r="AG68" s="169">
        <f>M68&amp;"-"&amp;F68</f>
      </c>
      <c r="AH68" s="166">
        <f>IFERROR(VLOOKUP(AG68,Masters!N:O,2,0),"0")</f>
      </c>
      <c r="AI68" s="166">
        <f>AH68*N68</f>
      </c>
      <c r="AJ68" s="158"/>
      <c r="AK68" s="170">
        <f>AI68-AE68</f>
      </c>
      <c r="AL68" s="167"/>
      <c r="AM68" s="147"/>
      <c r="AN68" s="171">
        <f>IFERROR(U68/2,"0")</f>
      </c>
    </row>
    <row x14ac:dyDescent="0.25" r="69" customHeight="1" ht="18.75">
      <c r="A69" s="158">
        <f>A68+1</f>
      </c>
      <c r="B69" s="159">
        <v>45747</v>
      </c>
      <c r="C69" s="147" t="s">
        <v>472</v>
      </c>
      <c r="D69" s="159">
        <v>45750</v>
      </c>
      <c r="E69" s="147" t="s">
        <v>137</v>
      </c>
      <c r="F69" s="160" t="s">
        <v>16</v>
      </c>
      <c r="G69" s="147" t="s">
        <v>138</v>
      </c>
      <c r="H69" s="147" t="s">
        <v>304</v>
      </c>
      <c r="I69" s="158">
        <v>1109</v>
      </c>
      <c r="J69" s="147" t="s">
        <v>301</v>
      </c>
      <c r="K69" s="158">
        <v>60</v>
      </c>
      <c r="L69" s="147" t="s">
        <v>10</v>
      </c>
      <c r="M69" s="161">
        <f>IFERROR(VLOOKUP(L69,'Material Master'!B:C,2,0),"")</f>
      </c>
      <c r="N69" s="158">
        <v>300</v>
      </c>
      <c r="O69" s="162">
        <f>IFERROR(M69*N69,"")</f>
      </c>
      <c r="P69" s="147" t="s">
        <v>402</v>
      </c>
      <c r="Q69" s="158"/>
      <c r="R69" s="163">
        <v>45717</v>
      </c>
      <c r="S69" s="147"/>
      <c r="T69" s="147"/>
      <c r="U69" s="158">
        <v>434</v>
      </c>
      <c r="V69" s="164">
        <v>31</v>
      </c>
      <c r="W69" s="165">
        <f>IFERROR(U69*V69,"0")</f>
      </c>
      <c r="X69" s="7"/>
      <c r="Y69" s="166">
        <f>IFERROR((O69/1000)*Masters!$C$3,"0")</f>
      </c>
      <c r="Z69" s="167"/>
      <c r="AA69" s="164">
        <f>IFERROR(VLOOKUP(L69,Masters!G:H,2,0),"0")</f>
      </c>
      <c r="AB69" s="166">
        <f>IFERROR(AA69*N69,"0")</f>
      </c>
      <c r="AC69" s="168"/>
      <c r="AD69" s="158"/>
      <c r="AE69" s="166">
        <f>W69+Y69+AB69+AD69</f>
      </c>
      <c r="AF69" s="167"/>
      <c r="AG69" s="169">
        <f>M69&amp;"-"&amp;F69</f>
      </c>
      <c r="AH69" s="166">
        <f>IFERROR(VLOOKUP(AG69,Masters!N:O,2,0),"0")</f>
      </c>
      <c r="AI69" s="166">
        <f>AH69*N69</f>
      </c>
      <c r="AJ69" s="158"/>
      <c r="AK69" s="170">
        <f>AI69-AE69</f>
      </c>
      <c r="AL69" s="167"/>
      <c r="AM69" s="147"/>
      <c r="AN69" s="171">
        <f>IFERROR(U69/2,"0")</f>
      </c>
    </row>
    <row x14ac:dyDescent="0.25" r="70" customHeight="1" ht="18.75">
      <c r="A70" s="158">
        <f>A69+1</f>
      </c>
      <c r="B70" s="159">
        <v>45747</v>
      </c>
      <c r="C70" s="147" t="s">
        <v>473</v>
      </c>
      <c r="D70" s="159">
        <v>45754</v>
      </c>
      <c r="E70" s="147" t="s">
        <v>137</v>
      </c>
      <c r="F70" s="160" t="s">
        <v>32</v>
      </c>
      <c r="G70" s="147" t="s">
        <v>138</v>
      </c>
      <c r="H70" s="147" t="s">
        <v>304</v>
      </c>
      <c r="I70" s="158">
        <v>1109</v>
      </c>
      <c r="J70" s="147" t="s">
        <v>301</v>
      </c>
      <c r="K70" s="158">
        <v>70</v>
      </c>
      <c r="L70" s="147" t="s">
        <v>10</v>
      </c>
      <c r="M70" s="161">
        <f>IFERROR(VLOOKUP(L70,'Material Master'!B:C,2,0),"")</f>
      </c>
      <c r="N70" s="158">
        <v>300</v>
      </c>
      <c r="O70" s="162">
        <f>IFERROR(M70*N70,"")</f>
      </c>
      <c r="P70" s="147" t="s">
        <v>402</v>
      </c>
      <c r="Q70" s="158"/>
      <c r="R70" s="163">
        <v>45717</v>
      </c>
      <c r="S70" s="147"/>
      <c r="T70" s="147"/>
      <c r="U70" s="158">
        <v>433</v>
      </c>
      <c r="V70" s="164">
        <v>31</v>
      </c>
      <c r="W70" s="165">
        <f>IFERROR(U70*V70,"0")</f>
      </c>
      <c r="X70" s="7"/>
      <c r="Y70" s="166">
        <f>IFERROR((O70/1000)*Masters!$C$3,"0")</f>
      </c>
      <c r="Z70" s="167"/>
      <c r="AA70" s="164">
        <f>IFERROR(VLOOKUP(L70,Masters!G:H,2,0),"0")</f>
      </c>
      <c r="AB70" s="166">
        <f>IFERROR(AA70*N70,"0")</f>
      </c>
      <c r="AC70" s="168"/>
      <c r="AD70" s="158"/>
      <c r="AE70" s="166">
        <f>W70+Y70+AB70+AD70</f>
      </c>
      <c r="AF70" s="167"/>
      <c r="AG70" s="169">
        <f>M70&amp;"-"&amp;F70</f>
      </c>
      <c r="AH70" s="166">
        <f>IFERROR(VLOOKUP(AG70,Masters!N:O,2,0),"0")</f>
      </c>
      <c r="AI70" s="166">
        <f>AH70*N70</f>
      </c>
      <c r="AJ70" s="158"/>
      <c r="AK70" s="170">
        <f>AI70-AE70</f>
      </c>
      <c r="AL70" s="167"/>
      <c r="AM70" s="147"/>
      <c r="AN70" s="171">
        <f>IFERROR(U70/2,"0")</f>
      </c>
    </row>
    <row x14ac:dyDescent="0.25" r="71" customHeight="1" ht="18.75">
      <c r="A71" s="158">
        <f>A70+1</f>
      </c>
      <c r="B71" s="159">
        <v>45747</v>
      </c>
      <c r="C71" s="147" t="s">
        <v>474</v>
      </c>
      <c r="D71" s="159">
        <v>45748</v>
      </c>
      <c r="E71" s="147" t="s">
        <v>83</v>
      </c>
      <c r="F71" s="160" t="s">
        <v>11</v>
      </c>
      <c r="G71" s="147" t="s">
        <v>72</v>
      </c>
      <c r="H71" s="147" t="s">
        <v>302</v>
      </c>
      <c r="I71" s="158">
        <v>1109</v>
      </c>
      <c r="J71" s="147" t="s">
        <v>301</v>
      </c>
      <c r="K71" s="158">
        <v>52</v>
      </c>
      <c r="L71" s="147" t="s">
        <v>10</v>
      </c>
      <c r="M71" s="161">
        <f>IFERROR(VLOOKUP(L71,'Material Master'!B:C,2,0),"")</f>
      </c>
      <c r="N71" s="158">
        <v>300</v>
      </c>
      <c r="O71" s="162">
        <f>IFERROR(M71*N71,"")</f>
      </c>
      <c r="P71" s="147" t="s">
        <v>402</v>
      </c>
      <c r="Q71" s="158"/>
      <c r="R71" s="163">
        <v>45717</v>
      </c>
      <c r="S71" s="147"/>
      <c r="T71" s="147"/>
      <c r="U71" s="158">
        <v>176</v>
      </c>
      <c r="V71" s="164">
        <v>31</v>
      </c>
      <c r="W71" s="165">
        <f>IFERROR(U71*V71,"0")</f>
      </c>
      <c r="X71" s="7"/>
      <c r="Y71" s="166">
        <f>IFERROR((O71/1000)*Masters!$C$3,"0")</f>
      </c>
      <c r="Z71" s="167"/>
      <c r="AA71" s="164">
        <f>IFERROR(VLOOKUP(L71,Masters!G:H,2,0),"0")</f>
      </c>
      <c r="AB71" s="166">
        <f>IFERROR(AA71*N71,"0")</f>
      </c>
      <c r="AC71" s="168"/>
      <c r="AD71" s="158"/>
      <c r="AE71" s="166">
        <f>W71+Y71+AB71+AD71</f>
      </c>
      <c r="AF71" s="167"/>
      <c r="AG71" s="169">
        <f>M71&amp;"-"&amp;F71</f>
      </c>
      <c r="AH71" s="166">
        <f>IFERROR(VLOOKUP(AG71,Masters!N:O,2,0),"0")</f>
      </c>
      <c r="AI71" s="166">
        <f>AH71*N71</f>
      </c>
      <c r="AJ71" s="158"/>
      <c r="AK71" s="170">
        <f>AI71-AE71</f>
      </c>
      <c r="AL71" s="167"/>
      <c r="AM71" s="147"/>
      <c r="AN71" s="171">
        <f>IFERROR(U71/2,"0")</f>
      </c>
    </row>
    <row x14ac:dyDescent="0.25" r="72" customHeight="1" ht="18.75">
      <c r="A72" s="158">
        <f>A71+1</f>
      </c>
      <c r="B72" s="159">
        <v>45747</v>
      </c>
      <c r="C72" s="147" t="s">
        <v>475</v>
      </c>
      <c r="D72" s="159">
        <v>45749</v>
      </c>
      <c r="E72" s="147" t="s">
        <v>83</v>
      </c>
      <c r="F72" s="160" t="s">
        <v>11</v>
      </c>
      <c r="G72" s="147" t="s">
        <v>72</v>
      </c>
      <c r="H72" s="147" t="s">
        <v>302</v>
      </c>
      <c r="I72" s="158">
        <v>1109</v>
      </c>
      <c r="J72" s="147" t="s">
        <v>301</v>
      </c>
      <c r="K72" s="158">
        <v>56</v>
      </c>
      <c r="L72" s="147" t="s">
        <v>10</v>
      </c>
      <c r="M72" s="161">
        <f>IFERROR(VLOOKUP(L72,'Material Master'!B:C,2,0),"")</f>
      </c>
      <c r="N72" s="158">
        <v>300</v>
      </c>
      <c r="O72" s="162">
        <f>IFERROR(M72*N72,"")</f>
      </c>
      <c r="P72" s="147" t="s">
        <v>402</v>
      </c>
      <c r="Q72" s="158"/>
      <c r="R72" s="163">
        <v>45717</v>
      </c>
      <c r="S72" s="147"/>
      <c r="T72" s="147"/>
      <c r="U72" s="158">
        <v>179</v>
      </c>
      <c r="V72" s="164">
        <v>31</v>
      </c>
      <c r="W72" s="165">
        <f>IFERROR(U72*V72,"0")</f>
      </c>
      <c r="X72" s="7"/>
      <c r="Y72" s="166">
        <f>IFERROR((O72/1000)*Masters!$C$3,"0")</f>
      </c>
      <c r="Z72" s="167"/>
      <c r="AA72" s="164">
        <f>IFERROR(VLOOKUP(L72,Masters!G:H,2,0),"0")</f>
      </c>
      <c r="AB72" s="166">
        <f>IFERROR(AA72*N72,"0")</f>
      </c>
      <c r="AC72" s="168"/>
      <c r="AD72" s="158"/>
      <c r="AE72" s="166">
        <f>W72+Y72+AB72+AD72</f>
      </c>
      <c r="AF72" s="167"/>
      <c r="AG72" s="169">
        <f>M72&amp;"-"&amp;F72</f>
      </c>
      <c r="AH72" s="166">
        <f>IFERROR(VLOOKUP(AG72,Masters!N:O,2,0),"0")</f>
      </c>
      <c r="AI72" s="166">
        <f>AH72*N72</f>
      </c>
      <c r="AJ72" s="158"/>
      <c r="AK72" s="170">
        <f>AI72-AE72</f>
      </c>
      <c r="AL72" s="167"/>
      <c r="AM72" s="147"/>
      <c r="AN72" s="171">
        <f>IFERROR(U72/2,"0")</f>
      </c>
    </row>
    <row x14ac:dyDescent="0.25" r="73" customHeight="1" ht="18.75">
      <c r="A73" s="158">
        <f>A72+1</f>
      </c>
      <c r="B73" s="159">
        <v>45747</v>
      </c>
      <c r="C73" s="147" t="s">
        <v>476</v>
      </c>
      <c r="D73" s="159">
        <v>45748</v>
      </c>
      <c r="E73" s="147" t="s">
        <v>133</v>
      </c>
      <c r="F73" s="160" t="s">
        <v>11</v>
      </c>
      <c r="G73" s="147" t="s">
        <v>477</v>
      </c>
      <c r="H73" s="147" t="s">
        <v>303</v>
      </c>
      <c r="I73" s="158">
        <v>1109</v>
      </c>
      <c r="J73" s="147" t="s">
        <v>301</v>
      </c>
      <c r="K73" s="158">
        <v>53</v>
      </c>
      <c r="L73" s="147" t="s">
        <v>10</v>
      </c>
      <c r="M73" s="161">
        <f>IFERROR(VLOOKUP(L73,'Material Master'!B:C,2,0),"")</f>
      </c>
      <c r="N73" s="158">
        <v>300</v>
      </c>
      <c r="O73" s="162">
        <f>IFERROR(M73*N73,"")</f>
      </c>
      <c r="P73" s="147" t="s">
        <v>402</v>
      </c>
      <c r="Q73" s="158"/>
      <c r="R73" s="163">
        <v>45717</v>
      </c>
      <c r="S73" s="147"/>
      <c r="T73" s="147"/>
      <c r="U73" s="158">
        <v>194</v>
      </c>
      <c r="V73" s="164">
        <v>31</v>
      </c>
      <c r="W73" s="165">
        <f>IFERROR(U73*V73,"0")</f>
      </c>
      <c r="X73" s="7"/>
      <c r="Y73" s="166">
        <f>IFERROR((O73/1000)*Masters!$C$3,"0")</f>
      </c>
      <c r="Z73" s="167"/>
      <c r="AA73" s="164">
        <f>IFERROR(VLOOKUP(L73,Masters!G:H,2,0),"0")</f>
      </c>
      <c r="AB73" s="166">
        <f>IFERROR(AA73*N73,"0")</f>
      </c>
      <c r="AC73" s="168"/>
      <c r="AD73" s="158"/>
      <c r="AE73" s="166">
        <f>W73+Y73+AB73+AD73</f>
      </c>
      <c r="AF73" s="167"/>
      <c r="AG73" s="169">
        <f>M73&amp;"-"&amp;F73</f>
      </c>
      <c r="AH73" s="166">
        <f>IFERROR(VLOOKUP(AG73,Masters!N:O,2,0),"0")</f>
      </c>
      <c r="AI73" s="166">
        <f>AH73*N73</f>
      </c>
      <c r="AJ73" s="158"/>
      <c r="AK73" s="170">
        <f>AI73-AE73</f>
      </c>
      <c r="AL73" s="167"/>
      <c r="AM73" s="147"/>
      <c r="AN73" s="171">
        <f>IFERROR(U73/2,"0")</f>
      </c>
    </row>
    <row x14ac:dyDescent="0.25" r="74" customHeight="1" ht="18.75">
      <c r="A74" s="158">
        <f>A73+1</f>
      </c>
      <c r="B74" s="159">
        <v>45747</v>
      </c>
      <c r="C74" s="147" t="s">
        <v>478</v>
      </c>
      <c r="D74" s="159">
        <v>45750</v>
      </c>
      <c r="E74" s="147" t="s">
        <v>139</v>
      </c>
      <c r="F74" s="160" t="s">
        <v>16</v>
      </c>
      <c r="G74" s="147" t="s">
        <v>479</v>
      </c>
      <c r="H74" s="147" t="s">
        <v>302</v>
      </c>
      <c r="I74" s="158">
        <v>1109</v>
      </c>
      <c r="J74" s="147" t="s">
        <v>301</v>
      </c>
      <c r="K74" s="158">
        <v>63</v>
      </c>
      <c r="L74" s="147" t="s">
        <v>10</v>
      </c>
      <c r="M74" s="161">
        <f>IFERROR(VLOOKUP(L74,'Material Master'!B:C,2,0),"")</f>
      </c>
      <c r="N74" s="158">
        <v>300</v>
      </c>
      <c r="O74" s="162">
        <f>IFERROR(M74*N74,"")</f>
      </c>
      <c r="P74" s="147" t="s">
        <v>402</v>
      </c>
      <c r="Q74" s="158"/>
      <c r="R74" s="163">
        <v>45717</v>
      </c>
      <c r="S74" s="147"/>
      <c r="T74" s="147"/>
      <c r="U74" s="158">
        <v>308</v>
      </c>
      <c r="V74" s="164">
        <v>31</v>
      </c>
      <c r="W74" s="165">
        <f>IFERROR(U74*V74,"0")</f>
      </c>
      <c r="X74" s="7"/>
      <c r="Y74" s="166">
        <f>IFERROR((O74/1000)*Masters!$C$3,"0")</f>
      </c>
      <c r="Z74" s="167"/>
      <c r="AA74" s="164">
        <f>IFERROR(VLOOKUP(L74,Masters!G:H,2,0),"0")</f>
      </c>
      <c r="AB74" s="166">
        <f>IFERROR(AA74*N74,"0")</f>
      </c>
      <c r="AC74" s="168"/>
      <c r="AD74" s="158"/>
      <c r="AE74" s="166">
        <f>W74+Y74+AB74+AD74</f>
      </c>
      <c r="AF74" s="167"/>
      <c r="AG74" s="169">
        <f>M74&amp;"-"&amp;F74</f>
      </c>
      <c r="AH74" s="166">
        <f>IFERROR(VLOOKUP(AG74,Masters!N:O,2,0),"0")</f>
      </c>
      <c r="AI74" s="166">
        <f>AH74*N74</f>
      </c>
      <c r="AJ74" s="158"/>
      <c r="AK74" s="170">
        <f>AI74-AE74</f>
      </c>
      <c r="AL74" s="167"/>
      <c r="AM74" s="147"/>
      <c r="AN74" s="171">
        <f>IFERROR(U74/2,"0")</f>
      </c>
    </row>
    <row x14ac:dyDescent="0.25" r="75" customHeight="1" ht="18.75">
      <c r="A75" s="158">
        <f>A74+1</f>
      </c>
      <c r="B75" s="159">
        <v>45747</v>
      </c>
      <c r="C75" s="147" t="s">
        <v>480</v>
      </c>
      <c r="D75" s="159">
        <v>45754</v>
      </c>
      <c r="E75" s="147" t="s">
        <v>102</v>
      </c>
      <c r="F75" s="160" t="s">
        <v>32</v>
      </c>
      <c r="G75" s="147" t="s">
        <v>107</v>
      </c>
      <c r="H75" s="147" t="s">
        <v>302</v>
      </c>
      <c r="I75" s="158">
        <v>1109</v>
      </c>
      <c r="J75" s="147" t="s">
        <v>301</v>
      </c>
      <c r="K75" s="158">
        <v>69</v>
      </c>
      <c r="L75" s="147" t="s">
        <v>10</v>
      </c>
      <c r="M75" s="161">
        <f>IFERROR(VLOOKUP(L75,'Material Master'!B:C,2,0),"")</f>
      </c>
      <c r="N75" s="158">
        <v>300</v>
      </c>
      <c r="O75" s="162">
        <f>IFERROR(M75*N75,"")</f>
      </c>
      <c r="P75" s="147" t="s">
        <v>402</v>
      </c>
      <c r="Q75" s="158"/>
      <c r="R75" s="163">
        <v>45717</v>
      </c>
      <c r="S75" s="147"/>
      <c r="T75" s="147"/>
      <c r="U75" s="158">
        <v>309</v>
      </c>
      <c r="V75" s="164">
        <v>31</v>
      </c>
      <c r="W75" s="165">
        <f>IFERROR(U75*V75,"0")</f>
      </c>
      <c r="X75" s="7"/>
      <c r="Y75" s="166">
        <f>IFERROR((O75/1000)*Masters!$C$3,"0")</f>
      </c>
      <c r="Z75" s="167"/>
      <c r="AA75" s="164">
        <f>IFERROR(VLOOKUP(L75,Masters!G:H,2,0),"0")</f>
      </c>
      <c r="AB75" s="166">
        <f>IFERROR(AA75*N75,"0")</f>
      </c>
      <c r="AC75" s="168"/>
      <c r="AD75" s="158"/>
      <c r="AE75" s="166">
        <f>W75+Y75+AB75+AD75</f>
      </c>
      <c r="AF75" s="167"/>
      <c r="AG75" s="169">
        <f>M75&amp;"-"&amp;F75</f>
      </c>
      <c r="AH75" s="166">
        <f>IFERROR(VLOOKUP(AG75,Masters!N:O,2,0),"0")</f>
      </c>
      <c r="AI75" s="166">
        <f>AH75*N75</f>
      </c>
      <c r="AJ75" s="158"/>
      <c r="AK75" s="170">
        <f>AI75-AE75</f>
      </c>
      <c r="AL75" s="167"/>
      <c r="AM75" s="147"/>
      <c r="AN75" s="171">
        <f>IFERROR(U75/2,"0")</f>
      </c>
    </row>
    <row x14ac:dyDescent="0.25" r="76" customHeight="1" ht="18.75">
      <c r="A76" s="158">
        <f>A75+1</f>
      </c>
      <c r="B76" s="159">
        <v>45747</v>
      </c>
      <c r="C76" s="147" t="s">
        <v>481</v>
      </c>
      <c r="D76" s="159">
        <v>45752</v>
      </c>
      <c r="E76" s="147" t="s">
        <v>102</v>
      </c>
      <c r="F76" s="160" t="s">
        <v>32</v>
      </c>
      <c r="G76" s="147" t="s">
        <v>105</v>
      </c>
      <c r="H76" s="147" t="s">
        <v>302</v>
      </c>
      <c r="I76" s="158">
        <v>1109</v>
      </c>
      <c r="J76" s="147" t="s">
        <v>301</v>
      </c>
      <c r="K76" s="158">
        <v>67</v>
      </c>
      <c r="L76" s="147" t="s">
        <v>10</v>
      </c>
      <c r="M76" s="161">
        <f>IFERROR(VLOOKUP(L76,'Material Master'!B:C,2,0),"")</f>
      </c>
      <c r="N76" s="158">
        <v>300</v>
      </c>
      <c r="O76" s="162">
        <f>IFERROR(M76*N76,"")</f>
      </c>
      <c r="P76" s="147" t="s">
        <v>402</v>
      </c>
      <c r="Q76" s="158"/>
      <c r="R76" s="163">
        <v>45717</v>
      </c>
      <c r="S76" s="147"/>
      <c r="T76" s="147"/>
      <c r="U76" s="158">
        <v>389</v>
      </c>
      <c r="V76" s="164">
        <v>31</v>
      </c>
      <c r="W76" s="165">
        <f>IFERROR(U76*V76,"0")</f>
      </c>
      <c r="X76" s="7"/>
      <c r="Y76" s="166">
        <f>IFERROR((O76/1000)*Masters!$C$3,"0")</f>
      </c>
      <c r="Z76" s="167"/>
      <c r="AA76" s="164">
        <f>IFERROR(VLOOKUP(L76,Masters!G:H,2,0),"0")</f>
      </c>
      <c r="AB76" s="166">
        <f>IFERROR(AA76*N76,"0")</f>
      </c>
      <c r="AC76" s="168"/>
      <c r="AD76" s="158"/>
      <c r="AE76" s="166">
        <f>W76+Y76+AB76+AD76</f>
      </c>
      <c r="AF76" s="167"/>
      <c r="AG76" s="169">
        <f>M76&amp;"-"&amp;F76</f>
      </c>
      <c r="AH76" s="166">
        <f>IFERROR(VLOOKUP(AG76,Masters!N:O,2,0),"0")</f>
      </c>
      <c r="AI76" s="166">
        <f>AH76*N76</f>
      </c>
      <c r="AJ76" s="158"/>
      <c r="AK76" s="170">
        <f>AI76-AE76</f>
      </c>
      <c r="AL76" s="167"/>
      <c r="AM76" s="147"/>
      <c r="AN76" s="171">
        <f>IFERROR(U76/2,"0")</f>
      </c>
    </row>
    <row x14ac:dyDescent="0.25" r="77" customHeight="1" ht="18.75">
      <c r="A77" s="158">
        <f>A76+1</f>
      </c>
      <c r="B77" s="159">
        <v>45750</v>
      </c>
      <c r="C77" s="147" t="s">
        <v>482</v>
      </c>
      <c r="D77" s="159">
        <v>45752</v>
      </c>
      <c r="E77" s="147" t="s">
        <v>144</v>
      </c>
      <c r="F77" s="160" t="s">
        <v>19</v>
      </c>
      <c r="G77" s="147" t="s">
        <v>145</v>
      </c>
      <c r="H77" s="147" t="s">
        <v>303</v>
      </c>
      <c r="I77" s="158">
        <v>1109</v>
      </c>
      <c r="J77" s="147" t="s">
        <v>301</v>
      </c>
      <c r="K77" s="158">
        <v>66</v>
      </c>
      <c r="L77" s="147" t="s">
        <v>10</v>
      </c>
      <c r="M77" s="161">
        <f>IFERROR(VLOOKUP(L77,'Material Master'!B:C,2,0),"")</f>
      </c>
      <c r="N77" s="158">
        <v>300</v>
      </c>
      <c r="O77" s="162">
        <f>IFERROR(M77*N77,"")</f>
      </c>
      <c r="P77" s="147" t="s">
        <v>402</v>
      </c>
      <c r="Q77" s="158"/>
      <c r="R77" s="163">
        <v>45748</v>
      </c>
      <c r="S77" s="173" t="s">
        <v>483</v>
      </c>
      <c r="T77" s="147"/>
      <c r="U77" s="158">
        <v>530</v>
      </c>
      <c r="V77" s="164">
        <v>31</v>
      </c>
      <c r="W77" s="165">
        <f>IFERROR(U77*V77,"0")</f>
      </c>
      <c r="X77" s="7"/>
      <c r="Y77" s="166">
        <f>IFERROR((O77/1000)*Masters!$C$3,"0")</f>
      </c>
      <c r="Z77" s="167"/>
      <c r="AA77" s="164">
        <f>IFERROR(VLOOKUP(L77,Masters!G:H,2,0),"0")</f>
      </c>
      <c r="AB77" s="166">
        <f>IFERROR(AA77*N77,"0")</f>
      </c>
      <c r="AC77" s="168"/>
      <c r="AD77" s="158"/>
      <c r="AE77" s="166">
        <f>W77+Y77+AB77+AD77</f>
      </c>
      <c r="AF77" s="167"/>
      <c r="AG77" s="169">
        <f>M77&amp;"-"&amp;F77</f>
      </c>
      <c r="AH77" s="166">
        <f>IFERROR(VLOOKUP(AG77,Masters!N:O,2,0),"0")</f>
      </c>
      <c r="AI77" s="166">
        <f>AH77*N77</f>
      </c>
      <c r="AJ77" s="158"/>
      <c r="AK77" s="170">
        <f>AI77-AE77</f>
      </c>
      <c r="AL77" s="167"/>
      <c r="AM77" s="147"/>
      <c r="AN77" s="171">
        <f>IFERROR(U77/2,"0")</f>
      </c>
    </row>
    <row x14ac:dyDescent="0.25" r="78" customHeight="1" ht="18.75">
      <c r="A78" s="158">
        <f>A77+1</f>
      </c>
      <c r="B78" s="159">
        <v>45750</v>
      </c>
      <c r="C78" s="147" t="s">
        <v>484</v>
      </c>
      <c r="D78" s="159">
        <v>45750</v>
      </c>
      <c r="E78" s="147" t="s">
        <v>93</v>
      </c>
      <c r="F78" s="160" t="s">
        <v>11</v>
      </c>
      <c r="G78" s="147" t="s">
        <v>485</v>
      </c>
      <c r="H78" s="147" t="s">
        <v>309</v>
      </c>
      <c r="I78" s="158">
        <v>909</v>
      </c>
      <c r="J78" s="147" t="s">
        <v>301</v>
      </c>
      <c r="K78" s="158">
        <v>61</v>
      </c>
      <c r="L78" s="147" t="s">
        <v>10</v>
      </c>
      <c r="M78" s="161">
        <f>IFERROR(VLOOKUP(L78,'Material Master'!B:C,2,0),"")</f>
      </c>
      <c r="N78" s="158">
        <v>200</v>
      </c>
      <c r="O78" s="162">
        <f>IFERROR(M78*N78,"")</f>
      </c>
      <c r="P78" s="147" t="s">
        <v>402</v>
      </c>
      <c r="Q78" s="158"/>
      <c r="R78" s="163">
        <v>45748</v>
      </c>
      <c r="S78" s="147"/>
      <c r="T78" s="147"/>
      <c r="U78" s="158">
        <v>181</v>
      </c>
      <c r="V78" s="164">
        <v>31</v>
      </c>
      <c r="W78" s="165">
        <f>IFERROR(U78*V78,"0")</f>
      </c>
      <c r="X78" s="7"/>
      <c r="Y78" s="166">
        <f>IFERROR((O78/1000)*Masters!$C$3,"0")</f>
      </c>
      <c r="Z78" s="167"/>
      <c r="AA78" s="164">
        <f>IFERROR(VLOOKUP(L78,Masters!G:H,2,0),"0")</f>
      </c>
      <c r="AB78" s="166">
        <f>IFERROR(AA78*N78,"0")</f>
      </c>
      <c r="AC78" s="168"/>
      <c r="AD78" s="158"/>
      <c r="AE78" s="166">
        <f>W78+Y78+AB78+AD78</f>
      </c>
      <c r="AF78" s="167"/>
      <c r="AG78" s="169">
        <f>M78&amp;"-"&amp;F78</f>
      </c>
      <c r="AH78" s="166">
        <f>IFERROR(VLOOKUP(AG78,Masters!N:O,2,0),"0")</f>
      </c>
      <c r="AI78" s="166">
        <f>AH78*N78</f>
      </c>
      <c r="AJ78" s="158"/>
      <c r="AK78" s="170">
        <f>AI78-AE78</f>
      </c>
      <c r="AL78" s="167"/>
      <c r="AM78" s="147"/>
      <c r="AN78" s="171">
        <f>IFERROR(U78/2,"0")</f>
      </c>
    </row>
    <row x14ac:dyDescent="0.25" r="79" customHeight="1" ht="18.75">
      <c r="A79" s="158">
        <f>A78+1</f>
      </c>
      <c r="B79" s="159">
        <v>45750</v>
      </c>
      <c r="C79" s="147" t="s">
        <v>486</v>
      </c>
      <c r="D79" s="159">
        <v>45755</v>
      </c>
      <c r="E79" s="147" t="s">
        <v>75</v>
      </c>
      <c r="F79" s="160" t="s">
        <v>16</v>
      </c>
      <c r="G79" s="147" t="s">
        <v>147</v>
      </c>
      <c r="H79" s="147" t="s">
        <v>304</v>
      </c>
      <c r="I79" s="158">
        <v>1109</v>
      </c>
      <c r="J79" s="147" t="s">
        <v>301</v>
      </c>
      <c r="K79" s="158">
        <v>74</v>
      </c>
      <c r="L79" s="147" t="s">
        <v>10</v>
      </c>
      <c r="M79" s="161">
        <f>IFERROR(VLOOKUP(L79,'Material Master'!B:C,2,0),"")</f>
      </c>
      <c r="N79" s="158">
        <v>300</v>
      </c>
      <c r="O79" s="162">
        <f>IFERROR(M79*N79,"")</f>
      </c>
      <c r="P79" s="147" t="s">
        <v>402</v>
      </c>
      <c r="Q79" s="158"/>
      <c r="R79" s="163">
        <v>45748</v>
      </c>
      <c r="S79" s="147"/>
      <c r="T79" s="147"/>
      <c r="U79" s="158">
        <v>296</v>
      </c>
      <c r="V79" s="164">
        <v>31</v>
      </c>
      <c r="W79" s="165">
        <f>IFERROR(U79*V79,"0")</f>
      </c>
      <c r="X79" s="7"/>
      <c r="Y79" s="166">
        <f>IFERROR((O79/1000)*Masters!$C$3,"0")</f>
      </c>
      <c r="Z79" s="167"/>
      <c r="AA79" s="164">
        <f>IFERROR(VLOOKUP(L79,Masters!G:H,2,0),"0")</f>
      </c>
      <c r="AB79" s="166">
        <f>IFERROR(AA79*N79,"0")</f>
      </c>
      <c r="AC79" s="168"/>
      <c r="AD79" s="158"/>
      <c r="AE79" s="166">
        <f>W79+Y79+AB79+AD79</f>
      </c>
      <c r="AF79" s="167"/>
      <c r="AG79" s="169">
        <f>M79&amp;"-"&amp;F79</f>
      </c>
      <c r="AH79" s="166">
        <f>IFERROR(VLOOKUP(AG79,Masters!N:O,2,0),"0")</f>
      </c>
      <c r="AI79" s="166">
        <f>AH79*N79</f>
      </c>
      <c r="AJ79" s="158">
        <v>722450</v>
      </c>
      <c r="AK79" s="170">
        <f>AI79-AE79</f>
      </c>
      <c r="AL79" s="167"/>
      <c r="AM79" s="147"/>
      <c r="AN79" s="171">
        <f>IFERROR(U79/2,"0")</f>
      </c>
    </row>
    <row x14ac:dyDescent="0.25" r="80" customHeight="1" ht="18.75">
      <c r="A80" s="158">
        <f>A79+1</f>
      </c>
      <c r="B80" s="159">
        <v>45752</v>
      </c>
      <c r="C80" s="147" t="s">
        <v>487</v>
      </c>
      <c r="D80" s="159">
        <v>45755</v>
      </c>
      <c r="E80" s="147" t="s">
        <v>148</v>
      </c>
      <c r="F80" s="160" t="s">
        <v>16</v>
      </c>
      <c r="G80" s="147" t="s">
        <v>149</v>
      </c>
      <c r="H80" s="147" t="s">
        <v>305</v>
      </c>
      <c r="I80" s="158">
        <v>1109</v>
      </c>
      <c r="J80" s="147" t="s">
        <v>301</v>
      </c>
      <c r="K80" s="158">
        <v>72</v>
      </c>
      <c r="L80" s="147" t="s">
        <v>10</v>
      </c>
      <c r="M80" s="161">
        <f>IFERROR(VLOOKUP(L80,'Material Master'!B:C,2,0),"")</f>
      </c>
      <c r="N80" s="158">
        <v>300</v>
      </c>
      <c r="O80" s="162">
        <f>IFERROR(M80*N80,"")</f>
      </c>
      <c r="P80" s="147" t="s">
        <v>402</v>
      </c>
      <c r="Q80" s="158"/>
      <c r="R80" s="163">
        <v>45748</v>
      </c>
      <c r="S80" s="147"/>
      <c r="T80" s="147"/>
      <c r="U80" s="158">
        <v>315</v>
      </c>
      <c r="V80" s="164">
        <v>31</v>
      </c>
      <c r="W80" s="165">
        <f>IFERROR(U80*V80,"0")</f>
      </c>
      <c r="X80" s="7"/>
      <c r="Y80" s="166">
        <f>IFERROR((O80/1000)*Masters!$C$3,"0")</f>
      </c>
      <c r="Z80" s="167"/>
      <c r="AA80" s="164">
        <f>IFERROR(VLOOKUP(L80,Masters!G:H,2,0),"0")</f>
      </c>
      <c r="AB80" s="166">
        <f>IFERROR(AA80*N80,"0")</f>
      </c>
      <c r="AC80" s="168"/>
      <c r="AD80" s="158"/>
      <c r="AE80" s="166">
        <f>W80+Y80+AB80+AD80</f>
      </c>
      <c r="AF80" s="167"/>
      <c r="AG80" s="169">
        <f>M80&amp;"-"&amp;F80</f>
      </c>
      <c r="AH80" s="166">
        <f>IFERROR(VLOOKUP(AG80,Masters!N:O,2,0),"0")</f>
      </c>
      <c r="AI80" s="166">
        <f>AH80*N80</f>
      </c>
      <c r="AJ80" s="158"/>
      <c r="AK80" s="170">
        <f>AI80-AE80</f>
      </c>
      <c r="AL80" s="167"/>
      <c r="AM80" s="147"/>
      <c r="AN80" s="171">
        <f>IFERROR(U80/2,"0")</f>
      </c>
    </row>
    <row x14ac:dyDescent="0.25" r="81" customHeight="1" ht="18.75">
      <c r="A81" s="158">
        <f>A80+1</f>
      </c>
      <c r="B81" s="159">
        <v>45754</v>
      </c>
      <c r="C81" s="174" t="s">
        <v>488</v>
      </c>
      <c r="D81" s="159">
        <v>45756</v>
      </c>
      <c r="E81" s="174" t="s">
        <v>152</v>
      </c>
      <c r="F81" s="175" t="s">
        <v>16</v>
      </c>
      <c r="G81" s="174" t="s">
        <v>489</v>
      </c>
      <c r="H81" s="174" t="s">
        <v>302</v>
      </c>
      <c r="I81" s="176">
        <v>909</v>
      </c>
      <c r="J81" s="174" t="s">
        <v>301</v>
      </c>
      <c r="K81" s="176">
        <v>76</v>
      </c>
      <c r="L81" s="174" t="s">
        <v>10</v>
      </c>
      <c r="M81" s="177">
        <f>IFERROR(VLOOKUP(L81,'Material Master'!B:C,2,0),"")</f>
      </c>
      <c r="N81" s="176">
        <v>200</v>
      </c>
      <c r="O81" s="178">
        <f>IFERROR(M81*N81,"")</f>
      </c>
      <c r="P81" s="174" t="s">
        <v>402</v>
      </c>
      <c r="Q81" s="176"/>
      <c r="R81" s="179">
        <v>45748</v>
      </c>
      <c r="S81" s="174" t="s">
        <v>490</v>
      </c>
      <c r="T81" s="174"/>
      <c r="U81" s="176">
        <v>435</v>
      </c>
      <c r="V81" s="177">
        <v>31</v>
      </c>
      <c r="W81" s="180">
        <f>IFERROR(U81*V81,"0")</f>
      </c>
      <c r="X81" s="181"/>
      <c r="Y81" s="166">
        <f>IFERROR((O81/1000)*Masters!$C$3,"0")</f>
      </c>
      <c r="Z81" s="182"/>
      <c r="AA81" s="164">
        <f>IFERROR(VLOOKUP(L81,Masters!G:H,2,0),"0")</f>
      </c>
      <c r="AB81" s="166">
        <f>IFERROR(AA81*N81,"0")</f>
      </c>
      <c r="AC81" s="183"/>
      <c r="AD81" s="176"/>
      <c r="AE81" s="166">
        <f>W81+Y81+AB81+AD81</f>
      </c>
      <c r="AF81" s="182"/>
      <c r="AG81" s="169">
        <f>M81&amp;"-"&amp;F81</f>
      </c>
      <c r="AH81" s="166">
        <f>IFERROR(VLOOKUP(AG81,Masters!N:O,2,0),"0")</f>
      </c>
      <c r="AI81" s="166">
        <f>AH81*N81</f>
      </c>
      <c r="AJ81" s="176"/>
      <c r="AK81" s="170">
        <f>AI81-AE81</f>
      </c>
      <c r="AL81" s="182"/>
      <c r="AM81" s="174"/>
      <c r="AN81" s="171">
        <f>IFERROR(U81/2,"0")</f>
      </c>
    </row>
    <row x14ac:dyDescent="0.25" r="82" customHeight="1" ht="18.75">
      <c r="A82" s="158">
        <f>A81+1</f>
      </c>
      <c r="B82" s="159">
        <v>45754</v>
      </c>
      <c r="C82" s="147" t="s">
        <v>491</v>
      </c>
      <c r="D82" s="159">
        <v>45755</v>
      </c>
      <c r="E82" s="147" t="s">
        <v>75</v>
      </c>
      <c r="F82" s="160" t="s">
        <v>16</v>
      </c>
      <c r="G82" s="147" t="s">
        <v>151</v>
      </c>
      <c r="H82" s="147" t="s">
        <v>303</v>
      </c>
      <c r="I82" s="158">
        <v>1109</v>
      </c>
      <c r="J82" s="147" t="s">
        <v>301</v>
      </c>
      <c r="K82" s="158">
        <v>71</v>
      </c>
      <c r="L82" s="147" t="s">
        <v>10</v>
      </c>
      <c r="M82" s="161">
        <f>IFERROR(VLOOKUP(L82,'Material Master'!B:C,2,0),"")</f>
      </c>
      <c r="N82" s="158">
        <v>300</v>
      </c>
      <c r="O82" s="162">
        <f>IFERROR(M82*N82,"")</f>
      </c>
      <c r="P82" s="147" t="s">
        <v>402</v>
      </c>
      <c r="Q82" s="158"/>
      <c r="R82" s="163">
        <v>45748</v>
      </c>
      <c r="S82" s="147"/>
      <c r="T82" s="147"/>
      <c r="U82" s="158">
        <v>214</v>
      </c>
      <c r="V82" s="164">
        <v>31</v>
      </c>
      <c r="W82" s="165">
        <f>IFERROR(U82*V82,"0")</f>
      </c>
      <c r="X82" s="7"/>
      <c r="Y82" s="166">
        <f>IFERROR((O82/1000)*Masters!$C$3,"0")</f>
      </c>
      <c r="Z82" s="167"/>
      <c r="AA82" s="164">
        <f>IFERROR(VLOOKUP(L82,Masters!G:H,2,0),"0")</f>
      </c>
      <c r="AB82" s="166">
        <f>IFERROR(AA82*N82,"0")</f>
      </c>
      <c r="AC82" s="168"/>
      <c r="AD82" s="158"/>
      <c r="AE82" s="166">
        <f>W82+Y82+AB82+AD82</f>
      </c>
      <c r="AF82" s="167"/>
      <c r="AG82" s="169">
        <f>M82&amp;"-"&amp;F82</f>
      </c>
      <c r="AH82" s="166">
        <f>IFERROR(VLOOKUP(AG82,Masters!N:O,2,0),"0")</f>
      </c>
      <c r="AI82" s="166">
        <f>AH82*N82</f>
      </c>
      <c r="AJ82" s="158"/>
      <c r="AK82" s="170">
        <f>AI82-AE82</f>
      </c>
      <c r="AL82" s="167"/>
      <c r="AM82" s="147"/>
      <c r="AN82" s="171">
        <f>IFERROR(U82/2,"0")</f>
      </c>
    </row>
    <row x14ac:dyDescent="0.25" r="83" customHeight="1" ht="18.75">
      <c r="A83" s="158">
        <f>A82+1</f>
      </c>
      <c r="B83" s="159">
        <v>45754</v>
      </c>
      <c r="C83" s="147" t="s">
        <v>492</v>
      </c>
      <c r="D83" s="159">
        <v>45755</v>
      </c>
      <c r="E83" s="147" t="s">
        <v>154</v>
      </c>
      <c r="F83" s="160" t="s">
        <v>11</v>
      </c>
      <c r="G83" s="147" t="s">
        <v>493</v>
      </c>
      <c r="H83" s="147" t="s">
        <v>302</v>
      </c>
      <c r="I83" s="158">
        <v>709</v>
      </c>
      <c r="J83" s="147" t="s">
        <v>301</v>
      </c>
      <c r="K83" s="158">
        <v>73</v>
      </c>
      <c r="L83" s="147" t="s">
        <v>10</v>
      </c>
      <c r="M83" s="161">
        <f>IFERROR(VLOOKUP(L83,'Material Master'!B:C,2,0),"")</f>
      </c>
      <c r="N83" s="158">
        <v>100</v>
      </c>
      <c r="O83" s="162">
        <f>IFERROR(M83*N83,"")</f>
      </c>
      <c r="P83" s="147" t="s">
        <v>402</v>
      </c>
      <c r="Q83" s="158"/>
      <c r="R83" s="163">
        <v>45748</v>
      </c>
      <c r="S83" s="147"/>
      <c r="T83" s="147"/>
      <c r="U83" s="158">
        <v>141</v>
      </c>
      <c r="V83" s="164">
        <v>31</v>
      </c>
      <c r="W83" s="165">
        <f>IFERROR(U83*V83,"0")</f>
      </c>
      <c r="X83" s="7"/>
      <c r="Y83" s="166">
        <f>IFERROR((O83/1000)*Masters!$C$3,"0")</f>
      </c>
      <c r="Z83" s="167"/>
      <c r="AA83" s="164">
        <f>IFERROR(VLOOKUP(L83,Masters!G:H,2,0),"0")</f>
      </c>
      <c r="AB83" s="166">
        <f>IFERROR(AA83*N83,"0")</f>
      </c>
      <c r="AC83" s="168"/>
      <c r="AD83" s="158"/>
      <c r="AE83" s="166">
        <f>W83+Y83+AB83+AD83</f>
      </c>
      <c r="AF83" s="167"/>
      <c r="AG83" s="169">
        <f>M83&amp;"-"&amp;F83</f>
      </c>
      <c r="AH83" s="166">
        <f>IFERROR(VLOOKUP(AG83,Masters!N:O,2,0),"0")</f>
      </c>
      <c r="AI83" s="166">
        <f>AH83*N83</f>
      </c>
      <c r="AJ83" s="158"/>
      <c r="AK83" s="170">
        <f>AI83-AE83</f>
      </c>
      <c r="AL83" s="167"/>
      <c r="AM83" s="147"/>
      <c r="AN83" s="171">
        <f>IFERROR(U83/2,"0")</f>
      </c>
    </row>
    <row x14ac:dyDescent="0.25" r="84" customHeight="1" ht="18.75">
      <c r="A84" s="158">
        <f>A83+1</f>
      </c>
      <c r="B84" s="159">
        <v>45755</v>
      </c>
      <c r="C84" s="174" t="s">
        <v>494</v>
      </c>
      <c r="D84" s="159">
        <v>45757</v>
      </c>
      <c r="E84" s="174" t="s">
        <v>120</v>
      </c>
      <c r="F84" s="175" t="s">
        <v>16</v>
      </c>
      <c r="G84" s="174" t="s">
        <v>155</v>
      </c>
      <c r="H84" s="174" t="s">
        <v>303</v>
      </c>
      <c r="I84" s="176">
        <v>909</v>
      </c>
      <c r="J84" s="174" t="s">
        <v>301</v>
      </c>
      <c r="K84" s="176">
        <v>81</v>
      </c>
      <c r="L84" s="174" t="s">
        <v>10</v>
      </c>
      <c r="M84" s="177">
        <f>IFERROR(VLOOKUP(L84,'Material Master'!B:C,2,0),"")</f>
      </c>
      <c r="N84" s="176">
        <v>200</v>
      </c>
      <c r="O84" s="178">
        <f>IFERROR(M84*N84,"")</f>
      </c>
      <c r="P84" s="174" t="s">
        <v>402</v>
      </c>
      <c r="Q84" s="176"/>
      <c r="R84" s="179">
        <v>45748</v>
      </c>
      <c r="S84" s="174" t="s">
        <v>490</v>
      </c>
      <c r="T84" s="174"/>
      <c r="U84" s="176">
        <v>294</v>
      </c>
      <c r="V84" s="177">
        <v>31</v>
      </c>
      <c r="W84" s="180">
        <f>IFERROR(U84*V84,"0")</f>
      </c>
      <c r="X84" s="181"/>
      <c r="Y84" s="166">
        <f>IFERROR((O84/1000)*Masters!$C$3,"0")</f>
      </c>
      <c r="Z84" s="182"/>
      <c r="AA84" s="164">
        <f>IFERROR(VLOOKUP(L84,Masters!G:H,2,0),"0")</f>
      </c>
      <c r="AB84" s="166">
        <f>IFERROR(AA84*N84,"0")</f>
      </c>
      <c r="AC84" s="183"/>
      <c r="AD84" s="176"/>
      <c r="AE84" s="166">
        <f>W84+Y84+AB84+AD84</f>
      </c>
      <c r="AF84" s="182"/>
      <c r="AG84" s="169">
        <f>M84&amp;"-"&amp;F84</f>
      </c>
      <c r="AH84" s="166">
        <f>IFERROR(VLOOKUP(AG84,Masters!N:O,2,0),"0")</f>
      </c>
      <c r="AI84" s="166">
        <f>AH84*N84</f>
      </c>
      <c r="AJ84" s="176"/>
      <c r="AK84" s="170">
        <f>AI84-AE84</f>
      </c>
      <c r="AL84" s="182"/>
      <c r="AM84" s="174"/>
      <c r="AN84" s="171">
        <f>IFERROR(U84/2,"0")</f>
      </c>
    </row>
    <row x14ac:dyDescent="0.25" r="85" customHeight="1" ht="18.75">
      <c r="A85" s="158">
        <f>A84+1</f>
      </c>
      <c r="B85" s="159">
        <v>45755</v>
      </c>
      <c r="C85" s="147" t="s">
        <v>495</v>
      </c>
      <c r="D85" s="159">
        <v>45756</v>
      </c>
      <c r="E85" s="147" t="s">
        <v>120</v>
      </c>
      <c r="F85" s="160" t="s">
        <v>11</v>
      </c>
      <c r="G85" s="147" t="s">
        <v>156</v>
      </c>
      <c r="H85" s="147" t="s">
        <v>305</v>
      </c>
      <c r="I85" s="158">
        <v>1109</v>
      </c>
      <c r="J85" s="147" t="s">
        <v>301</v>
      </c>
      <c r="K85" s="158">
        <v>77</v>
      </c>
      <c r="L85" s="147" t="s">
        <v>10</v>
      </c>
      <c r="M85" s="161">
        <f>IFERROR(VLOOKUP(L85,'Material Master'!B:C,2,0),"")</f>
      </c>
      <c r="N85" s="158">
        <v>300</v>
      </c>
      <c r="O85" s="162">
        <f>IFERROR(M85*N85,"")</f>
      </c>
      <c r="P85" s="147" t="s">
        <v>402</v>
      </c>
      <c r="Q85" s="158"/>
      <c r="R85" s="163">
        <v>45748</v>
      </c>
      <c r="S85" s="147"/>
      <c r="T85" s="147"/>
      <c r="U85" s="158">
        <v>192</v>
      </c>
      <c r="V85" s="164">
        <v>31</v>
      </c>
      <c r="W85" s="165">
        <f>IFERROR(U85*V85,"0")</f>
      </c>
      <c r="X85" s="7"/>
      <c r="Y85" s="166">
        <f>IFERROR((O85/1000)*Masters!$C$3,"0")</f>
      </c>
      <c r="Z85" s="167"/>
      <c r="AA85" s="164">
        <f>IFERROR(VLOOKUP(L85,Masters!G:H,2,0),"0")</f>
      </c>
      <c r="AB85" s="166">
        <f>IFERROR(AA85*N85,"0")</f>
      </c>
      <c r="AC85" s="168"/>
      <c r="AD85" s="158"/>
      <c r="AE85" s="166">
        <f>W85+Y85+AB85+AD85</f>
      </c>
      <c r="AF85" s="167"/>
      <c r="AG85" s="169">
        <f>M85&amp;"-"&amp;F85</f>
      </c>
      <c r="AH85" s="166">
        <f>IFERROR(VLOOKUP(AG85,Masters!N:O,2,0),"0")</f>
      </c>
      <c r="AI85" s="166">
        <f>AH85*N85</f>
      </c>
      <c r="AJ85" s="158"/>
      <c r="AK85" s="170">
        <f>AI85-AE85</f>
      </c>
      <c r="AL85" s="167"/>
      <c r="AM85" s="147"/>
      <c r="AN85" s="171">
        <f>IFERROR(U85/2,"0")</f>
      </c>
    </row>
    <row x14ac:dyDescent="0.25" r="86" customHeight="1" ht="18.75">
      <c r="A86" s="158">
        <f>A85+1</f>
      </c>
      <c r="B86" s="159">
        <v>45755</v>
      </c>
      <c r="C86" s="147" t="s">
        <v>496</v>
      </c>
      <c r="D86" s="159">
        <v>45757</v>
      </c>
      <c r="E86" s="147" t="s">
        <v>157</v>
      </c>
      <c r="F86" s="160" t="s">
        <v>16</v>
      </c>
      <c r="G86" s="147" t="s">
        <v>158</v>
      </c>
      <c r="H86" s="147" t="s">
        <v>304</v>
      </c>
      <c r="I86" s="158">
        <v>1109</v>
      </c>
      <c r="J86" s="147" t="s">
        <v>301</v>
      </c>
      <c r="K86" s="158">
        <v>79</v>
      </c>
      <c r="L86" s="147" t="s">
        <v>10</v>
      </c>
      <c r="M86" s="161">
        <f>IFERROR(VLOOKUP(L86,'Material Master'!B:C,2,0),"")</f>
      </c>
      <c r="N86" s="158">
        <v>300</v>
      </c>
      <c r="O86" s="162">
        <f>IFERROR(M86*N86,"")</f>
      </c>
      <c r="P86" s="147" t="s">
        <v>402</v>
      </c>
      <c r="Q86" s="158"/>
      <c r="R86" s="163">
        <v>45748</v>
      </c>
      <c r="S86" s="147"/>
      <c r="T86" s="147"/>
      <c r="U86" s="158">
        <v>416</v>
      </c>
      <c r="V86" s="164">
        <v>31</v>
      </c>
      <c r="W86" s="165">
        <f>IFERROR(U86*V86,"0")</f>
      </c>
      <c r="X86" s="7"/>
      <c r="Y86" s="166">
        <f>IFERROR((O86/1000)*Masters!$C$3,"0")</f>
      </c>
      <c r="Z86" s="167"/>
      <c r="AA86" s="164">
        <f>IFERROR(VLOOKUP(L86,Masters!G:H,2,0),"0")</f>
      </c>
      <c r="AB86" s="166">
        <f>IFERROR(AA86*N86,"0")</f>
      </c>
      <c r="AC86" s="168"/>
      <c r="AD86" s="158"/>
      <c r="AE86" s="166">
        <f>W86+Y86+AB86+AD86</f>
      </c>
      <c r="AF86" s="167"/>
      <c r="AG86" s="169">
        <f>M86&amp;"-"&amp;F86</f>
      </c>
      <c r="AH86" s="166">
        <f>IFERROR(VLOOKUP(AG86,Masters!N:O,2,0),"0")</f>
      </c>
      <c r="AI86" s="166">
        <f>AH86*N86</f>
      </c>
      <c r="AJ86" s="158"/>
      <c r="AK86" s="170">
        <f>AI86-AE86</f>
      </c>
      <c r="AL86" s="167"/>
      <c r="AM86" s="147"/>
      <c r="AN86" s="171">
        <f>IFERROR(U86/2,"0")</f>
      </c>
    </row>
    <row x14ac:dyDescent="0.25" r="87" customHeight="1" ht="18.75">
      <c r="A87" s="158">
        <f>A86+1</f>
      </c>
      <c r="B87" s="159">
        <v>45756</v>
      </c>
      <c r="C87" s="147" t="s">
        <v>497</v>
      </c>
      <c r="D87" s="159">
        <v>45757</v>
      </c>
      <c r="E87" s="147" t="s">
        <v>97</v>
      </c>
      <c r="F87" s="160" t="s">
        <v>16</v>
      </c>
      <c r="G87" s="147" t="s">
        <v>98</v>
      </c>
      <c r="H87" s="147" t="s">
        <v>305</v>
      </c>
      <c r="I87" s="158">
        <v>1109</v>
      </c>
      <c r="J87" s="147" t="s">
        <v>301</v>
      </c>
      <c r="K87" s="158">
        <v>80</v>
      </c>
      <c r="L87" s="147" t="s">
        <v>10</v>
      </c>
      <c r="M87" s="161">
        <f>IFERROR(VLOOKUP(L87,'Material Master'!B:C,2,0),"")</f>
      </c>
      <c r="N87" s="158">
        <v>300</v>
      </c>
      <c r="O87" s="162">
        <f>IFERROR(M87*N87,"")</f>
      </c>
      <c r="P87" s="147" t="s">
        <v>402</v>
      </c>
      <c r="Q87" s="158"/>
      <c r="R87" s="163">
        <v>45748</v>
      </c>
      <c r="S87" s="147"/>
      <c r="T87" s="147"/>
      <c r="U87" s="158">
        <v>324</v>
      </c>
      <c r="V87" s="164">
        <v>31</v>
      </c>
      <c r="W87" s="165">
        <f>IFERROR(U87*V87,"0")</f>
      </c>
      <c r="X87" s="7"/>
      <c r="Y87" s="166">
        <f>IFERROR((O87/1000)*Masters!$C$3,"0")</f>
      </c>
      <c r="Z87" s="167"/>
      <c r="AA87" s="164">
        <f>IFERROR(VLOOKUP(L87,Masters!G:H,2,0),"0")</f>
      </c>
      <c r="AB87" s="166">
        <f>IFERROR(AA87*N87,"0")</f>
      </c>
      <c r="AC87" s="168"/>
      <c r="AD87" s="158"/>
      <c r="AE87" s="166">
        <f>W87+Y87+AB87+AD87</f>
      </c>
      <c r="AF87" s="167"/>
      <c r="AG87" s="169">
        <f>M87&amp;"-"&amp;F87</f>
      </c>
      <c r="AH87" s="166">
        <f>IFERROR(VLOOKUP(AG87,Masters!N:O,2,0),"0")</f>
      </c>
      <c r="AI87" s="166">
        <f>AH87*N87</f>
      </c>
      <c r="AJ87" s="158"/>
      <c r="AK87" s="170">
        <f>AI87-AE87</f>
      </c>
      <c r="AL87" s="167"/>
      <c r="AM87" s="147"/>
      <c r="AN87" s="171">
        <f>IFERROR(U87/2,"0")</f>
      </c>
    </row>
    <row x14ac:dyDescent="0.25" r="88" customHeight="1" ht="18.75">
      <c r="A88" s="158">
        <f>A87+1</f>
      </c>
      <c r="B88" s="159">
        <v>45758</v>
      </c>
      <c r="C88" s="147" t="s">
        <v>498</v>
      </c>
      <c r="D88" s="159">
        <v>45758</v>
      </c>
      <c r="E88" s="147" t="s">
        <v>159</v>
      </c>
      <c r="F88" s="160" t="s">
        <v>16</v>
      </c>
      <c r="G88" s="147" t="s">
        <v>105</v>
      </c>
      <c r="H88" s="147" t="s">
        <v>302</v>
      </c>
      <c r="I88" s="158">
        <v>1109</v>
      </c>
      <c r="J88" s="147" t="s">
        <v>301</v>
      </c>
      <c r="K88" s="158">
        <v>82</v>
      </c>
      <c r="L88" s="147" t="s">
        <v>10</v>
      </c>
      <c r="M88" s="161">
        <f>IFERROR(VLOOKUP(L88,'Material Master'!B:C,2,0),"")</f>
      </c>
      <c r="N88" s="158">
        <v>300</v>
      </c>
      <c r="O88" s="162">
        <f>IFERROR(M88*N88,"")</f>
      </c>
      <c r="P88" s="147" t="s">
        <v>402</v>
      </c>
      <c r="Q88" s="158"/>
      <c r="R88" s="163">
        <v>45748</v>
      </c>
      <c r="S88" s="147"/>
      <c r="T88" s="147"/>
      <c r="U88" s="158">
        <v>225</v>
      </c>
      <c r="V88" s="164">
        <v>31</v>
      </c>
      <c r="W88" s="165">
        <f>IFERROR(U88*V88,"0")</f>
      </c>
      <c r="X88" s="7"/>
      <c r="Y88" s="166">
        <f>IFERROR((O88/1000)*Masters!$C$3,"0")</f>
      </c>
      <c r="Z88" s="167"/>
      <c r="AA88" s="164">
        <f>IFERROR(VLOOKUP(L88,Masters!G:H,2,0),"0")</f>
      </c>
      <c r="AB88" s="166">
        <f>IFERROR(AA88*N88,"0")</f>
      </c>
      <c r="AC88" s="168"/>
      <c r="AD88" s="158"/>
      <c r="AE88" s="166">
        <f>W88+Y88+AB88+AD88</f>
      </c>
      <c r="AF88" s="167"/>
      <c r="AG88" s="169">
        <f>M88&amp;"-"&amp;F88</f>
      </c>
      <c r="AH88" s="166">
        <f>IFERROR(VLOOKUP(AG88,Masters!N:O,2,0),"0")</f>
      </c>
      <c r="AI88" s="166">
        <f>AH88*N88</f>
      </c>
      <c r="AJ88" s="158"/>
      <c r="AK88" s="170">
        <f>AI88-AE88</f>
      </c>
      <c r="AL88" s="167"/>
      <c r="AM88" s="147"/>
      <c r="AN88" s="171">
        <f>IFERROR(U88/2,"0")</f>
      </c>
    </row>
    <row x14ac:dyDescent="0.25" r="89" customHeight="1" ht="18.75">
      <c r="A89" s="158">
        <f>A88+1</f>
      </c>
      <c r="B89" s="159">
        <v>45758</v>
      </c>
      <c r="C89" s="147" t="s">
        <v>499</v>
      </c>
      <c r="D89" s="159">
        <v>45758</v>
      </c>
      <c r="E89" s="147" t="s">
        <v>160</v>
      </c>
      <c r="F89" s="160" t="s">
        <v>16</v>
      </c>
      <c r="G89" s="147" t="s">
        <v>161</v>
      </c>
      <c r="H89" s="147" t="s">
        <v>303</v>
      </c>
      <c r="I89" s="158">
        <v>1109</v>
      </c>
      <c r="J89" s="147" t="s">
        <v>301</v>
      </c>
      <c r="K89" s="158">
        <v>83</v>
      </c>
      <c r="L89" s="147" t="s">
        <v>10</v>
      </c>
      <c r="M89" s="161">
        <f>IFERROR(VLOOKUP(L89,'Material Master'!B:C,2,0),"")</f>
      </c>
      <c r="N89" s="158">
        <v>300</v>
      </c>
      <c r="O89" s="162">
        <f>IFERROR(M89*N89,"")</f>
      </c>
      <c r="P89" s="147" t="s">
        <v>402</v>
      </c>
      <c r="Q89" s="158"/>
      <c r="R89" s="163">
        <v>45748</v>
      </c>
      <c r="S89" s="147"/>
      <c r="T89" s="147"/>
      <c r="U89" s="158">
        <v>333</v>
      </c>
      <c r="V89" s="164">
        <v>31</v>
      </c>
      <c r="W89" s="165">
        <f>IFERROR(U89*V89,"0")</f>
      </c>
      <c r="X89" s="7"/>
      <c r="Y89" s="166">
        <f>IFERROR((O89/1000)*Masters!$C$3,"0")</f>
      </c>
      <c r="Z89" s="167"/>
      <c r="AA89" s="164">
        <f>IFERROR(VLOOKUP(L89,Masters!G:H,2,0),"0")</f>
      </c>
      <c r="AB89" s="166">
        <f>IFERROR(AA89*N89,"0")</f>
      </c>
      <c r="AC89" s="168"/>
      <c r="AD89" s="158"/>
      <c r="AE89" s="166">
        <f>W89+Y89+AB89+AD89</f>
      </c>
      <c r="AF89" s="167"/>
      <c r="AG89" s="169">
        <f>M89&amp;"-"&amp;F89</f>
      </c>
      <c r="AH89" s="166">
        <f>IFERROR(VLOOKUP(AG89,Masters!N:O,2,0),"0")</f>
      </c>
      <c r="AI89" s="166">
        <f>AH89*N89</f>
      </c>
      <c r="AJ89" s="158"/>
      <c r="AK89" s="170">
        <f>AI89-AE89</f>
      </c>
      <c r="AL89" s="167"/>
      <c r="AM89" s="147"/>
      <c r="AN89" s="171">
        <f>IFERROR(U89/2,"0")</f>
      </c>
    </row>
    <row x14ac:dyDescent="0.25" r="90" customHeight="1" ht="18.75">
      <c r="A90" s="158">
        <f>A89+1</f>
      </c>
      <c r="B90" s="159">
        <v>45758</v>
      </c>
      <c r="C90" s="147" t="s">
        <v>500</v>
      </c>
      <c r="D90" s="159">
        <v>45759</v>
      </c>
      <c r="E90" s="147" t="s">
        <v>162</v>
      </c>
      <c r="F90" s="160" t="s">
        <v>11</v>
      </c>
      <c r="G90" s="147" t="s">
        <v>80</v>
      </c>
      <c r="H90" s="147" t="s">
        <v>305</v>
      </c>
      <c r="I90" s="158">
        <v>1109</v>
      </c>
      <c r="J90" s="147" t="s">
        <v>301</v>
      </c>
      <c r="K90" s="158">
        <v>86</v>
      </c>
      <c r="L90" s="147" t="s">
        <v>10</v>
      </c>
      <c r="M90" s="161">
        <f>IFERROR(VLOOKUP(L90,'Material Master'!B:C,2,0),"")</f>
      </c>
      <c r="N90" s="158">
        <v>300</v>
      </c>
      <c r="O90" s="162">
        <f>IFERROR(M90*N90,"")</f>
      </c>
      <c r="P90" s="147" t="s">
        <v>402</v>
      </c>
      <c r="Q90" s="158"/>
      <c r="R90" s="163">
        <v>45748</v>
      </c>
      <c r="S90" s="147"/>
      <c r="T90" s="147"/>
      <c r="U90" s="158">
        <v>124</v>
      </c>
      <c r="V90" s="164">
        <v>31</v>
      </c>
      <c r="W90" s="165">
        <f>IFERROR(U90*V90,"0")</f>
      </c>
      <c r="X90" s="7"/>
      <c r="Y90" s="166">
        <f>IFERROR((O90/1000)*Masters!$C$3,"0")</f>
      </c>
      <c r="Z90" s="167"/>
      <c r="AA90" s="164">
        <f>IFERROR(VLOOKUP(L90,Masters!G:H,2,0),"0")</f>
      </c>
      <c r="AB90" s="166">
        <f>IFERROR(AA90*N90,"0")</f>
      </c>
      <c r="AC90" s="168"/>
      <c r="AD90" s="158"/>
      <c r="AE90" s="166">
        <f>W90+Y90+AB90+AD90</f>
      </c>
      <c r="AF90" s="167"/>
      <c r="AG90" s="169">
        <f>M90&amp;"-"&amp;F90</f>
      </c>
      <c r="AH90" s="166">
        <f>IFERROR(VLOOKUP(AG90,Masters!N:O,2,0),"0")</f>
      </c>
      <c r="AI90" s="166">
        <f>AH90*N90</f>
      </c>
      <c r="AJ90" s="158"/>
      <c r="AK90" s="170">
        <f>AI90-AE90</f>
      </c>
      <c r="AL90" s="167"/>
      <c r="AM90" s="147"/>
      <c r="AN90" s="171">
        <f>IFERROR(U90/2,"0")</f>
      </c>
    </row>
    <row x14ac:dyDescent="0.25" r="91" customHeight="1" ht="18.75">
      <c r="A91" s="158">
        <f>A90+1</f>
      </c>
      <c r="B91" s="159">
        <v>45758</v>
      </c>
      <c r="C91" s="147" t="s">
        <v>501</v>
      </c>
      <c r="D91" s="159">
        <v>45759</v>
      </c>
      <c r="E91" s="147" t="s">
        <v>128</v>
      </c>
      <c r="F91" s="160" t="s">
        <v>16</v>
      </c>
      <c r="G91" s="147" t="s">
        <v>163</v>
      </c>
      <c r="H91" s="147" t="s">
        <v>302</v>
      </c>
      <c r="I91" s="158">
        <v>1109</v>
      </c>
      <c r="J91" s="147" t="s">
        <v>301</v>
      </c>
      <c r="K91" s="158">
        <v>85</v>
      </c>
      <c r="L91" s="147" t="s">
        <v>10</v>
      </c>
      <c r="M91" s="161">
        <f>IFERROR(VLOOKUP(L91,'Material Master'!B:C,2,0),"")</f>
      </c>
      <c r="N91" s="158">
        <v>300</v>
      </c>
      <c r="O91" s="162">
        <f>IFERROR(M91*N91,"")</f>
      </c>
      <c r="P91" s="147" t="s">
        <v>402</v>
      </c>
      <c r="Q91" s="158"/>
      <c r="R91" s="163">
        <v>45748</v>
      </c>
      <c r="S91" s="147"/>
      <c r="T91" s="147"/>
      <c r="U91" s="158">
        <v>342</v>
      </c>
      <c r="V91" s="164">
        <v>31</v>
      </c>
      <c r="W91" s="165">
        <f>IFERROR(U91*V91,"0")</f>
      </c>
      <c r="X91" s="7"/>
      <c r="Y91" s="166">
        <f>IFERROR((O91/1000)*Masters!$C$3,"0")</f>
      </c>
      <c r="Z91" s="167"/>
      <c r="AA91" s="164">
        <f>IFERROR(VLOOKUP(L91,Masters!G:H,2,0),"0")</f>
      </c>
      <c r="AB91" s="166">
        <f>IFERROR(AA91*N91,"0")</f>
      </c>
      <c r="AC91" s="168"/>
      <c r="AD91" s="158"/>
      <c r="AE91" s="166">
        <f>W91+Y91+AB91+AD91</f>
      </c>
      <c r="AF91" s="167"/>
      <c r="AG91" s="169">
        <f>M91&amp;"-"&amp;F91</f>
      </c>
      <c r="AH91" s="166">
        <f>IFERROR(VLOOKUP(AG91,Masters!N:O,2,0),"0")</f>
      </c>
      <c r="AI91" s="166">
        <f>AH91*N91</f>
      </c>
      <c r="AJ91" s="158"/>
      <c r="AK91" s="170">
        <f>AI91-AE91</f>
      </c>
      <c r="AL91" s="167"/>
      <c r="AM91" s="147"/>
      <c r="AN91" s="171">
        <f>IFERROR(U91/2,"0")</f>
      </c>
    </row>
    <row x14ac:dyDescent="0.25" r="92" customHeight="1" ht="18.75">
      <c r="A92" s="158">
        <f>A91+1</f>
      </c>
      <c r="B92" s="159">
        <v>45758</v>
      </c>
      <c r="C92" s="173" t="s">
        <v>502</v>
      </c>
      <c r="D92" s="159"/>
      <c r="E92" s="173" t="s">
        <v>128</v>
      </c>
      <c r="F92" s="173"/>
      <c r="G92" s="173" t="s">
        <v>503</v>
      </c>
      <c r="H92" s="173"/>
      <c r="I92" s="184">
        <v>709</v>
      </c>
      <c r="J92" s="173"/>
      <c r="K92" s="184"/>
      <c r="L92" s="173"/>
      <c r="M92" s="185">
        <f>IFERROR(VLOOKUP(L92,'Material Master'!B:C,2,0),"")</f>
      </c>
      <c r="N92" s="184"/>
      <c r="O92" s="186">
        <f>IFERROR(M92*N92,"")</f>
      </c>
      <c r="P92" s="173"/>
      <c r="Q92" s="184"/>
      <c r="R92" s="187">
        <v>45748</v>
      </c>
      <c r="S92" s="173" t="s">
        <v>504</v>
      </c>
      <c r="T92" s="188"/>
      <c r="U92" s="184"/>
      <c r="V92" s="185">
        <v>31</v>
      </c>
      <c r="W92" s="189">
        <f>IFERROR(U92*V92,"0")</f>
      </c>
      <c r="X92" s="190"/>
      <c r="Y92" s="191">
        <f>IFERROR((O92/1000)*Masters!$C$3,"0")</f>
      </c>
      <c r="Z92" s="192"/>
      <c r="AA92" s="164">
        <f>IFERROR(VLOOKUP(L92,Masters!G:H,2,0),"0")</f>
      </c>
      <c r="AB92" s="166">
        <f>IFERROR(AA92*N92,"0")</f>
      </c>
      <c r="AC92" s="193"/>
      <c r="AD92" s="190"/>
      <c r="AE92" s="166">
        <f>W92+Y92+AB92+AD92</f>
      </c>
      <c r="AF92" s="192"/>
      <c r="AG92" s="169">
        <f>M92&amp;"-"&amp;F92</f>
      </c>
      <c r="AH92" s="191">
        <f>IFERROR(VLOOKUP(AG92,Masters!N:O,2,0),"0")</f>
      </c>
      <c r="AI92" s="166">
        <f>AH92*N92</f>
      </c>
      <c r="AJ92" s="190"/>
      <c r="AK92" s="170">
        <f>AI92-AE92</f>
      </c>
      <c r="AL92" s="192"/>
      <c r="AM92" s="188"/>
      <c r="AN92" s="171">
        <f>IFERROR(U92/2,"0")</f>
      </c>
    </row>
    <row x14ac:dyDescent="0.25" r="93" customHeight="1" ht="18.75">
      <c r="A93" s="158">
        <f>A92+1</f>
      </c>
      <c r="B93" s="159">
        <v>45758</v>
      </c>
      <c r="C93" s="147" t="s">
        <v>505</v>
      </c>
      <c r="D93" s="159">
        <v>45759</v>
      </c>
      <c r="E93" s="147" t="s">
        <v>164</v>
      </c>
      <c r="F93" s="160" t="s">
        <v>11</v>
      </c>
      <c r="G93" s="147" t="s">
        <v>165</v>
      </c>
      <c r="H93" s="147" t="s">
        <v>304</v>
      </c>
      <c r="I93" s="158">
        <v>1109</v>
      </c>
      <c r="J93" s="147" t="s">
        <v>301</v>
      </c>
      <c r="K93" s="158">
        <v>84</v>
      </c>
      <c r="L93" s="147" t="s">
        <v>10</v>
      </c>
      <c r="M93" s="161">
        <f>IFERROR(VLOOKUP(L93,'Material Master'!B:C,2,0),"")</f>
      </c>
      <c r="N93" s="158">
        <v>300</v>
      </c>
      <c r="O93" s="162">
        <f>IFERROR(M93*N93,"")</f>
      </c>
      <c r="P93" s="147" t="s">
        <v>402</v>
      </c>
      <c r="Q93" s="158"/>
      <c r="R93" s="163">
        <v>45748</v>
      </c>
      <c r="S93" s="147"/>
      <c r="T93" s="147"/>
      <c r="U93" s="158">
        <v>161</v>
      </c>
      <c r="V93" s="164">
        <v>31</v>
      </c>
      <c r="W93" s="165">
        <f>IFERROR(U93*V93,"0")</f>
      </c>
      <c r="X93" s="7"/>
      <c r="Y93" s="166">
        <f>IFERROR((O93/1000)*Masters!$C$3,"0")</f>
      </c>
      <c r="Z93" s="167"/>
      <c r="AA93" s="164">
        <f>IFERROR(VLOOKUP(L93,Masters!G:H,2,0),"0")</f>
      </c>
      <c r="AB93" s="166">
        <f>IFERROR(AA93*N93,"0")</f>
      </c>
      <c r="AC93" s="168"/>
      <c r="AD93" s="158"/>
      <c r="AE93" s="166">
        <f>W93+Y93+AB93+AD93</f>
      </c>
      <c r="AF93" s="167"/>
      <c r="AG93" s="169">
        <f>M93&amp;"-"&amp;F93</f>
      </c>
      <c r="AH93" s="166">
        <f>IFERROR(VLOOKUP(AG93,Masters!N:O,2,0),"0")</f>
      </c>
      <c r="AI93" s="166">
        <f>AH93*N93</f>
      </c>
      <c r="AJ93" s="158"/>
      <c r="AK93" s="170">
        <f>AI93-AE93</f>
      </c>
      <c r="AL93" s="167"/>
      <c r="AM93" s="147"/>
      <c r="AN93" s="171">
        <f>IFERROR(U93/2,"0")</f>
      </c>
    </row>
    <row x14ac:dyDescent="0.25" r="94" customHeight="1" ht="18.75">
      <c r="A94" s="158">
        <f>A93+1</f>
      </c>
      <c r="B94" s="159">
        <v>45759</v>
      </c>
      <c r="C94" s="147" t="s">
        <v>506</v>
      </c>
      <c r="D94" s="159">
        <v>45761</v>
      </c>
      <c r="E94" s="147" t="s">
        <v>77</v>
      </c>
      <c r="F94" s="160" t="s">
        <v>16</v>
      </c>
      <c r="G94" s="147" t="s">
        <v>167</v>
      </c>
      <c r="H94" s="147" t="s">
        <v>304</v>
      </c>
      <c r="I94" s="158">
        <v>1109</v>
      </c>
      <c r="J94" s="147" t="s">
        <v>301</v>
      </c>
      <c r="K94" s="158">
        <v>87</v>
      </c>
      <c r="L94" s="147" t="s">
        <v>10</v>
      </c>
      <c r="M94" s="161">
        <f>IFERROR(VLOOKUP(L94,'Material Master'!B:C,2,0),"")</f>
      </c>
      <c r="N94" s="158">
        <v>300</v>
      </c>
      <c r="O94" s="162">
        <f>IFERROR(M94*N94,"")</f>
      </c>
      <c r="P94" s="147" t="s">
        <v>402</v>
      </c>
      <c r="Q94" s="158"/>
      <c r="R94" s="163">
        <v>45748</v>
      </c>
      <c r="S94" s="147"/>
      <c r="T94" s="147"/>
      <c r="U94" s="158">
        <v>369</v>
      </c>
      <c r="V94" s="164">
        <v>31</v>
      </c>
      <c r="W94" s="165">
        <f>IFERROR(U94*V94,"0")</f>
      </c>
      <c r="X94" s="7"/>
      <c r="Y94" s="166">
        <f>IFERROR((O94/1000)*Masters!$C$3,"0")</f>
      </c>
      <c r="Z94" s="167"/>
      <c r="AA94" s="164">
        <f>IFERROR(VLOOKUP(L94,Masters!G:H,2,0),"0")</f>
      </c>
      <c r="AB94" s="166">
        <f>IFERROR(AA94*N94,"0")</f>
      </c>
      <c r="AC94" s="168"/>
      <c r="AD94" s="158"/>
      <c r="AE94" s="166">
        <f>W94+Y94+AB94+AD94</f>
      </c>
      <c r="AF94" s="167"/>
      <c r="AG94" s="169">
        <f>M94&amp;"-"&amp;F94</f>
      </c>
      <c r="AH94" s="166">
        <f>IFERROR(VLOOKUP(AG94,Masters!N:O,2,0),"0")</f>
      </c>
      <c r="AI94" s="166">
        <f>AH94*N94</f>
      </c>
      <c r="AJ94" s="158"/>
      <c r="AK94" s="170">
        <f>AI94-AE94</f>
      </c>
      <c r="AL94" s="167"/>
      <c r="AM94" s="147"/>
      <c r="AN94" s="171">
        <f>IFERROR(U94/2,"0")</f>
      </c>
    </row>
    <row x14ac:dyDescent="0.25" r="95" customHeight="1" ht="18.75">
      <c r="A95" s="158">
        <f>A94+1</f>
      </c>
      <c r="B95" s="159">
        <v>45761</v>
      </c>
      <c r="C95" s="147" t="s">
        <v>507</v>
      </c>
      <c r="D95" s="159">
        <v>45762</v>
      </c>
      <c r="E95" s="147" t="s">
        <v>148</v>
      </c>
      <c r="F95" s="160" t="s">
        <v>11</v>
      </c>
      <c r="G95" s="147" t="s">
        <v>230</v>
      </c>
      <c r="H95" s="147" t="s">
        <v>302</v>
      </c>
      <c r="I95" s="158">
        <v>1109</v>
      </c>
      <c r="J95" s="147" t="s">
        <v>301</v>
      </c>
      <c r="K95" s="158">
        <v>89</v>
      </c>
      <c r="L95" s="147" t="s">
        <v>10</v>
      </c>
      <c r="M95" s="161">
        <f>IFERROR(VLOOKUP(L95,'Material Master'!B:C,2,0),"")</f>
      </c>
      <c r="N95" s="158">
        <v>300</v>
      </c>
      <c r="O95" s="162">
        <f>IFERROR(M95*N95,"")</f>
      </c>
      <c r="P95" s="147" t="s">
        <v>402</v>
      </c>
      <c r="Q95" s="158"/>
      <c r="R95" s="163">
        <v>45748</v>
      </c>
      <c r="S95" s="147"/>
      <c r="T95" s="147"/>
      <c r="U95" s="158">
        <v>63</v>
      </c>
      <c r="V95" s="164">
        <v>31</v>
      </c>
      <c r="W95" s="165">
        <f>IFERROR(U95*V95,"0")</f>
      </c>
      <c r="X95" s="7"/>
      <c r="Y95" s="166">
        <f>IFERROR((O95/1000)*Masters!$C$3,"0")</f>
      </c>
      <c r="Z95" s="167"/>
      <c r="AA95" s="164">
        <f>IFERROR(VLOOKUP(L95,Masters!G:H,2,0),"0")</f>
      </c>
      <c r="AB95" s="166">
        <f>IFERROR(AA95*N95,"0")</f>
      </c>
      <c r="AC95" s="168"/>
      <c r="AD95" s="158"/>
      <c r="AE95" s="166">
        <f>W95+Y95+AB95+AD95</f>
      </c>
      <c r="AF95" s="167"/>
      <c r="AG95" s="169">
        <f>M95&amp;"-"&amp;F95</f>
      </c>
      <c r="AH95" s="166">
        <f>IFERROR(VLOOKUP(AG95,Masters!N:O,2,0),"0")</f>
      </c>
      <c r="AI95" s="166">
        <f>AH95*N95</f>
      </c>
      <c r="AJ95" s="158"/>
      <c r="AK95" s="170">
        <f>AI95-AE95</f>
      </c>
      <c r="AL95" s="167"/>
      <c r="AM95" s="147"/>
      <c r="AN95" s="171">
        <f>IFERROR(U95/2,"0")</f>
      </c>
    </row>
    <row x14ac:dyDescent="0.25" r="96" customHeight="1" ht="18.75">
      <c r="A96" s="158">
        <f>A95+1</f>
      </c>
      <c r="B96" s="159">
        <v>45761</v>
      </c>
      <c r="C96" s="147" t="s">
        <v>508</v>
      </c>
      <c r="D96" s="159">
        <v>45762</v>
      </c>
      <c r="E96" s="147" t="s">
        <v>168</v>
      </c>
      <c r="F96" s="160" t="s">
        <v>19</v>
      </c>
      <c r="G96" s="147" t="s">
        <v>169</v>
      </c>
      <c r="H96" s="147" t="s">
        <v>303</v>
      </c>
      <c r="I96" s="158">
        <v>1109</v>
      </c>
      <c r="J96" s="147" t="s">
        <v>301</v>
      </c>
      <c r="K96" s="158">
        <v>90</v>
      </c>
      <c r="L96" s="147" t="s">
        <v>10</v>
      </c>
      <c r="M96" s="161">
        <f>IFERROR(VLOOKUP(L96,'Material Master'!B:C,2,0),"")</f>
      </c>
      <c r="N96" s="158">
        <v>200</v>
      </c>
      <c r="O96" s="162">
        <f>IFERROR(M96*N96,"")</f>
      </c>
      <c r="P96" s="147" t="s">
        <v>402</v>
      </c>
      <c r="Q96" s="158"/>
      <c r="R96" s="163">
        <v>45748</v>
      </c>
      <c r="S96" s="147"/>
      <c r="T96" s="147"/>
      <c r="U96" s="158">
        <v>623</v>
      </c>
      <c r="V96" s="164">
        <v>31</v>
      </c>
      <c r="W96" s="165">
        <f>IFERROR(U96*V96,"0")</f>
      </c>
      <c r="X96" s="7"/>
      <c r="Y96" s="166">
        <f>IFERROR((O96/1000)*Masters!$C$3,"0")</f>
      </c>
      <c r="Z96" s="167"/>
      <c r="AA96" s="164">
        <f>IFERROR(VLOOKUP(L96,Masters!G:H,2,0),"0")</f>
      </c>
      <c r="AB96" s="166">
        <f>IFERROR(AA96*N96,"0")</f>
      </c>
      <c r="AC96" s="168"/>
      <c r="AD96" s="158"/>
      <c r="AE96" s="166">
        <f>W96+Y96+AB96+AD96</f>
      </c>
      <c r="AF96" s="167"/>
      <c r="AG96" s="169">
        <f>M96&amp;"-"&amp;F96</f>
      </c>
      <c r="AH96" s="166">
        <f>IFERROR(VLOOKUP(AG96,Masters!N:O,2,0),"0")</f>
      </c>
      <c r="AI96" s="166">
        <f>AH96*N96</f>
      </c>
      <c r="AJ96" s="158"/>
      <c r="AK96" s="170">
        <f>AI96-AE96</f>
      </c>
      <c r="AL96" s="167"/>
      <c r="AM96" s="147"/>
      <c r="AN96" s="171">
        <f>IFERROR(U96/2,"0")</f>
      </c>
    </row>
    <row x14ac:dyDescent="0.25" r="97" customHeight="1" ht="18.75">
      <c r="A97" s="158">
        <f>A96+1</f>
      </c>
      <c r="B97" s="159">
        <v>45761</v>
      </c>
      <c r="C97" s="147" t="s">
        <v>508</v>
      </c>
      <c r="D97" s="159">
        <v>45762</v>
      </c>
      <c r="E97" s="147" t="s">
        <v>168</v>
      </c>
      <c r="F97" s="160" t="s">
        <v>19</v>
      </c>
      <c r="G97" s="147" t="s">
        <v>170</v>
      </c>
      <c r="H97" s="147" t="s">
        <v>303</v>
      </c>
      <c r="I97" s="158">
        <v>1109</v>
      </c>
      <c r="J97" s="147" t="s">
        <v>301</v>
      </c>
      <c r="K97" s="158">
        <v>91</v>
      </c>
      <c r="L97" s="147" t="s">
        <v>10</v>
      </c>
      <c r="M97" s="161">
        <f>IFERROR(VLOOKUP(L97,'Material Master'!B:C,2,0),"")</f>
      </c>
      <c r="N97" s="158">
        <v>100</v>
      </c>
      <c r="O97" s="162">
        <f>IFERROR(M97*N97,"")</f>
      </c>
      <c r="P97" s="147" t="s">
        <v>402</v>
      </c>
      <c r="Q97" s="158"/>
      <c r="R97" s="163">
        <v>45748</v>
      </c>
      <c r="S97" s="147"/>
      <c r="T97" s="147"/>
      <c r="U97" s="158">
        <v>0</v>
      </c>
      <c r="V97" s="164">
        <v>31</v>
      </c>
      <c r="W97" s="165">
        <f>IFERROR(U97*V97,"0")</f>
      </c>
      <c r="X97" s="7"/>
      <c r="Y97" s="166">
        <f>IFERROR((O97/1000)*Masters!$C$3,"0")</f>
      </c>
      <c r="Z97" s="167"/>
      <c r="AA97" s="164">
        <f>IFERROR(VLOOKUP(L97,Masters!G:H,2,0),"0")</f>
      </c>
      <c r="AB97" s="166">
        <f>IFERROR(AA97*N97,"0")</f>
      </c>
      <c r="AC97" s="168"/>
      <c r="AD97" s="158"/>
      <c r="AE97" s="166">
        <f>W97+Y97+AB97+AD97</f>
      </c>
      <c r="AF97" s="167"/>
      <c r="AG97" s="169">
        <f>M97&amp;"-"&amp;F97</f>
      </c>
      <c r="AH97" s="166">
        <f>IFERROR(VLOOKUP(AG97,Masters!N:O,2,0),"0")</f>
      </c>
      <c r="AI97" s="166">
        <f>AH97*N97</f>
      </c>
      <c r="AJ97" s="158"/>
      <c r="AK97" s="170">
        <f>AI97-AE97</f>
      </c>
      <c r="AL97" s="167"/>
      <c r="AM97" s="147"/>
      <c r="AN97" s="171">
        <f>IFERROR(U97/2,"0")</f>
      </c>
    </row>
    <row x14ac:dyDescent="0.25" r="98" customHeight="1" ht="18.75">
      <c r="A98" s="158">
        <f>A97+1</f>
      </c>
      <c r="B98" s="159">
        <v>45762</v>
      </c>
      <c r="C98" s="173" t="s">
        <v>509</v>
      </c>
      <c r="D98" s="159"/>
      <c r="E98" s="173" t="s">
        <v>510</v>
      </c>
      <c r="F98" s="173"/>
      <c r="G98" s="173" t="s">
        <v>511</v>
      </c>
      <c r="H98" s="173"/>
      <c r="I98" s="184">
        <v>709</v>
      </c>
      <c r="J98" s="173"/>
      <c r="K98" s="184"/>
      <c r="L98" s="173"/>
      <c r="M98" s="185">
        <f>IFERROR(VLOOKUP(L98,'Material Master'!B:C,2,0),"")</f>
      </c>
      <c r="N98" s="184"/>
      <c r="O98" s="186">
        <f>IFERROR(M98*N98,"")</f>
      </c>
      <c r="P98" s="173"/>
      <c r="Q98" s="184"/>
      <c r="R98" s="187">
        <v>45748</v>
      </c>
      <c r="S98" s="173" t="s">
        <v>504</v>
      </c>
      <c r="T98" s="188"/>
      <c r="U98" s="184"/>
      <c r="V98" s="185">
        <v>31</v>
      </c>
      <c r="W98" s="189">
        <f>IFERROR(U98*V98,"0")</f>
      </c>
      <c r="X98" s="190"/>
      <c r="Y98" s="191">
        <f>IFERROR((O98/1000)*Masters!$C$3,"0")</f>
      </c>
      <c r="Z98" s="192"/>
      <c r="AA98" s="164">
        <f>IFERROR(VLOOKUP(L98,Masters!G:H,2,0),"0")</f>
      </c>
      <c r="AB98" s="166">
        <f>IFERROR(AA98*N98,"0")</f>
      </c>
      <c r="AC98" s="193"/>
      <c r="AD98" s="190"/>
      <c r="AE98" s="166">
        <f>W98+Y98+AB98+AD98</f>
      </c>
      <c r="AF98" s="192"/>
      <c r="AG98" s="169">
        <f>M98&amp;"-"&amp;F98</f>
      </c>
      <c r="AH98" s="191">
        <f>IFERROR(VLOOKUP(AG98,Masters!N:O,2,0),"0")</f>
      </c>
      <c r="AI98" s="166">
        <f>AH98*N98</f>
      </c>
      <c r="AJ98" s="190"/>
      <c r="AK98" s="170">
        <f>AI98-AE98</f>
      </c>
      <c r="AL98" s="192"/>
      <c r="AM98" s="188"/>
      <c r="AN98" s="171">
        <f>IFERROR(U98/2,"0")</f>
      </c>
    </row>
    <row x14ac:dyDescent="0.25" r="99" customHeight="1" ht="18.75">
      <c r="A99" s="158">
        <f>A98+1</f>
      </c>
      <c r="B99" s="159">
        <v>45762</v>
      </c>
      <c r="C99" s="147" t="s">
        <v>512</v>
      </c>
      <c r="D99" s="159">
        <v>45762</v>
      </c>
      <c r="E99" s="147" t="s">
        <v>171</v>
      </c>
      <c r="F99" s="160" t="s">
        <v>16</v>
      </c>
      <c r="G99" s="147" t="s">
        <v>172</v>
      </c>
      <c r="H99" s="147" t="s">
        <v>302</v>
      </c>
      <c r="I99" s="158">
        <v>709</v>
      </c>
      <c r="J99" s="147" t="s">
        <v>301</v>
      </c>
      <c r="K99" s="158">
        <v>93</v>
      </c>
      <c r="L99" s="147" t="s">
        <v>10</v>
      </c>
      <c r="M99" s="161">
        <f>IFERROR(VLOOKUP(L99,'Material Master'!B:C,2,0),"")</f>
      </c>
      <c r="N99" s="158">
        <v>100</v>
      </c>
      <c r="O99" s="162">
        <f>IFERROR(M99*N99,"")</f>
      </c>
      <c r="P99" s="147" t="s">
        <v>402</v>
      </c>
      <c r="Q99" s="158"/>
      <c r="R99" s="163">
        <v>45748</v>
      </c>
      <c r="S99" s="147"/>
      <c r="T99" s="147"/>
      <c r="U99" s="158">
        <v>308</v>
      </c>
      <c r="V99" s="164">
        <v>31</v>
      </c>
      <c r="W99" s="165">
        <f>IFERROR(U99*V99,"0")</f>
      </c>
      <c r="X99" s="7"/>
      <c r="Y99" s="166">
        <f>IFERROR((O99/1000)*Masters!$C$3,"0")</f>
      </c>
      <c r="Z99" s="167"/>
      <c r="AA99" s="164">
        <f>IFERROR(VLOOKUP(L99,Masters!G:H,2,0),"0")</f>
      </c>
      <c r="AB99" s="166">
        <f>IFERROR(AA99*N99,"0")</f>
      </c>
      <c r="AC99" s="168"/>
      <c r="AD99" s="158"/>
      <c r="AE99" s="166">
        <f>W99+Y99+AB99+AD99</f>
      </c>
      <c r="AF99" s="167"/>
      <c r="AG99" s="169">
        <f>M99&amp;"-"&amp;F99</f>
      </c>
      <c r="AH99" s="166">
        <f>IFERROR(VLOOKUP(AG99,Masters!N:O,2,0),"0")</f>
      </c>
      <c r="AI99" s="166">
        <f>AH99*N99</f>
      </c>
      <c r="AJ99" s="158"/>
      <c r="AK99" s="170">
        <f>AI99-AE99</f>
      </c>
      <c r="AL99" s="167"/>
      <c r="AM99" s="147"/>
      <c r="AN99" s="171">
        <f>IFERROR(U99/2,"0")</f>
      </c>
    </row>
    <row x14ac:dyDescent="0.25" r="100" customHeight="1" ht="18.75">
      <c r="A100" s="158">
        <f>A99+1</f>
      </c>
      <c r="B100" s="159">
        <v>45762</v>
      </c>
      <c r="C100" s="147" t="s">
        <v>513</v>
      </c>
      <c r="D100" s="159">
        <v>45762</v>
      </c>
      <c r="E100" s="147" t="s">
        <v>84</v>
      </c>
      <c r="F100" s="160" t="s">
        <v>11</v>
      </c>
      <c r="G100" s="147" t="s">
        <v>72</v>
      </c>
      <c r="H100" s="147" t="s">
        <v>305</v>
      </c>
      <c r="I100" s="158">
        <v>909</v>
      </c>
      <c r="J100" s="147" t="s">
        <v>301</v>
      </c>
      <c r="K100" s="158">
        <v>92</v>
      </c>
      <c r="L100" s="147" t="s">
        <v>10</v>
      </c>
      <c r="M100" s="161">
        <f>IFERROR(VLOOKUP(L100,'Material Master'!B:C,2,0),"")</f>
      </c>
      <c r="N100" s="158">
        <v>200</v>
      </c>
      <c r="O100" s="162">
        <f>IFERROR(M100*N100,"")</f>
      </c>
      <c r="P100" s="147" t="s">
        <v>402</v>
      </c>
      <c r="Q100" s="158"/>
      <c r="R100" s="163">
        <v>45748</v>
      </c>
      <c r="S100" s="147"/>
      <c r="T100" s="147"/>
      <c r="U100" s="158">
        <v>192</v>
      </c>
      <c r="V100" s="164">
        <v>31</v>
      </c>
      <c r="W100" s="165">
        <f>IFERROR(U100*V100,"0")</f>
      </c>
      <c r="X100" s="7"/>
      <c r="Y100" s="166">
        <f>IFERROR((O100/1000)*Masters!$C$3,"0")</f>
      </c>
      <c r="Z100" s="167"/>
      <c r="AA100" s="164">
        <f>IFERROR(VLOOKUP(L100,Masters!G:H,2,0),"0")</f>
      </c>
      <c r="AB100" s="166">
        <f>IFERROR(AA100*N100,"0")</f>
      </c>
      <c r="AC100" s="168"/>
      <c r="AD100" s="158"/>
      <c r="AE100" s="166">
        <f>W100+Y100+AB100+AD100</f>
      </c>
      <c r="AF100" s="167"/>
      <c r="AG100" s="169">
        <f>M100&amp;"-"&amp;F100</f>
      </c>
      <c r="AH100" s="166">
        <f>IFERROR(VLOOKUP(AG100,Masters!N:O,2,0),"0")</f>
      </c>
      <c r="AI100" s="166">
        <f>AH100*N100</f>
      </c>
      <c r="AJ100" s="158"/>
      <c r="AK100" s="170">
        <f>AI100-AE100</f>
      </c>
      <c r="AL100" s="167"/>
      <c r="AM100" s="147"/>
      <c r="AN100" s="171">
        <f>IFERROR(U100/2,"0")</f>
      </c>
    </row>
    <row x14ac:dyDescent="0.25" r="101" customHeight="1" ht="18.75">
      <c r="A101" s="158">
        <f>A100+1</f>
      </c>
      <c r="B101" s="159">
        <v>45763</v>
      </c>
      <c r="C101" s="173" t="s">
        <v>514</v>
      </c>
      <c r="D101" s="159"/>
      <c r="E101" s="173" t="s">
        <v>69</v>
      </c>
      <c r="F101" s="173"/>
      <c r="G101" s="173" t="s">
        <v>235</v>
      </c>
      <c r="H101" s="173"/>
      <c r="I101" s="184">
        <v>709</v>
      </c>
      <c r="J101" s="173"/>
      <c r="K101" s="184"/>
      <c r="L101" s="173"/>
      <c r="M101" s="185">
        <f>IFERROR(VLOOKUP(L101,'Material Master'!B:C,2,0),"")</f>
      </c>
      <c r="N101" s="184"/>
      <c r="O101" s="186">
        <f>IFERROR(M101*N101,"")</f>
      </c>
      <c r="P101" s="173"/>
      <c r="Q101" s="184"/>
      <c r="R101" s="187">
        <v>45748</v>
      </c>
      <c r="S101" s="173" t="s">
        <v>504</v>
      </c>
      <c r="T101" s="188"/>
      <c r="U101" s="184"/>
      <c r="V101" s="185">
        <v>31</v>
      </c>
      <c r="W101" s="189">
        <f>IFERROR(U101*V101,"0")</f>
      </c>
      <c r="X101" s="190"/>
      <c r="Y101" s="191">
        <f>IFERROR((O101/1000)*Masters!$C$3,"0")</f>
      </c>
      <c r="Z101" s="192"/>
      <c r="AA101" s="164">
        <f>IFERROR(VLOOKUP(L101,Masters!G:H,2,0),"0")</f>
      </c>
      <c r="AB101" s="166">
        <f>IFERROR(AA101*N101,"0")</f>
      </c>
      <c r="AC101" s="193"/>
      <c r="AD101" s="190"/>
      <c r="AE101" s="166">
        <f>W101+Y101+AB101+AD101</f>
      </c>
      <c r="AF101" s="192"/>
      <c r="AG101" s="169">
        <f>M101&amp;"-"&amp;F101</f>
      </c>
      <c r="AH101" s="191">
        <f>IFERROR(VLOOKUP(AG101,Masters!N:O,2,0),"0")</f>
      </c>
      <c r="AI101" s="166">
        <f>AH101*N101</f>
      </c>
      <c r="AJ101" s="190"/>
      <c r="AK101" s="170">
        <f>AI101-AE101</f>
      </c>
      <c r="AL101" s="192"/>
      <c r="AM101" s="188"/>
      <c r="AN101" s="171">
        <f>IFERROR(U101/2,"0")</f>
      </c>
    </row>
    <row x14ac:dyDescent="0.25" r="102" customHeight="1" ht="18.75">
      <c r="A102" s="158">
        <f>A101+1</f>
      </c>
      <c r="B102" s="159">
        <v>45763</v>
      </c>
      <c r="C102" s="147" t="s">
        <v>515</v>
      </c>
      <c r="D102" s="159">
        <v>45763</v>
      </c>
      <c r="E102" s="147" t="s">
        <v>174</v>
      </c>
      <c r="F102" s="160" t="s">
        <v>16</v>
      </c>
      <c r="G102" s="147" t="s">
        <v>175</v>
      </c>
      <c r="H102" s="147" t="s">
        <v>304</v>
      </c>
      <c r="I102" s="158">
        <v>1109</v>
      </c>
      <c r="J102" s="147" t="s">
        <v>301</v>
      </c>
      <c r="K102" s="158">
        <v>94</v>
      </c>
      <c r="L102" s="147" t="s">
        <v>10</v>
      </c>
      <c r="M102" s="161">
        <f>IFERROR(VLOOKUP(L102,'Material Master'!B:C,2,0),"")</f>
      </c>
      <c r="N102" s="158">
        <v>300</v>
      </c>
      <c r="O102" s="162">
        <f>IFERROR(M102*N102,"")</f>
      </c>
      <c r="P102" s="147" t="s">
        <v>402</v>
      </c>
      <c r="Q102" s="158"/>
      <c r="R102" s="163">
        <v>45748</v>
      </c>
      <c r="S102" s="147"/>
      <c r="T102" s="147"/>
      <c r="U102" s="158">
        <v>250</v>
      </c>
      <c r="V102" s="164">
        <v>31</v>
      </c>
      <c r="W102" s="165">
        <f>IFERROR(U102*V102,"0")</f>
      </c>
      <c r="X102" s="7"/>
      <c r="Y102" s="166">
        <f>IFERROR((O102/1000)*Masters!$C$3,"0")</f>
      </c>
      <c r="Z102" s="167"/>
      <c r="AA102" s="164">
        <f>IFERROR(VLOOKUP(L102,Masters!G:H,2,0),"0")</f>
      </c>
      <c r="AB102" s="166">
        <f>IFERROR(AA102*N102,"0")</f>
      </c>
      <c r="AC102" s="168"/>
      <c r="AD102" s="158"/>
      <c r="AE102" s="166">
        <f>W102+Y102+AB102+AD102</f>
      </c>
      <c r="AF102" s="167"/>
      <c r="AG102" s="169">
        <f>M102&amp;"-"&amp;F102</f>
      </c>
      <c r="AH102" s="166">
        <f>IFERROR(VLOOKUP(AG102,Masters!N:O,2,0),"0")</f>
      </c>
      <c r="AI102" s="166">
        <f>AH102*N102</f>
      </c>
      <c r="AJ102" s="158"/>
      <c r="AK102" s="170">
        <f>AI102-AE102</f>
      </c>
      <c r="AL102" s="167"/>
      <c r="AM102" s="147"/>
      <c r="AN102" s="171">
        <f>IFERROR(U102/2,"0")</f>
      </c>
    </row>
    <row x14ac:dyDescent="0.25" r="103" customHeight="1" ht="18.75">
      <c r="A103" s="158">
        <f>A102+1</f>
      </c>
      <c r="B103" s="159">
        <v>45764</v>
      </c>
      <c r="C103" s="147" t="s">
        <v>516</v>
      </c>
      <c r="D103" s="159">
        <v>45764</v>
      </c>
      <c r="E103" s="147" t="s">
        <v>176</v>
      </c>
      <c r="F103" s="160" t="s">
        <v>11</v>
      </c>
      <c r="G103" s="147" t="s">
        <v>80</v>
      </c>
      <c r="H103" s="147" t="s">
        <v>305</v>
      </c>
      <c r="I103" s="158">
        <v>909</v>
      </c>
      <c r="J103" s="147" t="s">
        <v>301</v>
      </c>
      <c r="K103" s="158">
        <v>95</v>
      </c>
      <c r="L103" s="147" t="s">
        <v>10</v>
      </c>
      <c r="M103" s="161">
        <f>IFERROR(VLOOKUP(L103,'Material Master'!B:C,2,0),"")</f>
      </c>
      <c r="N103" s="158">
        <v>100</v>
      </c>
      <c r="O103" s="162">
        <f>IFERROR(M103*N103,"")</f>
      </c>
      <c r="P103" s="147" t="s">
        <v>402</v>
      </c>
      <c r="Q103" s="158"/>
      <c r="R103" s="163">
        <v>45748</v>
      </c>
      <c r="S103" s="147"/>
      <c r="T103" s="147"/>
      <c r="U103" s="158">
        <v>145</v>
      </c>
      <c r="V103" s="164">
        <v>31</v>
      </c>
      <c r="W103" s="165">
        <f>IFERROR(U103*V103,"0")</f>
      </c>
      <c r="X103" s="7"/>
      <c r="Y103" s="166">
        <f>IFERROR((O103/1000)*Masters!$C$3,"0")</f>
      </c>
      <c r="Z103" s="167"/>
      <c r="AA103" s="164">
        <f>IFERROR(VLOOKUP(L103,Masters!G:H,2,0),"0")</f>
      </c>
      <c r="AB103" s="166">
        <f>IFERROR(AA103*N103,"0")</f>
      </c>
      <c r="AC103" s="168"/>
      <c r="AD103" s="158"/>
      <c r="AE103" s="166">
        <f>W103+Y103+AB103+AD103</f>
      </c>
      <c r="AF103" s="167"/>
      <c r="AG103" s="169">
        <f>M103&amp;"-"&amp;F103</f>
      </c>
      <c r="AH103" s="166">
        <f>IFERROR(VLOOKUP(AG103,Masters!N:O,2,0),"0")</f>
      </c>
      <c r="AI103" s="166">
        <f>AH103*N103</f>
      </c>
      <c r="AJ103" s="158"/>
      <c r="AK103" s="170">
        <f>AI103-AE103</f>
      </c>
      <c r="AL103" s="167"/>
      <c r="AM103" s="147"/>
      <c r="AN103" s="171">
        <f>IFERROR(U103/2,"0")</f>
      </c>
    </row>
    <row x14ac:dyDescent="0.25" r="104" customHeight="1" ht="18.75">
      <c r="A104" s="158">
        <f>A103+1</f>
      </c>
      <c r="B104" s="159">
        <v>45765</v>
      </c>
      <c r="C104" s="147" t="s">
        <v>517</v>
      </c>
      <c r="D104" s="159">
        <v>45765</v>
      </c>
      <c r="E104" s="147" t="s">
        <v>177</v>
      </c>
      <c r="F104" s="160" t="s">
        <v>16</v>
      </c>
      <c r="G104" s="147" t="s">
        <v>178</v>
      </c>
      <c r="H104" s="147" t="s">
        <v>304</v>
      </c>
      <c r="I104" s="158">
        <v>1109</v>
      </c>
      <c r="J104" s="147" t="s">
        <v>301</v>
      </c>
      <c r="K104" s="158">
        <v>98</v>
      </c>
      <c r="L104" s="147" t="s">
        <v>10</v>
      </c>
      <c r="M104" s="161">
        <f>IFERROR(VLOOKUP(L104,'Material Master'!B:C,2,0),"")</f>
      </c>
      <c r="N104" s="158">
        <v>300</v>
      </c>
      <c r="O104" s="162">
        <f>IFERROR(M104*N104,"")</f>
      </c>
      <c r="P104" s="147" t="s">
        <v>402</v>
      </c>
      <c r="Q104" s="158"/>
      <c r="R104" s="163">
        <v>45748</v>
      </c>
      <c r="S104" s="147"/>
      <c r="T104" s="147"/>
      <c r="U104" s="158">
        <v>478</v>
      </c>
      <c r="V104" s="164">
        <v>31</v>
      </c>
      <c r="W104" s="165">
        <f>IFERROR(U104*V104,"0")</f>
      </c>
      <c r="X104" s="7"/>
      <c r="Y104" s="166">
        <f>IFERROR((O104/1000)*Masters!$C$3,"0")</f>
      </c>
      <c r="Z104" s="167"/>
      <c r="AA104" s="164">
        <f>IFERROR(VLOOKUP(L104,Masters!G:H,2,0),"0")</f>
      </c>
      <c r="AB104" s="166">
        <f>IFERROR(AA104*N104,"0")</f>
      </c>
      <c r="AC104" s="168"/>
      <c r="AD104" s="158"/>
      <c r="AE104" s="166">
        <f>W104+Y104+AB104+AD104</f>
      </c>
      <c r="AF104" s="167"/>
      <c r="AG104" s="169">
        <f>M104&amp;"-"&amp;F104</f>
      </c>
      <c r="AH104" s="166">
        <f>IFERROR(VLOOKUP(AG104,Masters!N:O,2,0),"0")</f>
      </c>
      <c r="AI104" s="166">
        <f>AH104*N104</f>
      </c>
      <c r="AJ104" s="158"/>
      <c r="AK104" s="170">
        <f>AI104-AE104</f>
      </c>
      <c r="AL104" s="167"/>
      <c r="AM104" s="147"/>
      <c r="AN104" s="171">
        <f>IFERROR(U104/2,"0")</f>
      </c>
    </row>
    <row x14ac:dyDescent="0.25" r="105" customHeight="1" ht="18.75">
      <c r="A105" s="158">
        <f>A104+1</f>
      </c>
      <c r="B105" s="159">
        <v>45765</v>
      </c>
      <c r="C105" s="147" t="s">
        <v>518</v>
      </c>
      <c r="D105" s="159">
        <v>45765</v>
      </c>
      <c r="E105" s="147" t="s">
        <v>179</v>
      </c>
      <c r="F105" s="160" t="s">
        <v>11</v>
      </c>
      <c r="G105" s="147" t="s">
        <v>180</v>
      </c>
      <c r="H105" s="147" t="s">
        <v>302</v>
      </c>
      <c r="I105" s="158">
        <v>1109</v>
      </c>
      <c r="J105" s="147" t="s">
        <v>301</v>
      </c>
      <c r="K105" s="158">
        <v>96</v>
      </c>
      <c r="L105" s="147" t="s">
        <v>10</v>
      </c>
      <c r="M105" s="161">
        <f>IFERROR(VLOOKUP(L105,'Material Master'!B:C,2,0),"")</f>
      </c>
      <c r="N105" s="158">
        <v>300</v>
      </c>
      <c r="O105" s="162">
        <f>IFERROR(M105*N105,"")</f>
      </c>
      <c r="P105" s="147" t="s">
        <v>402</v>
      </c>
      <c r="Q105" s="158"/>
      <c r="R105" s="163">
        <v>45748</v>
      </c>
      <c r="S105" s="147"/>
      <c r="T105" s="147"/>
      <c r="U105" s="158">
        <v>63</v>
      </c>
      <c r="V105" s="164">
        <v>31</v>
      </c>
      <c r="W105" s="165">
        <f>IFERROR(U105*V105,"0")</f>
      </c>
      <c r="X105" s="7"/>
      <c r="Y105" s="166">
        <f>IFERROR((O105/1000)*Masters!$C$3,"0")</f>
      </c>
      <c r="Z105" s="167"/>
      <c r="AA105" s="164">
        <f>IFERROR(VLOOKUP(L105,Masters!G:H,2,0),"0")</f>
      </c>
      <c r="AB105" s="166">
        <f>IFERROR(AA105*N105,"0")</f>
      </c>
      <c r="AC105" s="168"/>
      <c r="AD105" s="158"/>
      <c r="AE105" s="166">
        <f>W105+Y105+AB105+AD105</f>
      </c>
      <c r="AF105" s="167"/>
      <c r="AG105" s="169">
        <f>M105&amp;"-"&amp;F105</f>
      </c>
      <c r="AH105" s="166">
        <f>IFERROR(VLOOKUP(AG105,Masters!N:O,2,0),"0")</f>
      </c>
      <c r="AI105" s="166">
        <f>AH105*N105</f>
      </c>
      <c r="AJ105" s="158"/>
      <c r="AK105" s="170">
        <f>AI105-AE105</f>
      </c>
      <c r="AL105" s="167"/>
      <c r="AM105" s="147"/>
      <c r="AN105" s="171">
        <f>IFERROR(U105/2,"0")</f>
      </c>
    </row>
    <row x14ac:dyDescent="0.25" r="106" customHeight="1" ht="18.75">
      <c r="A106" s="158">
        <f>A105+1</f>
      </c>
      <c r="B106" s="159">
        <v>45765</v>
      </c>
      <c r="C106" s="147" t="s">
        <v>519</v>
      </c>
      <c r="D106" s="159">
        <v>45765</v>
      </c>
      <c r="E106" s="147" t="s">
        <v>181</v>
      </c>
      <c r="F106" s="160" t="s">
        <v>16</v>
      </c>
      <c r="G106" s="147" t="s">
        <v>182</v>
      </c>
      <c r="H106" s="147" t="s">
        <v>303</v>
      </c>
      <c r="I106" s="158">
        <v>1109</v>
      </c>
      <c r="J106" s="147" t="s">
        <v>301</v>
      </c>
      <c r="K106" s="158">
        <v>97</v>
      </c>
      <c r="L106" s="147" t="s">
        <v>10</v>
      </c>
      <c r="M106" s="161">
        <f>IFERROR(VLOOKUP(L106,'Material Master'!B:C,2,0),"")</f>
      </c>
      <c r="N106" s="158">
        <v>300</v>
      </c>
      <c r="O106" s="162">
        <f>IFERROR(M106*N106,"")</f>
      </c>
      <c r="P106" s="147" t="s">
        <v>402</v>
      </c>
      <c r="Q106" s="158"/>
      <c r="R106" s="163">
        <v>45748</v>
      </c>
      <c r="S106" s="147"/>
      <c r="T106" s="147"/>
      <c r="U106" s="158">
        <v>210</v>
      </c>
      <c r="V106" s="164">
        <v>31</v>
      </c>
      <c r="W106" s="165">
        <f>IFERROR(U106*V106,"0")</f>
      </c>
      <c r="X106" s="7"/>
      <c r="Y106" s="166">
        <f>IFERROR((O106/1000)*Masters!$C$3,"0")</f>
      </c>
      <c r="Z106" s="167"/>
      <c r="AA106" s="164">
        <f>IFERROR(VLOOKUP(L106,Masters!G:H,2,0),"0")</f>
      </c>
      <c r="AB106" s="166">
        <f>IFERROR(AA106*N106,"0")</f>
      </c>
      <c r="AC106" s="168"/>
      <c r="AD106" s="158"/>
      <c r="AE106" s="166">
        <f>W106+Y106+AB106+AD106</f>
      </c>
      <c r="AF106" s="167"/>
      <c r="AG106" s="169">
        <f>M106&amp;"-"&amp;F106</f>
      </c>
      <c r="AH106" s="166">
        <f>IFERROR(VLOOKUP(AG106,Masters!N:O,2,0),"0")</f>
      </c>
      <c r="AI106" s="166">
        <f>AH106*N106</f>
      </c>
      <c r="AJ106" s="158"/>
      <c r="AK106" s="170">
        <f>AI106-AE106</f>
      </c>
      <c r="AL106" s="167"/>
      <c r="AM106" s="147"/>
      <c r="AN106" s="171">
        <f>IFERROR(U106/2,"0")</f>
      </c>
    </row>
    <row x14ac:dyDescent="0.25" r="107" customHeight="1" ht="18.75">
      <c r="A107" s="158">
        <f>A106+1</f>
      </c>
      <c r="B107" s="159">
        <v>45765</v>
      </c>
      <c r="C107" s="174" t="s">
        <v>520</v>
      </c>
      <c r="D107" s="159">
        <v>45765</v>
      </c>
      <c r="E107" s="174" t="s">
        <v>177</v>
      </c>
      <c r="F107" s="175" t="s">
        <v>16</v>
      </c>
      <c r="G107" s="174" t="s">
        <v>178</v>
      </c>
      <c r="H107" s="174" t="s">
        <v>302</v>
      </c>
      <c r="I107" s="176">
        <v>1109</v>
      </c>
      <c r="J107" s="174" t="s">
        <v>301</v>
      </c>
      <c r="K107" s="176">
        <v>99</v>
      </c>
      <c r="L107" s="174" t="s">
        <v>10</v>
      </c>
      <c r="M107" s="177">
        <f>IFERROR(VLOOKUP(L107,'Material Master'!B:C,2,0),"")</f>
      </c>
      <c r="N107" s="176">
        <v>300</v>
      </c>
      <c r="O107" s="178">
        <f>IFERROR(M107*N107,"")</f>
      </c>
      <c r="P107" s="174" t="s">
        <v>402</v>
      </c>
      <c r="Q107" s="176"/>
      <c r="R107" s="179">
        <v>45748</v>
      </c>
      <c r="S107" s="174"/>
      <c r="T107" s="174"/>
      <c r="U107" s="176">
        <v>476</v>
      </c>
      <c r="V107" s="177">
        <v>31</v>
      </c>
      <c r="W107" s="180">
        <f>IFERROR(U107*V107,"0")</f>
      </c>
      <c r="X107" s="181"/>
      <c r="Y107" s="166">
        <f>IFERROR((O107/1000)*Masters!$C$3,"0")</f>
      </c>
      <c r="Z107" s="182"/>
      <c r="AA107" s="164">
        <f>IFERROR(VLOOKUP(L107,Masters!G:H,2,0),"0")</f>
      </c>
      <c r="AB107" s="166">
        <f>IFERROR(AA107*N107,"0")</f>
      </c>
      <c r="AC107" s="183"/>
      <c r="AD107" s="176"/>
      <c r="AE107" s="166">
        <f>W107+Y107+AB107+AD107</f>
      </c>
      <c r="AF107" s="182"/>
      <c r="AG107" s="169">
        <f>M107&amp;"-"&amp;F107</f>
      </c>
      <c r="AH107" s="166">
        <f>IFERROR(VLOOKUP(AG107,Masters!N:O,2,0),"0")</f>
      </c>
      <c r="AI107" s="166">
        <f>AH107*N107</f>
      </c>
      <c r="AJ107" s="176"/>
      <c r="AK107" s="170">
        <f>AI107-AE107</f>
      </c>
      <c r="AL107" s="182"/>
      <c r="AM107" s="174"/>
      <c r="AN107" s="171">
        <f>IFERROR(U107/2,"0")</f>
      </c>
    </row>
    <row x14ac:dyDescent="0.25" r="108" customHeight="1" ht="18.75">
      <c r="A108" s="158">
        <f>A107+1</f>
      </c>
      <c r="B108" s="159">
        <v>45766</v>
      </c>
      <c r="C108" s="147" t="s">
        <v>521</v>
      </c>
      <c r="D108" s="159">
        <v>45766</v>
      </c>
      <c r="E108" s="147" t="s">
        <v>183</v>
      </c>
      <c r="F108" s="160" t="s">
        <v>16</v>
      </c>
      <c r="G108" s="147" t="s">
        <v>163</v>
      </c>
      <c r="H108" s="147" t="s">
        <v>305</v>
      </c>
      <c r="I108" s="158">
        <v>909</v>
      </c>
      <c r="J108" s="147" t="s">
        <v>301</v>
      </c>
      <c r="K108" s="158">
        <v>101</v>
      </c>
      <c r="L108" s="147" t="s">
        <v>10</v>
      </c>
      <c r="M108" s="161">
        <f>IFERROR(VLOOKUP(L108,'Material Master'!B:C,2,0),"")</f>
      </c>
      <c r="N108" s="158">
        <v>200</v>
      </c>
      <c r="O108" s="162">
        <f>IFERROR(M108*N108,"")</f>
      </c>
      <c r="P108" s="147" t="s">
        <v>402</v>
      </c>
      <c r="Q108" s="158"/>
      <c r="R108" s="163">
        <v>45748</v>
      </c>
      <c r="S108" s="147"/>
      <c r="T108" s="147"/>
      <c r="U108" s="158">
        <v>350</v>
      </c>
      <c r="V108" s="164">
        <v>31</v>
      </c>
      <c r="W108" s="165">
        <f>IFERROR(U108*V108,"0")</f>
      </c>
      <c r="X108" s="7"/>
      <c r="Y108" s="166">
        <f>IFERROR((O108/1000)*Masters!$C$3,"0")</f>
      </c>
      <c r="Z108" s="167"/>
      <c r="AA108" s="164">
        <f>IFERROR(VLOOKUP(L108,Masters!G:H,2,0),"0")</f>
      </c>
      <c r="AB108" s="166">
        <f>IFERROR(AA108*N108,"0")</f>
      </c>
      <c r="AC108" s="168"/>
      <c r="AD108" s="158"/>
      <c r="AE108" s="166">
        <f>W108+Y108+AB108+AD108</f>
      </c>
      <c r="AF108" s="167"/>
      <c r="AG108" s="169">
        <f>M108&amp;"-"&amp;F108</f>
      </c>
      <c r="AH108" s="166">
        <f>IFERROR(VLOOKUP(AG108,Masters!N:O,2,0),"0")</f>
      </c>
      <c r="AI108" s="166">
        <f>AH108*N108</f>
      </c>
      <c r="AJ108" s="158"/>
      <c r="AK108" s="170">
        <f>AI108-AE108</f>
      </c>
      <c r="AL108" s="167"/>
      <c r="AM108" s="147"/>
      <c r="AN108" s="171">
        <f>IFERROR(U108/2,"0")</f>
      </c>
    </row>
    <row x14ac:dyDescent="0.25" r="109" customHeight="1" ht="18.75">
      <c r="A109" s="158">
        <f>A108+1</f>
      </c>
      <c r="B109" s="159">
        <v>45768</v>
      </c>
      <c r="C109" s="147" t="s">
        <v>522</v>
      </c>
      <c r="D109" s="159">
        <v>45768</v>
      </c>
      <c r="E109" s="147" t="s">
        <v>93</v>
      </c>
      <c r="F109" s="160" t="s">
        <v>11</v>
      </c>
      <c r="G109" s="147" t="s">
        <v>485</v>
      </c>
      <c r="H109" s="147" t="s">
        <v>305</v>
      </c>
      <c r="I109" s="158">
        <v>1109</v>
      </c>
      <c r="J109" s="147" t="s">
        <v>301</v>
      </c>
      <c r="K109" s="158">
        <v>104</v>
      </c>
      <c r="L109" s="147" t="s">
        <v>10</v>
      </c>
      <c r="M109" s="161">
        <f>IFERROR(VLOOKUP(L109,'Material Master'!B:C,2,0),"")</f>
      </c>
      <c r="N109" s="158">
        <v>300</v>
      </c>
      <c r="O109" s="162">
        <f>IFERROR(M109*N109,"")</f>
      </c>
      <c r="P109" s="147" t="s">
        <v>402</v>
      </c>
      <c r="Q109" s="158"/>
      <c r="R109" s="163">
        <v>45748</v>
      </c>
      <c r="S109" s="147"/>
      <c r="T109" s="147"/>
      <c r="U109" s="158">
        <v>170</v>
      </c>
      <c r="V109" s="164">
        <v>31</v>
      </c>
      <c r="W109" s="165">
        <f>IFERROR(U109*V109,"0")</f>
      </c>
      <c r="X109" s="7"/>
      <c r="Y109" s="166">
        <f>IFERROR((O109/1000)*Masters!$C$3,"0")</f>
      </c>
      <c r="Z109" s="167"/>
      <c r="AA109" s="164">
        <f>IFERROR(VLOOKUP(L109,Masters!G:H,2,0),"0")</f>
      </c>
      <c r="AB109" s="166">
        <f>IFERROR(AA109*N109,"0")</f>
      </c>
      <c r="AC109" s="168"/>
      <c r="AD109" s="158"/>
      <c r="AE109" s="166">
        <f>W109+Y109+AB109+AD109</f>
      </c>
      <c r="AF109" s="167"/>
      <c r="AG109" s="169">
        <f>M109&amp;"-"&amp;F109</f>
      </c>
      <c r="AH109" s="166">
        <f>IFERROR(VLOOKUP(AG109,Masters!N:O,2,0),"0")</f>
      </c>
      <c r="AI109" s="166">
        <f>AH109*N109</f>
      </c>
      <c r="AJ109" s="158"/>
      <c r="AK109" s="170">
        <f>AI109-AE109</f>
      </c>
      <c r="AL109" s="167"/>
      <c r="AM109" s="147"/>
      <c r="AN109" s="171">
        <f>IFERROR(U109/2,"0")</f>
      </c>
    </row>
    <row x14ac:dyDescent="0.25" r="110" customHeight="1" ht="18.75">
      <c r="A110" s="158">
        <f>A109+1</f>
      </c>
      <c r="B110" s="159">
        <v>45768</v>
      </c>
      <c r="C110" s="147" t="s">
        <v>523</v>
      </c>
      <c r="D110" s="159">
        <v>45768</v>
      </c>
      <c r="E110" s="147" t="s">
        <v>184</v>
      </c>
      <c r="F110" s="160" t="s">
        <v>11</v>
      </c>
      <c r="G110" s="147" t="s">
        <v>111</v>
      </c>
      <c r="H110" s="147" t="s">
        <v>303</v>
      </c>
      <c r="I110" s="158">
        <v>709</v>
      </c>
      <c r="J110" s="147" t="s">
        <v>301</v>
      </c>
      <c r="K110" s="158">
        <v>102</v>
      </c>
      <c r="L110" s="147" t="s">
        <v>10</v>
      </c>
      <c r="M110" s="161">
        <f>IFERROR(VLOOKUP(L110,'Material Master'!B:C,2,0),"")</f>
      </c>
      <c r="N110" s="158">
        <v>100</v>
      </c>
      <c r="O110" s="162">
        <f>IFERROR(M110*N110,"")</f>
      </c>
      <c r="P110" s="147" t="s">
        <v>402</v>
      </c>
      <c r="Q110" s="158"/>
      <c r="R110" s="163">
        <v>45748</v>
      </c>
      <c r="S110" s="147"/>
      <c r="T110" s="147"/>
      <c r="U110" s="158">
        <v>26</v>
      </c>
      <c r="V110" s="164">
        <v>31</v>
      </c>
      <c r="W110" s="165">
        <f>IFERROR(U110*V110,"0")</f>
      </c>
      <c r="X110" s="7"/>
      <c r="Y110" s="166">
        <f>IFERROR((O110/1000)*Masters!$C$3,"0")</f>
      </c>
      <c r="Z110" s="167"/>
      <c r="AA110" s="164">
        <f>IFERROR(VLOOKUP(L110,Masters!G:H,2,0),"0")</f>
      </c>
      <c r="AB110" s="166">
        <f>IFERROR(AA110*N110,"0")</f>
      </c>
      <c r="AC110" s="168"/>
      <c r="AD110" s="158"/>
      <c r="AE110" s="166">
        <f>W110+Y110+AB110+AD110</f>
      </c>
      <c r="AF110" s="167"/>
      <c r="AG110" s="169">
        <f>M110&amp;"-"&amp;F110</f>
      </c>
      <c r="AH110" s="166">
        <f>IFERROR(VLOOKUP(AG110,Masters!N:O,2,0),"0")</f>
      </c>
      <c r="AI110" s="166">
        <f>AH110*N110</f>
      </c>
      <c r="AJ110" s="158"/>
      <c r="AK110" s="170">
        <f>AI110-AE110</f>
      </c>
      <c r="AL110" s="167"/>
      <c r="AM110" s="147"/>
      <c r="AN110" s="171">
        <f>IFERROR(U110/2,"0")</f>
      </c>
    </row>
    <row x14ac:dyDescent="0.25" r="111" customHeight="1" ht="18.75">
      <c r="A111" s="158">
        <f>A110+1</f>
      </c>
      <c r="B111" s="159">
        <v>45768</v>
      </c>
      <c r="C111" s="147" t="s">
        <v>524</v>
      </c>
      <c r="D111" s="159">
        <v>45768</v>
      </c>
      <c r="E111" s="147" t="s">
        <v>173</v>
      </c>
      <c r="F111" s="160" t="s">
        <v>11</v>
      </c>
      <c r="G111" s="147" t="s">
        <v>230</v>
      </c>
      <c r="H111" s="147" t="s">
        <v>304</v>
      </c>
      <c r="I111" s="158">
        <v>1109</v>
      </c>
      <c r="J111" s="147" t="s">
        <v>301</v>
      </c>
      <c r="K111" s="158">
        <v>103</v>
      </c>
      <c r="L111" s="147" t="s">
        <v>10</v>
      </c>
      <c r="M111" s="161">
        <f>IFERROR(VLOOKUP(L111,'Material Master'!B:C,2,0),"")</f>
      </c>
      <c r="N111" s="158">
        <v>300</v>
      </c>
      <c r="O111" s="162">
        <f>IFERROR(M111*N111,"")</f>
      </c>
      <c r="P111" s="147" t="s">
        <v>402</v>
      </c>
      <c r="Q111" s="158"/>
      <c r="R111" s="163">
        <v>45748</v>
      </c>
      <c r="S111" s="147"/>
      <c r="T111" s="147"/>
      <c r="U111" s="158">
        <v>63</v>
      </c>
      <c r="V111" s="164">
        <v>31</v>
      </c>
      <c r="W111" s="165">
        <f>IFERROR(U111*V111,"0")</f>
      </c>
      <c r="X111" s="7"/>
      <c r="Y111" s="166">
        <f>IFERROR((O111/1000)*Masters!$C$3,"0")</f>
      </c>
      <c r="Z111" s="167"/>
      <c r="AA111" s="164">
        <f>IFERROR(VLOOKUP(L111,Masters!G:H,2,0),"0")</f>
      </c>
      <c r="AB111" s="166">
        <f>IFERROR(AA111*N111,"0")</f>
      </c>
      <c r="AC111" s="168"/>
      <c r="AD111" s="158"/>
      <c r="AE111" s="166">
        <f>W111+Y111+AB111+AD111</f>
      </c>
      <c r="AF111" s="167"/>
      <c r="AG111" s="169">
        <f>M111&amp;"-"&amp;F111</f>
      </c>
      <c r="AH111" s="166">
        <f>IFERROR(VLOOKUP(AG111,Masters!N:O,2,0),"0")</f>
      </c>
      <c r="AI111" s="166">
        <f>AH111*N111</f>
      </c>
      <c r="AJ111" s="158"/>
      <c r="AK111" s="170">
        <f>AI111-AE111</f>
      </c>
      <c r="AL111" s="167"/>
      <c r="AM111" s="147"/>
      <c r="AN111" s="171">
        <f>IFERROR(U111/2,"0")</f>
      </c>
    </row>
    <row x14ac:dyDescent="0.25" r="112" customHeight="1" ht="18.75">
      <c r="A112" s="158">
        <f>A111+1</f>
      </c>
      <c r="B112" s="159">
        <v>45769</v>
      </c>
      <c r="C112" s="147" t="s">
        <v>525</v>
      </c>
      <c r="D112" s="159">
        <v>45769</v>
      </c>
      <c r="E112" s="147" t="s">
        <v>97</v>
      </c>
      <c r="F112" s="160" t="s">
        <v>16</v>
      </c>
      <c r="G112" s="147" t="s">
        <v>149</v>
      </c>
      <c r="H112" s="147" t="s">
        <v>303</v>
      </c>
      <c r="I112" s="158">
        <v>1109</v>
      </c>
      <c r="J112" s="147" t="s">
        <v>301</v>
      </c>
      <c r="K112" s="158">
        <v>106</v>
      </c>
      <c r="L112" s="147" t="s">
        <v>10</v>
      </c>
      <c r="M112" s="161">
        <f>IFERROR(VLOOKUP(L112,'Material Master'!B:C,2,0),"")</f>
      </c>
      <c r="N112" s="158">
        <v>300</v>
      </c>
      <c r="O112" s="162">
        <f>IFERROR(M112*N112,"")</f>
      </c>
      <c r="P112" s="147" t="s">
        <v>402</v>
      </c>
      <c r="Q112" s="158"/>
      <c r="R112" s="163">
        <v>45748</v>
      </c>
      <c r="S112" s="147"/>
      <c r="T112" s="147"/>
      <c r="U112" s="158">
        <v>344</v>
      </c>
      <c r="V112" s="164">
        <v>31</v>
      </c>
      <c r="W112" s="165">
        <f>IFERROR(U112*V112,"0")</f>
      </c>
      <c r="X112" s="7"/>
      <c r="Y112" s="166">
        <f>IFERROR((O112/1000)*Masters!$C$3,"0")</f>
      </c>
      <c r="Z112" s="167"/>
      <c r="AA112" s="164">
        <f>IFERROR(VLOOKUP(L112,Masters!G:H,2,0),"0")</f>
      </c>
      <c r="AB112" s="166">
        <f>IFERROR(AA112*N112,"0")</f>
      </c>
      <c r="AC112" s="168"/>
      <c r="AD112" s="158"/>
      <c r="AE112" s="166">
        <f>W112+Y112+AB112+AD112</f>
      </c>
      <c r="AF112" s="167"/>
      <c r="AG112" s="169">
        <f>M112&amp;"-"&amp;F112</f>
      </c>
      <c r="AH112" s="166">
        <f>IFERROR(VLOOKUP(AG112,Masters!N:O,2,0),"0")</f>
      </c>
      <c r="AI112" s="166">
        <f>AH112*N112</f>
      </c>
      <c r="AJ112" s="158"/>
      <c r="AK112" s="170">
        <f>AI112-AE112</f>
      </c>
      <c r="AL112" s="167"/>
      <c r="AM112" s="147"/>
      <c r="AN112" s="171">
        <f>IFERROR(U112/2,"0")</f>
      </c>
    </row>
    <row x14ac:dyDescent="0.25" r="113" customHeight="1" ht="18.75">
      <c r="A113" s="158">
        <f>A112+1</f>
      </c>
      <c r="B113" s="159">
        <v>45769</v>
      </c>
      <c r="C113" s="147" t="s">
        <v>526</v>
      </c>
      <c r="D113" s="159">
        <v>45769</v>
      </c>
      <c r="E113" s="147" t="s">
        <v>126</v>
      </c>
      <c r="F113" s="160" t="s">
        <v>16</v>
      </c>
      <c r="G113" s="147" t="s">
        <v>197</v>
      </c>
      <c r="H113" s="147" t="s">
        <v>304</v>
      </c>
      <c r="I113" s="158">
        <v>909</v>
      </c>
      <c r="J113" s="147" t="s">
        <v>301</v>
      </c>
      <c r="K113" s="158">
        <v>107</v>
      </c>
      <c r="L113" s="147" t="s">
        <v>10</v>
      </c>
      <c r="M113" s="161">
        <f>IFERROR(VLOOKUP(L113,'Material Master'!B:C,2,0),"")</f>
      </c>
      <c r="N113" s="158">
        <v>200</v>
      </c>
      <c r="O113" s="162">
        <f>IFERROR(M113*N113,"")</f>
      </c>
      <c r="P113" s="147" t="s">
        <v>402</v>
      </c>
      <c r="Q113" s="158"/>
      <c r="R113" s="163">
        <v>45748</v>
      </c>
      <c r="S113" s="147"/>
      <c r="T113" s="147"/>
      <c r="U113" s="158">
        <v>230</v>
      </c>
      <c r="V113" s="164">
        <v>31</v>
      </c>
      <c r="W113" s="165">
        <f>IFERROR(U113*V113,"0")</f>
      </c>
      <c r="X113" s="7"/>
      <c r="Y113" s="166">
        <f>IFERROR((O113/1000)*Masters!$C$3,"0")</f>
      </c>
      <c r="Z113" s="167"/>
      <c r="AA113" s="164">
        <f>IFERROR(VLOOKUP(L113,Masters!G:H,2,0),"0")</f>
      </c>
      <c r="AB113" s="166">
        <f>IFERROR(AA113*N113,"0")</f>
      </c>
      <c r="AC113" s="168"/>
      <c r="AD113" s="158"/>
      <c r="AE113" s="166">
        <f>W113+Y113+AB113+AD113</f>
      </c>
      <c r="AF113" s="167"/>
      <c r="AG113" s="169">
        <f>M113&amp;"-"&amp;F113</f>
      </c>
      <c r="AH113" s="166">
        <f>IFERROR(VLOOKUP(AG113,Masters!N:O,2,0),"0")</f>
      </c>
      <c r="AI113" s="166">
        <f>AH113*N113</f>
      </c>
      <c r="AJ113" s="158"/>
      <c r="AK113" s="170">
        <f>AI113-AE113</f>
      </c>
      <c r="AL113" s="167"/>
      <c r="AM113" s="147"/>
      <c r="AN113" s="171">
        <f>IFERROR(U113/2,"0")</f>
      </c>
    </row>
    <row x14ac:dyDescent="0.25" r="114" customHeight="1" ht="18.75">
      <c r="A114" s="158">
        <f>A113+1</f>
      </c>
      <c r="B114" s="159">
        <v>45769</v>
      </c>
      <c r="C114" s="147" t="s">
        <v>527</v>
      </c>
      <c r="D114" s="159">
        <v>45769</v>
      </c>
      <c r="E114" s="147" t="s">
        <v>185</v>
      </c>
      <c r="F114" s="160" t="s">
        <v>19</v>
      </c>
      <c r="G114" s="147" t="s">
        <v>186</v>
      </c>
      <c r="H114" s="147" t="s">
        <v>305</v>
      </c>
      <c r="I114" s="158">
        <v>1109</v>
      </c>
      <c r="J114" s="147" t="s">
        <v>301</v>
      </c>
      <c r="K114" s="158">
        <v>108</v>
      </c>
      <c r="L114" s="147" t="s">
        <v>10</v>
      </c>
      <c r="M114" s="161">
        <f>IFERROR(VLOOKUP(L114,'Material Master'!B:C,2,0),"")</f>
      </c>
      <c r="N114" s="158">
        <v>300</v>
      </c>
      <c r="O114" s="162">
        <f>IFERROR(M114*N114,"")</f>
      </c>
      <c r="P114" s="147" t="s">
        <v>402</v>
      </c>
      <c r="Q114" s="158"/>
      <c r="R114" s="163">
        <v>45748</v>
      </c>
      <c r="S114" s="147"/>
      <c r="T114" s="147"/>
      <c r="U114" s="158">
        <v>556</v>
      </c>
      <c r="V114" s="164">
        <v>31</v>
      </c>
      <c r="W114" s="165">
        <f>IFERROR(U114*V114,"0")</f>
      </c>
      <c r="X114" s="7"/>
      <c r="Y114" s="166">
        <f>IFERROR((O114/1000)*Masters!$C$3,"0")</f>
      </c>
      <c r="Z114" s="167"/>
      <c r="AA114" s="164">
        <f>IFERROR(VLOOKUP(L114,Masters!G:H,2,0),"0")</f>
      </c>
      <c r="AB114" s="166">
        <f>IFERROR(AA114*N114,"0")</f>
      </c>
      <c r="AC114" s="168"/>
      <c r="AD114" s="158"/>
      <c r="AE114" s="166">
        <f>W114+Y114+AB114+AD114</f>
      </c>
      <c r="AF114" s="167"/>
      <c r="AG114" s="169">
        <f>M114&amp;"-"&amp;F114</f>
      </c>
      <c r="AH114" s="166">
        <f>IFERROR(VLOOKUP(AG114,Masters!N:O,2,0),"0")</f>
      </c>
      <c r="AI114" s="166">
        <f>AH114*N114</f>
      </c>
      <c r="AJ114" s="158"/>
      <c r="AK114" s="170">
        <f>AI114-AE114</f>
      </c>
      <c r="AL114" s="167"/>
      <c r="AM114" s="147"/>
      <c r="AN114" s="171">
        <f>IFERROR(U114/2,"0")</f>
      </c>
    </row>
    <row x14ac:dyDescent="0.25" r="115" customHeight="1" ht="18.75">
      <c r="A115" s="158">
        <f>A114+1</f>
      </c>
      <c r="B115" s="159">
        <v>45770</v>
      </c>
      <c r="C115" s="147" t="s">
        <v>528</v>
      </c>
      <c r="D115" s="159">
        <v>45770</v>
      </c>
      <c r="E115" s="147" t="s">
        <v>102</v>
      </c>
      <c r="F115" s="160" t="s">
        <v>11</v>
      </c>
      <c r="G115" s="147" t="s">
        <v>103</v>
      </c>
      <c r="H115" s="147" t="s">
        <v>302</v>
      </c>
      <c r="I115" s="158">
        <v>1109</v>
      </c>
      <c r="J115" s="147" t="s">
        <v>301</v>
      </c>
      <c r="K115" s="158">
        <v>109</v>
      </c>
      <c r="L115" s="147" t="s">
        <v>10</v>
      </c>
      <c r="M115" s="161">
        <f>IFERROR(VLOOKUP(L115,'Material Master'!B:C,2,0),"")</f>
      </c>
      <c r="N115" s="158">
        <v>300</v>
      </c>
      <c r="O115" s="162">
        <f>IFERROR(M115*N115,"")</f>
      </c>
      <c r="P115" s="147" t="s">
        <v>402</v>
      </c>
      <c r="Q115" s="158"/>
      <c r="R115" s="163">
        <v>45748</v>
      </c>
      <c r="S115" s="147"/>
      <c r="T115" s="147"/>
      <c r="U115" s="158">
        <v>145</v>
      </c>
      <c r="V115" s="164">
        <v>31</v>
      </c>
      <c r="W115" s="165">
        <f>IFERROR(U115*V115,"0")</f>
      </c>
      <c r="X115" s="7"/>
      <c r="Y115" s="166">
        <f>IFERROR((O115/1000)*Masters!$C$3,"0")</f>
      </c>
      <c r="Z115" s="167"/>
      <c r="AA115" s="164">
        <f>IFERROR(VLOOKUP(L115,Masters!G:H,2,0),"0")</f>
      </c>
      <c r="AB115" s="166">
        <f>IFERROR(AA115*N115,"0")</f>
      </c>
      <c r="AC115" s="168"/>
      <c r="AD115" s="158"/>
      <c r="AE115" s="166">
        <f>W115+Y115+AB115+AD115</f>
      </c>
      <c r="AF115" s="167"/>
      <c r="AG115" s="169">
        <f>M115&amp;"-"&amp;F115</f>
      </c>
      <c r="AH115" s="166">
        <f>IFERROR(VLOOKUP(AG115,Masters!N:O,2,0),"0")</f>
      </c>
      <c r="AI115" s="166">
        <f>AH115*N115</f>
      </c>
      <c r="AJ115" s="158"/>
      <c r="AK115" s="170">
        <f>AI115-AE115</f>
      </c>
      <c r="AL115" s="167"/>
      <c r="AM115" s="147"/>
      <c r="AN115" s="171">
        <f>IFERROR(U115/2,"0")</f>
      </c>
    </row>
    <row x14ac:dyDescent="0.25" r="116" customHeight="1" ht="18.75">
      <c r="A116" s="158">
        <f>A115+1</f>
      </c>
      <c r="B116" s="159">
        <v>45771</v>
      </c>
      <c r="C116" s="147" t="s">
        <v>529</v>
      </c>
      <c r="D116" s="159">
        <v>45771</v>
      </c>
      <c r="E116" s="147" t="s">
        <v>84</v>
      </c>
      <c r="F116" s="160" t="s">
        <v>11</v>
      </c>
      <c r="G116" s="147" t="s">
        <v>530</v>
      </c>
      <c r="H116" s="147" t="s">
        <v>304</v>
      </c>
      <c r="I116" s="158">
        <v>909</v>
      </c>
      <c r="J116" s="147" t="s">
        <v>301</v>
      </c>
      <c r="K116" s="158">
        <v>110</v>
      </c>
      <c r="L116" s="147" t="s">
        <v>10</v>
      </c>
      <c r="M116" s="161">
        <f>IFERROR(VLOOKUP(L116,'Material Master'!B:C,2,0),"")</f>
      </c>
      <c r="N116" s="158">
        <v>200</v>
      </c>
      <c r="O116" s="162">
        <f>IFERROR(M116*N116,"")</f>
      </c>
      <c r="P116" s="147" t="s">
        <v>402</v>
      </c>
      <c r="Q116" s="158"/>
      <c r="R116" s="163">
        <v>45748</v>
      </c>
      <c r="S116" s="147"/>
      <c r="T116" s="147"/>
      <c r="U116" s="158">
        <v>197</v>
      </c>
      <c r="V116" s="164">
        <v>31</v>
      </c>
      <c r="W116" s="165">
        <f>IFERROR(U116*V116,"0")</f>
      </c>
      <c r="X116" s="7"/>
      <c r="Y116" s="166">
        <f>IFERROR((O116/1000)*Masters!$C$3,"0")</f>
      </c>
      <c r="Z116" s="167"/>
      <c r="AA116" s="164">
        <f>IFERROR(VLOOKUP(L116,Masters!G:H,2,0),"0")</f>
      </c>
      <c r="AB116" s="166">
        <f>IFERROR(AA116*N116,"0")</f>
      </c>
      <c r="AC116" s="168"/>
      <c r="AD116" s="158"/>
      <c r="AE116" s="166">
        <f>W116+Y116+AB116+AD116</f>
      </c>
      <c r="AF116" s="167"/>
      <c r="AG116" s="169">
        <f>M116&amp;"-"&amp;F116</f>
      </c>
      <c r="AH116" s="166">
        <f>IFERROR(VLOOKUP(AG116,Masters!N:O,2,0),"0")</f>
      </c>
      <c r="AI116" s="166">
        <f>AH116*N116</f>
      </c>
      <c r="AJ116" s="158"/>
      <c r="AK116" s="170">
        <f>AI116-AE116</f>
      </c>
      <c r="AL116" s="167"/>
      <c r="AM116" s="147"/>
      <c r="AN116" s="171">
        <f>IFERROR(U116/2,"0")</f>
      </c>
    </row>
    <row x14ac:dyDescent="0.25" r="117" customHeight="1" ht="18.75">
      <c r="A117" s="158">
        <f>A116+1</f>
      </c>
      <c r="B117" s="159">
        <v>45771</v>
      </c>
      <c r="C117" s="147" t="s">
        <v>531</v>
      </c>
      <c r="D117" s="159">
        <v>45771</v>
      </c>
      <c r="E117" s="147" t="s">
        <v>81</v>
      </c>
      <c r="F117" s="160" t="s">
        <v>16</v>
      </c>
      <c r="G117" s="147" t="s">
        <v>532</v>
      </c>
      <c r="H117" s="147" t="s">
        <v>305</v>
      </c>
      <c r="I117" s="158">
        <v>1109</v>
      </c>
      <c r="J117" s="147" t="s">
        <v>301</v>
      </c>
      <c r="K117" s="158">
        <v>111</v>
      </c>
      <c r="L117" s="147" t="s">
        <v>10</v>
      </c>
      <c r="M117" s="161">
        <f>IFERROR(VLOOKUP(L117,'Material Master'!B:C,2,0),"")</f>
      </c>
      <c r="N117" s="158">
        <v>300</v>
      </c>
      <c r="O117" s="162">
        <f>IFERROR(M117*N117,"")</f>
      </c>
      <c r="P117" s="147" t="s">
        <v>402</v>
      </c>
      <c r="Q117" s="158"/>
      <c r="R117" s="163">
        <v>45748</v>
      </c>
      <c r="S117" s="147"/>
      <c r="T117" s="147"/>
      <c r="U117" s="158">
        <v>235</v>
      </c>
      <c r="V117" s="164">
        <v>31</v>
      </c>
      <c r="W117" s="165">
        <f>IFERROR(U117*V117,"0")</f>
      </c>
      <c r="X117" s="7"/>
      <c r="Y117" s="166">
        <f>IFERROR((O117/1000)*Masters!$C$3,"0")</f>
      </c>
      <c r="Z117" s="167"/>
      <c r="AA117" s="164">
        <f>IFERROR(VLOOKUP(L117,Masters!G:H,2,0),"0")</f>
      </c>
      <c r="AB117" s="166">
        <f>IFERROR(AA117*N117,"0")</f>
      </c>
      <c r="AC117" s="168"/>
      <c r="AD117" s="158"/>
      <c r="AE117" s="166">
        <f>W117+Y117+AB117+AD117</f>
      </c>
      <c r="AF117" s="167"/>
      <c r="AG117" s="169">
        <f>M117&amp;"-"&amp;F117</f>
      </c>
      <c r="AH117" s="166">
        <f>IFERROR(VLOOKUP(AG117,Masters!N:O,2,0),"0")</f>
      </c>
      <c r="AI117" s="166">
        <f>AH117*N117</f>
      </c>
      <c r="AJ117" s="158"/>
      <c r="AK117" s="170">
        <f>AI117-AE117</f>
      </c>
      <c r="AL117" s="167"/>
      <c r="AM117" s="147"/>
      <c r="AN117" s="171">
        <f>IFERROR(U117/2,"0")</f>
      </c>
    </row>
    <row x14ac:dyDescent="0.25" r="118" customHeight="1" ht="18.75">
      <c r="A118" s="158">
        <f>A117+1</f>
      </c>
      <c r="B118" s="159">
        <v>45771</v>
      </c>
      <c r="C118" s="147" t="s">
        <v>533</v>
      </c>
      <c r="D118" s="159">
        <v>45771</v>
      </c>
      <c r="E118" s="147" t="s">
        <v>75</v>
      </c>
      <c r="F118" s="160" t="s">
        <v>16</v>
      </c>
      <c r="G118" s="147" t="s">
        <v>151</v>
      </c>
      <c r="H118" s="147" t="s">
        <v>303</v>
      </c>
      <c r="I118" s="158">
        <v>1109</v>
      </c>
      <c r="J118" s="147" t="s">
        <v>301</v>
      </c>
      <c r="K118" s="158">
        <v>113</v>
      </c>
      <c r="L118" s="147" t="s">
        <v>10</v>
      </c>
      <c r="M118" s="161">
        <f>IFERROR(VLOOKUP(L118,'Material Master'!B:C,2,0),"")</f>
      </c>
      <c r="N118" s="158">
        <v>300</v>
      </c>
      <c r="O118" s="162">
        <f>IFERROR(M118*N118,"")</f>
      </c>
      <c r="P118" s="147" t="s">
        <v>402</v>
      </c>
      <c r="Q118" s="158"/>
      <c r="R118" s="163">
        <v>45748</v>
      </c>
      <c r="S118" s="147"/>
      <c r="T118" s="147"/>
      <c r="U118" s="158">
        <v>214</v>
      </c>
      <c r="V118" s="164">
        <v>31</v>
      </c>
      <c r="W118" s="165">
        <f>IFERROR(U118*V118,"0")</f>
      </c>
      <c r="X118" s="7"/>
      <c r="Y118" s="166">
        <f>IFERROR((O118/1000)*Masters!$C$3,"0")</f>
      </c>
      <c r="Z118" s="167"/>
      <c r="AA118" s="164">
        <f>IFERROR(VLOOKUP(L118,Masters!G:H,2,0),"0")</f>
      </c>
      <c r="AB118" s="166">
        <f>IFERROR(AA118*N118,"0")</f>
      </c>
      <c r="AC118" s="168"/>
      <c r="AD118" s="158"/>
      <c r="AE118" s="166">
        <f>W118+Y118+AB118+AD118</f>
      </c>
      <c r="AF118" s="167"/>
      <c r="AG118" s="169">
        <f>M118&amp;"-"&amp;F118</f>
      </c>
      <c r="AH118" s="166">
        <f>IFERROR(VLOOKUP(AG118,Masters!N:O,2,0),"0")</f>
      </c>
      <c r="AI118" s="166">
        <f>AH118*N118</f>
      </c>
      <c r="AJ118" s="158"/>
      <c r="AK118" s="170">
        <f>AI118-AE118</f>
      </c>
      <c r="AL118" s="167"/>
      <c r="AM118" s="147"/>
      <c r="AN118" s="171">
        <f>IFERROR(U118/2,"0")</f>
      </c>
    </row>
    <row x14ac:dyDescent="0.25" r="119" customHeight="1" ht="18.75">
      <c r="A119" s="158">
        <f>A118+1</f>
      </c>
      <c r="B119" s="159">
        <v>45771</v>
      </c>
      <c r="C119" s="147" t="s">
        <v>534</v>
      </c>
      <c r="D119" s="159">
        <v>45771</v>
      </c>
      <c r="E119" s="147" t="s">
        <v>188</v>
      </c>
      <c r="F119" s="160" t="s">
        <v>16</v>
      </c>
      <c r="G119" s="147" t="s">
        <v>189</v>
      </c>
      <c r="H119" s="147" t="s">
        <v>302</v>
      </c>
      <c r="I119" s="158">
        <v>1109</v>
      </c>
      <c r="J119" s="147" t="s">
        <v>301</v>
      </c>
      <c r="K119" s="158">
        <v>112</v>
      </c>
      <c r="L119" s="147" t="s">
        <v>10</v>
      </c>
      <c r="M119" s="161">
        <f>IFERROR(VLOOKUP(L119,'Material Master'!B:C,2,0),"")</f>
      </c>
      <c r="N119" s="158">
        <v>300</v>
      </c>
      <c r="O119" s="162">
        <f>IFERROR(M119*N119,"")</f>
      </c>
      <c r="P119" s="147" t="s">
        <v>402</v>
      </c>
      <c r="Q119" s="158"/>
      <c r="R119" s="163">
        <v>45748</v>
      </c>
      <c r="S119" s="147"/>
      <c r="T119" s="147"/>
      <c r="U119" s="158">
        <v>223</v>
      </c>
      <c r="V119" s="164">
        <v>31</v>
      </c>
      <c r="W119" s="165">
        <f>IFERROR(U119*V119,"0")</f>
      </c>
      <c r="X119" s="7"/>
      <c r="Y119" s="166">
        <f>IFERROR((O119/1000)*Masters!$C$3,"0")</f>
      </c>
      <c r="Z119" s="167"/>
      <c r="AA119" s="164">
        <f>IFERROR(VLOOKUP(L119,Masters!G:H,2,0),"0")</f>
      </c>
      <c r="AB119" s="166">
        <f>IFERROR(AA119*N119,"0")</f>
      </c>
      <c r="AC119" s="168"/>
      <c r="AD119" s="158"/>
      <c r="AE119" s="166">
        <f>W119+Y119+AB119+AD119</f>
      </c>
      <c r="AF119" s="167"/>
      <c r="AG119" s="169">
        <f>M119&amp;"-"&amp;F119</f>
      </c>
      <c r="AH119" s="166">
        <f>IFERROR(VLOOKUP(AG119,Masters!N:O,2,0),"0")</f>
      </c>
      <c r="AI119" s="166">
        <f>AH119*N119</f>
      </c>
      <c r="AJ119" s="158"/>
      <c r="AK119" s="170">
        <f>AI119-AE119</f>
      </c>
      <c r="AL119" s="167"/>
      <c r="AM119" s="147"/>
      <c r="AN119" s="171">
        <f>IFERROR(U119/2,"0")</f>
      </c>
    </row>
    <row x14ac:dyDescent="0.25" r="120" customHeight="1" ht="18.75">
      <c r="A120" s="158">
        <f>A119+1</f>
      </c>
      <c r="B120" s="159">
        <v>45771</v>
      </c>
      <c r="C120" s="147" t="s">
        <v>535</v>
      </c>
      <c r="D120" s="159">
        <v>45772</v>
      </c>
      <c r="E120" s="147" t="s">
        <v>160</v>
      </c>
      <c r="F120" s="160" t="s">
        <v>16</v>
      </c>
      <c r="G120" s="147" t="s">
        <v>161</v>
      </c>
      <c r="H120" s="147" t="s">
        <v>303</v>
      </c>
      <c r="I120" s="158">
        <v>1109</v>
      </c>
      <c r="J120" s="147" t="s">
        <v>301</v>
      </c>
      <c r="K120" s="158">
        <v>117</v>
      </c>
      <c r="L120" s="147" t="s">
        <v>10</v>
      </c>
      <c r="M120" s="161">
        <f>IFERROR(VLOOKUP(L120,'Material Master'!B:C,2,0),"")</f>
      </c>
      <c r="N120" s="158">
        <v>300</v>
      </c>
      <c r="O120" s="162">
        <f>IFERROR(M120*N120,"")</f>
      </c>
      <c r="P120" s="147" t="s">
        <v>402</v>
      </c>
      <c r="Q120" s="158"/>
      <c r="R120" s="163">
        <v>45748</v>
      </c>
      <c r="S120" s="147"/>
      <c r="T120" s="147"/>
      <c r="U120" s="158">
        <v>346</v>
      </c>
      <c r="V120" s="164">
        <v>31</v>
      </c>
      <c r="W120" s="165">
        <f>IFERROR(U120*V120,"0")</f>
      </c>
      <c r="X120" s="7"/>
      <c r="Y120" s="166">
        <f>IFERROR((O120/1000)*Masters!$C$3,"0")</f>
      </c>
      <c r="Z120" s="167"/>
      <c r="AA120" s="164">
        <f>IFERROR(VLOOKUP(L120,Masters!G:H,2,0),"0")</f>
      </c>
      <c r="AB120" s="166">
        <f>IFERROR(AA120*N120,"0")</f>
      </c>
      <c r="AC120" s="168"/>
      <c r="AD120" s="158"/>
      <c r="AE120" s="166">
        <f>W120+Y120+AB120+AD120</f>
      </c>
      <c r="AF120" s="167"/>
      <c r="AG120" s="169">
        <f>M120&amp;"-"&amp;F120</f>
      </c>
      <c r="AH120" s="166">
        <f>IFERROR(VLOOKUP(AG120,Masters!N:O,2,0),"0")</f>
      </c>
      <c r="AI120" s="166">
        <f>AH120*N120</f>
      </c>
      <c r="AJ120" s="158"/>
      <c r="AK120" s="170">
        <f>AI120-AE120</f>
      </c>
      <c r="AL120" s="167"/>
      <c r="AM120" s="147"/>
      <c r="AN120" s="171">
        <f>IFERROR(U120/2,"0")</f>
      </c>
    </row>
    <row x14ac:dyDescent="0.25" r="121" customHeight="1" ht="18.75">
      <c r="A121" s="158">
        <f>A120+1</f>
      </c>
      <c r="B121" s="159">
        <v>45771</v>
      </c>
      <c r="C121" s="147" t="s">
        <v>536</v>
      </c>
      <c r="D121" s="159">
        <v>45772</v>
      </c>
      <c r="E121" s="147" t="s">
        <v>192</v>
      </c>
      <c r="F121" s="160" t="s">
        <v>16</v>
      </c>
      <c r="G121" s="147" t="s">
        <v>193</v>
      </c>
      <c r="H121" s="147" t="s">
        <v>302</v>
      </c>
      <c r="I121" s="158">
        <v>1109</v>
      </c>
      <c r="J121" s="147" t="s">
        <v>301</v>
      </c>
      <c r="K121" s="158">
        <v>116</v>
      </c>
      <c r="L121" s="147" t="s">
        <v>10</v>
      </c>
      <c r="M121" s="161">
        <f>IFERROR(VLOOKUP(L121,'Material Master'!B:C,2,0),"")</f>
      </c>
      <c r="N121" s="158">
        <v>300</v>
      </c>
      <c r="O121" s="162">
        <f>IFERROR(M121*N121,"")</f>
      </c>
      <c r="P121" s="147" t="s">
        <v>402</v>
      </c>
      <c r="Q121" s="158"/>
      <c r="R121" s="163">
        <v>45748</v>
      </c>
      <c r="S121" s="147"/>
      <c r="T121" s="147"/>
      <c r="U121" s="158">
        <v>495</v>
      </c>
      <c r="V121" s="164">
        <v>31</v>
      </c>
      <c r="W121" s="165">
        <f>IFERROR(U121*V121,"0")</f>
      </c>
      <c r="X121" s="7"/>
      <c r="Y121" s="166">
        <f>IFERROR((O121/1000)*Masters!$C$3,"0")</f>
      </c>
      <c r="Z121" s="167"/>
      <c r="AA121" s="164">
        <f>IFERROR(VLOOKUP(L121,Masters!G:H,2,0),"0")</f>
      </c>
      <c r="AB121" s="166">
        <f>IFERROR(AA121*N121,"0")</f>
      </c>
      <c r="AC121" s="168"/>
      <c r="AD121" s="158"/>
      <c r="AE121" s="166">
        <f>W121+Y121+AB121+AD121</f>
      </c>
      <c r="AF121" s="167"/>
      <c r="AG121" s="169">
        <f>M121&amp;"-"&amp;F121</f>
      </c>
      <c r="AH121" s="166">
        <f>IFERROR(VLOOKUP(AG121,Masters!N:O,2,0),"0")</f>
      </c>
      <c r="AI121" s="166">
        <f>AH121*N121</f>
      </c>
      <c r="AJ121" s="158"/>
      <c r="AK121" s="170">
        <f>AI121-AE121</f>
      </c>
      <c r="AL121" s="167"/>
      <c r="AM121" s="147"/>
      <c r="AN121" s="171">
        <f>IFERROR(U121/2,"0")</f>
      </c>
    </row>
    <row x14ac:dyDescent="0.25" r="122" customHeight="1" ht="18.75">
      <c r="A122" s="158">
        <f>A121+1</f>
      </c>
      <c r="B122" s="159">
        <v>45771</v>
      </c>
      <c r="C122" s="147" t="s">
        <v>537</v>
      </c>
      <c r="D122" s="159">
        <v>45772</v>
      </c>
      <c r="E122" s="147" t="s">
        <v>190</v>
      </c>
      <c r="F122" s="160" t="s">
        <v>19</v>
      </c>
      <c r="G122" s="147" t="s">
        <v>191</v>
      </c>
      <c r="H122" s="147" t="s">
        <v>305</v>
      </c>
      <c r="I122" s="158">
        <v>1109</v>
      </c>
      <c r="J122" s="147" t="s">
        <v>301</v>
      </c>
      <c r="K122" s="158">
        <v>114</v>
      </c>
      <c r="L122" s="147" t="s">
        <v>10</v>
      </c>
      <c r="M122" s="161">
        <f>IFERROR(VLOOKUP(L122,'Material Master'!B:C,2,0),"")</f>
      </c>
      <c r="N122" s="158">
        <v>300</v>
      </c>
      <c r="O122" s="162">
        <f>IFERROR(M122*N122,"")</f>
      </c>
      <c r="P122" s="147" t="s">
        <v>402</v>
      </c>
      <c r="Q122" s="158"/>
      <c r="R122" s="163">
        <v>45748</v>
      </c>
      <c r="S122" s="147"/>
      <c r="T122" s="147"/>
      <c r="U122" s="158">
        <v>594</v>
      </c>
      <c r="V122" s="164">
        <v>31</v>
      </c>
      <c r="W122" s="165">
        <f>IFERROR(U122*V122,"0")</f>
      </c>
      <c r="X122" s="7"/>
      <c r="Y122" s="166">
        <f>IFERROR((O122/1000)*Masters!$C$3,"0")</f>
      </c>
      <c r="Z122" s="167"/>
      <c r="AA122" s="164">
        <f>IFERROR(VLOOKUP(L122,Masters!G:H,2,0),"0")</f>
      </c>
      <c r="AB122" s="166">
        <f>IFERROR(AA122*N122,"0")</f>
      </c>
      <c r="AC122" s="168"/>
      <c r="AD122" s="158"/>
      <c r="AE122" s="166">
        <f>W122+Y122+AB122+AD122</f>
      </c>
      <c r="AF122" s="167"/>
      <c r="AG122" s="169">
        <f>M122&amp;"-"&amp;F122</f>
      </c>
      <c r="AH122" s="166">
        <f>IFERROR(VLOOKUP(AG122,Masters!N:O,2,0),"0")</f>
      </c>
      <c r="AI122" s="166">
        <f>AH122*N122</f>
      </c>
      <c r="AJ122" s="158"/>
      <c r="AK122" s="170">
        <f>AI122-AE122</f>
      </c>
      <c r="AL122" s="167"/>
      <c r="AM122" s="147"/>
      <c r="AN122" s="171">
        <f>IFERROR(U122/2,"0")</f>
      </c>
    </row>
    <row x14ac:dyDescent="0.25" r="123" customHeight="1" ht="18.75">
      <c r="A123" s="158">
        <f>A122+1</f>
      </c>
      <c r="B123" s="159">
        <v>45771</v>
      </c>
      <c r="C123" s="147" t="s">
        <v>538</v>
      </c>
      <c r="D123" s="159">
        <v>45773</v>
      </c>
      <c r="E123" s="147" t="s">
        <v>194</v>
      </c>
      <c r="F123" s="160" t="s">
        <v>16</v>
      </c>
      <c r="G123" s="147" t="s">
        <v>195</v>
      </c>
      <c r="H123" s="147" t="s">
        <v>304</v>
      </c>
      <c r="I123" s="158">
        <v>1109</v>
      </c>
      <c r="J123" s="147" t="s">
        <v>301</v>
      </c>
      <c r="K123" s="158">
        <v>118</v>
      </c>
      <c r="L123" s="147" t="s">
        <v>10</v>
      </c>
      <c r="M123" s="161">
        <f>IFERROR(VLOOKUP(L123,'Material Master'!B:C,2,0),"")</f>
      </c>
      <c r="N123" s="158">
        <v>300</v>
      </c>
      <c r="O123" s="162">
        <f>IFERROR(M123*N123,"")</f>
      </c>
      <c r="P123" s="147" t="s">
        <v>402</v>
      </c>
      <c r="Q123" s="158"/>
      <c r="R123" s="163">
        <v>45748</v>
      </c>
      <c r="S123" s="147"/>
      <c r="T123" s="147"/>
      <c r="U123" s="158">
        <v>231</v>
      </c>
      <c r="V123" s="164">
        <v>31</v>
      </c>
      <c r="W123" s="165">
        <f>IFERROR(U123*V123,"0")</f>
      </c>
      <c r="X123" s="7"/>
      <c r="Y123" s="166">
        <f>IFERROR((O123/1000)*Masters!$C$3,"0")</f>
      </c>
      <c r="Z123" s="167"/>
      <c r="AA123" s="164">
        <f>IFERROR(VLOOKUP(L123,Masters!G:H,2,0),"0")</f>
      </c>
      <c r="AB123" s="166">
        <f>IFERROR(AA123*N123,"0")</f>
      </c>
      <c r="AC123" s="168"/>
      <c r="AD123" s="158"/>
      <c r="AE123" s="166">
        <f>W123+Y123+AB123+AD123</f>
      </c>
      <c r="AF123" s="167"/>
      <c r="AG123" s="169">
        <f>M123&amp;"-"&amp;F123</f>
      </c>
      <c r="AH123" s="166">
        <f>IFERROR(VLOOKUP(AG123,Masters!N:O,2,0),"0")</f>
      </c>
      <c r="AI123" s="166">
        <f>AH123*N123</f>
      </c>
      <c r="AJ123" s="158"/>
      <c r="AK123" s="170">
        <f>AI123-AE123</f>
      </c>
      <c r="AL123" s="167"/>
      <c r="AM123" s="147"/>
      <c r="AN123" s="171">
        <f>IFERROR(U123/2,"0")</f>
      </c>
    </row>
    <row x14ac:dyDescent="0.25" r="124" customHeight="1" ht="18.75">
      <c r="A124" s="158">
        <f>A123+1</f>
      </c>
      <c r="B124" s="159">
        <v>45771</v>
      </c>
      <c r="C124" s="147" t="s">
        <v>539</v>
      </c>
      <c r="D124" s="159">
        <v>45772</v>
      </c>
      <c r="E124" s="147" t="s">
        <v>196</v>
      </c>
      <c r="F124" s="160" t="s">
        <v>16</v>
      </c>
      <c r="G124" s="147" t="s">
        <v>197</v>
      </c>
      <c r="H124" s="147" t="s">
        <v>304</v>
      </c>
      <c r="I124" s="158">
        <v>1109</v>
      </c>
      <c r="J124" s="147" t="s">
        <v>301</v>
      </c>
      <c r="K124" s="158">
        <v>115</v>
      </c>
      <c r="L124" s="147" t="s">
        <v>10</v>
      </c>
      <c r="M124" s="161">
        <f>IFERROR(VLOOKUP(L124,'Material Master'!B:C,2,0),"")</f>
      </c>
      <c r="N124" s="158">
        <v>300</v>
      </c>
      <c r="O124" s="162">
        <f>IFERROR(M124*N124,"")</f>
      </c>
      <c r="P124" s="147" t="s">
        <v>402</v>
      </c>
      <c r="Q124" s="158"/>
      <c r="R124" s="163">
        <v>45748</v>
      </c>
      <c r="S124" s="147"/>
      <c r="T124" s="147"/>
      <c r="U124" s="158">
        <v>218</v>
      </c>
      <c r="V124" s="164">
        <v>31</v>
      </c>
      <c r="W124" s="165">
        <f>IFERROR(U124*V124,"0")</f>
      </c>
      <c r="X124" s="7"/>
      <c r="Y124" s="166">
        <f>IFERROR((O124/1000)*Masters!$C$3,"0")</f>
      </c>
      <c r="Z124" s="167"/>
      <c r="AA124" s="164">
        <f>IFERROR(VLOOKUP(L124,Masters!G:H,2,0),"0")</f>
      </c>
      <c r="AB124" s="166">
        <f>IFERROR(AA124*N124,"0")</f>
      </c>
      <c r="AC124" s="168"/>
      <c r="AD124" s="158"/>
      <c r="AE124" s="166">
        <f>W124+Y124+AB124+AD124</f>
      </c>
      <c r="AF124" s="167"/>
      <c r="AG124" s="169">
        <f>M124&amp;"-"&amp;F124</f>
      </c>
      <c r="AH124" s="166">
        <f>IFERROR(VLOOKUP(AG124,Masters!N:O,2,0),"0")</f>
      </c>
      <c r="AI124" s="166">
        <f>AH124*N124</f>
      </c>
      <c r="AJ124" s="158"/>
      <c r="AK124" s="170">
        <f>AI124-AE124</f>
      </c>
      <c r="AL124" s="167"/>
      <c r="AM124" s="147"/>
      <c r="AN124" s="171">
        <f>IFERROR(U124/2,"0")</f>
      </c>
    </row>
    <row x14ac:dyDescent="0.25" r="125" customHeight="1" ht="18.75">
      <c r="A125" s="158">
        <f>A124+1</f>
      </c>
      <c r="B125" s="159">
        <v>45772</v>
      </c>
      <c r="C125" s="147" t="s">
        <v>540</v>
      </c>
      <c r="D125" s="159">
        <v>45774</v>
      </c>
      <c r="E125" s="147" t="s">
        <v>104</v>
      </c>
      <c r="F125" s="160" t="s">
        <v>16</v>
      </c>
      <c r="G125" s="147" t="s">
        <v>199</v>
      </c>
      <c r="H125" s="147" t="s">
        <v>305</v>
      </c>
      <c r="I125" s="158">
        <v>709</v>
      </c>
      <c r="J125" s="147" t="s">
        <v>301</v>
      </c>
      <c r="K125" s="158">
        <v>119</v>
      </c>
      <c r="L125" s="147" t="s">
        <v>10</v>
      </c>
      <c r="M125" s="161">
        <f>IFERROR(VLOOKUP(L125,'Material Master'!B:C,2,0),"")</f>
      </c>
      <c r="N125" s="158">
        <v>100</v>
      </c>
      <c r="O125" s="162">
        <f>IFERROR(M125*N125,"")</f>
      </c>
      <c r="P125" s="147" t="s">
        <v>402</v>
      </c>
      <c r="Q125" s="158"/>
      <c r="R125" s="163">
        <v>45748</v>
      </c>
      <c r="S125" s="147"/>
      <c r="T125" s="147"/>
      <c r="U125" s="158">
        <v>418</v>
      </c>
      <c r="V125" s="164">
        <v>31</v>
      </c>
      <c r="W125" s="165">
        <f>IFERROR(U125*V125,"0")</f>
      </c>
      <c r="X125" s="7"/>
      <c r="Y125" s="166">
        <f>IFERROR((O125/1000)*Masters!$C$3,"0")</f>
      </c>
      <c r="Z125" s="167"/>
      <c r="AA125" s="164">
        <f>IFERROR(VLOOKUP(L125,Masters!G:H,2,0),"0")</f>
      </c>
      <c r="AB125" s="166">
        <f>IFERROR(AA125*N125,"0")</f>
      </c>
      <c r="AC125" s="168"/>
      <c r="AD125" s="158"/>
      <c r="AE125" s="166">
        <f>W125+Y125+AB125+AD125</f>
      </c>
      <c r="AF125" s="167"/>
      <c r="AG125" s="169">
        <f>M125&amp;"-"&amp;F125</f>
      </c>
      <c r="AH125" s="166">
        <f>IFERROR(VLOOKUP(AG125,Masters!N:O,2,0),"0")</f>
      </c>
      <c r="AI125" s="166">
        <f>AH125*N125</f>
      </c>
      <c r="AJ125" s="158"/>
      <c r="AK125" s="170">
        <f>AI125-AE125</f>
      </c>
      <c r="AL125" s="167"/>
      <c r="AM125" s="147"/>
      <c r="AN125" s="171">
        <f>IFERROR(U125/2,"0")</f>
      </c>
    </row>
    <row x14ac:dyDescent="0.25" r="126" customHeight="1" ht="18.75">
      <c r="A126" s="158">
        <f>A125+1</f>
      </c>
      <c r="B126" s="159">
        <v>45772</v>
      </c>
      <c r="C126" s="147" t="s">
        <v>541</v>
      </c>
      <c r="D126" s="159">
        <v>45774</v>
      </c>
      <c r="E126" s="147" t="s">
        <v>196</v>
      </c>
      <c r="F126" s="160" t="s">
        <v>16</v>
      </c>
      <c r="G126" s="147" t="s">
        <v>197</v>
      </c>
      <c r="H126" s="147" t="s">
        <v>302</v>
      </c>
      <c r="I126" s="158">
        <v>1109</v>
      </c>
      <c r="J126" s="147" t="s">
        <v>301</v>
      </c>
      <c r="K126" s="158">
        <v>121</v>
      </c>
      <c r="L126" s="147" t="s">
        <v>10</v>
      </c>
      <c r="M126" s="161">
        <f>IFERROR(VLOOKUP(L126,'Material Master'!B:C,2,0),"")</f>
      </c>
      <c r="N126" s="158">
        <v>300</v>
      </c>
      <c r="O126" s="162">
        <f>IFERROR(M126*N126,"")</f>
      </c>
      <c r="P126" s="147" t="s">
        <v>402</v>
      </c>
      <c r="Q126" s="158"/>
      <c r="R126" s="163">
        <v>45748</v>
      </c>
      <c r="S126" s="147"/>
      <c r="T126" s="147"/>
      <c r="U126" s="158">
        <v>216</v>
      </c>
      <c r="V126" s="164">
        <v>31</v>
      </c>
      <c r="W126" s="165">
        <f>IFERROR(U126*V126,"0")</f>
      </c>
      <c r="X126" s="7"/>
      <c r="Y126" s="166">
        <f>IFERROR((O126/1000)*Masters!$C$3,"0")</f>
      </c>
      <c r="Z126" s="167"/>
      <c r="AA126" s="164">
        <f>IFERROR(VLOOKUP(L126,Masters!G:H,2,0),"0")</f>
      </c>
      <c r="AB126" s="166">
        <f>IFERROR(AA126*N126,"0")</f>
      </c>
      <c r="AC126" s="168"/>
      <c r="AD126" s="158"/>
      <c r="AE126" s="166">
        <f>W126+Y126+AB126+AD126</f>
      </c>
      <c r="AF126" s="167"/>
      <c r="AG126" s="169">
        <f>M126&amp;"-"&amp;F126</f>
      </c>
      <c r="AH126" s="166">
        <f>IFERROR(VLOOKUP(AG126,Masters!N:O,2,0),"0")</f>
      </c>
      <c r="AI126" s="166">
        <f>AH126*N126</f>
      </c>
      <c r="AJ126" s="158"/>
      <c r="AK126" s="170">
        <f>AI126-AE126</f>
      </c>
      <c r="AL126" s="167"/>
      <c r="AM126" s="147"/>
      <c r="AN126" s="171">
        <f>IFERROR(U126/2,"0")</f>
      </c>
    </row>
    <row x14ac:dyDescent="0.25" r="127" customHeight="1" ht="18.75">
      <c r="A127" s="158">
        <f>A126+1</f>
      </c>
      <c r="B127" s="159">
        <v>45772</v>
      </c>
      <c r="C127" s="147" t="s">
        <v>542</v>
      </c>
      <c r="D127" s="159">
        <v>45774</v>
      </c>
      <c r="E127" s="147" t="s">
        <v>200</v>
      </c>
      <c r="F127" s="160" t="s">
        <v>16</v>
      </c>
      <c r="G127" s="147" t="s">
        <v>201</v>
      </c>
      <c r="H127" s="147" t="s">
        <v>304</v>
      </c>
      <c r="I127" s="158">
        <v>1109</v>
      </c>
      <c r="J127" s="147" t="s">
        <v>301</v>
      </c>
      <c r="K127" s="158">
        <v>120</v>
      </c>
      <c r="L127" s="147" t="s">
        <v>10</v>
      </c>
      <c r="M127" s="161">
        <f>IFERROR(VLOOKUP(L127,'Material Master'!B:C,2,0),"")</f>
      </c>
      <c r="N127" s="158">
        <v>300</v>
      </c>
      <c r="O127" s="162">
        <f>IFERROR(M127*N127,"")</f>
      </c>
      <c r="P127" s="147" t="s">
        <v>402</v>
      </c>
      <c r="Q127" s="158"/>
      <c r="R127" s="163">
        <v>45748</v>
      </c>
      <c r="S127" s="147"/>
      <c r="T127" s="147"/>
      <c r="U127" s="158">
        <v>273</v>
      </c>
      <c r="V127" s="164">
        <v>31</v>
      </c>
      <c r="W127" s="165">
        <f>IFERROR(U127*V127,"0")</f>
      </c>
      <c r="X127" s="7"/>
      <c r="Y127" s="166">
        <f>IFERROR((O127/1000)*Masters!$C$3,"0")</f>
      </c>
      <c r="Z127" s="167"/>
      <c r="AA127" s="164">
        <f>IFERROR(VLOOKUP(L127,Masters!G:H,2,0),"0")</f>
      </c>
      <c r="AB127" s="166">
        <f>IFERROR(AA127*N127,"0")</f>
      </c>
      <c r="AC127" s="168"/>
      <c r="AD127" s="158"/>
      <c r="AE127" s="166">
        <f>W127+Y127+AB127+AD127</f>
      </c>
      <c r="AF127" s="167"/>
      <c r="AG127" s="169">
        <f>M127&amp;"-"&amp;F127</f>
      </c>
      <c r="AH127" s="166">
        <f>IFERROR(VLOOKUP(AG127,Masters!N:O,2,0),"0")</f>
      </c>
      <c r="AI127" s="166">
        <f>AH127*N127</f>
      </c>
      <c r="AJ127" s="158"/>
      <c r="AK127" s="170">
        <f>AI127-AE127</f>
      </c>
      <c r="AL127" s="167"/>
      <c r="AM127" s="147"/>
      <c r="AN127" s="171">
        <f>IFERROR(U127/2,"0")</f>
      </c>
    </row>
    <row x14ac:dyDescent="0.25" r="128" customHeight="1" ht="18.75">
      <c r="A128" s="158">
        <f>A127+1</f>
      </c>
      <c r="B128" s="159">
        <v>45772</v>
      </c>
      <c r="C128" s="173" t="s">
        <v>543</v>
      </c>
      <c r="D128" s="159"/>
      <c r="E128" s="173" t="s">
        <v>544</v>
      </c>
      <c r="F128" s="173"/>
      <c r="G128" s="173" t="s">
        <v>240</v>
      </c>
      <c r="H128" s="173"/>
      <c r="I128" s="184">
        <v>709</v>
      </c>
      <c r="J128" s="173"/>
      <c r="K128" s="184"/>
      <c r="L128" s="173"/>
      <c r="M128" s="185">
        <f>IFERROR(VLOOKUP(L128,'Material Master'!B:C,2,0),"")</f>
      </c>
      <c r="N128" s="184"/>
      <c r="O128" s="186">
        <f>IFERROR(M128*N128,"")</f>
      </c>
      <c r="P128" s="173"/>
      <c r="Q128" s="184"/>
      <c r="R128" s="187">
        <v>45748</v>
      </c>
      <c r="S128" s="173" t="s">
        <v>504</v>
      </c>
      <c r="T128" s="188"/>
      <c r="U128" s="184"/>
      <c r="V128" s="185">
        <v>31</v>
      </c>
      <c r="W128" s="189">
        <f>IFERROR(U128*V128,"0")</f>
      </c>
      <c r="X128" s="190"/>
      <c r="Y128" s="191">
        <f>IFERROR((O128/1000)*Masters!$C$3,"0")</f>
      </c>
      <c r="Z128" s="192"/>
      <c r="AA128" s="164">
        <f>IFERROR(VLOOKUP(L128,Masters!G:H,2,0),"0")</f>
      </c>
      <c r="AB128" s="166">
        <f>IFERROR(AA128*N128,"0")</f>
      </c>
      <c r="AC128" s="193"/>
      <c r="AD128" s="190"/>
      <c r="AE128" s="166">
        <f>W128+Y128+AB128+AD128</f>
      </c>
      <c r="AF128" s="192"/>
      <c r="AG128" s="169">
        <f>M128&amp;"-"&amp;F128</f>
      </c>
      <c r="AH128" s="191">
        <f>IFERROR(VLOOKUP(AG128,Masters!N:O,2,0),"0")</f>
      </c>
      <c r="AI128" s="166">
        <f>AH128*N128</f>
      </c>
      <c r="AJ128" s="190"/>
      <c r="AK128" s="170">
        <f>AI128-AE128</f>
      </c>
      <c r="AL128" s="192"/>
      <c r="AM128" s="188"/>
      <c r="AN128" s="171">
        <f>IFERROR(U128/2,"0")</f>
      </c>
    </row>
    <row x14ac:dyDescent="0.25" r="129" customHeight="1" ht="18.75">
      <c r="A129" s="158">
        <f>A128+1</f>
      </c>
      <c r="B129" s="159">
        <v>45773</v>
      </c>
      <c r="C129" s="147" t="s">
        <v>545</v>
      </c>
      <c r="D129" s="159">
        <v>45774</v>
      </c>
      <c r="E129" s="147" t="s">
        <v>168</v>
      </c>
      <c r="F129" s="160" t="s">
        <v>19</v>
      </c>
      <c r="G129" s="147" t="s">
        <v>546</v>
      </c>
      <c r="H129" s="147" t="s">
        <v>303</v>
      </c>
      <c r="I129" s="158">
        <v>709</v>
      </c>
      <c r="J129" s="147" t="s">
        <v>301</v>
      </c>
      <c r="K129" s="158">
        <v>122</v>
      </c>
      <c r="L129" s="147" t="s">
        <v>10</v>
      </c>
      <c r="M129" s="161">
        <f>IFERROR(VLOOKUP(L129,'Material Master'!B:C,2,0),"")</f>
      </c>
      <c r="N129" s="158">
        <v>100</v>
      </c>
      <c r="O129" s="162">
        <f>IFERROR(M129*N129,"")</f>
      </c>
      <c r="P129" s="147" t="s">
        <v>402</v>
      </c>
      <c r="Q129" s="158"/>
      <c r="R129" s="163">
        <v>45748</v>
      </c>
      <c r="S129" s="147"/>
      <c r="T129" s="147"/>
      <c r="U129" s="158">
        <v>543</v>
      </c>
      <c r="V129" s="164">
        <v>31</v>
      </c>
      <c r="W129" s="165">
        <f>IFERROR(U129*V129,"0")</f>
      </c>
      <c r="X129" s="7"/>
      <c r="Y129" s="166">
        <f>IFERROR((O129/1000)*Masters!$C$3,"0")</f>
      </c>
      <c r="Z129" s="167"/>
      <c r="AA129" s="164">
        <f>IFERROR(VLOOKUP(L129,Masters!G:H,2,0),"0")</f>
      </c>
      <c r="AB129" s="166">
        <f>IFERROR(AA129*N129,"0")</f>
      </c>
      <c r="AC129" s="168"/>
      <c r="AD129" s="158"/>
      <c r="AE129" s="166">
        <f>W129+Y129+AB129+AD129</f>
      </c>
      <c r="AF129" s="167"/>
      <c r="AG129" s="169">
        <f>M129&amp;"-"&amp;F129</f>
      </c>
      <c r="AH129" s="166">
        <f>IFERROR(VLOOKUP(AG129,Masters!N:O,2,0),"0")</f>
      </c>
      <c r="AI129" s="166">
        <f>AH129*N129</f>
      </c>
      <c r="AJ129" s="158"/>
      <c r="AK129" s="170">
        <f>AI129-AE129</f>
      </c>
      <c r="AL129" s="167"/>
      <c r="AM129" s="147"/>
      <c r="AN129" s="171">
        <f>IFERROR(U129/2,"0")</f>
      </c>
    </row>
    <row x14ac:dyDescent="0.25" r="130" customHeight="1" ht="18.75">
      <c r="A130" s="158">
        <f>A129+1</f>
      </c>
      <c r="B130" s="159">
        <v>45775</v>
      </c>
      <c r="C130" s="147" t="s">
        <v>547</v>
      </c>
      <c r="D130" s="159">
        <v>45775</v>
      </c>
      <c r="E130" s="147" t="s">
        <v>204</v>
      </c>
      <c r="F130" s="160" t="s">
        <v>11</v>
      </c>
      <c r="G130" s="147" t="s">
        <v>230</v>
      </c>
      <c r="H130" s="147" t="s">
        <v>305</v>
      </c>
      <c r="I130" s="158">
        <v>1109</v>
      </c>
      <c r="J130" s="147" t="s">
        <v>301</v>
      </c>
      <c r="K130" s="158">
        <v>123</v>
      </c>
      <c r="L130" s="147" t="s">
        <v>10</v>
      </c>
      <c r="M130" s="161">
        <f>IFERROR(VLOOKUP(L130,'Material Master'!B:C,2,0),"")</f>
      </c>
      <c r="N130" s="158">
        <v>300</v>
      </c>
      <c r="O130" s="162">
        <f>IFERROR(M130*N130,"")</f>
      </c>
      <c r="P130" s="147" t="s">
        <v>402</v>
      </c>
      <c r="Q130" s="158"/>
      <c r="R130" s="163">
        <v>45748</v>
      </c>
      <c r="S130" s="147"/>
      <c r="T130" s="147"/>
      <c r="U130" s="158">
        <v>74</v>
      </c>
      <c r="V130" s="164">
        <v>31</v>
      </c>
      <c r="W130" s="165">
        <f>IFERROR(U130*V130,"0")</f>
      </c>
      <c r="X130" s="7"/>
      <c r="Y130" s="166">
        <f>IFERROR((O130/1000)*Masters!$C$3,"0")</f>
      </c>
      <c r="Z130" s="167"/>
      <c r="AA130" s="164">
        <f>IFERROR(VLOOKUP(L130,Masters!G:H,2,0),"0")</f>
      </c>
      <c r="AB130" s="166">
        <f>IFERROR(AA130*N130,"0")</f>
      </c>
      <c r="AC130" s="168"/>
      <c r="AD130" s="158"/>
      <c r="AE130" s="166">
        <f>W130+Y130+AB130+AD130</f>
      </c>
      <c r="AF130" s="167"/>
      <c r="AG130" s="169">
        <f>M130&amp;"-"&amp;F130</f>
      </c>
      <c r="AH130" s="166">
        <f>IFERROR(VLOOKUP(AG130,Masters!N:O,2,0),"0")</f>
      </c>
      <c r="AI130" s="166">
        <f>AH130*N130</f>
      </c>
      <c r="AJ130" s="158"/>
      <c r="AK130" s="170">
        <f>AI130-AE130</f>
      </c>
      <c r="AL130" s="167"/>
      <c r="AM130" s="147"/>
      <c r="AN130" s="171">
        <f>IFERROR(U130/2,"0")</f>
      </c>
    </row>
    <row x14ac:dyDescent="0.25" r="131" customHeight="1" ht="18.75">
      <c r="A131" s="158">
        <f>A130+1</f>
      </c>
      <c r="B131" s="159">
        <v>45775</v>
      </c>
      <c r="C131" s="147" t="s">
        <v>548</v>
      </c>
      <c r="D131" s="159">
        <v>45776</v>
      </c>
      <c r="E131" s="147" t="s">
        <v>148</v>
      </c>
      <c r="F131" s="160" t="s">
        <v>11</v>
      </c>
      <c r="G131" s="147" t="s">
        <v>203</v>
      </c>
      <c r="H131" s="147" t="s">
        <v>302</v>
      </c>
      <c r="I131" s="158">
        <v>909</v>
      </c>
      <c r="J131" s="147" t="s">
        <v>301</v>
      </c>
      <c r="K131" s="158">
        <v>124</v>
      </c>
      <c r="L131" s="147" t="s">
        <v>10</v>
      </c>
      <c r="M131" s="161">
        <f>IFERROR(VLOOKUP(L131,'Material Master'!B:C,2,0),"")</f>
      </c>
      <c r="N131" s="158">
        <v>200</v>
      </c>
      <c r="O131" s="162">
        <f>IFERROR(M131*N131,"")</f>
      </c>
      <c r="P131" s="147" t="s">
        <v>402</v>
      </c>
      <c r="Q131" s="158"/>
      <c r="R131" s="163">
        <v>45748</v>
      </c>
      <c r="S131" s="147"/>
      <c r="T131" s="147"/>
      <c r="U131" s="158">
        <v>134</v>
      </c>
      <c r="V131" s="164">
        <v>31</v>
      </c>
      <c r="W131" s="165">
        <f>IFERROR(U131*V131,"0")</f>
      </c>
      <c r="X131" s="7"/>
      <c r="Y131" s="166">
        <f>IFERROR((O131/1000)*Masters!$C$3,"0")</f>
      </c>
      <c r="Z131" s="167"/>
      <c r="AA131" s="164">
        <f>IFERROR(VLOOKUP(L131,Masters!G:H,2,0),"0")</f>
      </c>
      <c r="AB131" s="166">
        <f>IFERROR(AA131*N131,"0")</f>
      </c>
      <c r="AC131" s="168"/>
      <c r="AD131" s="158"/>
      <c r="AE131" s="166">
        <f>W131+Y131+AB131+AD131</f>
      </c>
      <c r="AF131" s="167"/>
      <c r="AG131" s="169">
        <f>M131&amp;"-"&amp;F131</f>
      </c>
      <c r="AH131" s="166">
        <f>IFERROR(VLOOKUP(AG131,Masters!N:O,2,0),"0")</f>
      </c>
      <c r="AI131" s="166">
        <f>AH131*N131</f>
      </c>
      <c r="AJ131" s="158"/>
      <c r="AK131" s="170">
        <f>AI131-AE131</f>
      </c>
      <c r="AL131" s="167"/>
      <c r="AM131" s="147"/>
      <c r="AN131" s="171">
        <f>IFERROR(U131/2,"0")</f>
      </c>
    </row>
    <row x14ac:dyDescent="0.25" r="132" customHeight="1" ht="18.75">
      <c r="A132" s="158">
        <f>A131+1</f>
      </c>
      <c r="B132" s="159">
        <v>45776</v>
      </c>
      <c r="C132" s="147" t="s">
        <v>549</v>
      </c>
      <c r="D132" s="159">
        <v>45776</v>
      </c>
      <c r="E132" s="147" t="s">
        <v>116</v>
      </c>
      <c r="F132" s="160" t="s">
        <v>16</v>
      </c>
      <c r="G132" s="147" t="s">
        <v>117</v>
      </c>
      <c r="H132" s="147" t="s">
        <v>305</v>
      </c>
      <c r="I132" s="158">
        <v>1109</v>
      </c>
      <c r="J132" s="147" t="s">
        <v>301</v>
      </c>
      <c r="K132" s="158">
        <v>126</v>
      </c>
      <c r="L132" s="147" t="s">
        <v>10</v>
      </c>
      <c r="M132" s="161">
        <f>IFERROR(VLOOKUP(L132,'Material Master'!B:C,2,0),"")</f>
      </c>
      <c r="N132" s="158">
        <v>300</v>
      </c>
      <c r="O132" s="162">
        <f>IFERROR(M132*N132,"")</f>
      </c>
      <c r="P132" s="147" t="s">
        <v>402</v>
      </c>
      <c r="Q132" s="158"/>
      <c r="R132" s="163">
        <v>45748</v>
      </c>
      <c r="S132" s="147"/>
      <c r="T132" s="147"/>
      <c r="U132" s="158">
        <v>347</v>
      </c>
      <c r="V132" s="164">
        <v>31</v>
      </c>
      <c r="W132" s="165">
        <f>IFERROR(U132*V132,"0")</f>
      </c>
      <c r="X132" s="7"/>
      <c r="Y132" s="166">
        <f>IFERROR((O132/1000)*Masters!$C$3,"0")</f>
      </c>
      <c r="Z132" s="167"/>
      <c r="AA132" s="164">
        <f>IFERROR(VLOOKUP(L132,Masters!G:H,2,0),"0")</f>
      </c>
      <c r="AB132" s="166">
        <f>IFERROR(AA132*N132,"0")</f>
      </c>
      <c r="AC132" s="168"/>
      <c r="AD132" s="158"/>
      <c r="AE132" s="166">
        <f>W132+Y132+AB132+AD132</f>
      </c>
      <c r="AF132" s="167"/>
      <c r="AG132" s="169">
        <f>M132&amp;"-"&amp;F132</f>
      </c>
      <c r="AH132" s="166">
        <f>IFERROR(VLOOKUP(AG132,Masters!N:O,2,0),"0")</f>
      </c>
      <c r="AI132" s="166">
        <f>AH132*N132</f>
      </c>
      <c r="AJ132" s="158"/>
      <c r="AK132" s="170">
        <f>AI132-AE132</f>
      </c>
      <c r="AL132" s="167"/>
      <c r="AM132" s="147"/>
      <c r="AN132" s="171">
        <f>IFERROR(U132/2,"0")</f>
      </c>
    </row>
    <row x14ac:dyDescent="0.25" r="133" customHeight="1" ht="18.75">
      <c r="A133" s="158">
        <f>A132+1</f>
      </c>
      <c r="B133" s="159">
        <v>45776</v>
      </c>
      <c r="C133" s="147" t="s">
        <v>550</v>
      </c>
      <c r="D133" s="159">
        <v>45776</v>
      </c>
      <c r="E133" s="147" t="s">
        <v>148</v>
      </c>
      <c r="F133" s="160" t="s">
        <v>16</v>
      </c>
      <c r="G133" s="147" t="s">
        <v>149</v>
      </c>
      <c r="H133" s="147" t="s">
        <v>303</v>
      </c>
      <c r="I133" s="158">
        <v>1109</v>
      </c>
      <c r="J133" s="147" t="s">
        <v>301</v>
      </c>
      <c r="K133" s="158">
        <v>125</v>
      </c>
      <c r="L133" s="147" t="s">
        <v>10</v>
      </c>
      <c r="M133" s="161">
        <f>IFERROR(VLOOKUP(L133,'Material Master'!B:C,2,0),"")</f>
      </c>
      <c r="N133" s="158">
        <v>300</v>
      </c>
      <c r="O133" s="162">
        <f>IFERROR(M133*N133,"")</f>
      </c>
      <c r="P133" s="147" t="s">
        <v>402</v>
      </c>
      <c r="Q133" s="158"/>
      <c r="R133" s="163">
        <v>45748</v>
      </c>
      <c r="S133" s="147"/>
      <c r="T133" s="147"/>
      <c r="U133" s="158">
        <v>317</v>
      </c>
      <c r="V133" s="164">
        <v>31</v>
      </c>
      <c r="W133" s="165">
        <f>IFERROR(U133*V133,"0")</f>
      </c>
      <c r="X133" s="7"/>
      <c r="Y133" s="166">
        <f>IFERROR((O133/1000)*Masters!$C$3,"0")</f>
      </c>
      <c r="Z133" s="167"/>
      <c r="AA133" s="164">
        <f>IFERROR(VLOOKUP(L133,Masters!G:H,2,0),"0")</f>
      </c>
      <c r="AB133" s="166">
        <f>IFERROR(AA133*N133,"0")</f>
      </c>
      <c r="AC133" s="168"/>
      <c r="AD133" s="158"/>
      <c r="AE133" s="166">
        <f>W133+Y133+AB133+AD133</f>
      </c>
      <c r="AF133" s="167"/>
      <c r="AG133" s="169">
        <f>M133&amp;"-"&amp;F133</f>
      </c>
      <c r="AH133" s="166">
        <f>IFERROR(VLOOKUP(AG133,Masters!N:O,2,0),"0")</f>
      </c>
      <c r="AI133" s="166">
        <f>AH133*N133</f>
      </c>
      <c r="AJ133" s="158"/>
      <c r="AK133" s="170">
        <f>AI133-AE133</f>
      </c>
      <c r="AL133" s="167"/>
      <c r="AM133" s="147"/>
      <c r="AN133" s="171">
        <f>IFERROR(U133/2,"0")</f>
      </c>
    </row>
    <row x14ac:dyDescent="0.25" r="134" customHeight="1" ht="18.75">
      <c r="A134" s="158">
        <f>A133+1</f>
      </c>
      <c r="B134" s="159">
        <v>45776</v>
      </c>
      <c r="C134" s="173" t="s">
        <v>551</v>
      </c>
      <c r="D134" s="159"/>
      <c r="E134" s="173" t="s">
        <v>218</v>
      </c>
      <c r="F134" s="173"/>
      <c r="G134" s="173" t="s">
        <v>219</v>
      </c>
      <c r="H134" s="173"/>
      <c r="I134" s="184">
        <v>709</v>
      </c>
      <c r="J134" s="173"/>
      <c r="K134" s="184"/>
      <c r="L134" s="173"/>
      <c r="M134" s="185">
        <f>IFERROR(VLOOKUP(L134,'Material Master'!B:C,2,0),"")</f>
      </c>
      <c r="N134" s="184"/>
      <c r="O134" s="186">
        <f>IFERROR(M134*N134,"")</f>
      </c>
      <c r="P134" s="173"/>
      <c r="Q134" s="184"/>
      <c r="R134" s="187">
        <v>45748</v>
      </c>
      <c r="S134" s="173" t="s">
        <v>504</v>
      </c>
      <c r="T134" s="188"/>
      <c r="U134" s="184"/>
      <c r="V134" s="185">
        <v>31</v>
      </c>
      <c r="W134" s="189">
        <f>IFERROR(U134*V134,"0")</f>
      </c>
      <c r="X134" s="190"/>
      <c r="Y134" s="191">
        <f>IFERROR((O134/1000)*Masters!$C$3,"0")</f>
      </c>
      <c r="Z134" s="192"/>
      <c r="AA134" s="164">
        <f>IFERROR(VLOOKUP(L134,Masters!G:H,2,0),"0")</f>
      </c>
      <c r="AB134" s="166">
        <f>IFERROR(AA134*N134,"0")</f>
      </c>
      <c r="AC134" s="193"/>
      <c r="AD134" s="190"/>
      <c r="AE134" s="166">
        <f>W134+Y134+AB134+AD134</f>
      </c>
      <c r="AF134" s="192"/>
      <c r="AG134" s="169">
        <f>M134&amp;"-"&amp;F134</f>
      </c>
      <c r="AH134" s="191">
        <f>IFERROR(VLOOKUP(AG134,Masters!N:O,2,0),"0")</f>
      </c>
      <c r="AI134" s="166">
        <f>AH134*N134</f>
      </c>
      <c r="AJ134" s="190"/>
      <c r="AK134" s="170">
        <f>AI134-AE134</f>
      </c>
      <c r="AL134" s="192"/>
      <c r="AM134" s="188"/>
      <c r="AN134" s="171">
        <f>IFERROR(U134/2,"0")</f>
      </c>
    </row>
    <row x14ac:dyDescent="0.25" r="135" customHeight="1" ht="18.75">
      <c r="A135" s="158">
        <f>A134+1</f>
      </c>
      <c r="B135" s="159">
        <v>45776</v>
      </c>
      <c r="C135" s="147" t="s">
        <v>552</v>
      </c>
      <c r="D135" s="159">
        <v>45777</v>
      </c>
      <c r="E135" s="147" t="s">
        <v>160</v>
      </c>
      <c r="F135" s="160" t="s">
        <v>16</v>
      </c>
      <c r="G135" s="147" t="s">
        <v>161</v>
      </c>
      <c r="H135" s="147" t="s">
        <v>303</v>
      </c>
      <c r="I135" s="158">
        <v>1109</v>
      </c>
      <c r="J135" s="147" t="s">
        <v>301</v>
      </c>
      <c r="K135" s="158">
        <v>129</v>
      </c>
      <c r="L135" s="147" t="s">
        <v>10</v>
      </c>
      <c r="M135" s="161">
        <f>IFERROR(VLOOKUP(L135,'Material Master'!B:C,2,0),"")</f>
      </c>
      <c r="N135" s="158">
        <v>300</v>
      </c>
      <c r="O135" s="162">
        <f>IFERROR(M135*N135,"")</f>
      </c>
      <c r="P135" s="147" t="s">
        <v>402</v>
      </c>
      <c r="Q135" s="158"/>
      <c r="R135" s="163">
        <v>45748</v>
      </c>
      <c r="S135" s="147"/>
      <c r="T135" s="147"/>
      <c r="U135" s="158">
        <v>335</v>
      </c>
      <c r="V135" s="164">
        <v>31</v>
      </c>
      <c r="W135" s="165">
        <f>IFERROR(U135*V135,"0")</f>
      </c>
      <c r="X135" s="7"/>
      <c r="Y135" s="166">
        <f>IFERROR((O135/1000)*Masters!$C$3,"0")</f>
      </c>
      <c r="Z135" s="167"/>
      <c r="AA135" s="164">
        <f>IFERROR(VLOOKUP(L135,Masters!G:H,2,0),"0")</f>
      </c>
      <c r="AB135" s="166">
        <f>IFERROR(AA135*N135,"0")</f>
      </c>
      <c r="AC135" s="168"/>
      <c r="AD135" s="158"/>
      <c r="AE135" s="166">
        <f>W135+Y135+AB135+AD135</f>
      </c>
      <c r="AF135" s="167"/>
      <c r="AG135" s="169">
        <f>M135&amp;"-"&amp;F135</f>
      </c>
      <c r="AH135" s="166">
        <f>IFERROR(VLOOKUP(AG135,Masters!N:O,2,0),"0")</f>
      </c>
      <c r="AI135" s="166">
        <f>AH135*N135</f>
      </c>
      <c r="AJ135" s="158"/>
      <c r="AK135" s="170">
        <f>AI135-AE135</f>
      </c>
      <c r="AL135" s="167"/>
      <c r="AM135" s="147"/>
      <c r="AN135" s="171">
        <f>IFERROR(U135/2,"0")</f>
      </c>
    </row>
    <row x14ac:dyDescent="0.25" r="136" customHeight="1" ht="18.75">
      <c r="A136" s="158">
        <f>A135+1</f>
      </c>
      <c r="B136" s="159">
        <v>45776</v>
      </c>
      <c r="C136" s="174" t="s">
        <v>553</v>
      </c>
      <c r="D136" s="159">
        <v>45776</v>
      </c>
      <c r="E136" s="174" t="s">
        <v>205</v>
      </c>
      <c r="F136" s="175" t="s">
        <v>19</v>
      </c>
      <c r="G136" s="174" t="s">
        <v>170</v>
      </c>
      <c r="H136" s="174" t="s">
        <v>302</v>
      </c>
      <c r="I136" s="176">
        <v>1109</v>
      </c>
      <c r="J136" s="174" t="s">
        <v>301</v>
      </c>
      <c r="K136" s="176">
        <v>127</v>
      </c>
      <c r="L136" s="174" t="s">
        <v>15</v>
      </c>
      <c r="M136" s="177">
        <f>IFERROR(VLOOKUP(L136,'Material Master'!B:C,2,0),"")</f>
      </c>
      <c r="N136" s="176">
        <v>25</v>
      </c>
      <c r="O136" s="178">
        <f>IFERROR(M136*N136,"")</f>
      </c>
      <c r="P136" s="174" t="s">
        <v>402</v>
      </c>
      <c r="Q136" s="176"/>
      <c r="R136" s="179">
        <v>45748</v>
      </c>
      <c r="S136" s="174" t="s">
        <v>490</v>
      </c>
      <c r="T136" s="174"/>
      <c r="U136" s="176">
        <v>637</v>
      </c>
      <c r="V136" s="177">
        <v>31</v>
      </c>
      <c r="W136" s="180">
        <f>IFERROR(U136*V136,"0")</f>
      </c>
      <c r="X136" s="181"/>
      <c r="Y136" s="166">
        <f>IFERROR((O136/1000)*Masters!$C$3,"0")</f>
      </c>
      <c r="Z136" s="182"/>
      <c r="AA136" s="164">
        <f>IFERROR(VLOOKUP(L136,Masters!G:H,2,0),"0")</f>
      </c>
      <c r="AB136" s="166">
        <f>IFERROR(AA136*N136,"0")</f>
      </c>
      <c r="AC136" s="183"/>
      <c r="AD136" s="176"/>
      <c r="AE136" s="166">
        <f>W136+Y136+AB136+AD136</f>
      </c>
      <c r="AF136" s="182"/>
      <c r="AG136" s="169">
        <f>M136&amp;"-"&amp;F136</f>
      </c>
      <c r="AH136" s="166">
        <f>IFERROR(VLOOKUP(AG136,Masters!N:O,2,0),"0")</f>
      </c>
      <c r="AI136" s="166">
        <f>AH136*N136</f>
      </c>
      <c r="AJ136" s="176"/>
      <c r="AK136" s="170">
        <f>AI136-AE136</f>
      </c>
      <c r="AL136" s="182"/>
      <c r="AM136" s="174"/>
      <c r="AN136" s="171">
        <f>IFERROR(U136/2,"0")</f>
      </c>
    </row>
    <row x14ac:dyDescent="0.25" r="137" customHeight="1" ht="18.75">
      <c r="A137" s="158">
        <f>A136+1</f>
      </c>
      <c r="B137" s="159">
        <v>45776</v>
      </c>
      <c r="C137" s="147" t="s">
        <v>554</v>
      </c>
      <c r="D137" s="159">
        <v>45785</v>
      </c>
      <c r="E137" s="147" t="s">
        <v>206</v>
      </c>
      <c r="F137" s="160" t="s">
        <v>231</v>
      </c>
      <c r="G137" s="147" t="s">
        <v>103</v>
      </c>
      <c r="H137" s="147" t="s">
        <v>305</v>
      </c>
      <c r="I137" s="158">
        <v>1109</v>
      </c>
      <c r="J137" s="147" t="s">
        <v>301</v>
      </c>
      <c r="K137" s="158">
        <v>154</v>
      </c>
      <c r="L137" s="147" t="s">
        <v>10</v>
      </c>
      <c r="M137" s="161">
        <f>IFERROR(VLOOKUP(L137,'Material Master'!B:C,2,0),"")</f>
      </c>
      <c r="N137" s="158">
        <v>300</v>
      </c>
      <c r="O137" s="162">
        <f>IFERROR(M137*N137,"")</f>
      </c>
      <c r="P137" s="147" t="s">
        <v>402</v>
      </c>
      <c r="Q137" s="158"/>
      <c r="R137" s="163">
        <v>45748</v>
      </c>
      <c r="S137" s="147"/>
      <c r="T137" s="147"/>
      <c r="U137" s="158">
        <v>150</v>
      </c>
      <c r="V137" s="164">
        <v>31</v>
      </c>
      <c r="W137" s="165">
        <f>IFERROR(U137*V137,"0")</f>
      </c>
      <c r="X137" s="7"/>
      <c r="Y137" s="166">
        <f>IFERROR((O137/1000)*Masters!$C$3,"0")</f>
      </c>
      <c r="Z137" s="167"/>
      <c r="AA137" s="164">
        <f>IFERROR(VLOOKUP(L137,Masters!G:H,2,0),"0")</f>
      </c>
      <c r="AB137" s="166">
        <f>IFERROR(AA137*N137,"0")</f>
      </c>
      <c r="AC137" s="168"/>
      <c r="AD137" s="158"/>
      <c r="AE137" s="166">
        <f>W137+Y137+AB137+AD137</f>
      </c>
      <c r="AF137" s="167"/>
      <c r="AG137" s="169">
        <f>M137&amp;"-"&amp;F137</f>
      </c>
      <c r="AH137" s="166">
        <f>IFERROR(VLOOKUP(AG137,Masters!N:O,2,0),"0")</f>
      </c>
      <c r="AI137" s="166">
        <f>AH137*N137</f>
      </c>
      <c r="AJ137" s="158"/>
      <c r="AK137" s="170">
        <f>AI137-AE137</f>
      </c>
      <c r="AL137" s="167"/>
      <c r="AM137" s="147"/>
      <c r="AN137" s="171">
        <f>IFERROR(U137/2,"0")</f>
      </c>
    </row>
    <row x14ac:dyDescent="0.25" r="138" customHeight="1" ht="18.75">
      <c r="A138" s="158">
        <f>A137+1</f>
      </c>
      <c r="B138" s="159">
        <v>45776</v>
      </c>
      <c r="C138" s="147" t="s">
        <v>555</v>
      </c>
      <c r="D138" s="159">
        <v>45782</v>
      </c>
      <c r="E138" s="147" t="s">
        <v>207</v>
      </c>
      <c r="F138" s="160" t="s">
        <v>11</v>
      </c>
      <c r="G138" s="147" t="s">
        <v>103</v>
      </c>
      <c r="H138" s="147" t="s">
        <v>305</v>
      </c>
      <c r="I138" s="158">
        <v>1109</v>
      </c>
      <c r="J138" s="147" t="s">
        <v>301</v>
      </c>
      <c r="K138" s="158">
        <v>140</v>
      </c>
      <c r="L138" s="147" t="s">
        <v>10</v>
      </c>
      <c r="M138" s="161">
        <f>IFERROR(VLOOKUP(L138,'Material Master'!B:C,2,0),"")</f>
      </c>
      <c r="N138" s="158">
        <v>300</v>
      </c>
      <c r="O138" s="162">
        <f>IFERROR(M138*N138,"")</f>
      </c>
      <c r="P138" s="147" t="s">
        <v>402</v>
      </c>
      <c r="Q138" s="158"/>
      <c r="R138" s="163">
        <v>45748</v>
      </c>
      <c r="S138" s="147"/>
      <c r="T138" s="147"/>
      <c r="U138" s="158">
        <v>161</v>
      </c>
      <c r="V138" s="164">
        <v>31</v>
      </c>
      <c r="W138" s="165">
        <f>IFERROR(U138*V138,"0")</f>
      </c>
      <c r="X138" s="7"/>
      <c r="Y138" s="166">
        <f>IFERROR((O138/1000)*Masters!$C$3,"0")</f>
      </c>
      <c r="Z138" s="167"/>
      <c r="AA138" s="164">
        <f>IFERROR(VLOOKUP(L138,Masters!G:H,2,0),"0")</f>
      </c>
      <c r="AB138" s="166">
        <f>IFERROR(AA138*N138,"0")</f>
      </c>
      <c r="AC138" s="168"/>
      <c r="AD138" s="158"/>
      <c r="AE138" s="166">
        <f>W138+Y138+AB138+AD138</f>
      </c>
      <c r="AF138" s="167"/>
      <c r="AG138" s="169">
        <f>M138&amp;"-"&amp;F138</f>
      </c>
      <c r="AH138" s="166">
        <f>IFERROR(VLOOKUP(AG138,Masters!N:O,2,0),"0")</f>
      </c>
      <c r="AI138" s="166">
        <f>AH138*N138</f>
      </c>
      <c r="AJ138" s="158"/>
      <c r="AK138" s="170">
        <f>AI138-AE138</f>
      </c>
      <c r="AL138" s="167"/>
      <c r="AM138" s="147"/>
      <c r="AN138" s="171">
        <f>IFERROR(U138/2,"0")</f>
      </c>
    </row>
    <row x14ac:dyDescent="0.25" r="139" customHeight="1" ht="18.75">
      <c r="A139" s="158">
        <f>A138+1</f>
      </c>
      <c r="B139" s="159">
        <v>45776</v>
      </c>
      <c r="C139" s="147" t="s">
        <v>556</v>
      </c>
      <c r="D139" s="159">
        <v>45777</v>
      </c>
      <c r="E139" s="147" t="s">
        <v>204</v>
      </c>
      <c r="F139" s="160" t="s">
        <v>11</v>
      </c>
      <c r="G139" s="147" t="s">
        <v>230</v>
      </c>
      <c r="H139" s="147" t="s">
        <v>302</v>
      </c>
      <c r="I139" s="158">
        <v>1109</v>
      </c>
      <c r="J139" s="147" t="s">
        <v>301</v>
      </c>
      <c r="K139" s="158">
        <v>130</v>
      </c>
      <c r="L139" s="147" t="s">
        <v>10</v>
      </c>
      <c r="M139" s="161">
        <f>IFERROR(VLOOKUP(L139,'Material Master'!B:C,2,0),"")</f>
      </c>
      <c r="N139" s="158">
        <v>300</v>
      </c>
      <c r="O139" s="162">
        <f>IFERROR(M139*N139,"")</f>
      </c>
      <c r="P139" s="147" t="s">
        <v>402</v>
      </c>
      <c r="Q139" s="158"/>
      <c r="R139" s="163">
        <v>45748</v>
      </c>
      <c r="S139" s="147"/>
      <c r="T139" s="147"/>
      <c r="U139" s="158">
        <v>89</v>
      </c>
      <c r="V139" s="164">
        <v>31</v>
      </c>
      <c r="W139" s="165">
        <f>IFERROR(U139*V139,"0")</f>
      </c>
      <c r="X139" s="7"/>
      <c r="Y139" s="166">
        <f>IFERROR((O139/1000)*Masters!$C$3,"0")</f>
      </c>
      <c r="Z139" s="167"/>
      <c r="AA139" s="164">
        <f>IFERROR(VLOOKUP(L139,Masters!G:H,2,0),"0")</f>
      </c>
      <c r="AB139" s="166">
        <f>IFERROR(AA139*N139,"0")</f>
      </c>
      <c r="AC139" s="168"/>
      <c r="AD139" s="158"/>
      <c r="AE139" s="166">
        <f>W139+Y139+AB139+AD139</f>
      </c>
      <c r="AF139" s="167"/>
      <c r="AG139" s="169">
        <f>M139&amp;"-"&amp;F139</f>
      </c>
      <c r="AH139" s="166">
        <f>IFERROR(VLOOKUP(AG139,Masters!N:O,2,0),"0")</f>
      </c>
      <c r="AI139" s="166">
        <f>AH139*N139</f>
      </c>
      <c r="AJ139" s="158"/>
      <c r="AK139" s="170">
        <f>AI139-AE139</f>
      </c>
      <c r="AL139" s="167"/>
      <c r="AM139" s="147"/>
      <c r="AN139" s="171">
        <f>IFERROR(U139/2,"0")</f>
      </c>
    </row>
    <row x14ac:dyDescent="0.25" r="140" customHeight="1" ht="18.75">
      <c r="A140" s="158">
        <f>A139+1</f>
      </c>
      <c r="B140" s="159">
        <v>45777</v>
      </c>
      <c r="C140" s="147" t="s">
        <v>557</v>
      </c>
      <c r="D140" s="159">
        <v>45777</v>
      </c>
      <c r="E140" s="147" t="s">
        <v>75</v>
      </c>
      <c r="F140" s="160" t="s">
        <v>16</v>
      </c>
      <c r="G140" s="147" t="s">
        <v>147</v>
      </c>
      <c r="H140" s="147" t="s">
        <v>304</v>
      </c>
      <c r="I140" s="158">
        <v>1109</v>
      </c>
      <c r="J140" s="147" t="s">
        <v>301</v>
      </c>
      <c r="K140" s="158">
        <v>128</v>
      </c>
      <c r="L140" s="147" t="s">
        <v>10</v>
      </c>
      <c r="M140" s="161">
        <f>IFERROR(VLOOKUP(L140,'Material Master'!B:C,2,0),"")</f>
      </c>
      <c r="N140" s="158">
        <v>300</v>
      </c>
      <c r="O140" s="162">
        <f>IFERROR(M140*N140,"")</f>
      </c>
      <c r="P140" s="147" t="s">
        <v>402</v>
      </c>
      <c r="Q140" s="158"/>
      <c r="R140" s="163">
        <v>45748</v>
      </c>
      <c r="S140" s="147"/>
      <c r="T140" s="147"/>
      <c r="U140" s="158">
        <v>333</v>
      </c>
      <c r="V140" s="164">
        <v>31</v>
      </c>
      <c r="W140" s="165">
        <f>IFERROR(U140*V140,"0")</f>
      </c>
      <c r="X140" s="7"/>
      <c r="Y140" s="166">
        <f>IFERROR((O140/1000)*Masters!$C$3,"0")</f>
      </c>
      <c r="Z140" s="167"/>
      <c r="AA140" s="164">
        <f>IFERROR(VLOOKUP(L140,Masters!G:H,2,0),"0")</f>
      </c>
      <c r="AB140" s="166">
        <f>IFERROR(AA140*N140,"0")</f>
      </c>
      <c r="AC140" s="168"/>
      <c r="AD140" s="158"/>
      <c r="AE140" s="166">
        <f>W140+Y140+AB140+AD140</f>
      </c>
      <c r="AF140" s="167"/>
      <c r="AG140" s="169">
        <f>M140&amp;"-"&amp;F140</f>
      </c>
      <c r="AH140" s="166">
        <f>IFERROR(VLOOKUP(AG140,Masters!N:O,2,0),"0")</f>
      </c>
      <c r="AI140" s="166">
        <f>AH140*N140</f>
      </c>
      <c r="AJ140" s="158"/>
      <c r="AK140" s="170">
        <f>AI140-AE140</f>
      </c>
      <c r="AL140" s="167"/>
      <c r="AM140" s="147"/>
      <c r="AN140" s="171">
        <f>IFERROR(U140/2,"0")</f>
      </c>
    </row>
    <row x14ac:dyDescent="0.25" r="141" customHeight="1" ht="18.75">
      <c r="A141" s="158">
        <f>A140+1</f>
      </c>
      <c r="B141" s="159">
        <v>45779</v>
      </c>
      <c r="C141" s="147" t="s">
        <v>558</v>
      </c>
      <c r="D141" s="159">
        <v>45780</v>
      </c>
      <c r="E141" s="147" t="s">
        <v>139</v>
      </c>
      <c r="F141" s="160" t="s">
        <v>16</v>
      </c>
      <c r="G141" s="147" t="s">
        <v>209</v>
      </c>
      <c r="H141" s="147" t="s">
        <v>304</v>
      </c>
      <c r="I141" s="158">
        <v>1109</v>
      </c>
      <c r="J141" s="147" t="s">
        <v>301</v>
      </c>
      <c r="K141" s="158">
        <v>138</v>
      </c>
      <c r="L141" s="147" t="s">
        <v>10</v>
      </c>
      <c r="M141" s="161">
        <f>IFERROR(VLOOKUP(L141,'Material Master'!B:C,2,0),"")</f>
      </c>
      <c r="N141" s="158">
        <v>300</v>
      </c>
      <c r="O141" s="162">
        <f>IFERROR(M141*N141,"")</f>
      </c>
      <c r="P141" s="147" t="s">
        <v>402</v>
      </c>
      <c r="Q141" s="158"/>
      <c r="R141" s="163">
        <v>45748</v>
      </c>
      <c r="S141" s="147"/>
      <c r="T141" s="147"/>
      <c r="U141" s="158">
        <v>329</v>
      </c>
      <c r="V141" s="164">
        <v>31</v>
      </c>
      <c r="W141" s="165">
        <f>IFERROR(U141*V141,"0")</f>
      </c>
      <c r="X141" s="7"/>
      <c r="Y141" s="166">
        <f>IFERROR((O141/1000)*Masters!$C$3,"0")</f>
      </c>
      <c r="Z141" s="167"/>
      <c r="AA141" s="164">
        <f>IFERROR(VLOOKUP(L141,Masters!G:H,2,0),"0")</f>
      </c>
      <c r="AB141" s="166">
        <f>IFERROR(AA141*N141,"0")</f>
      </c>
      <c r="AC141" s="168"/>
      <c r="AD141" s="158"/>
      <c r="AE141" s="166">
        <f>W141+Y141+AB141+AD141</f>
      </c>
      <c r="AF141" s="167"/>
      <c r="AG141" s="169">
        <f>M141&amp;"-"&amp;F141</f>
      </c>
      <c r="AH141" s="166">
        <f>IFERROR(VLOOKUP(AG141,Masters!N:O,2,0),"0")</f>
      </c>
      <c r="AI141" s="166">
        <f>AH141*N141</f>
      </c>
      <c r="AJ141" s="158"/>
      <c r="AK141" s="170">
        <f>AI141-AE141</f>
      </c>
      <c r="AL141" s="167"/>
      <c r="AM141" s="147"/>
      <c r="AN141" s="171">
        <f>IFERROR(U141/2,"0")</f>
      </c>
    </row>
    <row x14ac:dyDescent="0.25" r="142" customHeight="1" ht="18.75">
      <c r="A142" s="158">
        <f>A141+1</f>
      </c>
      <c r="B142" s="159">
        <v>45779</v>
      </c>
      <c r="C142" s="147" t="s">
        <v>559</v>
      </c>
      <c r="D142" s="159">
        <v>45779</v>
      </c>
      <c r="E142" s="147" t="s">
        <v>73</v>
      </c>
      <c r="F142" s="160" t="s">
        <v>16</v>
      </c>
      <c r="G142" s="147" t="s">
        <v>147</v>
      </c>
      <c r="H142" s="147" t="s">
        <v>304</v>
      </c>
      <c r="I142" s="158">
        <v>1109</v>
      </c>
      <c r="J142" s="147" t="s">
        <v>301</v>
      </c>
      <c r="K142" s="158">
        <v>132</v>
      </c>
      <c r="L142" s="147" t="s">
        <v>10</v>
      </c>
      <c r="M142" s="161">
        <f>IFERROR(VLOOKUP(L142,'Material Master'!B:C,2,0),"")</f>
      </c>
      <c r="N142" s="158">
        <v>300</v>
      </c>
      <c r="O142" s="162">
        <f>IFERROR(M142*N142,"")</f>
      </c>
      <c r="P142" s="147" t="s">
        <v>402</v>
      </c>
      <c r="Q142" s="158"/>
      <c r="R142" s="163">
        <v>45748</v>
      </c>
      <c r="S142" s="147"/>
      <c r="T142" s="147"/>
      <c r="U142" s="158">
        <v>295</v>
      </c>
      <c r="V142" s="164">
        <v>31</v>
      </c>
      <c r="W142" s="165">
        <f>IFERROR(U142*V142,"0")</f>
      </c>
      <c r="X142" s="7"/>
      <c r="Y142" s="166">
        <f>IFERROR((O142/1000)*Masters!$C$3,"0")</f>
      </c>
      <c r="Z142" s="167"/>
      <c r="AA142" s="164">
        <f>IFERROR(VLOOKUP(L142,Masters!G:H,2,0),"0")</f>
      </c>
      <c r="AB142" s="166">
        <f>IFERROR(AA142*N142,"0")</f>
      </c>
      <c r="AC142" s="168"/>
      <c r="AD142" s="158"/>
      <c r="AE142" s="166">
        <f>W142+Y142+AB142+AD142</f>
      </c>
      <c r="AF142" s="167"/>
      <c r="AG142" s="169">
        <f>M142&amp;"-"&amp;F142</f>
      </c>
      <c r="AH142" s="166">
        <f>IFERROR(VLOOKUP(AG142,Masters!N:O,2,0),"0")</f>
      </c>
      <c r="AI142" s="166">
        <f>AH142*N142</f>
      </c>
      <c r="AJ142" s="158"/>
      <c r="AK142" s="170">
        <f>AI142-AE142</f>
      </c>
      <c r="AL142" s="167"/>
      <c r="AM142" s="147"/>
      <c r="AN142" s="171">
        <f>IFERROR(U142/2,"0")</f>
      </c>
    </row>
    <row x14ac:dyDescent="0.25" r="143" customHeight="1" ht="18.75">
      <c r="A143" s="158">
        <f>A142+1</f>
      </c>
      <c r="B143" s="159">
        <v>45779</v>
      </c>
      <c r="C143" s="147" t="s">
        <v>560</v>
      </c>
      <c r="D143" s="159">
        <v>45779</v>
      </c>
      <c r="E143" s="147" t="s">
        <v>71</v>
      </c>
      <c r="F143" s="160" t="s">
        <v>11</v>
      </c>
      <c r="G143" s="147" t="s">
        <v>530</v>
      </c>
      <c r="H143" s="147" t="s">
        <v>303</v>
      </c>
      <c r="I143" s="158">
        <v>1109</v>
      </c>
      <c r="J143" s="147" t="s">
        <v>301</v>
      </c>
      <c r="K143" s="158">
        <v>133</v>
      </c>
      <c r="L143" s="147" t="s">
        <v>10</v>
      </c>
      <c r="M143" s="161">
        <f>IFERROR(VLOOKUP(L143,'Material Master'!B:C,2,0),"")</f>
      </c>
      <c r="N143" s="158">
        <v>300</v>
      </c>
      <c r="O143" s="162">
        <f>IFERROR(M143*N143,"")</f>
      </c>
      <c r="P143" s="147" t="s">
        <v>402</v>
      </c>
      <c r="Q143" s="158"/>
      <c r="R143" s="163">
        <v>45748</v>
      </c>
      <c r="S143" s="147"/>
      <c r="T143" s="147"/>
      <c r="U143" s="158">
        <v>180</v>
      </c>
      <c r="V143" s="164">
        <v>31</v>
      </c>
      <c r="W143" s="165">
        <f>IFERROR(U143*V143,"0")</f>
      </c>
      <c r="X143" s="7"/>
      <c r="Y143" s="166">
        <f>IFERROR((O143/1000)*Masters!$C$3,"0")</f>
      </c>
      <c r="Z143" s="167"/>
      <c r="AA143" s="164">
        <f>IFERROR(VLOOKUP(L143,Masters!G:H,2,0),"0")</f>
      </c>
      <c r="AB143" s="166">
        <f>IFERROR(AA143*N143,"0")</f>
      </c>
      <c r="AC143" s="168"/>
      <c r="AD143" s="158"/>
      <c r="AE143" s="166">
        <f>W143+Y143+AB143+AD143</f>
      </c>
      <c r="AF143" s="167"/>
      <c r="AG143" s="169">
        <f>M143&amp;"-"&amp;F143</f>
      </c>
      <c r="AH143" s="166">
        <f>IFERROR(VLOOKUP(AG143,Masters!N:O,2,0),"0")</f>
      </c>
      <c r="AI143" s="166">
        <f>AH143*N143</f>
      </c>
      <c r="AJ143" s="158"/>
      <c r="AK143" s="170">
        <f>AI143-AE143</f>
      </c>
      <c r="AL143" s="167"/>
      <c r="AM143" s="147"/>
      <c r="AN143" s="171">
        <f>IFERROR(U143/2,"0")</f>
      </c>
    </row>
    <row x14ac:dyDescent="0.25" r="144" customHeight="1" ht="18.75">
      <c r="A144" s="158">
        <f>A143+1</f>
      </c>
      <c r="B144" s="159">
        <v>45779</v>
      </c>
      <c r="C144" s="147" t="s">
        <v>561</v>
      </c>
      <c r="D144" s="159">
        <v>45782</v>
      </c>
      <c r="E144" s="147" t="s">
        <v>71</v>
      </c>
      <c r="F144" s="160" t="s">
        <v>11</v>
      </c>
      <c r="G144" s="147" t="s">
        <v>530</v>
      </c>
      <c r="H144" s="147" t="s">
        <v>303</v>
      </c>
      <c r="I144" s="158">
        <v>709</v>
      </c>
      <c r="J144" s="147" t="s">
        <v>301</v>
      </c>
      <c r="K144" s="158">
        <v>143</v>
      </c>
      <c r="L144" s="147" t="s">
        <v>10</v>
      </c>
      <c r="M144" s="161">
        <f>IFERROR(VLOOKUP(L144,'Material Master'!B:C,2,0),"")</f>
      </c>
      <c r="N144" s="158">
        <v>100</v>
      </c>
      <c r="O144" s="162">
        <f>IFERROR(M144*N144,"")</f>
      </c>
      <c r="P144" s="147" t="s">
        <v>402</v>
      </c>
      <c r="Q144" s="158"/>
      <c r="R144" s="163">
        <v>45748</v>
      </c>
      <c r="S144" s="147"/>
      <c r="T144" s="147"/>
      <c r="U144" s="158">
        <v>176</v>
      </c>
      <c r="V144" s="164">
        <v>31</v>
      </c>
      <c r="W144" s="165">
        <f>IFERROR(U144*V144,"0")</f>
      </c>
      <c r="X144" s="7"/>
      <c r="Y144" s="166">
        <f>IFERROR((O144/1000)*Masters!$C$3,"0")</f>
      </c>
      <c r="Z144" s="167"/>
      <c r="AA144" s="164">
        <f>IFERROR(VLOOKUP(L144,Masters!G:H,2,0),"0")</f>
      </c>
      <c r="AB144" s="166">
        <f>IFERROR(AA144*N144,"0")</f>
      </c>
      <c r="AC144" s="168"/>
      <c r="AD144" s="158"/>
      <c r="AE144" s="166">
        <f>W144+Y144+AB144+AD144</f>
      </c>
      <c r="AF144" s="167"/>
      <c r="AG144" s="169">
        <f>M144&amp;"-"&amp;F144</f>
      </c>
      <c r="AH144" s="166">
        <f>IFERROR(VLOOKUP(AG144,Masters!N:O,2,0),"0")</f>
      </c>
      <c r="AI144" s="166">
        <f>AH144*N144</f>
      </c>
      <c r="AJ144" s="158"/>
      <c r="AK144" s="170">
        <f>AI144-AE144</f>
      </c>
      <c r="AL144" s="167"/>
      <c r="AM144" s="147"/>
      <c r="AN144" s="171">
        <f>IFERROR(U144/2,"0")</f>
      </c>
    </row>
    <row x14ac:dyDescent="0.25" r="145" customHeight="1" ht="18.75">
      <c r="A145" s="158">
        <f>A144+1</f>
      </c>
      <c r="B145" s="159">
        <v>45779</v>
      </c>
      <c r="C145" s="147" t="s">
        <v>562</v>
      </c>
      <c r="D145" s="159">
        <v>45782</v>
      </c>
      <c r="E145" s="147" t="s">
        <v>71</v>
      </c>
      <c r="F145" s="160" t="s">
        <v>16</v>
      </c>
      <c r="G145" s="147" t="s">
        <v>117</v>
      </c>
      <c r="H145" s="147" t="s">
        <v>304</v>
      </c>
      <c r="I145" s="158">
        <v>1109</v>
      </c>
      <c r="J145" s="147" t="s">
        <v>301</v>
      </c>
      <c r="K145" s="158">
        <v>141</v>
      </c>
      <c r="L145" s="147" t="s">
        <v>10</v>
      </c>
      <c r="M145" s="161">
        <f>IFERROR(VLOOKUP(L145,'Material Master'!B:C,2,0),"")</f>
      </c>
      <c r="N145" s="158">
        <v>300</v>
      </c>
      <c r="O145" s="162">
        <f>IFERROR(M145*N145,"")</f>
      </c>
      <c r="P145" s="147" t="s">
        <v>402</v>
      </c>
      <c r="Q145" s="158"/>
      <c r="R145" s="163">
        <v>45748</v>
      </c>
      <c r="S145" s="147"/>
      <c r="T145" s="147"/>
      <c r="U145" s="158">
        <v>361</v>
      </c>
      <c r="V145" s="164">
        <v>31</v>
      </c>
      <c r="W145" s="165">
        <f>IFERROR(U145*V145,"0")</f>
      </c>
      <c r="X145" s="7"/>
      <c r="Y145" s="166">
        <f>IFERROR((O145/1000)*Masters!$C$3,"0")</f>
      </c>
      <c r="Z145" s="167"/>
      <c r="AA145" s="164">
        <f>IFERROR(VLOOKUP(L145,Masters!G:H,2,0),"0")</f>
      </c>
      <c r="AB145" s="166">
        <f>IFERROR(AA145*N145,"0")</f>
      </c>
      <c r="AC145" s="168"/>
      <c r="AD145" s="158"/>
      <c r="AE145" s="166">
        <f>W145+Y145+AB145+AD145</f>
      </c>
      <c r="AF145" s="167"/>
      <c r="AG145" s="169">
        <f>M145&amp;"-"&amp;F145</f>
      </c>
      <c r="AH145" s="166">
        <f>IFERROR(VLOOKUP(AG145,Masters!N:O,2,0),"0")</f>
      </c>
      <c r="AI145" s="166">
        <f>AH145*N145</f>
      </c>
      <c r="AJ145" s="158"/>
      <c r="AK145" s="170">
        <f>AI145-AE145</f>
      </c>
      <c r="AL145" s="167"/>
      <c r="AM145" s="147"/>
      <c r="AN145" s="171">
        <f>IFERROR(U145/2,"0")</f>
      </c>
    </row>
    <row x14ac:dyDescent="0.25" r="146" customHeight="1" ht="18.75">
      <c r="A146" s="158">
        <f>A145+1</f>
      </c>
      <c r="B146" s="159">
        <v>45779</v>
      </c>
      <c r="C146" s="147" t="s">
        <v>563</v>
      </c>
      <c r="D146" s="159">
        <v>45783</v>
      </c>
      <c r="E146" s="147" t="s">
        <v>71</v>
      </c>
      <c r="F146" s="160" t="s">
        <v>16</v>
      </c>
      <c r="G146" s="147" t="s">
        <v>117</v>
      </c>
      <c r="H146" s="147" t="s">
        <v>303</v>
      </c>
      <c r="I146" s="158">
        <v>1109</v>
      </c>
      <c r="J146" s="147" t="s">
        <v>301</v>
      </c>
      <c r="K146" s="158">
        <v>146</v>
      </c>
      <c r="L146" s="147" t="s">
        <v>10</v>
      </c>
      <c r="M146" s="161">
        <f>IFERROR(VLOOKUP(L146,'Material Master'!B:C,2,0),"")</f>
      </c>
      <c r="N146" s="158">
        <v>300</v>
      </c>
      <c r="O146" s="162">
        <f>IFERROR(M146*N146,"")</f>
      </c>
      <c r="P146" s="147" t="s">
        <v>402</v>
      </c>
      <c r="Q146" s="158"/>
      <c r="R146" s="163">
        <v>45748</v>
      </c>
      <c r="S146" s="147"/>
      <c r="T146" s="147"/>
      <c r="U146" s="158">
        <v>363</v>
      </c>
      <c r="V146" s="164">
        <v>31</v>
      </c>
      <c r="W146" s="165">
        <f>IFERROR(U146*V146,"0")</f>
      </c>
      <c r="X146" s="7"/>
      <c r="Y146" s="166">
        <f>IFERROR((O146/1000)*Masters!$C$3,"0")</f>
      </c>
      <c r="Z146" s="167"/>
      <c r="AA146" s="164">
        <f>IFERROR(VLOOKUP(L146,Masters!G:H,2,0),"0")</f>
      </c>
      <c r="AB146" s="166">
        <f>IFERROR(AA146*N146,"0")</f>
      </c>
      <c r="AC146" s="168"/>
      <c r="AD146" s="158"/>
      <c r="AE146" s="166">
        <f>W146+Y146+AB146+AD146</f>
      </c>
      <c r="AF146" s="167"/>
      <c r="AG146" s="169">
        <f>M146&amp;"-"&amp;F146</f>
      </c>
      <c r="AH146" s="166">
        <f>IFERROR(VLOOKUP(AG146,Masters!N:O,2,0),"0")</f>
      </c>
      <c r="AI146" s="166">
        <f>AH146*N146</f>
      </c>
      <c r="AJ146" s="158"/>
      <c r="AK146" s="170">
        <f>AI146-AE146</f>
      </c>
      <c r="AL146" s="167"/>
      <c r="AM146" s="147"/>
      <c r="AN146" s="171">
        <f>IFERROR(U146/2,"0")</f>
      </c>
    </row>
    <row x14ac:dyDescent="0.25" r="147" customHeight="1" ht="18.75">
      <c r="A147" s="158">
        <f>A146+1</f>
      </c>
      <c r="B147" s="159">
        <v>45779</v>
      </c>
      <c r="C147" s="147" t="s">
        <v>564</v>
      </c>
      <c r="D147" s="159">
        <v>45779</v>
      </c>
      <c r="E147" s="147" t="s">
        <v>148</v>
      </c>
      <c r="F147" s="160" t="s">
        <v>16</v>
      </c>
      <c r="G147" s="147" t="s">
        <v>151</v>
      </c>
      <c r="H147" s="147" t="s">
        <v>302</v>
      </c>
      <c r="I147" s="158">
        <v>1109</v>
      </c>
      <c r="J147" s="147" t="s">
        <v>301</v>
      </c>
      <c r="K147" s="158">
        <v>131</v>
      </c>
      <c r="L147" s="147" t="s">
        <v>10</v>
      </c>
      <c r="M147" s="161">
        <f>IFERROR(VLOOKUP(L147,'Material Master'!B:C,2,0),"")</f>
      </c>
      <c r="N147" s="158">
        <v>300</v>
      </c>
      <c r="O147" s="162">
        <f>IFERROR(M147*N147,"")</f>
      </c>
      <c r="P147" s="147" t="s">
        <v>402</v>
      </c>
      <c r="Q147" s="158"/>
      <c r="R147" s="163">
        <v>45748</v>
      </c>
      <c r="S147" s="147"/>
      <c r="T147" s="147"/>
      <c r="U147" s="158">
        <v>234</v>
      </c>
      <c r="V147" s="164">
        <v>31</v>
      </c>
      <c r="W147" s="165">
        <f>IFERROR(U147*V147,"0")</f>
      </c>
      <c r="X147" s="7"/>
      <c r="Y147" s="166">
        <f>IFERROR((O147/1000)*Masters!$C$3,"0")</f>
      </c>
      <c r="Z147" s="167"/>
      <c r="AA147" s="164">
        <f>IFERROR(VLOOKUP(L147,Masters!G:H,2,0),"0")</f>
      </c>
      <c r="AB147" s="166">
        <f>IFERROR(AA147*N147,"0")</f>
      </c>
      <c r="AC147" s="168"/>
      <c r="AD147" s="158"/>
      <c r="AE147" s="166">
        <f>W147+Y147+AB147+AD147</f>
      </c>
      <c r="AF147" s="167"/>
      <c r="AG147" s="169">
        <f>M147&amp;"-"&amp;F147</f>
      </c>
      <c r="AH147" s="166">
        <f>IFERROR(VLOOKUP(AG147,Masters!N:O,2,0),"0")</f>
      </c>
      <c r="AI147" s="166">
        <f>AH147*N147</f>
      </c>
      <c r="AJ147" s="158"/>
      <c r="AK147" s="170">
        <f>AI147-AE147</f>
      </c>
      <c r="AL147" s="167"/>
      <c r="AM147" s="147"/>
      <c r="AN147" s="171">
        <f>IFERROR(U147/2,"0")</f>
      </c>
    </row>
    <row x14ac:dyDescent="0.25" r="148" customHeight="1" ht="18.75">
      <c r="A148" s="158">
        <f>A147+1</f>
      </c>
      <c r="B148" s="159">
        <v>45779</v>
      </c>
      <c r="C148" s="147" t="s">
        <v>565</v>
      </c>
      <c r="D148" s="159">
        <v>45780</v>
      </c>
      <c r="E148" s="147" t="s">
        <v>148</v>
      </c>
      <c r="F148" s="160" t="s">
        <v>16</v>
      </c>
      <c r="G148" s="147" t="s">
        <v>149</v>
      </c>
      <c r="H148" s="147" t="s">
        <v>305</v>
      </c>
      <c r="I148" s="158">
        <v>1109</v>
      </c>
      <c r="J148" s="147" t="s">
        <v>301</v>
      </c>
      <c r="K148" s="158">
        <v>136</v>
      </c>
      <c r="L148" s="147" t="s">
        <v>10</v>
      </c>
      <c r="M148" s="161">
        <f>IFERROR(VLOOKUP(L148,'Material Master'!B:C,2,0),"")</f>
      </c>
      <c r="N148" s="158">
        <v>300</v>
      </c>
      <c r="O148" s="162">
        <f>IFERROR(M148*N148,"")</f>
      </c>
      <c r="P148" s="147" t="s">
        <v>402</v>
      </c>
      <c r="Q148" s="158"/>
      <c r="R148" s="163">
        <v>45748</v>
      </c>
      <c r="S148" s="147"/>
      <c r="T148" s="147"/>
      <c r="U148" s="158">
        <v>316</v>
      </c>
      <c r="V148" s="164">
        <v>31</v>
      </c>
      <c r="W148" s="165">
        <f>IFERROR(U148*V148,"0")</f>
      </c>
      <c r="X148" s="7"/>
      <c r="Y148" s="166">
        <f>IFERROR((O148/1000)*Masters!$C$3,"0")</f>
      </c>
      <c r="Z148" s="167"/>
      <c r="AA148" s="164">
        <f>IFERROR(VLOOKUP(L148,Masters!G:H,2,0),"0")</f>
      </c>
      <c r="AB148" s="166">
        <f>IFERROR(AA148*N148,"0")</f>
      </c>
      <c r="AC148" s="168"/>
      <c r="AD148" s="158"/>
      <c r="AE148" s="166">
        <f>W148+Y148+AB148+AD148</f>
      </c>
      <c r="AF148" s="167"/>
      <c r="AG148" s="169">
        <f>M148&amp;"-"&amp;F148</f>
      </c>
      <c r="AH148" s="166">
        <f>IFERROR(VLOOKUP(AG148,Masters!N:O,2,0),"0")</f>
      </c>
      <c r="AI148" s="166">
        <f>AH148*N148</f>
      </c>
      <c r="AJ148" s="158"/>
      <c r="AK148" s="170">
        <f>AI148-AE148</f>
      </c>
      <c r="AL148" s="167"/>
      <c r="AM148" s="147"/>
      <c r="AN148" s="171">
        <f>IFERROR(U148/2,"0")</f>
      </c>
    </row>
    <row x14ac:dyDescent="0.25" r="149" customHeight="1" ht="18.75">
      <c r="A149" s="158">
        <f>A148+1</f>
      </c>
      <c r="B149" s="159">
        <v>45779</v>
      </c>
      <c r="C149" s="147" t="s">
        <v>566</v>
      </c>
      <c r="D149" s="159">
        <v>45783</v>
      </c>
      <c r="E149" s="147" t="s">
        <v>119</v>
      </c>
      <c r="F149" s="160" t="s">
        <v>11</v>
      </c>
      <c r="G149" s="147" t="s">
        <v>230</v>
      </c>
      <c r="H149" s="147" t="s">
        <v>305</v>
      </c>
      <c r="I149" s="158">
        <v>1109</v>
      </c>
      <c r="J149" s="147" t="s">
        <v>301</v>
      </c>
      <c r="K149" s="158">
        <v>144</v>
      </c>
      <c r="L149" s="147" t="s">
        <v>10</v>
      </c>
      <c r="M149" s="161">
        <f>IFERROR(VLOOKUP(L149,'Material Master'!B:C,2,0),"")</f>
      </c>
      <c r="N149" s="158">
        <v>300</v>
      </c>
      <c r="O149" s="162">
        <f>IFERROR(M149*N149,"")</f>
      </c>
      <c r="P149" s="147" t="s">
        <v>402</v>
      </c>
      <c r="Q149" s="158"/>
      <c r="R149" s="163">
        <v>45748</v>
      </c>
      <c r="S149" s="147"/>
      <c r="T149" s="147"/>
      <c r="U149" s="158">
        <v>75</v>
      </c>
      <c r="V149" s="164">
        <v>31</v>
      </c>
      <c r="W149" s="165">
        <f>IFERROR(U149*V149,"0")</f>
      </c>
      <c r="X149" s="7"/>
      <c r="Y149" s="166">
        <f>IFERROR((O149/1000)*Masters!$C$3,"0")</f>
      </c>
      <c r="Z149" s="167"/>
      <c r="AA149" s="164">
        <f>IFERROR(VLOOKUP(L149,Masters!G:H,2,0),"0")</f>
      </c>
      <c r="AB149" s="166">
        <f>IFERROR(AA149*N149,"0")</f>
      </c>
      <c r="AC149" s="168"/>
      <c r="AD149" s="158"/>
      <c r="AE149" s="166">
        <f>W149+Y149+AB149+AD149</f>
      </c>
      <c r="AF149" s="167"/>
      <c r="AG149" s="169">
        <f>M149&amp;"-"&amp;F149</f>
      </c>
      <c r="AH149" s="166">
        <f>IFERROR(VLOOKUP(AG149,Masters!N:O,2,0),"0")</f>
      </c>
      <c r="AI149" s="166">
        <f>AH149*N149</f>
      </c>
      <c r="AJ149" s="158"/>
      <c r="AK149" s="170">
        <f>AI149-AE149</f>
      </c>
      <c r="AL149" s="167"/>
      <c r="AM149" s="147"/>
      <c r="AN149" s="171">
        <f>IFERROR(U149/2,"0")</f>
      </c>
    </row>
    <row x14ac:dyDescent="0.25" r="150" customHeight="1" ht="18.75">
      <c r="A150" s="158">
        <f>A149+1</f>
      </c>
      <c r="B150" s="159">
        <v>45779</v>
      </c>
      <c r="C150" s="147" t="s">
        <v>567</v>
      </c>
      <c r="D150" s="159">
        <v>45789</v>
      </c>
      <c r="E150" s="147" t="s">
        <v>119</v>
      </c>
      <c r="F150" s="160" t="s">
        <v>11</v>
      </c>
      <c r="G150" s="147" t="s">
        <v>230</v>
      </c>
      <c r="H150" s="147" t="s">
        <v>303</v>
      </c>
      <c r="I150" s="158">
        <v>1109</v>
      </c>
      <c r="J150" s="147" t="s">
        <v>301</v>
      </c>
      <c r="K150" s="158">
        <v>160</v>
      </c>
      <c r="L150" s="147" t="s">
        <v>10</v>
      </c>
      <c r="M150" s="161">
        <f>IFERROR(VLOOKUP(L150,'Material Master'!B:C,2,0),"")</f>
      </c>
      <c r="N150" s="158">
        <v>300</v>
      </c>
      <c r="O150" s="162">
        <f>IFERROR(M150*N150,"")</f>
      </c>
      <c r="P150" s="147" t="s">
        <v>402</v>
      </c>
      <c r="Q150" s="158"/>
      <c r="R150" s="163">
        <v>45748</v>
      </c>
      <c r="S150" s="147"/>
      <c r="T150" s="147"/>
      <c r="U150" s="158">
        <v>103</v>
      </c>
      <c r="V150" s="164">
        <v>31</v>
      </c>
      <c r="W150" s="165">
        <f>IFERROR(U150*V150,"0")</f>
      </c>
      <c r="X150" s="7"/>
      <c r="Y150" s="166">
        <f>IFERROR((O150/1000)*Masters!$C$3,"0")</f>
      </c>
      <c r="Z150" s="167"/>
      <c r="AA150" s="164">
        <f>IFERROR(VLOOKUP(L150,Masters!G:H,2,0),"0")</f>
      </c>
      <c r="AB150" s="166">
        <f>IFERROR(AA150*N150,"0")</f>
      </c>
      <c r="AC150" s="168"/>
      <c r="AD150" s="158"/>
      <c r="AE150" s="166">
        <f>W150+Y150+AB150+AD150</f>
      </c>
      <c r="AF150" s="167"/>
      <c r="AG150" s="169">
        <f>M150&amp;"-"&amp;F150</f>
      </c>
      <c r="AH150" s="166">
        <f>IFERROR(VLOOKUP(AG150,Masters!N:O,2,0),"0")</f>
      </c>
      <c r="AI150" s="166">
        <f>AH150*N150</f>
      </c>
      <c r="AJ150" s="158"/>
      <c r="AK150" s="170">
        <f>AI150-AE150</f>
      </c>
      <c r="AL150" s="167"/>
      <c r="AM150" s="147"/>
      <c r="AN150" s="171">
        <f>IFERROR(U150/2,"0")</f>
      </c>
    </row>
    <row x14ac:dyDescent="0.25" r="151" customHeight="1" ht="18.75">
      <c r="A151" s="158">
        <f>A150+1</f>
      </c>
      <c r="B151" s="159">
        <v>45779</v>
      </c>
      <c r="C151" s="147" t="s">
        <v>568</v>
      </c>
      <c r="D151" s="159">
        <v>45791</v>
      </c>
      <c r="E151" s="147" t="s">
        <v>119</v>
      </c>
      <c r="F151" s="160" t="s">
        <v>11</v>
      </c>
      <c r="G151" s="147" t="s">
        <v>230</v>
      </c>
      <c r="H151" s="147" t="s">
        <v>302</v>
      </c>
      <c r="I151" s="158">
        <v>1109</v>
      </c>
      <c r="J151" s="147" t="s">
        <v>301</v>
      </c>
      <c r="K151" s="194">
        <v>165</v>
      </c>
      <c r="L151" s="147" t="s">
        <v>10</v>
      </c>
      <c r="M151" s="161">
        <f>IFERROR(VLOOKUP(L151,'Material Master'!B:C,2,0),"")</f>
      </c>
      <c r="N151" s="158">
        <v>300</v>
      </c>
      <c r="O151" s="162">
        <f>IFERROR(M151*N151,"")</f>
      </c>
      <c r="P151" s="147" t="s">
        <v>402</v>
      </c>
      <c r="Q151" s="158"/>
      <c r="R151" s="163">
        <v>45748</v>
      </c>
      <c r="S151" s="147"/>
      <c r="T151" s="147"/>
      <c r="U151" s="158">
        <v>74</v>
      </c>
      <c r="V151" s="164">
        <v>31</v>
      </c>
      <c r="W151" s="165">
        <f>IFERROR(U151*V151,"0")</f>
      </c>
      <c r="X151" s="7"/>
      <c r="Y151" s="166">
        <f>IFERROR((O151/1000)*Masters!$C$3,"0")</f>
      </c>
      <c r="Z151" s="167"/>
      <c r="AA151" s="164">
        <f>IFERROR(VLOOKUP(L151,Masters!G:H,2,0),"0")</f>
      </c>
      <c r="AB151" s="166">
        <f>IFERROR(AA151*N151,"0")</f>
      </c>
      <c r="AC151" s="168"/>
      <c r="AD151" s="158"/>
      <c r="AE151" s="166">
        <f>W151+Y151+AB151+AD151</f>
      </c>
      <c r="AF151" s="167"/>
      <c r="AG151" s="169">
        <f>M151&amp;"-"&amp;F151</f>
      </c>
      <c r="AH151" s="166">
        <f>IFERROR(VLOOKUP(AG151,Masters!N:O,2,0),"0")</f>
      </c>
      <c r="AI151" s="166">
        <f>AH151*N151</f>
      </c>
      <c r="AJ151" s="158"/>
      <c r="AK151" s="170">
        <f>AI151-AE151</f>
      </c>
      <c r="AL151" s="167"/>
      <c r="AM151" s="147"/>
      <c r="AN151" s="171">
        <f>IFERROR(U151/2,"0")</f>
      </c>
    </row>
    <row x14ac:dyDescent="0.25" r="152" customHeight="1" ht="18.75">
      <c r="A152" s="158">
        <f>A151+1</f>
      </c>
      <c r="B152" s="159">
        <v>45779</v>
      </c>
      <c r="C152" s="147" t="s">
        <v>569</v>
      </c>
      <c r="D152" s="159">
        <v>45791</v>
      </c>
      <c r="E152" s="147" t="s">
        <v>119</v>
      </c>
      <c r="F152" s="160" t="s">
        <v>11</v>
      </c>
      <c r="G152" s="147" t="s">
        <v>230</v>
      </c>
      <c r="H152" s="147" t="s">
        <v>304</v>
      </c>
      <c r="I152" s="158">
        <v>1109</v>
      </c>
      <c r="J152" s="147" t="s">
        <v>301</v>
      </c>
      <c r="K152" s="194">
        <v>167</v>
      </c>
      <c r="L152" s="147" t="s">
        <v>10</v>
      </c>
      <c r="M152" s="161">
        <f>IFERROR(VLOOKUP(L152,'Material Master'!B:C,2,0),"")</f>
      </c>
      <c r="N152" s="158">
        <v>300</v>
      </c>
      <c r="O152" s="162">
        <f>IFERROR(M152*N152,"")</f>
      </c>
      <c r="P152" s="147" t="s">
        <v>402</v>
      </c>
      <c r="Q152" s="158"/>
      <c r="R152" s="163">
        <v>45748</v>
      </c>
      <c r="S152" s="147"/>
      <c r="T152" s="147"/>
      <c r="U152" s="158">
        <v>86</v>
      </c>
      <c r="V152" s="164">
        <v>31</v>
      </c>
      <c r="W152" s="165">
        <f>IFERROR(U152*V152,"0")</f>
      </c>
      <c r="X152" s="7"/>
      <c r="Y152" s="166">
        <f>IFERROR((O152/1000)*Masters!$C$3,"0")</f>
      </c>
      <c r="Z152" s="167"/>
      <c r="AA152" s="164">
        <f>IFERROR(VLOOKUP(L152,Masters!G:H,2,0),"0")</f>
      </c>
      <c r="AB152" s="166">
        <f>IFERROR(AA152*N152,"0")</f>
      </c>
      <c r="AC152" s="168"/>
      <c r="AD152" s="158"/>
      <c r="AE152" s="166">
        <f>W152+Y152+AB152+AD152</f>
      </c>
      <c r="AF152" s="167"/>
      <c r="AG152" s="169">
        <f>M152&amp;"-"&amp;F152</f>
      </c>
      <c r="AH152" s="166">
        <f>IFERROR(VLOOKUP(AG152,Masters!N:O,2,0),"0")</f>
      </c>
      <c r="AI152" s="166">
        <f>AH152*N152</f>
      </c>
      <c r="AJ152" s="158"/>
      <c r="AK152" s="170">
        <f>AI152-AE152</f>
      </c>
      <c r="AL152" s="167"/>
      <c r="AM152" s="147"/>
      <c r="AN152" s="171">
        <f>IFERROR(U152/2,"0")</f>
      </c>
    </row>
    <row x14ac:dyDescent="0.25" r="153" customHeight="1" ht="18.75">
      <c r="A153" s="158">
        <f>A152+1</f>
      </c>
      <c r="B153" s="159">
        <v>45779</v>
      </c>
      <c r="C153" s="147" t="s">
        <v>570</v>
      </c>
      <c r="D153" s="159">
        <v>45796</v>
      </c>
      <c r="E153" s="147" t="s">
        <v>119</v>
      </c>
      <c r="F153" s="160" t="s">
        <v>11</v>
      </c>
      <c r="G153" s="147" t="s">
        <v>230</v>
      </c>
      <c r="H153" s="147" t="s">
        <v>303</v>
      </c>
      <c r="I153" s="158">
        <v>1109</v>
      </c>
      <c r="J153" s="147" t="s">
        <v>301</v>
      </c>
      <c r="K153" s="194">
        <v>175</v>
      </c>
      <c r="L153" s="147" t="s">
        <v>10</v>
      </c>
      <c r="M153" s="161">
        <f>IFERROR(VLOOKUP(L153,'Material Master'!B:C,2,0),"")</f>
      </c>
      <c r="N153" s="158">
        <v>300</v>
      </c>
      <c r="O153" s="162">
        <f>IFERROR(M153*N153,"")</f>
      </c>
      <c r="P153" s="147" t="s">
        <v>402</v>
      </c>
      <c r="Q153" s="158"/>
      <c r="R153" s="163">
        <v>45748</v>
      </c>
      <c r="S153" s="147"/>
      <c r="T153" s="147"/>
      <c r="U153" s="158">
        <v>75</v>
      </c>
      <c r="V153" s="164">
        <v>31</v>
      </c>
      <c r="W153" s="165">
        <f>IFERROR(U153*V153,"0")</f>
      </c>
      <c r="X153" s="7"/>
      <c r="Y153" s="166">
        <f>IFERROR((O153/1000)*Masters!$C$3,"0")</f>
      </c>
      <c r="Z153" s="167"/>
      <c r="AA153" s="164">
        <f>IFERROR(VLOOKUP(L153,Masters!G:H,2,0),"0")</f>
      </c>
      <c r="AB153" s="166">
        <f>IFERROR(AA153*N153,"0")</f>
      </c>
      <c r="AC153" s="168"/>
      <c r="AD153" s="158"/>
      <c r="AE153" s="166">
        <f>W153+Y153+AB153+AD153</f>
      </c>
      <c r="AF153" s="167"/>
      <c r="AG153" s="169">
        <f>M153&amp;"-"&amp;F153</f>
      </c>
      <c r="AH153" s="166">
        <f>IFERROR(VLOOKUP(AG153,Masters!N:O,2,0),"0")</f>
      </c>
      <c r="AI153" s="166">
        <f>AH153*N153</f>
      </c>
      <c r="AJ153" s="158"/>
      <c r="AK153" s="170">
        <f>AI153-AE153</f>
      </c>
      <c r="AL153" s="167"/>
      <c r="AM153" s="147"/>
      <c r="AN153" s="171">
        <f>IFERROR(U153/2,"0")</f>
      </c>
    </row>
    <row x14ac:dyDescent="0.25" r="154" customHeight="1" ht="18.75">
      <c r="A154" s="158">
        <f>A153+1</f>
      </c>
      <c r="B154" s="159">
        <v>45779</v>
      </c>
      <c r="C154" s="147" t="s">
        <v>571</v>
      </c>
      <c r="D154" s="159">
        <v>45796</v>
      </c>
      <c r="E154" s="147" t="s">
        <v>119</v>
      </c>
      <c r="F154" s="160" t="s">
        <v>11</v>
      </c>
      <c r="G154" s="147" t="s">
        <v>230</v>
      </c>
      <c r="H154" s="147" t="s">
        <v>305</v>
      </c>
      <c r="I154" s="158">
        <v>1109</v>
      </c>
      <c r="J154" s="147" t="s">
        <v>301</v>
      </c>
      <c r="K154" s="194">
        <v>178</v>
      </c>
      <c r="L154" s="147" t="s">
        <v>10</v>
      </c>
      <c r="M154" s="161">
        <f>IFERROR(VLOOKUP(L154,'Material Master'!B:C,2,0),"")</f>
      </c>
      <c r="N154" s="158">
        <v>300</v>
      </c>
      <c r="O154" s="162">
        <f>IFERROR(M154*N154,"")</f>
      </c>
      <c r="P154" s="147" t="s">
        <v>402</v>
      </c>
      <c r="Q154" s="158"/>
      <c r="R154" s="163">
        <v>45748</v>
      </c>
      <c r="S154" s="147"/>
      <c r="T154" s="147"/>
      <c r="U154" s="158">
        <v>74</v>
      </c>
      <c r="V154" s="164">
        <v>31</v>
      </c>
      <c r="W154" s="165">
        <f>IFERROR(U154*V154,"0")</f>
      </c>
      <c r="X154" s="7"/>
      <c r="Y154" s="166">
        <f>IFERROR((O154/1000)*Masters!$C$3,"0")</f>
      </c>
      <c r="Z154" s="167"/>
      <c r="AA154" s="164">
        <f>IFERROR(VLOOKUP(L154,Masters!G:H,2,0),"0")</f>
      </c>
      <c r="AB154" s="166">
        <f>IFERROR(AA154*N154,"0")</f>
      </c>
      <c r="AC154" s="168"/>
      <c r="AD154" s="158"/>
      <c r="AE154" s="166">
        <f>W154+Y154+AB154+AD154</f>
      </c>
      <c r="AF154" s="167"/>
      <c r="AG154" s="169">
        <f>M154&amp;"-"&amp;F154</f>
      </c>
      <c r="AH154" s="166">
        <f>IFERROR(VLOOKUP(AG154,Masters!N:O,2,0),"0")</f>
      </c>
      <c r="AI154" s="166">
        <f>AH154*N154</f>
      </c>
      <c r="AJ154" s="158"/>
      <c r="AK154" s="170">
        <f>AI154-AE154</f>
      </c>
      <c r="AL154" s="167"/>
      <c r="AM154" s="147"/>
      <c r="AN154" s="171">
        <f>IFERROR(U154/2,"0")</f>
      </c>
    </row>
    <row x14ac:dyDescent="0.25" r="155" customHeight="1" ht="18.75">
      <c r="A155" s="158">
        <f>A154+1</f>
      </c>
      <c r="B155" s="159">
        <v>45779</v>
      </c>
      <c r="C155" s="147" t="s">
        <v>572</v>
      </c>
      <c r="D155" s="159">
        <v>45803</v>
      </c>
      <c r="E155" s="147" t="s">
        <v>119</v>
      </c>
      <c r="F155" s="160" t="s">
        <v>231</v>
      </c>
      <c r="G155" s="147" t="s">
        <v>230</v>
      </c>
      <c r="H155" s="147" t="s">
        <v>303</v>
      </c>
      <c r="I155" s="158">
        <v>1109</v>
      </c>
      <c r="J155" s="147" t="s">
        <v>301</v>
      </c>
      <c r="K155" s="158">
        <v>195</v>
      </c>
      <c r="L155" s="147" t="s">
        <v>10</v>
      </c>
      <c r="M155" s="161">
        <f>IFERROR(VLOOKUP(L155,'Material Master'!B:C,2,0),"")</f>
      </c>
      <c r="N155" s="158">
        <v>300</v>
      </c>
      <c r="O155" s="162">
        <f>IFERROR(M155*N155,"")</f>
      </c>
      <c r="P155" s="147" t="s">
        <v>402</v>
      </c>
      <c r="Q155" s="158" t="s">
        <v>573</v>
      </c>
      <c r="R155" s="163">
        <v>45748</v>
      </c>
      <c r="S155" s="147"/>
      <c r="T155" s="147"/>
      <c r="U155" s="158">
        <v>74</v>
      </c>
      <c r="V155" s="164">
        <v>31</v>
      </c>
      <c r="W155" s="165">
        <f>IFERROR(U155*V155,"0")</f>
      </c>
      <c r="X155" s="7"/>
      <c r="Y155" s="166">
        <f>IFERROR((O155/1000)*Masters!$C$3,"0")</f>
      </c>
      <c r="Z155" s="167"/>
      <c r="AA155" s="164">
        <f>IFERROR(VLOOKUP(L155,Masters!G:H,2,0),"0")</f>
      </c>
      <c r="AB155" s="166">
        <f>IFERROR(AA155*N155,"0")</f>
      </c>
      <c r="AC155" s="168"/>
      <c r="AD155" s="158"/>
      <c r="AE155" s="166">
        <f>W155+Y155+AB155+AD155</f>
      </c>
      <c r="AF155" s="167"/>
      <c r="AG155" s="169">
        <f>M155&amp;"-"&amp;F155</f>
      </c>
      <c r="AH155" s="166">
        <f>IFERROR(VLOOKUP(AG155,Masters!N:O,2,0),"0")</f>
      </c>
      <c r="AI155" s="166">
        <f>AH155*N155</f>
      </c>
      <c r="AJ155" s="158"/>
      <c r="AK155" s="170">
        <f>AI155-AE155</f>
      </c>
      <c r="AL155" s="167"/>
      <c r="AM155" s="147"/>
      <c r="AN155" s="171">
        <f>IFERROR(U155/2,"0")</f>
      </c>
    </row>
    <row x14ac:dyDescent="0.25" r="156" customHeight="1" ht="18.75">
      <c r="A156" s="158">
        <f>A155+1</f>
      </c>
      <c r="B156" s="159">
        <v>45779</v>
      </c>
      <c r="C156" s="147" t="s">
        <v>574</v>
      </c>
      <c r="D156" s="159">
        <v>45804</v>
      </c>
      <c r="E156" s="147" t="s">
        <v>119</v>
      </c>
      <c r="F156" s="160" t="s">
        <v>231</v>
      </c>
      <c r="G156" s="147" t="s">
        <v>230</v>
      </c>
      <c r="H156" s="147" t="s">
        <v>304</v>
      </c>
      <c r="I156" s="158">
        <v>1109</v>
      </c>
      <c r="J156" s="147" t="s">
        <v>301</v>
      </c>
      <c r="K156" s="158">
        <v>199</v>
      </c>
      <c r="L156" s="147" t="s">
        <v>10</v>
      </c>
      <c r="M156" s="161">
        <f>IFERROR(VLOOKUP(L156,'Material Master'!B:C,2,0),"")</f>
      </c>
      <c r="N156" s="158">
        <v>300</v>
      </c>
      <c r="O156" s="162">
        <f>IFERROR(M156*N156,"")</f>
      </c>
      <c r="P156" s="147" t="s">
        <v>402</v>
      </c>
      <c r="Q156" s="158">
        <v>371368</v>
      </c>
      <c r="R156" s="163">
        <v>45748</v>
      </c>
      <c r="S156" s="147"/>
      <c r="T156" s="6"/>
      <c r="U156" s="158">
        <v>75</v>
      </c>
      <c r="V156" s="164">
        <v>31</v>
      </c>
      <c r="W156" s="165">
        <f>IFERROR(U156*V156,"0")</f>
      </c>
      <c r="X156" s="7"/>
      <c r="Y156" s="166">
        <f>IFERROR((O156/1000)*Masters!$C$3,"0")</f>
      </c>
      <c r="Z156" s="195"/>
      <c r="AA156" s="164">
        <f>IFERROR(VLOOKUP(L156,Masters!G:H,2,0),"0")</f>
      </c>
      <c r="AB156" s="166">
        <f>IFERROR(AA156*N156,"0")</f>
      </c>
      <c r="AC156" s="196"/>
      <c r="AD156" s="7"/>
      <c r="AE156" s="166">
        <f>W156+Y156+AB156+AD156</f>
      </c>
      <c r="AF156" s="195"/>
      <c r="AG156" s="169">
        <f>M156&amp;"-"&amp;F156</f>
      </c>
      <c r="AH156" s="166">
        <f>IFERROR(VLOOKUP(AG156,Masters!N:O,2,0),"0")</f>
      </c>
      <c r="AI156" s="166">
        <f>AH156*N156</f>
      </c>
      <c r="AJ156" s="7"/>
      <c r="AK156" s="170">
        <f>AI156-AE156</f>
      </c>
      <c r="AL156" s="195"/>
      <c r="AM156" s="6"/>
      <c r="AN156" s="171">
        <f>IFERROR(U156/2,"0")</f>
      </c>
    </row>
    <row x14ac:dyDescent="0.25" r="157" customHeight="1" ht="18.75">
      <c r="A157" s="158">
        <f>A156+1</f>
      </c>
      <c r="B157" s="159">
        <v>45779</v>
      </c>
      <c r="C157" s="147" t="s">
        <v>575</v>
      </c>
      <c r="D157" s="159">
        <v>45779</v>
      </c>
      <c r="E157" s="147" t="s">
        <v>148</v>
      </c>
      <c r="F157" s="160" t="s">
        <v>11</v>
      </c>
      <c r="G157" s="147" t="s">
        <v>203</v>
      </c>
      <c r="H157" s="147" t="s">
        <v>305</v>
      </c>
      <c r="I157" s="158">
        <v>1109</v>
      </c>
      <c r="J157" s="147" t="s">
        <v>301</v>
      </c>
      <c r="K157" s="158">
        <v>134</v>
      </c>
      <c r="L157" s="147" t="s">
        <v>10</v>
      </c>
      <c r="M157" s="161">
        <f>IFERROR(VLOOKUP(L157,'Material Master'!B:C,2,0),"")</f>
      </c>
      <c r="N157" s="158">
        <v>300</v>
      </c>
      <c r="O157" s="162">
        <f>IFERROR(M157*N157,"")</f>
      </c>
      <c r="P157" s="147" t="s">
        <v>402</v>
      </c>
      <c r="Q157" s="158"/>
      <c r="R157" s="163">
        <v>45748</v>
      </c>
      <c r="S157" s="147"/>
      <c r="T157" s="147"/>
      <c r="U157" s="158">
        <v>130</v>
      </c>
      <c r="V157" s="164">
        <v>31</v>
      </c>
      <c r="W157" s="165">
        <f>IFERROR(U157*V157,"0")</f>
      </c>
      <c r="X157" s="7"/>
      <c r="Y157" s="166">
        <f>IFERROR((O157/1000)*Masters!$C$3,"0")</f>
      </c>
      <c r="Z157" s="167"/>
      <c r="AA157" s="164">
        <f>IFERROR(VLOOKUP(L157,Masters!G:H,2,0),"0")</f>
      </c>
      <c r="AB157" s="166">
        <f>IFERROR(AA157*N157,"0")</f>
      </c>
      <c r="AC157" s="168"/>
      <c r="AD157" s="158"/>
      <c r="AE157" s="166">
        <f>W157+Y157+AB157+AD157</f>
      </c>
      <c r="AF157" s="167"/>
      <c r="AG157" s="169">
        <f>M157&amp;"-"&amp;F157</f>
      </c>
      <c r="AH157" s="166">
        <f>IFERROR(VLOOKUP(AG157,Masters!N:O,2,0),"0")</f>
      </c>
      <c r="AI157" s="166">
        <f>AH157*N157</f>
      </c>
      <c r="AJ157" s="158"/>
      <c r="AK157" s="170">
        <f>AI157-AE157</f>
      </c>
      <c r="AL157" s="167"/>
      <c r="AM157" s="147"/>
      <c r="AN157" s="171">
        <f>IFERROR(U157/2,"0")</f>
      </c>
    </row>
    <row x14ac:dyDescent="0.25" r="158" customHeight="1" ht="18.75">
      <c r="A158" s="158">
        <f>A157+1</f>
      </c>
      <c r="B158" s="159">
        <v>45779</v>
      </c>
      <c r="C158" s="147" t="s">
        <v>576</v>
      </c>
      <c r="D158" s="159">
        <v>45780</v>
      </c>
      <c r="E158" s="147" t="s">
        <v>134</v>
      </c>
      <c r="F158" s="160" t="s">
        <v>11</v>
      </c>
      <c r="G158" s="147" t="s">
        <v>230</v>
      </c>
      <c r="H158" s="147" t="s">
        <v>302</v>
      </c>
      <c r="I158" s="158">
        <v>709</v>
      </c>
      <c r="J158" s="147" t="s">
        <v>301</v>
      </c>
      <c r="K158" s="158">
        <v>135</v>
      </c>
      <c r="L158" s="147" t="s">
        <v>10</v>
      </c>
      <c r="M158" s="161">
        <f>IFERROR(VLOOKUP(L158,'Material Master'!B:C,2,0),"")</f>
      </c>
      <c r="N158" s="158">
        <v>100</v>
      </c>
      <c r="O158" s="162">
        <f>IFERROR(M158*N158,"")</f>
      </c>
      <c r="P158" s="147" t="s">
        <v>402</v>
      </c>
      <c r="Q158" s="158"/>
      <c r="R158" s="163">
        <v>45748</v>
      </c>
      <c r="S158" s="147"/>
      <c r="T158" s="147"/>
      <c r="U158" s="158">
        <v>62</v>
      </c>
      <c r="V158" s="164">
        <v>31</v>
      </c>
      <c r="W158" s="165">
        <f>IFERROR(U158*V158,"0")</f>
      </c>
      <c r="X158" s="7"/>
      <c r="Y158" s="166">
        <f>IFERROR((O158/1000)*Masters!$C$3,"0")</f>
      </c>
      <c r="Z158" s="167"/>
      <c r="AA158" s="164">
        <f>IFERROR(VLOOKUP(L158,Masters!G:H,2,0),"0")</f>
      </c>
      <c r="AB158" s="166">
        <f>IFERROR(AA158*N158,"0")</f>
      </c>
      <c r="AC158" s="168"/>
      <c r="AD158" s="158"/>
      <c r="AE158" s="166">
        <f>W158+Y158+AB158+AD158</f>
      </c>
      <c r="AF158" s="167"/>
      <c r="AG158" s="169">
        <f>M158&amp;"-"&amp;F158</f>
      </c>
      <c r="AH158" s="166">
        <f>IFERROR(VLOOKUP(AG158,Masters!N:O,2,0),"0")</f>
      </c>
      <c r="AI158" s="166">
        <f>AH158*N158</f>
      </c>
      <c r="AJ158" s="158"/>
      <c r="AK158" s="170">
        <f>AI158-AE158</f>
      </c>
      <c r="AL158" s="167"/>
      <c r="AM158" s="147"/>
      <c r="AN158" s="171">
        <f>IFERROR(U158/2,"0")</f>
      </c>
    </row>
    <row x14ac:dyDescent="0.25" r="159" customHeight="1" ht="18.75">
      <c r="A159" s="158">
        <f>A158+1</f>
      </c>
      <c r="B159" s="159">
        <v>45779</v>
      </c>
      <c r="C159" s="147" t="s">
        <v>577</v>
      </c>
      <c r="D159" s="159">
        <v>45780</v>
      </c>
      <c r="E159" s="147" t="s">
        <v>83</v>
      </c>
      <c r="F159" s="160" t="s">
        <v>11</v>
      </c>
      <c r="G159" s="147" t="s">
        <v>530</v>
      </c>
      <c r="H159" s="147" t="s">
        <v>302</v>
      </c>
      <c r="I159" s="158">
        <v>1109</v>
      </c>
      <c r="J159" s="147" t="s">
        <v>301</v>
      </c>
      <c r="K159" s="158">
        <v>137</v>
      </c>
      <c r="L159" s="147" t="s">
        <v>10</v>
      </c>
      <c r="M159" s="161">
        <f>IFERROR(VLOOKUP(L159,'Material Master'!B:C,2,0),"")</f>
      </c>
      <c r="N159" s="158">
        <v>300</v>
      </c>
      <c r="O159" s="162">
        <f>IFERROR(M159*N159,"")</f>
      </c>
      <c r="P159" s="147" t="s">
        <v>402</v>
      </c>
      <c r="Q159" s="158"/>
      <c r="R159" s="163">
        <v>45748</v>
      </c>
      <c r="S159" s="147"/>
      <c r="T159" s="147"/>
      <c r="U159" s="158">
        <v>176</v>
      </c>
      <c r="V159" s="164">
        <v>31</v>
      </c>
      <c r="W159" s="165">
        <f>IFERROR(U159*V159,"0")</f>
      </c>
      <c r="X159" s="7"/>
      <c r="Y159" s="166">
        <f>IFERROR((O159/1000)*Masters!$C$3,"0")</f>
      </c>
      <c r="Z159" s="167"/>
      <c r="AA159" s="164">
        <f>IFERROR(VLOOKUP(L159,Masters!G:H,2,0),"0")</f>
      </c>
      <c r="AB159" s="166">
        <f>IFERROR(AA159*N159,"0")</f>
      </c>
      <c r="AC159" s="168"/>
      <c r="AD159" s="158"/>
      <c r="AE159" s="166">
        <f>W159+Y159+AB159+AD159</f>
      </c>
      <c r="AF159" s="167"/>
      <c r="AG159" s="169">
        <f>M159&amp;"-"&amp;F159</f>
      </c>
      <c r="AH159" s="166">
        <f>IFERROR(VLOOKUP(AG159,Masters!N:O,2,0),"0")</f>
      </c>
      <c r="AI159" s="166">
        <f>AH159*N159</f>
      </c>
      <c r="AJ159" s="158"/>
      <c r="AK159" s="170">
        <f>AI159-AE159</f>
      </c>
      <c r="AL159" s="167"/>
      <c r="AM159" s="147"/>
      <c r="AN159" s="171">
        <f>IFERROR(U159/2,"0")</f>
      </c>
    </row>
    <row x14ac:dyDescent="0.25" r="160" customHeight="1" ht="18.75">
      <c r="A160" s="158">
        <f>A159+1</f>
      </c>
      <c r="B160" s="159">
        <v>45779</v>
      </c>
      <c r="C160" s="147" t="s">
        <v>578</v>
      </c>
      <c r="D160" s="159">
        <v>45783</v>
      </c>
      <c r="E160" s="147" t="s">
        <v>83</v>
      </c>
      <c r="F160" s="160" t="s">
        <v>11</v>
      </c>
      <c r="G160" s="147" t="s">
        <v>530</v>
      </c>
      <c r="H160" s="147" t="s">
        <v>304</v>
      </c>
      <c r="I160" s="158">
        <v>1109</v>
      </c>
      <c r="J160" s="147" t="s">
        <v>301</v>
      </c>
      <c r="K160" s="158">
        <v>145</v>
      </c>
      <c r="L160" s="147" t="s">
        <v>10</v>
      </c>
      <c r="M160" s="161">
        <f>IFERROR(VLOOKUP(L160,'Material Master'!B:C,2,0),"")</f>
      </c>
      <c r="N160" s="158">
        <v>300</v>
      </c>
      <c r="O160" s="162">
        <f>IFERROR(M160*N160,"")</f>
      </c>
      <c r="P160" s="147" t="s">
        <v>402</v>
      </c>
      <c r="Q160" s="158"/>
      <c r="R160" s="163">
        <v>45748</v>
      </c>
      <c r="S160" s="147"/>
      <c r="T160" s="147"/>
      <c r="U160" s="158">
        <v>145</v>
      </c>
      <c r="V160" s="164">
        <v>31</v>
      </c>
      <c r="W160" s="165">
        <f>IFERROR(U160*V160,"0")</f>
      </c>
      <c r="X160" s="7"/>
      <c r="Y160" s="166">
        <f>IFERROR((O160/1000)*Masters!$C$3,"0")</f>
      </c>
      <c r="Z160" s="167"/>
      <c r="AA160" s="164">
        <f>IFERROR(VLOOKUP(L160,Masters!G:H,2,0),"0")</f>
      </c>
      <c r="AB160" s="166">
        <f>IFERROR(AA160*N160,"0")</f>
      </c>
      <c r="AC160" s="168"/>
      <c r="AD160" s="158"/>
      <c r="AE160" s="166">
        <f>W160+Y160+AB160+AD160</f>
      </c>
      <c r="AF160" s="167"/>
      <c r="AG160" s="169">
        <f>M160&amp;"-"&amp;F160</f>
      </c>
      <c r="AH160" s="166">
        <f>IFERROR(VLOOKUP(AG160,Masters!N:O,2,0),"0")</f>
      </c>
      <c r="AI160" s="166">
        <f>AH160*N160</f>
      </c>
      <c r="AJ160" s="158"/>
      <c r="AK160" s="170">
        <f>AI160-AE160</f>
      </c>
      <c r="AL160" s="167"/>
      <c r="AM160" s="147"/>
      <c r="AN160" s="171">
        <f>IFERROR(U160/2,"0")</f>
      </c>
    </row>
    <row x14ac:dyDescent="0.25" r="161" customHeight="1" ht="18.75">
      <c r="A161" s="158">
        <f>A160+1</f>
      </c>
      <c r="B161" s="159">
        <v>45779</v>
      </c>
      <c r="C161" s="147" t="s">
        <v>579</v>
      </c>
      <c r="D161" s="159">
        <v>45783</v>
      </c>
      <c r="E161" s="147" t="s">
        <v>83</v>
      </c>
      <c r="F161" s="160" t="s">
        <v>11</v>
      </c>
      <c r="G161" s="147" t="s">
        <v>530</v>
      </c>
      <c r="H161" s="147" t="s">
        <v>302</v>
      </c>
      <c r="I161" s="158">
        <v>1109</v>
      </c>
      <c r="J161" s="147" t="s">
        <v>301</v>
      </c>
      <c r="K161" s="158">
        <v>147</v>
      </c>
      <c r="L161" s="147" t="s">
        <v>10</v>
      </c>
      <c r="M161" s="161">
        <f>IFERROR(VLOOKUP(L161,'Material Master'!B:C,2,0),"")</f>
      </c>
      <c r="N161" s="158">
        <v>300</v>
      </c>
      <c r="O161" s="162">
        <f>IFERROR(M161*N161,"")</f>
      </c>
      <c r="P161" s="147" t="s">
        <v>402</v>
      </c>
      <c r="Q161" s="158"/>
      <c r="R161" s="163">
        <v>45748</v>
      </c>
      <c r="S161" s="147"/>
      <c r="T161" s="147"/>
      <c r="U161" s="158">
        <v>177</v>
      </c>
      <c r="V161" s="164">
        <v>31</v>
      </c>
      <c r="W161" s="165">
        <f>IFERROR(U161*V161,"0")</f>
      </c>
      <c r="X161" s="7"/>
      <c r="Y161" s="166">
        <f>IFERROR((O161/1000)*Masters!$C$3,"0")</f>
      </c>
      <c r="Z161" s="167"/>
      <c r="AA161" s="164">
        <f>IFERROR(VLOOKUP(L161,Masters!G:H,2,0),"0")</f>
      </c>
      <c r="AB161" s="166">
        <f>IFERROR(AA161*N161,"0")</f>
      </c>
      <c r="AC161" s="168"/>
      <c r="AD161" s="158"/>
      <c r="AE161" s="166">
        <f>W161+Y161+AB161+AD161</f>
      </c>
      <c r="AF161" s="167"/>
      <c r="AG161" s="169">
        <f>M161&amp;"-"&amp;F161</f>
      </c>
      <c r="AH161" s="166">
        <f>IFERROR(VLOOKUP(AG161,Masters!N:O,2,0),"0")</f>
      </c>
      <c r="AI161" s="166">
        <f>AH161*N161</f>
      </c>
      <c r="AJ161" s="158"/>
      <c r="AK161" s="170">
        <f>AI161-AE161</f>
      </c>
      <c r="AL161" s="167"/>
      <c r="AM161" s="147"/>
      <c r="AN161" s="171">
        <f>IFERROR(U161/2,"0")</f>
      </c>
    </row>
    <row x14ac:dyDescent="0.25" r="162" customHeight="1" ht="18.75">
      <c r="A162" s="158">
        <f>A161+1</f>
      </c>
      <c r="B162" s="159">
        <v>45779</v>
      </c>
      <c r="C162" s="147" t="s">
        <v>580</v>
      </c>
      <c r="D162" s="159">
        <v>45780</v>
      </c>
      <c r="E162" s="147" t="s">
        <v>210</v>
      </c>
      <c r="F162" s="160" t="s">
        <v>16</v>
      </c>
      <c r="G162" s="147" t="s">
        <v>117</v>
      </c>
      <c r="H162" s="147" t="s">
        <v>303</v>
      </c>
      <c r="I162" s="158">
        <v>1109</v>
      </c>
      <c r="J162" s="147" t="s">
        <v>301</v>
      </c>
      <c r="K162" s="158">
        <v>139</v>
      </c>
      <c r="L162" s="147" t="s">
        <v>10</v>
      </c>
      <c r="M162" s="161">
        <f>IFERROR(VLOOKUP(L162,'Material Master'!B:C,2,0),"")</f>
      </c>
      <c r="N162" s="158">
        <v>200</v>
      </c>
      <c r="O162" s="162">
        <f>IFERROR(M162*N162,"")</f>
      </c>
      <c r="P162" s="147" t="s">
        <v>402</v>
      </c>
      <c r="Q162" s="158"/>
      <c r="R162" s="163">
        <v>45748</v>
      </c>
      <c r="S162" s="147"/>
      <c r="T162" s="147"/>
      <c r="U162" s="158">
        <v>369</v>
      </c>
      <c r="V162" s="164">
        <v>31</v>
      </c>
      <c r="W162" s="165">
        <f>IFERROR(U162*V162,"0")</f>
      </c>
      <c r="X162" s="7"/>
      <c r="Y162" s="166">
        <f>IFERROR((O162/1000)*Masters!$C$3,"0")</f>
      </c>
      <c r="Z162" s="167"/>
      <c r="AA162" s="164">
        <f>IFERROR(VLOOKUP(L162,Masters!G:H,2,0),"0")</f>
      </c>
      <c r="AB162" s="166">
        <f>IFERROR(AA162*N162,"0")</f>
      </c>
      <c r="AC162" s="168"/>
      <c r="AD162" s="158"/>
      <c r="AE162" s="166">
        <f>W162+Y162+AB162+AD162</f>
      </c>
      <c r="AF162" s="167"/>
      <c r="AG162" s="169">
        <f>M162&amp;"-"&amp;F162</f>
      </c>
      <c r="AH162" s="166">
        <f>IFERROR(VLOOKUP(AG162,Masters!N:O,2,0),"0")</f>
      </c>
      <c r="AI162" s="166">
        <f>AH162*N162</f>
      </c>
      <c r="AJ162" s="158"/>
      <c r="AK162" s="170">
        <f>AI162-AE162</f>
      </c>
      <c r="AL162" s="167"/>
      <c r="AM162" s="147"/>
      <c r="AN162" s="171">
        <f>IFERROR(U162/2,"0")</f>
      </c>
    </row>
    <row x14ac:dyDescent="0.25" r="163" customHeight="1" ht="18.75">
      <c r="A163" s="158">
        <f>A162+1</f>
      </c>
      <c r="B163" s="159">
        <v>45782</v>
      </c>
      <c r="C163" s="147" t="s">
        <v>581</v>
      </c>
      <c r="D163" s="159">
        <v>45782</v>
      </c>
      <c r="E163" s="147" t="s">
        <v>108</v>
      </c>
      <c r="F163" s="160" t="s">
        <v>11</v>
      </c>
      <c r="G163" s="147" t="s">
        <v>530</v>
      </c>
      <c r="H163" s="147" t="s">
        <v>302</v>
      </c>
      <c r="I163" s="158">
        <v>1109</v>
      </c>
      <c r="J163" s="147" t="s">
        <v>301</v>
      </c>
      <c r="K163" s="158">
        <v>142</v>
      </c>
      <c r="L163" s="147" t="s">
        <v>15</v>
      </c>
      <c r="M163" s="161">
        <f>IFERROR(VLOOKUP(L163,'Material Master'!B:C,2,0),"")</f>
      </c>
      <c r="N163" s="158">
        <v>30</v>
      </c>
      <c r="O163" s="162">
        <f>IFERROR(M163*N163,"")</f>
      </c>
      <c r="P163" s="147" t="s">
        <v>402</v>
      </c>
      <c r="Q163" s="158"/>
      <c r="R163" s="163">
        <v>45778</v>
      </c>
      <c r="S163" s="147"/>
      <c r="T163" s="147"/>
      <c r="U163" s="158">
        <v>178</v>
      </c>
      <c r="V163" s="164">
        <v>31</v>
      </c>
      <c r="W163" s="165">
        <f>IFERROR(U163*V163,"0")</f>
      </c>
      <c r="X163" s="7"/>
      <c r="Y163" s="166">
        <f>IFERROR((O163/1000)*Masters!$C$3,"0")</f>
      </c>
      <c r="Z163" s="167"/>
      <c r="AA163" s="164">
        <f>IFERROR(VLOOKUP(L163,Masters!G:H,2,0),"0")</f>
      </c>
      <c r="AB163" s="166">
        <f>IFERROR(AA163*N163,"0")</f>
      </c>
      <c r="AC163" s="168"/>
      <c r="AD163" s="158"/>
      <c r="AE163" s="166">
        <f>W163+Y163+AB163+AD163</f>
      </c>
      <c r="AF163" s="167"/>
      <c r="AG163" s="169">
        <f>M163&amp;"-"&amp;F163</f>
      </c>
      <c r="AH163" s="166">
        <f>IFERROR(VLOOKUP(AG163,Masters!N:O,2,0),"0")</f>
      </c>
      <c r="AI163" s="166">
        <f>AH163*N163</f>
      </c>
      <c r="AJ163" s="158"/>
      <c r="AK163" s="170">
        <f>AI163-AE163</f>
      </c>
      <c r="AL163" s="167"/>
      <c r="AM163" s="147"/>
      <c r="AN163" s="171">
        <f>IFERROR(U163/2,"0")</f>
      </c>
    </row>
    <row x14ac:dyDescent="0.25" r="164" customHeight="1" ht="18.75">
      <c r="A164" s="158">
        <f>A163+1</f>
      </c>
      <c r="B164" s="159">
        <v>45782</v>
      </c>
      <c r="C164" s="174" t="s">
        <v>582</v>
      </c>
      <c r="D164" s="159">
        <v>45783</v>
      </c>
      <c r="E164" s="174" t="s">
        <v>130</v>
      </c>
      <c r="F164" s="175" t="s">
        <v>11</v>
      </c>
      <c r="G164" s="174" t="s">
        <v>76</v>
      </c>
      <c r="H164" s="174" t="s">
        <v>305</v>
      </c>
      <c r="I164" s="176">
        <v>709</v>
      </c>
      <c r="J164" s="174" t="s">
        <v>301</v>
      </c>
      <c r="K164" s="176">
        <v>148</v>
      </c>
      <c r="L164" s="174" t="s">
        <v>10</v>
      </c>
      <c r="M164" s="177">
        <f>IFERROR(VLOOKUP(L164,'Material Master'!B:C,2,0),"")</f>
      </c>
      <c r="N164" s="176">
        <v>100</v>
      </c>
      <c r="O164" s="178">
        <f>IFERROR(M164*N164,"")</f>
      </c>
      <c r="P164" s="174" t="s">
        <v>402</v>
      </c>
      <c r="Q164" s="176"/>
      <c r="R164" s="179">
        <v>45778</v>
      </c>
      <c r="S164" s="174" t="s">
        <v>490</v>
      </c>
      <c r="T164" s="174"/>
      <c r="U164" s="176">
        <v>140</v>
      </c>
      <c r="V164" s="177">
        <v>31</v>
      </c>
      <c r="W164" s="180">
        <f>IFERROR(U164*V164,"0")</f>
      </c>
      <c r="X164" s="181"/>
      <c r="Y164" s="166">
        <f>IFERROR((O164/1000)*Masters!$C$3,"0")</f>
      </c>
      <c r="Z164" s="182"/>
      <c r="AA164" s="164">
        <f>IFERROR(VLOOKUP(L164,Masters!G:H,2,0),"0")</f>
      </c>
      <c r="AB164" s="166">
        <f>IFERROR(AA164*N164,"0")</f>
      </c>
      <c r="AC164" s="183"/>
      <c r="AD164" s="176"/>
      <c r="AE164" s="166">
        <f>W164+Y164+AB164+AD164</f>
      </c>
      <c r="AF164" s="182"/>
      <c r="AG164" s="169">
        <f>M164&amp;"-"&amp;F164</f>
      </c>
      <c r="AH164" s="166">
        <f>IFERROR(VLOOKUP(AG164,Masters!N:O,2,0),"0")</f>
      </c>
      <c r="AI164" s="166">
        <f>AH164*N164</f>
      </c>
      <c r="AJ164" s="176"/>
      <c r="AK164" s="170">
        <f>AI164-AE164</f>
      </c>
      <c r="AL164" s="182"/>
      <c r="AM164" s="174"/>
      <c r="AN164" s="171">
        <f>IFERROR(U164/2,"0")</f>
      </c>
    </row>
    <row x14ac:dyDescent="0.25" r="165" customHeight="1" ht="18.75">
      <c r="A165" s="158">
        <f>A164+1</f>
      </c>
      <c r="B165" s="159">
        <v>45782</v>
      </c>
      <c r="C165" s="173" t="s">
        <v>583</v>
      </c>
      <c r="D165" s="159"/>
      <c r="E165" s="173" t="s">
        <v>584</v>
      </c>
      <c r="F165" s="173"/>
      <c r="G165" s="173" t="s">
        <v>248</v>
      </c>
      <c r="H165" s="173"/>
      <c r="I165" s="184">
        <v>709</v>
      </c>
      <c r="J165" s="173"/>
      <c r="K165" s="184"/>
      <c r="L165" s="173"/>
      <c r="M165" s="185">
        <f>IFERROR(VLOOKUP(L165,'Material Master'!B:C,2,0),"")</f>
      </c>
      <c r="N165" s="184"/>
      <c r="O165" s="186">
        <f>IFERROR(M165*N165,"")</f>
      </c>
      <c r="P165" s="173"/>
      <c r="Q165" s="184"/>
      <c r="R165" s="187">
        <v>45778</v>
      </c>
      <c r="S165" s="173" t="s">
        <v>504</v>
      </c>
      <c r="T165" s="188"/>
      <c r="U165" s="184"/>
      <c r="V165" s="185">
        <v>31</v>
      </c>
      <c r="W165" s="189">
        <f>IFERROR(U165*V165,"0")</f>
      </c>
      <c r="X165" s="190"/>
      <c r="Y165" s="191">
        <f>IFERROR((O165/1000)*Masters!$C$3,"0")</f>
      </c>
      <c r="Z165" s="192"/>
      <c r="AA165" s="164">
        <f>IFERROR(VLOOKUP(L165,Masters!G:H,2,0),"0")</f>
      </c>
      <c r="AB165" s="166">
        <f>IFERROR(AA165*N165,"0")</f>
      </c>
      <c r="AC165" s="193"/>
      <c r="AD165" s="190"/>
      <c r="AE165" s="166">
        <f>W165+Y165+AB165+AD165</f>
      </c>
      <c r="AF165" s="192"/>
      <c r="AG165" s="169">
        <f>M165&amp;"-"&amp;F165</f>
      </c>
      <c r="AH165" s="191">
        <f>IFERROR(VLOOKUP(AG165,Masters!N:O,2,0),"0")</f>
      </c>
      <c r="AI165" s="166">
        <f>AH165*N165</f>
      </c>
      <c r="AJ165" s="190"/>
      <c r="AK165" s="170">
        <f>AI165-AE165</f>
      </c>
      <c r="AL165" s="192"/>
      <c r="AM165" s="188"/>
      <c r="AN165" s="171">
        <f>IFERROR(U165/2,"0")</f>
      </c>
    </row>
    <row x14ac:dyDescent="0.25" r="166" customHeight="1" ht="18.75">
      <c r="A166" s="158">
        <f>A165+1</f>
      </c>
      <c r="B166" s="159">
        <v>45783</v>
      </c>
      <c r="C166" s="147" t="s">
        <v>585</v>
      </c>
      <c r="D166" s="159">
        <v>45784</v>
      </c>
      <c r="E166" s="147" t="s">
        <v>173</v>
      </c>
      <c r="F166" s="160" t="s">
        <v>11</v>
      </c>
      <c r="G166" s="147" t="s">
        <v>230</v>
      </c>
      <c r="H166" s="147" t="s">
        <v>302</v>
      </c>
      <c r="I166" s="158">
        <v>1109</v>
      </c>
      <c r="J166" s="147" t="s">
        <v>301</v>
      </c>
      <c r="K166" s="158">
        <v>150</v>
      </c>
      <c r="L166" s="147" t="s">
        <v>10</v>
      </c>
      <c r="M166" s="161">
        <f>IFERROR(VLOOKUP(L166,'Material Master'!B:C,2,0),"")</f>
      </c>
      <c r="N166" s="158">
        <v>300</v>
      </c>
      <c r="O166" s="162">
        <f>IFERROR(M166*N166,"")</f>
      </c>
      <c r="P166" s="147" t="s">
        <v>402</v>
      </c>
      <c r="Q166" s="158"/>
      <c r="R166" s="163">
        <v>45778</v>
      </c>
      <c r="S166" s="147"/>
      <c r="T166" s="147"/>
      <c r="U166" s="158">
        <v>64</v>
      </c>
      <c r="V166" s="164">
        <v>31</v>
      </c>
      <c r="W166" s="165">
        <f>IFERROR(U166*V166,"0")</f>
      </c>
      <c r="X166" s="7"/>
      <c r="Y166" s="166">
        <f>IFERROR((O166/1000)*Masters!$C$3,"0")</f>
      </c>
      <c r="Z166" s="167"/>
      <c r="AA166" s="164">
        <f>IFERROR(VLOOKUP(L166,Masters!G:H,2,0),"0")</f>
      </c>
      <c r="AB166" s="166">
        <f>IFERROR(AA166*N166,"0")</f>
      </c>
      <c r="AC166" s="168"/>
      <c r="AD166" s="158"/>
      <c r="AE166" s="166">
        <f>W166+Y166+AB166+AD166</f>
      </c>
      <c r="AF166" s="167"/>
      <c r="AG166" s="169">
        <f>M166&amp;"-"&amp;F166</f>
      </c>
      <c r="AH166" s="166">
        <f>IFERROR(VLOOKUP(AG166,Masters!N:O,2,0),"0")</f>
      </c>
      <c r="AI166" s="166">
        <f>AH166*N166</f>
      </c>
      <c r="AJ166" s="158"/>
      <c r="AK166" s="170">
        <f>AI166-AE166</f>
      </c>
      <c r="AL166" s="167"/>
      <c r="AM166" s="147"/>
      <c r="AN166" s="171">
        <f>IFERROR(U166/2,"0")</f>
      </c>
    </row>
    <row x14ac:dyDescent="0.25" r="167" customHeight="1" ht="18.75">
      <c r="A167" s="158">
        <f>A166+1</f>
      </c>
      <c r="B167" s="159">
        <v>45783</v>
      </c>
      <c r="C167" s="147" t="s">
        <v>586</v>
      </c>
      <c r="D167" s="159">
        <v>45784</v>
      </c>
      <c r="E167" s="147" t="s">
        <v>152</v>
      </c>
      <c r="F167" s="160" t="s">
        <v>16</v>
      </c>
      <c r="G167" s="147" t="s">
        <v>153</v>
      </c>
      <c r="H167" s="147" t="s">
        <v>304</v>
      </c>
      <c r="I167" s="158">
        <v>909</v>
      </c>
      <c r="J167" s="147" t="s">
        <v>301</v>
      </c>
      <c r="K167" s="158">
        <v>149</v>
      </c>
      <c r="L167" s="147" t="s">
        <v>10</v>
      </c>
      <c r="M167" s="161">
        <f>IFERROR(VLOOKUP(L167,'Material Master'!B:C,2,0),"")</f>
      </c>
      <c r="N167" s="158">
        <v>200</v>
      </c>
      <c r="O167" s="162">
        <f>IFERROR(M167*N167,"")</f>
      </c>
      <c r="P167" s="147" t="s">
        <v>402</v>
      </c>
      <c r="Q167" s="158"/>
      <c r="R167" s="163">
        <v>45778</v>
      </c>
      <c r="S167" s="147"/>
      <c r="T167" s="147"/>
      <c r="U167" s="158">
        <v>486</v>
      </c>
      <c r="V167" s="164">
        <v>31</v>
      </c>
      <c r="W167" s="165">
        <f>IFERROR(U167*V167,"0")</f>
      </c>
      <c r="X167" s="7"/>
      <c r="Y167" s="166">
        <f>IFERROR((O167/1000)*Masters!$C$3,"0")</f>
      </c>
      <c r="Z167" s="167"/>
      <c r="AA167" s="164">
        <f>IFERROR(VLOOKUP(L167,Masters!G:H,2,0),"0")</f>
      </c>
      <c r="AB167" s="166">
        <f>IFERROR(AA167*N167,"0")</f>
      </c>
      <c r="AC167" s="168"/>
      <c r="AD167" s="158"/>
      <c r="AE167" s="166">
        <f>W167+Y167+AB167+AD167</f>
      </c>
      <c r="AF167" s="167"/>
      <c r="AG167" s="169">
        <f>M167&amp;"-"&amp;F167</f>
      </c>
      <c r="AH167" s="166">
        <f>IFERROR(VLOOKUP(AG167,Masters!N:O,2,0),"0")</f>
      </c>
      <c r="AI167" s="166">
        <f>AH167*N167</f>
      </c>
      <c r="AJ167" s="158"/>
      <c r="AK167" s="170">
        <f>AI167-AE167</f>
      </c>
      <c r="AL167" s="167"/>
      <c r="AM167" s="147"/>
      <c r="AN167" s="171">
        <f>IFERROR(U167/2,"0")</f>
      </c>
    </row>
    <row x14ac:dyDescent="0.25" r="168" customHeight="1" ht="18.75">
      <c r="A168" s="158">
        <f>A167+1</f>
      </c>
      <c r="B168" s="159">
        <v>45784</v>
      </c>
      <c r="C168" s="147" t="s">
        <v>587</v>
      </c>
      <c r="D168" s="159">
        <v>45784</v>
      </c>
      <c r="E168" s="147" t="s">
        <v>126</v>
      </c>
      <c r="F168" s="160" t="s">
        <v>16</v>
      </c>
      <c r="G168" s="147" t="s">
        <v>197</v>
      </c>
      <c r="H168" s="147" t="s">
        <v>305</v>
      </c>
      <c r="I168" s="158">
        <v>909</v>
      </c>
      <c r="J168" s="147" t="s">
        <v>301</v>
      </c>
      <c r="K168" s="158">
        <v>151</v>
      </c>
      <c r="L168" s="147" t="s">
        <v>10</v>
      </c>
      <c r="M168" s="161">
        <f>IFERROR(VLOOKUP(L168,'Material Master'!B:C,2,0),"")</f>
      </c>
      <c r="N168" s="158">
        <v>200</v>
      </c>
      <c r="O168" s="162">
        <f>IFERROR(M168*N168,"")</f>
      </c>
      <c r="P168" s="147" t="s">
        <v>402</v>
      </c>
      <c r="Q168" s="158"/>
      <c r="R168" s="163">
        <v>45778</v>
      </c>
      <c r="S168" s="147"/>
      <c r="T168" s="147"/>
      <c r="U168" s="158">
        <v>208</v>
      </c>
      <c r="V168" s="164">
        <v>31</v>
      </c>
      <c r="W168" s="165">
        <f>IFERROR(U168*V168,"0")</f>
      </c>
      <c r="X168" s="7"/>
      <c r="Y168" s="166">
        <f>IFERROR((O168/1000)*Masters!$C$3,"0")</f>
      </c>
      <c r="Z168" s="167"/>
      <c r="AA168" s="164">
        <f>IFERROR(VLOOKUP(L168,Masters!G:H,2,0),"0")</f>
      </c>
      <c r="AB168" s="166">
        <f>IFERROR(AA168*N168,"0")</f>
      </c>
      <c r="AC168" s="168"/>
      <c r="AD168" s="158"/>
      <c r="AE168" s="166">
        <f>W168+Y168+AB168+AD168</f>
      </c>
      <c r="AF168" s="167"/>
      <c r="AG168" s="169">
        <f>M168&amp;"-"&amp;F168</f>
      </c>
      <c r="AH168" s="166">
        <f>IFERROR(VLOOKUP(AG168,Masters!N:O,2,0),"0")</f>
      </c>
      <c r="AI168" s="166">
        <f>AH168*N168</f>
      </c>
      <c r="AJ168" s="158"/>
      <c r="AK168" s="170">
        <f>AI168-AE168</f>
      </c>
      <c r="AL168" s="167"/>
      <c r="AM168" s="147"/>
      <c r="AN168" s="171">
        <f>IFERROR(U168/2,"0")</f>
      </c>
    </row>
    <row x14ac:dyDescent="0.25" r="169" customHeight="1" ht="18.75">
      <c r="A169" s="158">
        <f>A168+1</f>
      </c>
      <c r="B169" s="159">
        <v>45784</v>
      </c>
      <c r="C169" s="147" t="s">
        <v>588</v>
      </c>
      <c r="D169" s="159">
        <v>45784</v>
      </c>
      <c r="E169" s="147" t="s">
        <v>126</v>
      </c>
      <c r="F169" s="160" t="s">
        <v>16</v>
      </c>
      <c r="G169" s="147" t="s">
        <v>197</v>
      </c>
      <c r="H169" s="147" t="s">
        <v>303</v>
      </c>
      <c r="I169" s="158">
        <v>1109</v>
      </c>
      <c r="J169" s="147" t="s">
        <v>301</v>
      </c>
      <c r="K169" s="158">
        <v>152</v>
      </c>
      <c r="L169" s="147" t="s">
        <v>10</v>
      </c>
      <c r="M169" s="161">
        <f>IFERROR(VLOOKUP(L169,'Material Master'!B:C,2,0),"")</f>
      </c>
      <c r="N169" s="158">
        <v>300</v>
      </c>
      <c r="O169" s="162">
        <f>IFERROR(M169*N169,"")</f>
      </c>
      <c r="P169" s="147" t="s">
        <v>402</v>
      </c>
      <c r="Q169" s="158"/>
      <c r="R169" s="163">
        <v>45778</v>
      </c>
      <c r="S169" s="147"/>
      <c r="T169" s="147"/>
      <c r="U169" s="158">
        <v>211</v>
      </c>
      <c r="V169" s="164">
        <v>31</v>
      </c>
      <c r="W169" s="165">
        <f>IFERROR(U169*V169,"0")</f>
      </c>
      <c r="X169" s="7"/>
      <c r="Y169" s="166">
        <f>IFERROR((O169/1000)*Masters!$C$3,"0")</f>
      </c>
      <c r="Z169" s="167"/>
      <c r="AA169" s="164">
        <f>IFERROR(VLOOKUP(L169,Masters!G:H,2,0),"0")</f>
      </c>
      <c r="AB169" s="166">
        <f>IFERROR(AA169*N169,"0")</f>
      </c>
      <c r="AC169" s="168"/>
      <c r="AD169" s="158"/>
      <c r="AE169" s="166">
        <f>W169+Y169+AB169+AD169</f>
      </c>
      <c r="AF169" s="167"/>
      <c r="AG169" s="169">
        <f>M169&amp;"-"&amp;F169</f>
      </c>
      <c r="AH169" s="166">
        <f>IFERROR(VLOOKUP(AG169,Masters!N:O,2,0),"0")</f>
      </c>
      <c r="AI169" s="166">
        <f>AH169*N169</f>
      </c>
      <c r="AJ169" s="158"/>
      <c r="AK169" s="170">
        <f>AI169-AE169</f>
      </c>
      <c r="AL169" s="167"/>
      <c r="AM169" s="147"/>
      <c r="AN169" s="171">
        <f>IFERROR(U169/2,"0")</f>
      </c>
    </row>
    <row x14ac:dyDescent="0.25" r="170" customHeight="1" ht="18.75">
      <c r="A170" s="158">
        <f>A169+1</f>
      </c>
      <c r="B170" s="159">
        <v>45784</v>
      </c>
      <c r="C170" s="147" t="s">
        <v>589</v>
      </c>
      <c r="D170" s="159">
        <v>45785</v>
      </c>
      <c r="E170" s="147" t="s">
        <v>79</v>
      </c>
      <c r="F170" s="160" t="s">
        <v>11</v>
      </c>
      <c r="G170" s="147" t="s">
        <v>86</v>
      </c>
      <c r="H170" s="147" t="s">
        <v>302</v>
      </c>
      <c r="I170" s="158">
        <v>1109</v>
      </c>
      <c r="J170" s="147" t="s">
        <v>301</v>
      </c>
      <c r="K170" s="158">
        <v>153</v>
      </c>
      <c r="L170" s="147" t="s">
        <v>15</v>
      </c>
      <c r="M170" s="161">
        <f>IFERROR(VLOOKUP(L170,'Material Master'!B:C,2,0),"")</f>
      </c>
      <c r="N170" s="158">
        <v>30</v>
      </c>
      <c r="O170" s="162">
        <f>IFERROR(M170*N170,"")</f>
      </c>
      <c r="P170" s="147" t="s">
        <v>402</v>
      </c>
      <c r="Q170" s="158"/>
      <c r="R170" s="163">
        <v>45778</v>
      </c>
      <c r="S170" s="147"/>
      <c r="T170" s="147"/>
      <c r="U170" s="158">
        <v>152</v>
      </c>
      <c r="V170" s="164">
        <v>31</v>
      </c>
      <c r="W170" s="165">
        <f>IFERROR(U170*V170,"0")</f>
      </c>
      <c r="X170" s="7"/>
      <c r="Y170" s="166">
        <f>IFERROR((O170/1000)*Masters!$C$3,"0")</f>
      </c>
      <c r="Z170" s="167"/>
      <c r="AA170" s="164">
        <f>IFERROR(VLOOKUP(L170,Masters!G:H,2,0),"0")</f>
      </c>
      <c r="AB170" s="166">
        <f>IFERROR(AA170*N170,"0")</f>
      </c>
      <c r="AC170" s="168"/>
      <c r="AD170" s="158"/>
      <c r="AE170" s="166">
        <f>W170+Y170+AB170+AD170</f>
      </c>
      <c r="AF170" s="167"/>
      <c r="AG170" s="169">
        <f>M170&amp;"-"&amp;F170</f>
      </c>
      <c r="AH170" s="166">
        <f>IFERROR(VLOOKUP(AG170,Masters!N:O,2,0),"0")</f>
      </c>
      <c r="AI170" s="166">
        <f>AH170*N170</f>
      </c>
      <c r="AJ170" s="158"/>
      <c r="AK170" s="170">
        <f>AI170-AE170</f>
      </c>
      <c r="AL170" s="167"/>
      <c r="AM170" s="147"/>
      <c r="AN170" s="171">
        <f>IFERROR(U170/2,"0")</f>
      </c>
    </row>
    <row x14ac:dyDescent="0.25" r="171" customHeight="1" ht="18.75">
      <c r="A171" s="158">
        <f>A170+1</f>
      </c>
      <c r="B171" s="159">
        <v>45786</v>
      </c>
      <c r="C171" s="147" t="s">
        <v>590</v>
      </c>
      <c r="D171" s="159">
        <v>45786</v>
      </c>
      <c r="E171" s="147" t="s">
        <v>79</v>
      </c>
      <c r="F171" s="160" t="s">
        <v>11</v>
      </c>
      <c r="G171" s="147" t="s">
        <v>86</v>
      </c>
      <c r="H171" s="147" t="s">
        <v>302</v>
      </c>
      <c r="I171" s="158">
        <v>1109</v>
      </c>
      <c r="J171" s="147" t="s">
        <v>301</v>
      </c>
      <c r="K171" s="158">
        <v>156</v>
      </c>
      <c r="L171" s="147" t="s">
        <v>15</v>
      </c>
      <c r="M171" s="161">
        <f>IFERROR(VLOOKUP(L171,'Material Master'!B:C,2,0),"")</f>
      </c>
      <c r="N171" s="158">
        <v>30</v>
      </c>
      <c r="O171" s="162">
        <f>IFERROR(M171*N171,"")</f>
      </c>
      <c r="P171" s="147" t="s">
        <v>402</v>
      </c>
      <c r="Q171" s="158"/>
      <c r="R171" s="163">
        <v>45778</v>
      </c>
      <c r="S171" s="147"/>
      <c r="T171" s="147"/>
      <c r="U171" s="158">
        <v>155</v>
      </c>
      <c r="V171" s="164">
        <v>31</v>
      </c>
      <c r="W171" s="165">
        <f>IFERROR(U171*V171,"0")</f>
      </c>
      <c r="X171" s="7"/>
      <c r="Y171" s="166">
        <f>IFERROR((O171/1000)*Masters!$C$3,"0")</f>
      </c>
      <c r="Z171" s="167"/>
      <c r="AA171" s="164">
        <f>IFERROR(VLOOKUP(L171,Masters!G:H,2,0),"0")</f>
      </c>
      <c r="AB171" s="166">
        <f>IFERROR(AA171*N171,"0")</f>
      </c>
      <c r="AC171" s="168"/>
      <c r="AD171" s="158"/>
      <c r="AE171" s="166">
        <f>W171+Y171+AB171+AD171</f>
      </c>
      <c r="AF171" s="167"/>
      <c r="AG171" s="169">
        <f>M171&amp;"-"&amp;F171</f>
      </c>
      <c r="AH171" s="166">
        <f>IFERROR(VLOOKUP(AG171,Masters!N:O,2,0),"0")</f>
      </c>
      <c r="AI171" s="166">
        <f>AH171*N171</f>
      </c>
      <c r="AJ171" s="158"/>
      <c r="AK171" s="170">
        <f>AI171-AE171</f>
      </c>
      <c r="AL171" s="167"/>
      <c r="AM171" s="147"/>
      <c r="AN171" s="171">
        <f>IFERROR(U171/2,"0")</f>
      </c>
    </row>
    <row x14ac:dyDescent="0.25" r="172" customHeight="1" ht="18.75">
      <c r="A172" s="158">
        <f>A171+1</f>
      </c>
      <c r="B172" s="159">
        <v>45786</v>
      </c>
      <c r="C172" s="147" t="s">
        <v>591</v>
      </c>
      <c r="D172" s="159">
        <v>45786</v>
      </c>
      <c r="E172" s="147" t="s">
        <v>108</v>
      </c>
      <c r="F172" s="160" t="s">
        <v>11</v>
      </c>
      <c r="G172" s="147" t="s">
        <v>530</v>
      </c>
      <c r="H172" s="147" t="s">
        <v>303</v>
      </c>
      <c r="I172" s="158">
        <v>1109</v>
      </c>
      <c r="J172" s="147" t="s">
        <v>301</v>
      </c>
      <c r="K172" s="158">
        <v>155</v>
      </c>
      <c r="L172" s="147" t="s">
        <v>15</v>
      </c>
      <c r="M172" s="161">
        <f>IFERROR(VLOOKUP(L172,'Material Master'!B:C,2,0),"")</f>
      </c>
      <c r="N172" s="158">
        <v>30</v>
      </c>
      <c r="O172" s="162">
        <f>IFERROR(M172*N172,"")</f>
      </c>
      <c r="P172" s="147" t="s">
        <v>402</v>
      </c>
      <c r="Q172" s="158"/>
      <c r="R172" s="163">
        <v>45778</v>
      </c>
      <c r="S172" s="147"/>
      <c r="T172" s="147"/>
      <c r="U172" s="158">
        <v>183</v>
      </c>
      <c r="V172" s="164">
        <v>31</v>
      </c>
      <c r="W172" s="165">
        <f>IFERROR(U172*V172,"0")</f>
      </c>
      <c r="X172" s="7"/>
      <c r="Y172" s="166">
        <f>IFERROR((O172/1000)*Masters!$C$3,"0")</f>
      </c>
      <c r="Z172" s="167"/>
      <c r="AA172" s="164">
        <f>IFERROR(VLOOKUP(L172,Masters!G:H,2,0),"0")</f>
      </c>
      <c r="AB172" s="166">
        <f>IFERROR(AA172*N172,"0")</f>
      </c>
      <c r="AC172" s="168"/>
      <c r="AD172" s="158"/>
      <c r="AE172" s="166">
        <f>W172+Y172+AB172+AD172</f>
      </c>
      <c r="AF172" s="167"/>
      <c r="AG172" s="169">
        <f>M172&amp;"-"&amp;F172</f>
      </c>
      <c r="AH172" s="166">
        <f>IFERROR(VLOOKUP(AG172,Masters!N:O,2,0),"0")</f>
      </c>
      <c r="AI172" s="166">
        <f>AH172*N172</f>
      </c>
      <c r="AJ172" s="158"/>
      <c r="AK172" s="170">
        <f>AI172-AE172</f>
      </c>
      <c r="AL172" s="167"/>
      <c r="AM172" s="147"/>
      <c r="AN172" s="171">
        <f>IFERROR(U172/2,"0")</f>
      </c>
    </row>
    <row x14ac:dyDescent="0.25" r="173" customHeight="1" ht="18.75">
      <c r="A173" s="158">
        <f>A172+1</f>
      </c>
      <c r="B173" s="159">
        <v>45787</v>
      </c>
      <c r="C173" s="147" t="s">
        <v>592</v>
      </c>
      <c r="D173" s="159">
        <v>45787</v>
      </c>
      <c r="E173" s="147" t="s">
        <v>79</v>
      </c>
      <c r="F173" s="160" t="s">
        <v>16</v>
      </c>
      <c r="G173" s="147" t="s">
        <v>167</v>
      </c>
      <c r="H173" s="147" t="s">
        <v>304</v>
      </c>
      <c r="I173" s="158">
        <v>1109</v>
      </c>
      <c r="J173" s="147" t="s">
        <v>301</v>
      </c>
      <c r="K173" s="158">
        <v>157</v>
      </c>
      <c r="L173" s="147" t="s">
        <v>15</v>
      </c>
      <c r="M173" s="161">
        <f>IFERROR(VLOOKUP(L173,'Material Master'!B:C,2,0),"")</f>
      </c>
      <c r="N173" s="158">
        <v>30</v>
      </c>
      <c r="O173" s="162">
        <f>IFERROR(M173*N173,"")</f>
      </c>
      <c r="P173" s="147" t="s">
        <v>402</v>
      </c>
      <c r="Q173" s="158"/>
      <c r="R173" s="163">
        <v>45778</v>
      </c>
      <c r="S173" s="147"/>
      <c r="T173" s="147"/>
      <c r="U173" s="158">
        <v>380</v>
      </c>
      <c r="V173" s="164">
        <v>31</v>
      </c>
      <c r="W173" s="165">
        <f>IFERROR(U173*V173,"0")</f>
      </c>
      <c r="X173" s="7"/>
      <c r="Y173" s="166">
        <f>IFERROR((O173/1000)*Masters!$C$3,"0")</f>
      </c>
      <c r="Z173" s="167"/>
      <c r="AA173" s="164">
        <f>IFERROR(VLOOKUP(L173,Masters!G:H,2,0),"0")</f>
      </c>
      <c r="AB173" s="166">
        <f>IFERROR(AA173*N173,"0")</f>
      </c>
      <c r="AC173" s="168"/>
      <c r="AD173" s="158"/>
      <c r="AE173" s="166">
        <f>W173+Y173+AB173+AD173</f>
      </c>
      <c r="AF173" s="167"/>
      <c r="AG173" s="169">
        <f>M173&amp;"-"&amp;F173</f>
      </c>
      <c r="AH173" s="166">
        <f>IFERROR(VLOOKUP(AG173,Masters!N:O,2,0),"0")</f>
      </c>
      <c r="AI173" s="166">
        <f>AH173*N173</f>
      </c>
      <c r="AJ173" s="158"/>
      <c r="AK173" s="170">
        <f>AI173-AE173</f>
      </c>
      <c r="AL173" s="167"/>
      <c r="AM173" s="147"/>
      <c r="AN173" s="171">
        <f>IFERROR(U173/2,"0")</f>
      </c>
    </row>
    <row x14ac:dyDescent="0.25" r="174" customHeight="1" ht="18.75">
      <c r="A174" s="158">
        <f>A173+1</f>
      </c>
      <c r="B174" s="159">
        <v>45787</v>
      </c>
      <c r="C174" s="147" t="s">
        <v>593</v>
      </c>
      <c r="D174" s="159">
        <v>45787</v>
      </c>
      <c r="E174" s="147" t="s">
        <v>75</v>
      </c>
      <c r="F174" s="160" t="s">
        <v>16</v>
      </c>
      <c r="G174" s="147" t="s">
        <v>147</v>
      </c>
      <c r="H174" s="147" t="s">
        <v>305</v>
      </c>
      <c r="I174" s="158">
        <v>1109</v>
      </c>
      <c r="J174" s="147" t="s">
        <v>301</v>
      </c>
      <c r="K174" s="158">
        <v>158</v>
      </c>
      <c r="L174" s="147" t="s">
        <v>10</v>
      </c>
      <c r="M174" s="161">
        <f>IFERROR(VLOOKUP(L174,'Material Master'!B:C,2,0),"")</f>
      </c>
      <c r="N174" s="158">
        <v>300</v>
      </c>
      <c r="O174" s="162">
        <f>IFERROR(M174*N174,"")</f>
      </c>
      <c r="P174" s="147" t="s">
        <v>402</v>
      </c>
      <c r="Q174" s="158"/>
      <c r="R174" s="163">
        <v>45778</v>
      </c>
      <c r="S174" s="147"/>
      <c r="T174" s="147"/>
      <c r="U174" s="158">
        <v>298</v>
      </c>
      <c r="V174" s="164">
        <v>31</v>
      </c>
      <c r="W174" s="165">
        <f>IFERROR(U174*V174,"0")</f>
      </c>
      <c r="X174" s="7"/>
      <c r="Y174" s="166">
        <f>IFERROR((O174/1000)*Masters!$C$3,"0")</f>
      </c>
      <c r="Z174" s="167"/>
      <c r="AA174" s="164">
        <f>IFERROR(VLOOKUP(L174,Masters!G:H,2,0),"0")</f>
      </c>
      <c r="AB174" s="166">
        <f>IFERROR(AA174*N174,"0")</f>
      </c>
      <c r="AC174" s="168"/>
      <c r="AD174" s="158"/>
      <c r="AE174" s="166">
        <f>W174+Y174+AB174+AD174</f>
      </c>
      <c r="AF174" s="167"/>
      <c r="AG174" s="169">
        <f>M174&amp;"-"&amp;F174</f>
      </c>
      <c r="AH174" s="166">
        <f>IFERROR(VLOOKUP(AG174,Masters!N:O,2,0),"0")</f>
      </c>
      <c r="AI174" s="166">
        <f>AH174*N174</f>
      </c>
      <c r="AJ174" s="158"/>
      <c r="AK174" s="170">
        <f>AI174-AE174</f>
      </c>
      <c r="AL174" s="167"/>
      <c r="AM174" s="147"/>
      <c r="AN174" s="171">
        <f>IFERROR(U174/2,"0")</f>
      </c>
    </row>
    <row x14ac:dyDescent="0.25" r="175" customHeight="1" ht="18.75">
      <c r="A175" s="158">
        <f>A174+1</f>
      </c>
      <c r="B175" s="159">
        <v>45787</v>
      </c>
      <c r="C175" s="147" t="s">
        <v>594</v>
      </c>
      <c r="D175" s="159">
        <v>45787</v>
      </c>
      <c r="E175" s="147" t="s">
        <v>75</v>
      </c>
      <c r="F175" s="160" t="s">
        <v>16</v>
      </c>
      <c r="G175" s="147" t="s">
        <v>151</v>
      </c>
      <c r="H175" s="147" t="s">
        <v>302</v>
      </c>
      <c r="I175" s="158">
        <v>1109</v>
      </c>
      <c r="J175" s="147" t="s">
        <v>301</v>
      </c>
      <c r="K175" s="158">
        <v>159</v>
      </c>
      <c r="L175" s="147" t="s">
        <v>10</v>
      </c>
      <c r="M175" s="161">
        <f>IFERROR(VLOOKUP(L175,'Material Master'!B:C,2,0),"")</f>
      </c>
      <c r="N175" s="158">
        <v>300</v>
      </c>
      <c r="O175" s="162">
        <f>IFERROR(M175*N175,"")</f>
      </c>
      <c r="P175" s="147" t="s">
        <v>402</v>
      </c>
      <c r="Q175" s="158"/>
      <c r="R175" s="163">
        <v>45778</v>
      </c>
      <c r="S175" s="147"/>
      <c r="T175" s="147"/>
      <c r="U175" s="158">
        <v>236</v>
      </c>
      <c r="V175" s="164">
        <v>31</v>
      </c>
      <c r="W175" s="165">
        <f>IFERROR(U175*V175,"0")</f>
      </c>
      <c r="X175" s="7"/>
      <c r="Y175" s="166">
        <f>IFERROR((O175/1000)*Masters!$C$3,"0")</f>
      </c>
      <c r="Z175" s="167"/>
      <c r="AA175" s="164">
        <f>IFERROR(VLOOKUP(L175,Masters!G:H,2,0),"0")</f>
      </c>
      <c r="AB175" s="166">
        <f>IFERROR(AA175*N175,"0")</f>
      </c>
      <c r="AC175" s="168"/>
      <c r="AD175" s="158"/>
      <c r="AE175" s="166">
        <f>W175+Y175+AB175+AD175</f>
      </c>
      <c r="AF175" s="167"/>
      <c r="AG175" s="169">
        <f>M175&amp;"-"&amp;F175</f>
      </c>
      <c r="AH175" s="166">
        <f>IFERROR(VLOOKUP(AG175,Masters!N:O,2,0),"0")</f>
      </c>
      <c r="AI175" s="166">
        <f>AH175*N175</f>
      </c>
      <c r="AJ175" s="158"/>
      <c r="AK175" s="170">
        <f>AI175-AE175</f>
      </c>
      <c r="AL175" s="167"/>
      <c r="AM175" s="147"/>
      <c r="AN175" s="171">
        <f>IFERROR(U175/2,"0")</f>
      </c>
    </row>
    <row x14ac:dyDescent="0.25" r="176" customHeight="1" ht="18.75">
      <c r="A176" s="158">
        <f>A175+1</f>
      </c>
      <c r="B176" s="159">
        <v>45789</v>
      </c>
      <c r="C176" s="147" t="s">
        <v>595</v>
      </c>
      <c r="D176" s="159">
        <v>45789</v>
      </c>
      <c r="E176" s="147" t="s">
        <v>108</v>
      </c>
      <c r="F176" s="160" t="s">
        <v>11</v>
      </c>
      <c r="G176" s="147" t="s">
        <v>530</v>
      </c>
      <c r="H176" s="147" t="s">
        <v>302</v>
      </c>
      <c r="I176" s="158">
        <v>1109</v>
      </c>
      <c r="J176" s="147" t="s">
        <v>301</v>
      </c>
      <c r="K176" s="158">
        <v>161</v>
      </c>
      <c r="L176" s="147" t="s">
        <v>15</v>
      </c>
      <c r="M176" s="161">
        <f>IFERROR(VLOOKUP(L176,'Material Master'!B:C,2,0),"")</f>
      </c>
      <c r="N176" s="158">
        <v>30</v>
      </c>
      <c r="O176" s="162">
        <f>IFERROR(M176*N176,"")</f>
      </c>
      <c r="P176" s="147" t="s">
        <v>402</v>
      </c>
      <c r="Q176" s="158"/>
      <c r="R176" s="163">
        <v>45778</v>
      </c>
      <c r="S176" s="147"/>
      <c r="T176" s="147"/>
      <c r="U176" s="158">
        <v>179</v>
      </c>
      <c r="V176" s="164">
        <v>31</v>
      </c>
      <c r="W176" s="165">
        <f>IFERROR(U176*V176,"0")</f>
      </c>
      <c r="X176" s="7"/>
      <c r="Y176" s="166">
        <f>IFERROR((O176/1000)*Masters!$C$3,"0")</f>
      </c>
      <c r="Z176" s="167"/>
      <c r="AA176" s="164">
        <f>IFERROR(VLOOKUP(L176,Masters!G:H,2,0),"0")</f>
      </c>
      <c r="AB176" s="166">
        <f>IFERROR(AA176*N176,"0")</f>
      </c>
      <c r="AC176" s="168"/>
      <c r="AD176" s="158"/>
      <c r="AE176" s="166">
        <f>W176+Y176+AB176+AD176</f>
      </c>
      <c r="AF176" s="167"/>
      <c r="AG176" s="169">
        <f>M176&amp;"-"&amp;F176</f>
      </c>
      <c r="AH176" s="166">
        <f>IFERROR(VLOOKUP(AG176,Masters!N:O,2,0),"0")</f>
      </c>
      <c r="AI176" s="166">
        <f>AH176*N176</f>
      </c>
      <c r="AJ176" s="158"/>
      <c r="AK176" s="170">
        <f>AI176-AE176</f>
      </c>
      <c r="AL176" s="167"/>
      <c r="AM176" s="147"/>
      <c r="AN176" s="171">
        <f>IFERROR(U176/2,"0")</f>
      </c>
    </row>
    <row x14ac:dyDescent="0.25" r="177" customHeight="1" ht="18.75">
      <c r="A177" s="158">
        <f>A176+1</f>
      </c>
      <c r="B177" s="159">
        <v>45789</v>
      </c>
      <c r="C177" s="147" t="s">
        <v>596</v>
      </c>
      <c r="D177" s="159">
        <v>45790</v>
      </c>
      <c r="E177" s="147" t="s">
        <v>69</v>
      </c>
      <c r="F177" s="160" t="s">
        <v>11</v>
      </c>
      <c r="G177" s="147" t="s">
        <v>230</v>
      </c>
      <c r="H177" s="147" t="s">
        <v>305</v>
      </c>
      <c r="I177" s="158">
        <v>1109</v>
      </c>
      <c r="J177" s="147" t="s">
        <v>301</v>
      </c>
      <c r="K177" s="158">
        <v>162</v>
      </c>
      <c r="L177" s="147" t="s">
        <v>10</v>
      </c>
      <c r="M177" s="161">
        <f>IFERROR(VLOOKUP(L177,'Material Master'!B:C,2,0),"")</f>
      </c>
      <c r="N177" s="158">
        <v>300</v>
      </c>
      <c r="O177" s="162">
        <f>IFERROR(M177*N177,"")</f>
      </c>
      <c r="P177" s="147" t="s">
        <v>402</v>
      </c>
      <c r="Q177" s="158"/>
      <c r="R177" s="163">
        <v>45778</v>
      </c>
      <c r="S177" s="147"/>
      <c r="T177" s="147"/>
      <c r="U177" s="158">
        <v>73</v>
      </c>
      <c r="V177" s="164">
        <v>31</v>
      </c>
      <c r="W177" s="165">
        <f>IFERROR(U177*V177,"0")</f>
      </c>
      <c r="X177" s="7"/>
      <c r="Y177" s="166">
        <f>IFERROR((O177/1000)*Masters!$C$3,"0")</f>
      </c>
      <c r="Z177" s="167"/>
      <c r="AA177" s="164">
        <f>IFERROR(VLOOKUP(L177,Masters!G:H,2,0),"0")</f>
      </c>
      <c r="AB177" s="166">
        <f>IFERROR(AA177*N177,"0")</f>
      </c>
      <c r="AC177" s="168"/>
      <c r="AD177" s="158"/>
      <c r="AE177" s="166">
        <f>W177+Y177+AB177+AD177</f>
      </c>
      <c r="AF177" s="167"/>
      <c r="AG177" s="169">
        <f>M177&amp;"-"&amp;F177</f>
      </c>
      <c r="AH177" s="166">
        <f>IFERROR(VLOOKUP(AG177,Masters!N:O,2,0),"0")</f>
      </c>
      <c r="AI177" s="166">
        <f>AH177*N177</f>
      </c>
      <c r="AJ177" s="158"/>
      <c r="AK177" s="170">
        <f>AI177-AE177</f>
      </c>
      <c r="AL177" s="167"/>
      <c r="AM177" s="147"/>
      <c r="AN177" s="171">
        <f>IFERROR(U177/2,"0")</f>
      </c>
    </row>
    <row x14ac:dyDescent="0.25" r="178" customHeight="1" ht="18.75">
      <c r="A178" s="158">
        <f>A177+1</f>
      </c>
      <c r="B178" s="159">
        <v>45790</v>
      </c>
      <c r="C178" s="147" t="s">
        <v>597</v>
      </c>
      <c r="D178" s="159">
        <v>45790</v>
      </c>
      <c r="E178" s="147" t="s">
        <v>79</v>
      </c>
      <c r="F178" s="160" t="s">
        <v>11</v>
      </c>
      <c r="G178" s="147" t="s">
        <v>86</v>
      </c>
      <c r="H178" s="147" t="s">
        <v>304</v>
      </c>
      <c r="I178" s="158">
        <v>1109</v>
      </c>
      <c r="J178" s="147" t="s">
        <v>301</v>
      </c>
      <c r="K178" s="158">
        <v>163</v>
      </c>
      <c r="L178" s="147" t="s">
        <v>15</v>
      </c>
      <c r="M178" s="161">
        <f>IFERROR(VLOOKUP(L178,'Material Master'!B:C,2,0),"")</f>
      </c>
      <c r="N178" s="158">
        <v>30</v>
      </c>
      <c r="O178" s="162">
        <f>IFERROR(M178*N178,"")</f>
      </c>
      <c r="P178" s="147" t="s">
        <v>402</v>
      </c>
      <c r="Q178" s="158"/>
      <c r="R178" s="163">
        <v>45778</v>
      </c>
      <c r="S178" s="147"/>
      <c r="T178" s="147"/>
      <c r="U178" s="158">
        <v>152</v>
      </c>
      <c r="V178" s="164">
        <v>31</v>
      </c>
      <c r="W178" s="165">
        <f>IFERROR(U178*V178,"0")</f>
      </c>
      <c r="X178" s="7"/>
      <c r="Y178" s="166">
        <f>IFERROR((O178/1000)*Masters!$C$3,"0")</f>
      </c>
      <c r="Z178" s="167"/>
      <c r="AA178" s="164">
        <f>IFERROR(VLOOKUP(L178,Masters!G:H,2,0),"0")</f>
      </c>
      <c r="AB178" s="166">
        <f>IFERROR(AA178*N178,"0")</f>
      </c>
      <c r="AC178" s="168"/>
      <c r="AD178" s="158"/>
      <c r="AE178" s="166">
        <f>W178+Y178+AB178+AD178</f>
      </c>
      <c r="AF178" s="167"/>
      <c r="AG178" s="169">
        <f>M178&amp;"-"&amp;F178</f>
      </c>
      <c r="AH178" s="166">
        <f>IFERROR(VLOOKUP(AG178,Masters!N:O,2,0),"0")</f>
      </c>
      <c r="AI178" s="166">
        <f>AH178*N178</f>
      </c>
      <c r="AJ178" s="158"/>
      <c r="AK178" s="170">
        <f>AI178-AE178</f>
      </c>
      <c r="AL178" s="167"/>
      <c r="AM178" s="147"/>
      <c r="AN178" s="171">
        <f>IFERROR(U178/2,"0")</f>
      </c>
    </row>
    <row x14ac:dyDescent="0.25" r="179" customHeight="1" ht="18.75">
      <c r="A179" s="158">
        <f>A178+1</f>
      </c>
      <c r="B179" s="159">
        <v>45790</v>
      </c>
      <c r="C179" s="147" t="s">
        <v>598</v>
      </c>
      <c r="D179" s="159">
        <v>45790</v>
      </c>
      <c r="E179" s="147" t="s">
        <v>205</v>
      </c>
      <c r="F179" s="160" t="s">
        <v>19</v>
      </c>
      <c r="G179" s="147" t="s">
        <v>170</v>
      </c>
      <c r="H179" s="147" t="s">
        <v>303</v>
      </c>
      <c r="I179" s="158">
        <v>1109</v>
      </c>
      <c r="J179" s="147" t="s">
        <v>301</v>
      </c>
      <c r="K179" s="158">
        <v>164</v>
      </c>
      <c r="L179" s="147" t="s">
        <v>10</v>
      </c>
      <c r="M179" s="161">
        <f>IFERROR(VLOOKUP(L179,'Material Master'!B:C,2,0),"")</f>
      </c>
      <c r="N179" s="158">
        <v>300</v>
      </c>
      <c r="O179" s="162">
        <f>IFERROR(M179*N179,"")</f>
      </c>
      <c r="P179" s="147" t="s">
        <v>402</v>
      </c>
      <c r="Q179" s="158"/>
      <c r="R179" s="163">
        <v>45778</v>
      </c>
      <c r="S179" s="147"/>
      <c r="T179" s="147"/>
      <c r="U179" s="158">
        <v>638</v>
      </c>
      <c r="V179" s="164">
        <v>31</v>
      </c>
      <c r="W179" s="165">
        <f>IFERROR(U179*V179,"0")</f>
      </c>
      <c r="X179" s="7"/>
      <c r="Y179" s="166">
        <f>IFERROR((O179/1000)*Masters!$C$3,"0")</f>
      </c>
      <c r="Z179" s="167"/>
      <c r="AA179" s="164">
        <f>IFERROR(VLOOKUP(L179,Masters!G:H,2,0),"0")</f>
      </c>
      <c r="AB179" s="166">
        <f>IFERROR(AA179*N179,"0")</f>
      </c>
      <c r="AC179" s="168"/>
      <c r="AD179" s="158"/>
      <c r="AE179" s="166">
        <f>W179+Y179+AB179+AD179</f>
      </c>
      <c r="AF179" s="167"/>
      <c r="AG179" s="169">
        <f>M179&amp;"-"&amp;F179</f>
      </c>
      <c r="AH179" s="166">
        <f>IFERROR(VLOOKUP(AG179,Masters!N:O,2,0),"0")</f>
      </c>
      <c r="AI179" s="166">
        <f>AH179*N179</f>
      </c>
      <c r="AJ179" s="158"/>
      <c r="AK179" s="170">
        <f>AI179-AE179</f>
      </c>
      <c r="AL179" s="167"/>
      <c r="AM179" s="147"/>
      <c r="AN179" s="171">
        <f>IFERROR(U179/2,"0")</f>
      </c>
    </row>
    <row x14ac:dyDescent="0.25" r="180" customHeight="1" ht="18.75">
      <c r="A180" s="158">
        <f>A179+1</f>
      </c>
      <c r="B180" s="159">
        <v>45791</v>
      </c>
      <c r="C180" s="147" t="s">
        <v>599</v>
      </c>
      <c r="D180" s="159">
        <v>45791</v>
      </c>
      <c r="E180" s="147" t="s">
        <v>204</v>
      </c>
      <c r="F180" s="160" t="s">
        <v>11</v>
      </c>
      <c r="G180" s="147" t="s">
        <v>230</v>
      </c>
      <c r="H180" s="147" t="s">
        <v>305</v>
      </c>
      <c r="I180" s="158">
        <v>1109</v>
      </c>
      <c r="J180" s="147" t="s">
        <v>301</v>
      </c>
      <c r="K180" s="158">
        <v>166</v>
      </c>
      <c r="L180" s="147" t="s">
        <v>10</v>
      </c>
      <c r="M180" s="161">
        <f>IFERROR(VLOOKUP(L180,'Material Master'!B:C,2,0),"")</f>
      </c>
      <c r="N180" s="158">
        <v>300</v>
      </c>
      <c r="O180" s="162">
        <f>IFERROR(M180*N180,"")</f>
      </c>
      <c r="P180" s="147" t="s">
        <v>402</v>
      </c>
      <c r="Q180" s="158"/>
      <c r="R180" s="163">
        <v>45778</v>
      </c>
      <c r="S180" s="147"/>
      <c r="T180" s="147"/>
      <c r="U180" s="158">
        <v>75</v>
      </c>
      <c r="V180" s="164">
        <v>31</v>
      </c>
      <c r="W180" s="165">
        <f>IFERROR(U180*V180,"0")</f>
      </c>
      <c r="X180" s="7"/>
      <c r="Y180" s="166">
        <f>IFERROR((O180/1000)*Masters!$C$3,"0")</f>
      </c>
      <c r="Z180" s="167"/>
      <c r="AA180" s="164">
        <f>IFERROR(VLOOKUP(L180,Masters!G:H,2,0),"0")</f>
      </c>
      <c r="AB180" s="166">
        <f>IFERROR(AA180*N180,"0")</f>
      </c>
      <c r="AC180" s="168"/>
      <c r="AD180" s="158"/>
      <c r="AE180" s="166">
        <f>W180+Y180+AB180+AD180</f>
      </c>
      <c r="AF180" s="167"/>
      <c r="AG180" s="169">
        <f>M180&amp;"-"&amp;F180</f>
      </c>
      <c r="AH180" s="166">
        <f>IFERROR(VLOOKUP(AG180,Masters!N:O,2,0),"0")</f>
      </c>
      <c r="AI180" s="166">
        <f>AH180*N180</f>
      </c>
      <c r="AJ180" s="158"/>
      <c r="AK180" s="170">
        <f>AI180-AE180</f>
      </c>
      <c r="AL180" s="167"/>
      <c r="AM180" s="147"/>
      <c r="AN180" s="171">
        <f>IFERROR(U180/2,"0")</f>
      </c>
    </row>
    <row x14ac:dyDescent="0.25" r="181" customHeight="1" ht="18.75">
      <c r="A181" s="158">
        <f>A180+1</f>
      </c>
      <c r="B181" s="159">
        <v>45791</v>
      </c>
      <c r="C181" s="147" t="s">
        <v>600</v>
      </c>
      <c r="D181" s="159">
        <v>45792</v>
      </c>
      <c r="E181" s="147" t="s">
        <v>212</v>
      </c>
      <c r="F181" s="160" t="s">
        <v>19</v>
      </c>
      <c r="G181" s="147" t="s">
        <v>186</v>
      </c>
      <c r="H181" s="147" t="s">
        <v>305</v>
      </c>
      <c r="I181" s="158">
        <v>709</v>
      </c>
      <c r="J181" s="147" t="s">
        <v>301</v>
      </c>
      <c r="K181" s="158">
        <v>168</v>
      </c>
      <c r="L181" s="147" t="s">
        <v>10</v>
      </c>
      <c r="M181" s="161">
        <f>IFERROR(VLOOKUP(L181,'Material Master'!B:C,2,0),"")</f>
      </c>
      <c r="N181" s="158">
        <v>100</v>
      </c>
      <c r="O181" s="162">
        <f>IFERROR(M181*N181,"")</f>
      </c>
      <c r="P181" s="147" t="s">
        <v>402</v>
      </c>
      <c r="Q181" s="158"/>
      <c r="R181" s="163">
        <v>45778</v>
      </c>
      <c r="S181" s="147"/>
      <c r="T181" s="147"/>
      <c r="U181" s="158">
        <v>636</v>
      </c>
      <c r="V181" s="164">
        <v>31</v>
      </c>
      <c r="W181" s="165">
        <f>IFERROR(U181*V181,"0")</f>
      </c>
      <c r="X181" s="7"/>
      <c r="Y181" s="166">
        <f>IFERROR((O181/1000)*Masters!$C$3,"0")</f>
      </c>
      <c r="Z181" s="167"/>
      <c r="AA181" s="164">
        <f>IFERROR(VLOOKUP(L181,Masters!G:H,2,0),"0")</f>
      </c>
      <c r="AB181" s="166">
        <f>IFERROR(AA181*N181,"0")</f>
      </c>
      <c r="AC181" s="168"/>
      <c r="AD181" s="158"/>
      <c r="AE181" s="166">
        <f>W181+Y181+AB181+AD181</f>
      </c>
      <c r="AF181" s="167"/>
      <c r="AG181" s="169">
        <f>M181&amp;"-"&amp;F181</f>
      </c>
      <c r="AH181" s="166">
        <f>IFERROR(VLOOKUP(AG181,Masters!N:O,2,0),"0")</f>
      </c>
      <c r="AI181" s="166">
        <f>AH181*N181</f>
      </c>
      <c r="AJ181" s="158"/>
      <c r="AK181" s="170">
        <f>AI181-AE181</f>
      </c>
      <c r="AL181" s="167"/>
      <c r="AM181" s="147"/>
      <c r="AN181" s="171">
        <f>IFERROR(U181/2,"0")</f>
      </c>
    </row>
    <row x14ac:dyDescent="0.25" r="182" customHeight="1" ht="18.75">
      <c r="A182" s="158">
        <f>A181+1</f>
      </c>
      <c r="B182" s="159">
        <v>45791</v>
      </c>
      <c r="C182" s="147" t="s">
        <v>601</v>
      </c>
      <c r="D182" s="159">
        <v>45792</v>
      </c>
      <c r="E182" s="147" t="s">
        <v>174</v>
      </c>
      <c r="F182" s="160" t="s">
        <v>16</v>
      </c>
      <c r="G182" s="147" t="s">
        <v>175</v>
      </c>
      <c r="H182" s="147" t="s">
        <v>302</v>
      </c>
      <c r="I182" s="158">
        <v>1109</v>
      </c>
      <c r="J182" s="147" t="s">
        <v>301</v>
      </c>
      <c r="K182" s="158">
        <v>169</v>
      </c>
      <c r="L182" s="147" t="s">
        <v>10</v>
      </c>
      <c r="M182" s="161">
        <f>IFERROR(VLOOKUP(L182,'Material Master'!B:C,2,0),"")</f>
      </c>
      <c r="N182" s="158">
        <v>300</v>
      </c>
      <c r="O182" s="162">
        <f>IFERROR(M182*N182,"")</f>
      </c>
      <c r="P182" s="147" t="s">
        <v>402</v>
      </c>
      <c r="Q182" s="158"/>
      <c r="R182" s="163">
        <v>45778</v>
      </c>
      <c r="S182" s="147"/>
      <c r="T182" s="147"/>
      <c r="U182" s="158">
        <v>257</v>
      </c>
      <c r="V182" s="164">
        <v>31</v>
      </c>
      <c r="W182" s="165">
        <f>IFERROR(U182*V182,"0")</f>
      </c>
      <c r="X182" s="7"/>
      <c r="Y182" s="166">
        <f>IFERROR((O182/1000)*Masters!$C$3,"0")</f>
      </c>
      <c r="Z182" s="167"/>
      <c r="AA182" s="164">
        <f>IFERROR(VLOOKUP(L182,Masters!G:H,2,0),"0")</f>
      </c>
      <c r="AB182" s="166">
        <f>IFERROR(AA182*N182,"0")</f>
      </c>
      <c r="AC182" s="168"/>
      <c r="AD182" s="158"/>
      <c r="AE182" s="166">
        <f>W182+Y182+AB182+AD182</f>
      </c>
      <c r="AF182" s="167"/>
      <c r="AG182" s="169">
        <f>M182&amp;"-"&amp;F182</f>
      </c>
      <c r="AH182" s="166">
        <f>IFERROR(VLOOKUP(AG182,Masters!N:O,2,0),"0")</f>
      </c>
      <c r="AI182" s="166">
        <f>AH182*N182</f>
      </c>
      <c r="AJ182" s="158"/>
      <c r="AK182" s="170">
        <f>AI182-AE182</f>
      </c>
      <c r="AL182" s="167"/>
      <c r="AM182" s="147"/>
      <c r="AN182" s="171">
        <f>IFERROR(U182/2,"0")</f>
      </c>
    </row>
    <row x14ac:dyDescent="0.25" r="183" customHeight="1" ht="18.75">
      <c r="A183" s="158">
        <f>A182+1</f>
      </c>
      <c r="B183" s="159">
        <v>45792</v>
      </c>
      <c r="C183" s="147" t="s">
        <v>602</v>
      </c>
      <c r="D183" s="159">
        <v>45792</v>
      </c>
      <c r="E183" s="147" t="s">
        <v>154</v>
      </c>
      <c r="F183" s="160" t="s">
        <v>11</v>
      </c>
      <c r="G183" s="147" t="s">
        <v>493</v>
      </c>
      <c r="H183" s="147" t="s">
        <v>303</v>
      </c>
      <c r="I183" s="158">
        <v>709</v>
      </c>
      <c r="J183" s="147" t="s">
        <v>301</v>
      </c>
      <c r="K183" s="158">
        <v>170</v>
      </c>
      <c r="L183" s="147" t="s">
        <v>10</v>
      </c>
      <c r="M183" s="161">
        <f>IFERROR(VLOOKUP(L183,'Material Master'!B:C,2,0),"")</f>
      </c>
      <c r="N183" s="158">
        <v>100</v>
      </c>
      <c r="O183" s="162">
        <f>IFERROR(M183*N183,"")</f>
      </c>
      <c r="P183" s="147" t="s">
        <v>402</v>
      </c>
      <c r="Q183" s="158"/>
      <c r="R183" s="163">
        <v>45778</v>
      </c>
      <c r="S183" s="147"/>
      <c r="T183" s="147"/>
      <c r="U183" s="158">
        <v>170</v>
      </c>
      <c r="V183" s="164">
        <v>31</v>
      </c>
      <c r="W183" s="165">
        <f>IFERROR(U183*V183,"0")</f>
      </c>
      <c r="X183" s="7"/>
      <c r="Y183" s="166">
        <f>IFERROR((O183/1000)*Masters!$C$3,"0")</f>
      </c>
      <c r="Z183" s="167"/>
      <c r="AA183" s="164">
        <f>IFERROR(VLOOKUP(L183,Masters!G:H,2,0),"0")</f>
      </c>
      <c r="AB183" s="166">
        <f>IFERROR(AA183*N183,"0")</f>
      </c>
      <c r="AC183" s="168"/>
      <c r="AD183" s="158"/>
      <c r="AE183" s="166">
        <f>W183+Y183+AB183+AD183</f>
      </c>
      <c r="AF183" s="167"/>
      <c r="AG183" s="169">
        <f>M183&amp;"-"&amp;F183</f>
      </c>
      <c r="AH183" s="166">
        <f>IFERROR(VLOOKUP(AG183,Masters!N:O,2,0),"0")</f>
      </c>
      <c r="AI183" s="166">
        <f>AH183*N183</f>
      </c>
      <c r="AJ183" s="158"/>
      <c r="AK183" s="170">
        <f>AI183-AE183</f>
      </c>
      <c r="AL183" s="167"/>
      <c r="AM183" s="147"/>
      <c r="AN183" s="171">
        <f>IFERROR(U183/2,"0")</f>
      </c>
    </row>
    <row x14ac:dyDescent="0.25" r="184" customHeight="1" ht="18.75">
      <c r="A184" s="158">
        <f>A183+1</f>
      </c>
      <c r="B184" s="159">
        <v>45793</v>
      </c>
      <c r="C184" s="147" t="s">
        <v>603</v>
      </c>
      <c r="D184" s="159">
        <v>45793</v>
      </c>
      <c r="E184" s="147" t="s">
        <v>205</v>
      </c>
      <c r="F184" s="160" t="s">
        <v>16</v>
      </c>
      <c r="G184" s="147" t="s">
        <v>214</v>
      </c>
      <c r="H184" s="147" t="s">
        <v>304</v>
      </c>
      <c r="I184" s="158">
        <v>1109</v>
      </c>
      <c r="J184" s="147" t="s">
        <v>301</v>
      </c>
      <c r="K184" s="158">
        <v>171</v>
      </c>
      <c r="L184" s="147" t="s">
        <v>10</v>
      </c>
      <c r="M184" s="161">
        <f>IFERROR(VLOOKUP(L184,'Material Master'!B:C,2,0),"")</f>
      </c>
      <c r="N184" s="158">
        <v>300</v>
      </c>
      <c r="O184" s="162">
        <f>IFERROR(M184*N184,"")</f>
      </c>
      <c r="P184" s="147" t="s">
        <v>402</v>
      </c>
      <c r="Q184" s="158"/>
      <c r="R184" s="163">
        <v>45778</v>
      </c>
      <c r="S184" s="147"/>
      <c r="T184" s="147"/>
      <c r="U184" s="158">
        <v>419</v>
      </c>
      <c r="V184" s="164">
        <v>31</v>
      </c>
      <c r="W184" s="165">
        <f>IFERROR(U184*V184,"0")</f>
      </c>
      <c r="X184" s="7"/>
      <c r="Y184" s="166">
        <f>IFERROR((O184/1000)*Masters!$C$3,"0")</f>
      </c>
      <c r="Z184" s="167"/>
      <c r="AA184" s="164">
        <f>IFERROR(VLOOKUP(L184,Masters!G:H,2,0),"0")</f>
      </c>
      <c r="AB184" s="166">
        <f>IFERROR(AA184*N184,"0")</f>
      </c>
      <c r="AC184" s="168"/>
      <c r="AD184" s="158"/>
      <c r="AE184" s="166">
        <f>W184+Y184+AB184+AD184</f>
      </c>
      <c r="AF184" s="167"/>
      <c r="AG184" s="169">
        <f>M184&amp;"-"&amp;F184</f>
      </c>
      <c r="AH184" s="166">
        <f>IFERROR(VLOOKUP(AG184,Masters!N:O,2,0),"0")</f>
      </c>
      <c r="AI184" s="166">
        <f>AH184*N184</f>
      </c>
      <c r="AJ184" s="158"/>
      <c r="AK184" s="170">
        <f>AI184-AE184</f>
      </c>
      <c r="AL184" s="167"/>
      <c r="AM184" s="147"/>
      <c r="AN184" s="171">
        <f>IFERROR(U184/2,"0")</f>
      </c>
    </row>
    <row x14ac:dyDescent="0.25" r="185" customHeight="1" ht="18.75">
      <c r="A185" s="158">
        <f>A184+1</f>
      </c>
      <c r="B185" s="159">
        <v>45793</v>
      </c>
      <c r="C185" s="147" t="s">
        <v>604</v>
      </c>
      <c r="D185" s="159">
        <v>45793</v>
      </c>
      <c r="E185" s="147" t="s">
        <v>93</v>
      </c>
      <c r="F185" s="160" t="s">
        <v>11</v>
      </c>
      <c r="G185" s="147" t="s">
        <v>485</v>
      </c>
      <c r="H185" s="147" t="s">
        <v>303</v>
      </c>
      <c r="I185" s="158">
        <v>909</v>
      </c>
      <c r="J185" s="147" t="s">
        <v>301</v>
      </c>
      <c r="K185" s="158">
        <v>172</v>
      </c>
      <c r="L185" s="147" t="s">
        <v>10</v>
      </c>
      <c r="M185" s="161">
        <f>IFERROR(VLOOKUP(L185,'Material Master'!B:C,2,0),"")</f>
      </c>
      <c r="N185" s="158">
        <v>200</v>
      </c>
      <c r="O185" s="162">
        <f>IFERROR(M185*N185,"")</f>
      </c>
      <c r="P185" s="147" t="s">
        <v>402</v>
      </c>
      <c r="Q185" s="158"/>
      <c r="R185" s="163">
        <v>45778</v>
      </c>
      <c r="S185" s="147"/>
      <c r="T185" s="147"/>
      <c r="U185" s="158">
        <v>189</v>
      </c>
      <c r="V185" s="164">
        <v>31</v>
      </c>
      <c r="W185" s="165">
        <f>IFERROR(U185*V185,"0")</f>
      </c>
      <c r="X185" s="7"/>
      <c r="Y185" s="166">
        <f>IFERROR((O185/1000)*Masters!$C$3,"0")</f>
      </c>
      <c r="Z185" s="167"/>
      <c r="AA185" s="164">
        <f>IFERROR(VLOOKUP(L185,Masters!G:H,2,0),"0")</f>
      </c>
      <c r="AB185" s="166">
        <f>IFERROR(AA185*N185,"0")</f>
      </c>
      <c r="AC185" s="168"/>
      <c r="AD185" s="158"/>
      <c r="AE185" s="166">
        <f>W185+Y185+AB185+AD185</f>
      </c>
      <c r="AF185" s="167"/>
      <c r="AG185" s="169">
        <f>M185&amp;"-"&amp;F185</f>
      </c>
      <c r="AH185" s="166">
        <f>IFERROR(VLOOKUP(AG185,Masters!N:O,2,0),"0")</f>
      </c>
      <c r="AI185" s="166">
        <f>AH185*N185</f>
      </c>
      <c r="AJ185" s="158"/>
      <c r="AK185" s="170">
        <f>AI185-AE185</f>
      </c>
      <c r="AL185" s="167"/>
      <c r="AM185" s="147"/>
      <c r="AN185" s="171">
        <f>IFERROR(U185/2,"0")</f>
      </c>
    </row>
    <row x14ac:dyDescent="0.25" r="186" customHeight="1" ht="18.75">
      <c r="A186" s="158">
        <f>A185+1</f>
      </c>
      <c r="B186" s="159">
        <v>45793</v>
      </c>
      <c r="C186" s="147" t="s">
        <v>605</v>
      </c>
      <c r="D186" s="159">
        <v>45794</v>
      </c>
      <c r="E186" s="147" t="s">
        <v>128</v>
      </c>
      <c r="F186" s="160" t="s">
        <v>16</v>
      </c>
      <c r="G186" s="147" t="s">
        <v>214</v>
      </c>
      <c r="H186" s="147" t="s">
        <v>302</v>
      </c>
      <c r="I186" s="158">
        <v>709</v>
      </c>
      <c r="J186" s="147" t="s">
        <v>301</v>
      </c>
      <c r="K186" s="158">
        <v>174</v>
      </c>
      <c r="L186" s="147" t="s">
        <v>10</v>
      </c>
      <c r="M186" s="161">
        <f>IFERROR(VLOOKUP(L186,'Material Master'!B:C,2,0),"")</f>
      </c>
      <c r="N186" s="158">
        <v>100</v>
      </c>
      <c r="O186" s="162">
        <f>IFERROR(M186*N186,"")</f>
      </c>
      <c r="P186" s="147" t="s">
        <v>402</v>
      </c>
      <c r="Q186" s="158"/>
      <c r="R186" s="163">
        <v>45778</v>
      </c>
      <c r="S186" s="147"/>
      <c r="T186" s="147"/>
      <c r="U186" s="158">
        <v>429</v>
      </c>
      <c r="V186" s="164">
        <v>31</v>
      </c>
      <c r="W186" s="165">
        <f>IFERROR(U186*V186,"0")</f>
      </c>
      <c r="X186" s="7"/>
      <c r="Y186" s="166">
        <f>IFERROR((O186/1000)*Masters!$C$3,"0")</f>
      </c>
      <c r="Z186" s="167"/>
      <c r="AA186" s="164">
        <f>IFERROR(VLOOKUP(L186,Masters!G:H,2,0),"0")</f>
      </c>
      <c r="AB186" s="166">
        <f>IFERROR(AA186*N186,"0")</f>
      </c>
      <c r="AC186" s="168"/>
      <c r="AD186" s="158"/>
      <c r="AE186" s="166">
        <f>W186+Y186+AB186+AD186</f>
      </c>
      <c r="AF186" s="167"/>
      <c r="AG186" s="169">
        <f>M186&amp;"-"&amp;F186</f>
      </c>
      <c r="AH186" s="166">
        <f>IFERROR(VLOOKUP(AG186,Masters!N:O,2,0),"0")</f>
      </c>
      <c r="AI186" s="166">
        <f>AH186*N186</f>
      </c>
      <c r="AJ186" s="158"/>
      <c r="AK186" s="170">
        <f>AI186-AE186</f>
      </c>
      <c r="AL186" s="167"/>
      <c r="AM186" s="147"/>
      <c r="AN186" s="171">
        <f>IFERROR(U186/2,"0")</f>
      </c>
    </row>
    <row x14ac:dyDescent="0.25" r="187" customHeight="1" ht="18.75">
      <c r="A187" s="158">
        <f>A186+1</f>
      </c>
      <c r="B187" s="159">
        <v>45794</v>
      </c>
      <c r="C187" s="147" t="s">
        <v>606</v>
      </c>
      <c r="D187" s="159">
        <v>45794</v>
      </c>
      <c r="E187" s="147" t="s">
        <v>81</v>
      </c>
      <c r="F187" s="160" t="s">
        <v>16</v>
      </c>
      <c r="G187" s="147" t="s">
        <v>532</v>
      </c>
      <c r="H187" s="147" t="s">
        <v>305</v>
      </c>
      <c r="I187" s="158">
        <v>1109</v>
      </c>
      <c r="J187" s="147" t="s">
        <v>301</v>
      </c>
      <c r="K187" s="158">
        <v>173</v>
      </c>
      <c r="L187" s="147" t="s">
        <v>10</v>
      </c>
      <c r="M187" s="161">
        <f>IFERROR(VLOOKUP(L187,'Material Master'!B:C,2,0),"")</f>
      </c>
      <c r="N187" s="158">
        <v>300</v>
      </c>
      <c r="O187" s="162">
        <f>IFERROR(M187*N187,"")</f>
      </c>
      <c r="P187" s="147" t="s">
        <v>402</v>
      </c>
      <c r="Q187" s="158"/>
      <c r="R187" s="163">
        <v>45778</v>
      </c>
      <c r="S187" s="147"/>
      <c r="T187" s="147"/>
      <c r="U187" s="158">
        <v>236</v>
      </c>
      <c r="V187" s="164">
        <v>31</v>
      </c>
      <c r="W187" s="165">
        <f>IFERROR(U187*V187,"0")</f>
      </c>
      <c r="X187" s="7"/>
      <c r="Y187" s="166">
        <f>IFERROR((O187/1000)*Masters!$C$3,"0")</f>
      </c>
      <c r="Z187" s="167"/>
      <c r="AA187" s="164">
        <f>IFERROR(VLOOKUP(L187,Masters!G:H,2,0),"0")</f>
      </c>
      <c r="AB187" s="166">
        <f>IFERROR(AA187*N187,"0")</f>
      </c>
      <c r="AC187" s="168"/>
      <c r="AD187" s="158"/>
      <c r="AE187" s="166">
        <f>W187+Y187+AB187+AD187</f>
      </c>
      <c r="AF187" s="167"/>
      <c r="AG187" s="169">
        <f>M187&amp;"-"&amp;F187</f>
      </c>
      <c r="AH187" s="166">
        <f>IFERROR(VLOOKUP(AG187,Masters!N:O,2,0),"0")</f>
      </c>
      <c r="AI187" s="166">
        <f>AH187*N187</f>
      </c>
      <c r="AJ187" s="158"/>
      <c r="AK187" s="170">
        <f>AI187-AE187</f>
      </c>
      <c r="AL187" s="167"/>
      <c r="AM187" s="147"/>
      <c r="AN187" s="171">
        <f>IFERROR(U187/2,"0")</f>
      </c>
    </row>
    <row x14ac:dyDescent="0.25" r="188" customHeight="1" ht="18.75">
      <c r="A188" s="158">
        <f>A187+1</f>
      </c>
      <c r="B188" s="159">
        <v>45796</v>
      </c>
      <c r="C188" s="147" t="s">
        <v>607</v>
      </c>
      <c r="D188" s="159">
        <v>45796</v>
      </c>
      <c r="E188" s="147" t="s">
        <v>205</v>
      </c>
      <c r="F188" s="160" t="s">
        <v>236</v>
      </c>
      <c r="G188" s="147" t="s">
        <v>170</v>
      </c>
      <c r="H188" s="147" t="s">
        <v>304</v>
      </c>
      <c r="I188" s="158">
        <v>1109</v>
      </c>
      <c r="J188" s="147" t="s">
        <v>301</v>
      </c>
      <c r="K188" s="158">
        <v>176</v>
      </c>
      <c r="L188" s="147" t="s">
        <v>10</v>
      </c>
      <c r="M188" s="161">
        <f>IFERROR(VLOOKUP(L188,'Material Master'!B:C,2,0),"")</f>
      </c>
      <c r="N188" s="158">
        <v>300</v>
      </c>
      <c r="O188" s="162">
        <f>IFERROR(M188*N188,"")</f>
      </c>
      <c r="P188" s="147" t="s">
        <v>402</v>
      </c>
      <c r="Q188" s="158"/>
      <c r="R188" s="163">
        <v>45778</v>
      </c>
      <c r="S188" s="147"/>
      <c r="T188" s="147"/>
      <c r="U188" s="158">
        <v>649</v>
      </c>
      <c r="V188" s="164">
        <v>31</v>
      </c>
      <c r="W188" s="165">
        <f>IFERROR(U188*V188,"0")</f>
      </c>
      <c r="X188" s="7"/>
      <c r="Y188" s="166">
        <f>IFERROR((O188/1000)*Masters!$C$3,"0")</f>
      </c>
      <c r="Z188" s="167"/>
      <c r="AA188" s="164">
        <f>IFERROR(VLOOKUP(L188,Masters!G:H,2,0),"0")</f>
      </c>
      <c r="AB188" s="166">
        <f>IFERROR(AA188*N188,"0")</f>
      </c>
      <c r="AC188" s="168"/>
      <c r="AD188" s="158"/>
      <c r="AE188" s="166">
        <f>W188+Y188+AB188+AD188</f>
      </c>
      <c r="AF188" s="167"/>
      <c r="AG188" s="169">
        <f>M188&amp;"-"&amp;F188</f>
      </c>
      <c r="AH188" s="166">
        <f>IFERROR(VLOOKUP(AG188,Masters!N:O,2,0),"0")</f>
      </c>
      <c r="AI188" s="166">
        <f>AH188*N188</f>
      </c>
      <c r="AJ188" s="158"/>
      <c r="AK188" s="170">
        <f>AI188-AE188</f>
      </c>
      <c r="AL188" s="167"/>
      <c r="AM188" s="147"/>
      <c r="AN188" s="171">
        <f>IFERROR(U188/2,"0")</f>
      </c>
    </row>
    <row x14ac:dyDescent="0.25" r="189" customHeight="1" ht="18.75">
      <c r="A189" s="158">
        <f>A188+1</f>
      </c>
      <c r="B189" s="159">
        <v>45796</v>
      </c>
      <c r="C189" s="147" t="s">
        <v>608</v>
      </c>
      <c r="D189" s="159">
        <v>45796</v>
      </c>
      <c r="E189" s="147" t="s">
        <v>584</v>
      </c>
      <c r="F189" s="160" t="s">
        <v>16</v>
      </c>
      <c r="G189" s="147" t="s">
        <v>248</v>
      </c>
      <c r="H189" s="147" t="s">
        <v>302</v>
      </c>
      <c r="I189" s="158">
        <v>709</v>
      </c>
      <c r="J189" s="147" t="s">
        <v>301</v>
      </c>
      <c r="K189" s="158">
        <v>177</v>
      </c>
      <c r="L189" s="147" t="s">
        <v>10</v>
      </c>
      <c r="M189" s="161">
        <f>IFERROR(VLOOKUP(L189,'Material Master'!B:C,2,0),"")</f>
      </c>
      <c r="N189" s="158">
        <v>100</v>
      </c>
      <c r="O189" s="162">
        <f>IFERROR(M189*N189,"")</f>
      </c>
      <c r="P189" s="147" t="s">
        <v>402</v>
      </c>
      <c r="Q189" s="158"/>
      <c r="R189" s="163">
        <v>45778</v>
      </c>
      <c r="S189" s="147"/>
      <c r="T189" s="147"/>
      <c r="U189" s="158">
        <v>428</v>
      </c>
      <c r="V189" s="164">
        <v>31</v>
      </c>
      <c r="W189" s="165">
        <f>IFERROR(U189*V189,"0")</f>
      </c>
      <c r="X189" s="7"/>
      <c r="Y189" s="166">
        <f>IFERROR((O189/1000)*Masters!$C$3,"0")</f>
      </c>
      <c r="Z189" s="167"/>
      <c r="AA189" s="164">
        <f>IFERROR(VLOOKUP(L189,Masters!G:H,2,0),"0")</f>
      </c>
      <c r="AB189" s="166">
        <f>IFERROR(AA189*N189,"0")</f>
      </c>
      <c r="AC189" s="168"/>
      <c r="AD189" s="158"/>
      <c r="AE189" s="166">
        <f>W189+Y189+AB189+AD189</f>
      </c>
      <c r="AF189" s="167"/>
      <c r="AG189" s="169">
        <f>M189&amp;"-"&amp;F189</f>
      </c>
      <c r="AH189" s="166">
        <f>IFERROR(VLOOKUP(AG189,Masters!N:O,2,0),"0")</f>
      </c>
      <c r="AI189" s="166">
        <f>AH189*N189</f>
      </c>
      <c r="AJ189" s="158"/>
      <c r="AK189" s="170">
        <f>AI189-AE189</f>
      </c>
      <c r="AL189" s="167"/>
      <c r="AM189" s="147"/>
      <c r="AN189" s="171">
        <f>IFERROR(U189/2,"0")</f>
      </c>
    </row>
    <row x14ac:dyDescent="0.25" r="190" customHeight="1" ht="18.75">
      <c r="A190" s="158">
        <f>A189+1</f>
      </c>
      <c r="B190" s="159">
        <v>45796</v>
      </c>
      <c r="C190" s="147" t="s">
        <v>609</v>
      </c>
      <c r="D190" s="159">
        <v>45797</v>
      </c>
      <c r="E190" s="147" t="s">
        <v>79</v>
      </c>
      <c r="F190" s="160" t="s">
        <v>16</v>
      </c>
      <c r="G190" s="147" t="s">
        <v>167</v>
      </c>
      <c r="H190" s="147" t="s">
        <v>303</v>
      </c>
      <c r="I190" s="158">
        <v>1109</v>
      </c>
      <c r="J190" s="147" t="s">
        <v>301</v>
      </c>
      <c r="K190" s="158">
        <v>179</v>
      </c>
      <c r="L190" s="147" t="s">
        <v>15</v>
      </c>
      <c r="M190" s="161">
        <f>IFERROR(VLOOKUP(L190,'Material Master'!B:C,2,0),"")</f>
      </c>
      <c r="N190" s="158">
        <v>30</v>
      </c>
      <c r="O190" s="162">
        <f>IFERROR(M190*N190,"")</f>
      </c>
      <c r="P190" s="147" t="s">
        <v>402</v>
      </c>
      <c r="Q190" s="158"/>
      <c r="R190" s="163">
        <v>45778</v>
      </c>
      <c r="S190" s="147"/>
      <c r="T190" s="147"/>
      <c r="U190" s="158">
        <v>360</v>
      </c>
      <c r="V190" s="164">
        <v>31</v>
      </c>
      <c r="W190" s="165">
        <f>IFERROR(U190*V190,"0")</f>
      </c>
      <c r="X190" s="7"/>
      <c r="Y190" s="166">
        <f>IFERROR((O190/1000)*Masters!$C$3,"0")</f>
      </c>
      <c r="Z190" s="167"/>
      <c r="AA190" s="164">
        <f>IFERROR(VLOOKUP(L190,Masters!G:H,2,0),"0")</f>
      </c>
      <c r="AB190" s="166">
        <f>IFERROR(AA190*N190,"0")</f>
      </c>
      <c r="AC190" s="168"/>
      <c r="AD190" s="158"/>
      <c r="AE190" s="166">
        <f>W190+Y190+AB190+AD190</f>
      </c>
      <c r="AF190" s="167"/>
      <c r="AG190" s="169">
        <f>M190&amp;"-"&amp;F190</f>
      </c>
      <c r="AH190" s="166">
        <f>IFERROR(VLOOKUP(AG190,Masters!N:O,2,0),"0")</f>
      </c>
      <c r="AI190" s="166">
        <f>AH190*N190</f>
      </c>
      <c r="AJ190" s="158"/>
      <c r="AK190" s="170">
        <f>AI190-AE190</f>
      </c>
      <c r="AL190" s="167"/>
      <c r="AM190" s="147"/>
      <c r="AN190" s="171">
        <f>IFERROR(U190/2,"0")</f>
      </c>
    </row>
    <row x14ac:dyDescent="0.25" r="191" customHeight="1" ht="18.75">
      <c r="A191" s="158">
        <f>A190+1</f>
      </c>
      <c r="B191" s="159">
        <v>45796</v>
      </c>
      <c r="C191" s="147" t="s">
        <v>610</v>
      </c>
      <c r="D191" s="159">
        <v>45797</v>
      </c>
      <c r="E191" s="147" t="s">
        <v>79</v>
      </c>
      <c r="F191" s="160" t="s">
        <v>32</v>
      </c>
      <c r="G191" s="147" t="s">
        <v>167</v>
      </c>
      <c r="H191" s="147" t="s">
        <v>302</v>
      </c>
      <c r="I191" s="158">
        <v>1109</v>
      </c>
      <c r="J191" s="147" t="s">
        <v>301</v>
      </c>
      <c r="K191" s="158">
        <v>180</v>
      </c>
      <c r="L191" s="147" t="s">
        <v>15</v>
      </c>
      <c r="M191" s="161">
        <f>IFERROR(VLOOKUP(L191,'Material Master'!B:C,2,0),"")</f>
      </c>
      <c r="N191" s="158">
        <v>30</v>
      </c>
      <c r="O191" s="162">
        <f>IFERROR(M191*N191,"")</f>
      </c>
      <c r="P191" s="147" t="s">
        <v>402</v>
      </c>
      <c r="Q191" s="158"/>
      <c r="R191" s="163">
        <v>45778</v>
      </c>
      <c r="S191" s="147"/>
      <c r="T191" s="147"/>
      <c r="U191" s="158">
        <v>370</v>
      </c>
      <c r="V191" s="164">
        <v>31</v>
      </c>
      <c r="W191" s="165">
        <f>IFERROR(U191*V191,"0")</f>
      </c>
      <c r="X191" s="7"/>
      <c r="Y191" s="166">
        <f>IFERROR((O191/1000)*Masters!$C$3,"0")</f>
      </c>
      <c r="Z191" s="167"/>
      <c r="AA191" s="164">
        <f>IFERROR(VLOOKUP(L191,Masters!G:H,2,0),"0")</f>
      </c>
      <c r="AB191" s="166">
        <f>IFERROR(AA191*N191,"0")</f>
      </c>
      <c r="AC191" s="168"/>
      <c r="AD191" s="158"/>
      <c r="AE191" s="166">
        <f>W191+Y191+AB191+AD191</f>
      </c>
      <c r="AF191" s="167"/>
      <c r="AG191" s="169">
        <f>M191&amp;"-"&amp;F191</f>
      </c>
      <c r="AH191" s="166">
        <f>IFERROR(VLOOKUP(AG191,Masters!N:O,2,0),"0")</f>
      </c>
      <c r="AI191" s="166">
        <f>AH191*N191</f>
      </c>
      <c r="AJ191" s="158"/>
      <c r="AK191" s="170">
        <f>AI191-AE191</f>
      </c>
      <c r="AL191" s="167"/>
      <c r="AM191" s="147"/>
      <c r="AN191" s="171">
        <f>IFERROR(U191/2,"0")</f>
      </c>
    </row>
    <row x14ac:dyDescent="0.25" r="192" customHeight="1" ht="18.75">
      <c r="A192" s="158">
        <f>A191+1</f>
      </c>
      <c r="B192" s="159">
        <v>45797</v>
      </c>
      <c r="C192" s="147" t="s">
        <v>611</v>
      </c>
      <c r="D192" s="159">
        <v>45798</v>
      </c>
      <c r="E192" s="147" t="s">
        <v>612</v>
      </c>
      <c r="F192" s="160" t="s">
        <v>32</v>
      </c>
      <c r="G192" s="147" t="s">
        <v>193</v>
      </c>
      <c r="H192" s="147" t="s">
        <v>305</v>
      </c>
      <c r="I192" s="158">
        <v>709</v>
      </c>
      <c r="J192" s="147" t="s">
        <v>301</v>
      </c>
      <c r="K192" s="158">
        <v>181</v>
      </c>
      <c r="L192" s="147" t="s">
        <v>10</v>
      </c>
      <c r="M192" s="161">
        <f>IFERROR(VLOOKUP(L192,'Material Master'!B:C,2,0),"")</f>
      </c>
      <c r="N192" s="158">
        <v>100</v>
      </c>
      <c r="O192" s="162">
        <f>IFERROR(M192*N192,"")</f>
      </c>
      <c r="P192" s="147" t="s">
        <v>402</v>
      </c>
      <c r="Q192" s="158"/>
      <c r="R192" s="163">
        <v>45778</v>
      </c>
      <c r="S192" s="147"/>
      <c r="T192" s="147"/>
      <c r="U192" s="158">
        <v>495</v>
      </c>
      <c r="V192" s="164">
        <v>31</v>
      </c>
      <c r="W192" s="165">
        <f>IFERROR(U192*V192,"0")</f>
      </c>
      <c r="X192" s="7"/>
      <c r="Y192" s="166">
        <f>IFERROR((O192/1000)*Masters!$C$3,"0")</f>
      </c>
      <c r="Z192" s="167"/>
      <c r="AA192" s="164">
        <f>IFERROR(VLOOKUP(L192,Masters!G:H,2,0),"0")</f>
      </c>
      <c r="AB192" s="166">
        <f>IFERROR(AA192*N192,"0")</f>
      </c>
      <c r="AC192" s="168"/>
      <c r="AD192" s="158"/>
      <c r="AE192" s="166">
        <f>W192+Y192+AB192+AD192</f>
      </c>
      <c r="AF192" s="167"/>
      <c r="AG192" s="169">
        <f>M192&amp;"-"&amp;F192</f>
      </c>
      <c r="AH192" s="166">
        <f>IFERROR(VLOOKUP(AG192,Masters!N:O,2,0),"0")</f>
      </c>
      <c r="AI192" s="166">
        <f>AH192*N192</f>
      </c>
      <c r="AJ192" s="158"/>
      <c r="AK192" s="170">
        <f>AI192-AE192</f>
      </c>
      <c r="AL192" s="167"/>
      <c r="AM192" s="147"/>
      <c r="AN192" s="171">
        <f>IFERROR(U192/2,"0")</f>
      </c>
    </row>
    <row x14ac:dyDescent="0.25" r="193" customHeight="1" ht="18.75">
      <c r="A193" s="158">
        <f>A192+1</f>
      </c>
      <c r="B193" s="159">
        <v>45797</v>
      </c>
      <c r="C193" s="173" t="s">
        <v>613</v>
      </c>
      <c r="D193" s="159"/>
      <c r="E193" s="173" t="s">
        <v>614</v>
      </c>
      <c r="F193" s="173"/>
      <c r="G193" s="173" t="s">
        <v>235</v>
      </c>
      <c r="H193" s="173"/>
      <c r="I193" s="184">
        <v>709</v>
      </c>
      <c r="J193" s="173"/>
      <c r="K193" s="184"/>
      <c r="L193" s="173"/>
      <c r="M193" s="185">
        <f>IFERROR(VLOOKUP(L193,'Material Master'!B:C,2,0),"")</f>
      </c>
      <c r="N193" s="184"/>
      <c r="O193" s="186">
        <f>IFERROR(M193*N193,"")</f>
      </c>
      <c r="P193" s="173"/>
      <c r="Q193" s="184"/>
      <c r="R193" s="187">
        <v>45778</v>
      </c>
      <c r="S193" s="173" t="s">
        <v>504</v>
      </c>
      <c r="T193" s="188"/>
      <c r="U193" s="184"/>
      <c r="V193" s="185">
        <v>31</v>
      </c>
      <c r="W193" s="189">
        <f>IFERROR(U193*V193,"0")</f>
      </c>
      <c r="X193" s="190"/>
      <c r="Y193" s="191">
        <f>IFERROR((O193/1000)*Masters!$C$3,"0")</f>
      </c>
      <c r="Z193" s="192"/>
      <c r="AA193" s="164">
        <f>IFERROR(VLOOKUP(L193,Masters!G:H,2,0),"0")</f>
      </c>
      <c r="AB193" s="166">
        <f>IFERROR(AA193*N193,"0")</f>
      </c>
      <c r="AC193" s="193"/>
      <c r="AD193" s="190"/>
      <c r="AE193" s="166">
        <f>W193+Y193+AB193+AD193</f>
      </c>
      <c r="AF193" s="192"/>
      <c r="AG193" s="169">
        <f>M193&amp;"-"&amp;F193</f>
      </c>
      <c r="AH193" s="191">
        <f>IFERROR(VLOOKUP(AG193,Masters!N:O,2,0),"0")</f>
      </c>
      <c r="AI193" s="166">
        <f>AH193*N193</f>
      </c>
      <c r="AJ193" s="190"/>
      <c r="AK193" s="170">
        <f>AI193-AE193</f>
      </c>
      <c r="AL193" s="192"/>
      <c r="AM193" s="188"/>
      <c r="AN193" s="171">
        <f>IFERROR(U193/2,"0")</f>
      </c>
    </row>
    <row x14ac:dyDescent="0.25" r="194" customHeight="1" ht="18.75">
      <c r="A194" s="158">
        <f>A193+1</f>
      </c>
      <c r="B194" s="159">
        <v>45798</v>
      </c>
      <c r="C194" s="147" t="s">
        <v>615</v>
      </c>
      <c r="D194" s="159">
        <v>45798</v>
      </c>
      <c r="E194" s="147" t="s">
        <v>102</v>
      </c>
      <c r="F194" s="160" t="s">
        <v>32</v>
      </c>
      <c r="G194" s="147" t="s">
        <v>616</v>
      </c>
      <c r="H194" s="147" t="s">
        <v>303</v>
      </c>
      <c r="I194" s="158">
        <v>1109</v>
      </c>
      <c r="J194" s="147" t="s">
        <v>301</v>
      </c>
      <c r="K194" s="158">
        <v>182</v>
      </c>
      <c r="L194" s="147" t="s">
        <v>10</v>
      </c>
      <c r="M194" s="161">
        <f>IFERROR(VLOOKUP(L194,'Material Master'!B:C,2,0),"")</f>
      </c>
      <c r="N194" s="158">
        <v>300</v>
      </c>
      <c r="O194" s="162">
        <f>IFERROR(M194*N194,"")</f>
      </c>
      <c r="P194" s="147" t="s">
        <v>402</v>
      </c>
      <c r="Q194" s="158"/>
      <c r="R194" s="163">
        <v>45778</v>
      </c>
      <c r="S194" s="147"/>
      <c r="T194" s="147"/>
      <c r="U194" s="158">
        <v>231</v>
      </c>
      <c r="V194" s="164">
        <v>31</v>
      </c>
      <c r="W194" s="165">
        <f>IFERROR(U194*V194,"0")</f>
      </c>
      <c r="X194" s="7"/>
      <c r="Y194" s="166">
        <f>IFERROR((O194/1000)*Masters!$C$3,"0")</f>
      </c>
      <c r="Z194" s="167"/>
      <c r="AA194" s="164">
        <f>IFERROR(VLOOKUP(L194,Masters!G:H,2,0),"0")</f>
      </c>
      <c r="AB194" s="166">
        <f>IFERROR(AA194*N194,"0")</f>
      </c>
      <c r="AC194" s="168"/>
      <c r="AD194" s="158"/>
      <c r="AE194" s="166">
        <f>W194+Y194+AB194+AD194</f>
      </c>
      <c r="AF194" s="167"/>
      <c r="AG194" s="169">
        <f>M194&amp;"-"&amp;F194</f>
      </c>
      <c r="AH194" s="166">
        <f>IFERROR(VLOOKUP(AG194,Masters!N:O,2,0),"0")</f>
      </c>
      <c r="AI194" s="166">
        <f>AH194*N194</f>
      </c>
      <c r="AJ194" s="158"/>
      <c r="AK194" s="170">
        <f>AI194-AE194</f>
      </c>
      <c r="AL194" s="167"/>
      <c r="AM194" s="147"/>
      <c r="AN194" s="171">
        <f>IFERROR(U194/2,"0")</f>
      </c>
    </row>
    <row x14ac:dyDescent="0.25" r="195" customHeight="1" ht="18.75">
      <c r="A195" s="158">
        <f>A194+1</f>
      </c>
      <c r="B195" s="159">
        <v>45798</v>
      </c>
      <c r="C195" s="147" t="s">
        <v>617</v>
      </c>
      <c r="D195" s="159">
        <v>45798</v>
      </c>
      <c r="E195" s="147" t="s">
        <v>84</v>
      </c>
      <c r="F195" s="160" t="s">
        <v>231</v>
      </c>
      <c r="G195" s="147" t="s">
        <v>530</v>
      </c>
      <c r="H195" s="147" t="s">
        <v>304</v>
      </c>
      <c r="I195" s="158">
        <v>709</v>
      </c>
      <c r="J195" s="147" t="s">
        <v>301</v>
      </c>
      <c r="K195" s="158">
        <v>183</v>
      </c>
      <c r="L195" s="147" t="s">
        <v>10</v>
      </c>
      <c r="M195" s="161">
        <f>IFERROR(VLOOKUP(L195,'Material Master'!B:C,2,0),"")</f>
      </c>
      <c r="N195" s="158">
        <v>100</v>
      </c>
      <c r="O195" s="162">
        <f>IFERROR(M195*N195,"")</f>
      </c>
      <c r="P195" s="147" t="s">
        <v>402</v>
      </c>
      <c r="Q195" s="158"/>
      <c r="R195" s="163">
        <v>45778</v>
      </c>
      <c r="S195" s="147"/>
      <c r="T195" s="147"/>
      <c r="U195" s="158">
        <v>191</v>
      </c>
      <c r="V195" s="164">
        <v>31</v>
      </c>
      <c r="W195" s="165">
        <f>IFERROR(U195*V195,"0")</f>
      </c>
      <c r="X195" s="7"/>
      <c r="Y195" s="166">
        <f>IFERROR((O195/1000)*Masters!$C$3,"0")</f>
      </c>
      <c r="Z195" s="167"/>
      <c r="AA195" s="164">
        <f>IFERROR(VLOOKUP(L195,Masters!G:H,2,0),"0")</f>
      </c>
      <c r="AB195" s="166">
        <f>IFERROR(AA195*N195,"0")</f>
      </c>
      <c r="AC195" s="168"/>
      <c r="AD195" s="158"/>
      <c r="AE195" s="166">
        <f>W195+Y195+AB195+AD195</f>
      </c>
      <c r="AF195" s="167"/>
      <c r="AG195" s="169">
        <f>M195&amp;"-"&amp;F195</f>
      </c>
      <c r="AH195" s="166">
        <f>IFERROR(VLOOKUP(AG195,Masters!N:O,2,0),"0")</f>
      </c>
      <c r="AI195" s="166">
        <f>AH195*N195</f>
      </c>
      <c r="AJ195" s="158"/>
      <c r="AK195" s="170">
        <f>AI195-AE195</f>
      </c>
      <c r="AL195" s="167"/>
      <c r="AM195" s="147"/>
      <c r="AN195" s="171">
        <f>IFERROR(U195/2,"0")</f>
      </c>
    </row>
    <row x14ac:dyDescent="0.25" r="196" customHeight="1" ht="18.75">
      <c r="A196" s="158">
        <f>A195+1</f>
      </c>
      <c r="B196" s="159">
        <v>45798</v>
      </c>
      <c r="C196" s="147" t="s">
        <v>618</v>
      </c>
      <c r="D196" s="159">
        <v>45798</v>
      </c>
      <c r="E196" s="197" t="s">
        <v>173</v>
      </c>
      <c r="F196" s="160" t="s">
        <v>231</v>
      </c>
      <c r="G196" s="147" t="s">
        <v>230</v>
      </c>
      <c r="H196" s="147" t="s">
        <v>302</v>
      </c>
      <c r="I196" s="158">
        <v>1109</v>
      </c>
      <c r="J196" s="147" t="s">
        <v>301</v>
      </c>
      <c r="K196" s="158">
        <v>184</v>
      </c>
      <c r="L196" s="147" t="s">
        <v>10</v>
      </c>
      <c r="M196" s="161">
        <f>IFERROR(VLOOKUP(L196,'Material Master'!B:C,2,0),"")</f>
      </c>
      <c r="N196" s="158">
        <v>300</v>
      </c>
      <c r="O196" s="162">
        <f>IFERROR(M196*N196,"")</f>
      </c>
      <c r="P196" s="198" t="s">
        <v>402</v>
      </c>
      <c r="Q196" s="158"/>
      <c r="R196" s="163">
        <v>45778</v>
      </c>
      <c r="S196" s="147"/>
      <c r="T196" s="147"/>
      <c r="U196" s="158">
        <v>68</v>
      </c>
      <c r="V196" s="164">
        <v>31</v>
      </c>
      <c r="W196" s="165">
        <f>IFERROR(U196*V196,"0")</f>
      </c>
      <c r="X196" s="7"/>
      <c r="Y196" s="166">
        <f>IFERROR((O196/1000)*Masters!$C$3,"0")</f>
      </c>
      <c r="Z196" s="167"/>
      <c r="AA196" s="164">
        <f>IFERROR(VLOOKUP(L196,Masters!G:H,2,0),"0")</f>
      </c>
      <c r="AB196" s="166">
        <f>IFERROR(AA196*N196,"0")</f>
      </c>
      <c r="AC196" s="168"/>
      <c r="AD196" s="158"/>
      <c r="AE196" s="166">
        <f>W196+Y196+AB196+AD196</f>
      </c>
      <c r="AF196" s="167"/>
      <c r="AG196" s="169">
        <f>M196&amp;"-"&amp;F196</f>
      </c>
      <c r="AH196" s="166">
        <f>IFERROR(VLOOKUP(AG196,Masters!N:O,2,0),"0")</f>
      </c>
      <c r="AI196" s="166">
        <f>AH196*N196</f>
      </c>
      <c r="AJ196" s="158"/>
      <c r="AK196" s="170">
        <f>AI196-AE196</f>
      </c>
      <c r="AL196" s="167"/>
      <c r="AM196" s="147"/>
      <c r="AN196" s="171">
        <f>IFERROR(U196/2,"0")</f>
      </c>
    </row>
    <row x14ac:dyDescent="0.25" r="197" customHeight="1" ht="18.75">
      <c r="A197" s="158">
        <f>A196+1</f>
      </c>
      <c r="B197" s="159">
        <v>45799</v>
      </c>
      <c r="C197" s="147" t="s">
        <v>619</v>
      </c>
      <c r="D197" s="159">
        <v>45799</v>
      </c>
      <c r="E197" s="198" t="s">
        <v>213</v>
      </c>
      <c r="F197" s="160" t="s">
        <v>32</v>
      </c>
      <c r="G197" s="147" t="s">
        <v>214</v>
      </c>
      <c r="H197" s="147" t="s">
        <v>304</v>
      </c>
      <c r="I197" s="158">
        <v>1109</v>
      </c>
      <c r="J197" s="147" t="s">
        <v>301</v>
      </c>
      <c r="K197" s="158">
        <v>185</v>
      </c>
      <c r="L197" s="147" t="s">
        <v>10</v>
      </c>
      <c r="M197" s="161">
        <f>IFERROR(VLOOKUP(L197,'Material Master'!B:C,2,0),"")</f>
      </c>
      <c r="N197" s="158">
        <v>300</v>
      </c>
      <c r="O197" s="162">
        <f>IFERROR(M197*N197,"")</f>
      </c>
      <c r="P197" s="198" t="s">
        <v>402</v>
      </c>
      <c r="Q197" s="158" t="s">
        <v>620</v>
      </c>
      <c r="R197" s="163">
        <v>45778</v>
      </c>
      <c r="S197" s="147"/>
      <c r="T197" s="147"/>
      <c r="U197" s="158">
        <v>408</v>
      </c>
      <c r="V197" s="164">
        <v>31</v>
      </c>
      <c r="W197" s="165">
        <f>IFERROR(U197*V197,"0")</f>
      </c>
      <c r="X197" s="7"/>
      <c r="Y197" s="166">
        <f>IFERROR((O197/1000)*Masters!$C$3,"0")</f>
      </c>
      <c r="Z197" s="167"/>
      <c r="AA197" s="164">
        <f>IFERROR(VLOOKUP(L197,Masters!G:H,2,0),"0")</f>
      </c>
      <c r="AB197" s="166">
        <f>IFERROR(AA197*N197,"0")</f>
      </c>
      <c r="AC197" s="168"/>
      <c r="AD197" s="158"/>
      <c r="AE197" s="166">
        <f>W197+Y197+AB197+AD197</f>
      </c>
      <c r="AF197" s="167"/>
      <c r="AG197" s="169">
        <f>M197&amp;"-"&amp;F197</f>
      </c>
      <c r="AH197" s="166">
        <f>IFERROR(VLOOKUP(AG197,Masters!N:O,2,0),"0")</f>
      </c>
      <c r="AI197" s="166">
        <f>AH197*N197</f>
      </c>
      <c r="AJ197" s="158"/>
      <c r="AK197" s="170">
        <f>AI197-AE197</f>
      </c>
      <c r="AL197" s="167"/>
      <c r="AM197" s="147"/>
      <c r="AN197" s="171">
        <f>IFERROR(U197/2,"0")</f>
      </c>
    </row>
    <row x14ac:dyDescent="0.25" r="198" customHeight="1" ht="18.75">
      <c r="A198" s="158">
        <f>A197+1</f>
      </c>
      <c r="B198" s="159">
        <v>45800</v>
      </c>
      <c r="C198" s="147" t="s">
        <v>621</v>
      </c>
      <c r="D198" s="159">
        <v>45800</v>
      </c>
      <c r="E198" s="198" t="s">
        <v>157</v>
      </c>
      <c r="F198" s="160" t="s">
        <v>32</v>
      </c>
      <c r="G198" s="147" t="s">
        <v>158</v>
      </c>
      <c r="H198" s="147" t="s">
        <v>303</v>
      </c>
      <c r="I198" s="158">
        <v>1109</v>
      </c>
      <c r="J198" s="147" t="s">
        <v>301</v>
      </c>
      <c r="K198" s="199">
        <v>186</v>
      </c>
      <c r="L198" s="147" t="s">
        <v>10</v>
      </c>
      <c r="M198" s="161">
        <f>IFERROR(VLOOKUP(L198,'Material Master'!B:C,2,0),"")</f>
      </c>
      <c r="N198" s="199">
        <v>300</v>
      </c>
      <c r="O198" s="162">
        <f>IFERROR(M198*N198,"")</f>
      </c>
      <c r="P198" s="198" t="s">
        <v>402</v>
      </c>
      <c r="Q198" s="158" t="s">
        <v>622</v>
      </c>
      <c r="R198" s="163">
        <v>45778</v>
      </c>
      <c r="S198" s="147"/>
      <c r="T198" s="147"/>
      <c r="U198" s="158">
        <v>413</v>
      </c>
      <c r="V198" s="164">
        <v>31</v>
      </c>
      <c r="W198" s="165">
        <f>IFERROR(U198*V198,"0")</f>
      </c>
      <c r="X198" s="7"/>
      <c r="Y198" s="166">
        <f>IFERROR((O198/1000)*Masters!$C$3,"0")</f>
      </c>
      <c r="Z198" s="167"/>
      <c r="AA198" s="164">
        <f>IFERROR(VLOOKUP(L198,Masters!G:H,2,0),"0")</f>
      </c>
      <c r="AB198" s="166">
        <f>IFERROR(AA198*N198,"0")</f>
      </c>
      <c r="AC198" s="168"/>
      <c r="AD198" s="158"/>
      <c r="AE198" s="166">
        <f>W198+Y198+AB198+AD198</f>
      </c>
      <c r="AF198" s="167"/>
      <c r="AG198" s="169">
        <f>M198&amp;"-"&amp;F198</f>
      </c>
      <c r="AH198" s="166">
        <f>IFERROR(VLOOKUP(AG198,Masters!N:O,2,0),"0")</f>
      </c>
      <c r="AI198" s="166">
        <f>AH198*N198</f>
      </c>
      <c r="AJ198" s="158"/>
      <c r="AK198" s="170">
        <f>AI198-AE198</f>
      </c>
      <c r="AL198" s="167"/>
      <c r="AM198" s="147"/>
      <c r="AN198" s="171">
        <f>IFERROR(U198/2,"0")</f>
      </c>
    </row>
    <row x14ac:dyDescent="0.25" r="199" customHeight="1" ht="18.75">
      <c r="A199" s="158">
        <f>A198+1</f>
      </c>
      <c r="B199" s="159">
        <v>45800</v>
      </c>
      <c r="C199" s="147" t="s">
        <v>623</v>
      </c>
      <c r="D199" s="159">
        <v>45800</v>
      </c>
      <c r="E199" s="198" t="s">
        <v>160</v>
      </c>
      <c r="F199" s="160" t="s">
        <v>32</v>
      </c>
      <c r="G199" s="147" t="s">
        <v>161</v>
      </c>
      <c r="H199" s="147" t="s">
        <v>302</v>
      </c>
      <c r="I199" s="158">
        <v>1109</v>
      </c>
      <c r="J199" s="147" t="s">
        <v>301</v>
      </c>
      <c r="K199" s="199">
        <v>187</v>
      </c>
      <c r="L199" s="147" t="s">
        <v>10</v>
      </c>
      <c r="M199" s="161">
        <f>IFERROR(VLOOKUP(L199,'Material Master'!B:C,2,0),"")</f>
      </c>
      <c r="N199" s="199">
        <v>300</v>
      </c>
      <c r="O199" s="162">
        <f>IFERROR(M199*N199,"")</f>
      </c>
      <c r="P199" s="198" t="s">
        <v>402</v>
      </c>
      <c r="Q199" s="158" t="s">
        <v>624</v>
      </c>
      <c r="R199" s="163">
        <v>45778</v>
      </c>
      <c r="S199" s="147"/>
      <c r="T199" s="147"/>
      <c r="U199" s="158">
        <v>345</v>
      </c>
      <c r="V199" s="164">
        <v>31</v>
      </c>
      <c r="W199" s="165">
        <f>IFERROR(U199*V199,"0")</f>
      </c>
      <c r="X199" s="7"/>
      <c r="Y199" s="166">
        <f>IFERROR((O199/1000)*Masters!$C$3,"0")</f>
      </c>
      <c r="Z199" s="167"/>
      <c r="AA199" s="164">
        <f>IFERROR(VLOOKUP(L199,Masters!G:H,2,0),"0")</f>
      </c>
      <c r="AB199" s="166">
        <f>IFERROR(AA199*N199,"0")</f>
      </c>
      <c r="AC199" s="168"/>
      <c r="AD199" s="158"/>
      <c r="AE199" s="166">
        <f>W199+Y199+AB199+AD199</f>
      </c>
      <c r="AF199" s="167"/>
      <c r="AG199" s="169">
        <f>M199&amp;"-"&amp;F199</f>
      </c>
      <c r="AH199" s="166">
        <f>IFERROR(VLOOKUP(AG199,Masters!N:O,2,0),"0")</f>
      </c>
      <c r="AI199" s="166">
        <f>AH199*N199</f>
      </c>
      <c r="AJ199" s="158"/>
      <c r="AK199" s="170">
        <f>AI199-AE199</f>
      </c>
      <c r="AL199" s="167"/>
      <c r="AM199" s="147"/>
      <c r="AN199" s="171">
        <f>IFERROR(U199/2,"0")</f>
      </c>
    </row>
    <row x14ac:dyDescent="0.25" r="200" customHeight="1" ht="18.75">
      <c r="A200" s="158">
        <f>A199+1</f>
      </c>
      <c r="B200" s="159">
        <v>45800</v>
      </c>
      <c r="C200" s="147" t="s">
        <v>625</v>
      </c>
      <c r="D200" s="159">
        <v>45801</v>
      </c>
      <c r="E200" s="198" t="s">
        <v>215</v>
      </c>
      <c r="F200" s="160" t="s">
        <v>32</v>
      </c>
      <c r="G200" s="147" t="s">
        <v>216</v>
      </c>
      <c r="H200" s="147" t="s">
        <v>302</v>
      </c>
      <c r="I200" s="158">
        <v>909</v>
      </c>
      <c r="J200" s="147" t="s">
        <v>301</v>
      </c>
      <c r="K200" s="199">
        <v>190</v>
      </c>
      <c r="L200" s="147" t="s">
        <v>10</v>
      </c>
      <c r="M200" s="161">
        <f>IFERROR(VLOOKUP(L200,'Material Master'!B:C,2,0),"")</f>
      </c>
      <c r="N200" s="199">
        <v>100</v>
      </c>
      <c r="O200" s="162">
        <f>IFERROR(M200*N200,"")</f>
      </c>
      <c r="P200" s="198" t="s">
        <v>402</v>
      </c>
      <c r="Q200" s="158" t="s">
        <v>626</v>
      </c>
      <c r="R200" s="163">
        <v>45778</v>
      </c>
      <c r="S200" s="147"/>
      <c r="T200" s="147"/>
      <c r="U200" s="158">
        <v>247</v>
      </c>
      <c r="V200" s="164">
        <v>31</v>
      </c>
      <c r="W200" s="165">
        <f>IFERROR(U200*V200,"0")</f>
      </c>
      <c r="X200" s="7"/>
      <c r="Y200" s="166">
        <f>IFERROR((O200/1000)*Masters!$C$3,"0")</f>
      </c>
      <c r="Z200" s="167"/>
      <c r="AA200" s="164">
        <f>IFERROR(VLOOKUP(L200,Masters!G:H,2,0),"0")</f>
      </c>
      <c r="AB200" s="166">
        <f>IFERROR(AA200*N200,"0")</f>
      </c>
      <c r="AC200" s="168"/>
      <c r="AD200" s="158"/>
      <c r="AE200" s="166">
        <f>W200+Y200+AB200+AD200</f>
      </c>
      <c r="AF200" s="167"/>
      <c r="AG200" s="169">
        <f>M200&amp;"-"&amp;F200</f>
      </c>
      <c r="AH200" s="166">
        <f>IFERROR(VLOOKUP(AG200,Masters!N:O,2,0),"0")</f>
      </c>
      <c r="AI200" s="166">
        <f>AH200*N200</f>
      </c>
      <c r="AJ200" s="158"/>
      <c r="AK200" s="170">
        <f>AI200-AE200</f>
      </c>
      <c r="AL200" s="167"/>
      <c r="AM200" s="147"/>
      <c r="AN200" s="171">
        <f>IFERROR(U200/2,"0")</f>
      </c>
    </row>
    <row x14ac:dyDescent="0.25" r="201" customHeight="1" ht="18.75">
      <c r="A201" s="158">
        <f>A200+1</f>
      </c>
      <c r="B201" s="159">
        <v>45800</v>
      </c>
      <c r="C201" s="147" t="s">
        <v>625</v>
      </c>
      <c r="D201" s="159">
        <v>45801</v>
      </c>
      <c r="E201" s="198" t="s">
        <v>217</v>
      </c>
      <c r="F201" s="160" t="s">
        <v>16</v>
      </c>
      <c r="G201" s="147" t="s">
        <v>80</v>
      </c>
      <c r="H201" s="147" t="s">
        <v>302</v>
      </c>
      <c r="I201" s="158">
        <v>909</v>
      </c>
      <c r="J201" s="147" t="s">
        <v>301</v>
      </c>
      <c r="K201" s="199">
        <v>191</v>
      </c>
      <c r="L201" s="147" t="s">
        <v>10</v>
      </c>
      <c r="M201" s="161">
        <f>IFERROR(VLOOKUP(L201,'Material Master'!B:C,2,0),"")</f>
      </c>
      <c r="N201" s="199">
        <v>100</v>
      </c>
      <c r="O201" s="162">
        <f>IFERROR(M201*N201,"")</f>
      </c>
      <c r="P201" s="198" t="s">
        <v>402</v>
      </c>
      <c r="Q201" s="158" t="s">
        <v>626</v>
      </c>
      <c r="R201" s="163">
        <v>45778</v>
      </c>
      <c r="S201" s="147"/>
      <c r="T201" s="147"/>
      <c r="U201" s="158">
        <v>0</v>
      </c>
      <c r="V201" s="164">
        <v>31</v>
      </c>
      <c r="W201" s="165">
        <f>IFERROR(U201*V201,"0")</f>
      </c>
      <c r="X201" s="7"/>
      <c r="Y201" s="166">
        <f>IFERROR((O201/1000)*Masters!$C$3,"0")</f>
      </c>
      <c r="Z201" s="167"/>
      <c r="AA201" s="164">
        <f>IFERROR(VLOOKUP(L201,Masters!G:H,2,0),"0")</f>
      </c>
      <c r="AB201" s="166">
        <f>IFERROR(AA201*N201,"0")</f>
      </c>
      <c r="AC201" s="168"/>
      <c r="AD201" s="158"/>
      <c r="AE201" s="166">
        <f>W201+Y201+AB201+AD201</f>
      </c>
      <c r="AF201" s="167"/>
      <c r="AG201" s="169">
        <f>M201&amp;"-"&amp;F201</f>
      </c>
      <c r="AH201" s="166">
        <f>IFERROR(VLOOKUP(AG201,Masters!N:O,2,0),"0")</f>
      </c>
      <c r="AI201" s="166">
        <f>AH201*N201</f>
      </c>
      <c r="AJ201" s="158"/>
      <c r="AK201" s="170">
        <f>AI201-AE201</f>
      </c>
      <c r="AL201" s="167"/>
      <c r="AM201" s="147"/>
      <c r="AN201" s="171">
        <f>IFERROR(U201/2,"0")</f>
      </c>
    </row>
    <row x14ac:dyDescent="0.25" r="202" customHeight="1" ht="18.75">
      <c r="A202" s="158">
        <f>A201+1</f>
      </c>
      <c r="B202" s="159">
        <v>45800</v>
      </c>
      <c r="C202" s="147" t="s">
        <v>627</v>
      </c>
      <c r="D202" s="159">
        <v>45801</v>
      </c>
      <c r="E202" s="198" t="s">
        <v>108</v>
      </c>
      <c r="F202" s="160" t="s">
        <v>231</v>
      </c>
      <c r="G202" s="147" t="s">
        <v>530</v>
      </c>
      <c r="H202" s="147" t="s">
        <v>304</v>
      </c>
      <c r="I202" s="158">
        <v>1109</v>
      </c>
      <c r="J202" s="147" t="s">
        <v>301</v>
      </c>
      <c r="K202" s="199">
        <v>188</v>
      </c>
      <c r="L202" s="147" t="s">
        <v>10</v>
      </c>
      <c r="M202" s="161">
        <f>IFERROR(VLOOKUP(L202,'Material Master'!B:C,2,0),"")</f>
      </c>
      <c r="N202" s="199">
        <v>30</v>
      </c>
      <c r="O202" s="162">
        <f>IFERROR(M202*N202,"")</f>
      </c>
      <c r="P202" s="198" t="s">
        <v>402</v>
      </c>
      <c r="Q202" s="158" t="s">
        <v>628</v>
      </c>
      <c r="R202" s="163">
        <v>45778</v>
      </c>
      <c r="S202" s="147"/>
      <c r="T202" s="147"/>
      <c r="U202" s="158">
        <v>180</v>
      </c>
      <c r="V202" s="164">
        <v>31</v>
      </c>
      <c r="W202" s="165">
        <f>IFERROR(U202*V202,"0")</f>
      </c>
      <c r="X202" s="7"/>
      <c r="Y202" s="166">
        <f>IFERROR((O202/1000)*Masters!$C$3,"0")</f>
      </c>
      <c r="Z202" s="167"/>
      <c r="AA202" s="164">
        <f>IFERROR(VLOOKUP(L202,Masters!G:H,2,0),"0")</f>
      </c>
      <c r="AB202" s="166">
        <f>IFERROR(AA202*N202,"0")</f>
      </c>
      <c r="AC202" s="168"/>
      <c r="AD202" s="158">
        <v>150</v>
      </c>
      <c r="AE202" s="166">
        <f>W202+Y202+AB202+AD202</f>
      </c>
      <c r="AF202" s="167"/>
      <c r="AG202" s="169">
        <f>M202&amp;"-"&amp;F202</f>
      </c>
      <c r="AH202" s="166">
        <f>IFERROR(VLOOKUP(AG202,Masters!N:O,2,0),"0")</f>
      </c>
      <c r="AI202" s="166">
        <f>AH202*N202</f>
      </c>
      <c r="AJ202" s="158"/>
      <c r="AK202" s="170">
        <f>AI202-AE202</f>
      </c>
      <c r="AL202" s="167"/>
      <c r="AM202" s="147"/>
      <c r="AN202" s="171">
        <f>IFERROR(U202/2,"0")</f>
      </c>
    </row>
    <row x14ac:dyDescent="0.25" r="203" customHeight="1" ht="18.75">
      <c r="A203" s="158">
        <f>A202+1</f>
      </c>
      <c r="B203" s="159">
        <v>45800</v>
      </c>
      <c r="C203" s="147" t="s">
        <v>629</v>
      </c>
      <c r="D203" s="159">
        <v>45801</v>
      </c>
      <c r="E203" s="198" t="s">
        <v>108</v>
      </c>
      <c r="F203" s="160" t="s">
        <v>231</v>
      </c>
      <c r="G203" s="147" t="s">
        <v>530</v>
      </c>
      <c r="H203" s="147" t="s">
        <v>305</v>
      </c>
      <c r="I203" s="158">
        <v>1109</v>
      </c>
      <c r="J203" s="147" t="s">
        <v>301</v>
      </c>
      <c r="K203" s="199">
        <v>189</v>
      </c>
      <c r="L203" s="198" t="s">
        <v>10</v>
      </c>
      <c r="M203" s="161">
        <f>IFERROR(VLOOKUP(L203,'Material Master'!B:C,2,0),"")</f>
      </c>
      <c r="N203" s="199">
        <v>30</v>
      </c>
      <c r="O203" s="162">
        <f>IFERROR(M203*N203,"")</f>
      </c>
      <c r="P203" s="198" t="s">
        <v>402</v>
      </c>
      <c r="Q203" s="158" t="s">
        <v>630</v>
      </c>
      <c r="R203" s="163">
        <v>45778</v>
      </c>
      <c r="S203" s="147"/>
      <c r="T203" s="147"/>
      <c r="U203" s="158">
        <v>182</v>
      </c>
      <c r="V203" s="164">
        <v>31</v>
      </c>
      <c r="W203" s="165">
        <f>IFERROR(U203*V203,"0")</f>
      </c>
      <c r="X203" s="7"/>
      <c r="Y203" s="166">
        <f>IFERROR((O203/1000)*Masters!$C$3,"0")</f>
      </c>
      <c r="Z203" s="167"/>
      <c r="AA203" s="164">
        <f>IFERROR(VLOOKUP(L203,Masters!G:H,2,0),"0")</f>
      </c>
      <c r="AB203" s="166">
        <f>IFERROR(AA203*N203,"0")</f>
      </c>
      <c r="AC203" s="168"/>
      <c r="AD203" s="158">
        <v>150</v>
      </c>
      <c r="AE203" s="166">
        <f>W203+Y203+AB203+AD203</f>
      </c>
      <c r="AF203" s="167"/>
      <c r="AG203" s="169">
        <f>M203&amp;"-"&amp;F203</f>
      </c>
      <c r="AH203" s="166">
        <f>IFERROR(VLOOKUP(AG203,Masters!N:O,2,0),"0")</f>
      </c>
      <c r="AI203" s="166">
        <f>AH203*N203</f>
      </c>
      <c r="AJ203" s="158"/>
      <c r="AK203" s="170">
        <f>AI203-AE203</f>
      </c>
      <c r="AL203" s="167"/>
      <c r="AM203" s="147"/>
      <c r="AN203" s="171">
        <f>IFERROR(U203/2,"0")</f>
      </c>
    </row>
    <row x14ac:dyDescent="0.25" r="204" customHeight="1" ht="18.75">
      <c r="A204" s="158">
        <f>A203+1</f>
      </c>
      <c r="B204" s="159">
        <v>45801</v>
      </c>
      <c r="C204" s="147" t="s">
        <v>631</v>
      </c>
      <c r="D204" s="159">
        <v>45801</v>
      </c>
      <c r="E204" s="198" t="s">
        <v>133</v>
      </c>
      <c r="F204" s="160" t="s">
        <v>231</v>
      </c>
      <c r="G204" s="147" t="s">
        <v>485</v>
      </c>
      <c r="H204" s="147" t="s">
        <v>303</v>
      </c>
      <c r="I204" s="158">
        <v>1109</v>
      </c>
      <c r="J204" s="147" t="s">
        <v>301</v>
      </c>
      <c r="K204" s="199">
        <v>192</v>
      </c>
      <c r="L204" s="198" t="s">
        <v>10</v>
      </c>
      <c r="M204" s="161">
        <f>IFERROR(VLOOKUP(L204,'Material Master'!B:C,2,0),"")</f>
      </c>
      <c r="N204" s="199">
        <v>300</v>
      </c>
      <c r="O204" s="162">
        <f>IFERROR(M204*N204,"")</f>
      </c>
      <c r="P204" s="198" t="s">
        <v>402</v>
      </c>
      <c r="Q204" s="158" t="s">
        <v>632</v>
      </c>
      <c r="R204" s="163">
        <v>45778</v>
      </c>
      <c r="S204" s="147"/>
      <c r="T204" s="147"/>
      <c r="U204" s="158">
        <v>198</v>
      </c>
      <c r="V204" s="164">
        <v>31</v>
      </c>
      <c r="W204" s="165">
        <f>IFERROR(U204*V204,"0")</f>
      </c>
      <c r="X204" s="7"/>
      <c r="Y204" s="166">
        <f>IFERROR((O204/1000)*Masters!$C$3,"0")</f>
      </c>
      <c r="Z204" s="167"/>
      <c r="AA204" s="164">
        <f>IFERROR(VLOOKUP(L204,Masters!G:H,2,0),"0")</f>
      </c>
      <c r="AB204" s="166">
        <f>IFERROR(AA204*N204,"0")</f>
      </c>
      <c r="AC204" s="168"/>
      <c r="AD204" s="158"/>
      <c r="AE204" s="166">
        <f>W204+Y204+AB204+AD204</f>
      </c>
      <c r="AF204" s="167"/>
      <c r="AG204" s="169">
        <f>M204&amp;"-"&amp;F204</f>
      </c>
      <c r="AH204" s="166">
        <f>IFERROR(VLOOKUP(AG204,Masters!N:O,2,0),"0")</f>
      </c>
      <c r="AI204" s="166">
        <f>AH204*N204</f>
      </c>
      <c r="AJ204" s="158"/>
      <c r="AK204" s="170">
        <f>AI204-AE204</f>
      </c>
      <c r="AL204" s="167"/>
      <c r="AM204" s="147"/>
      <c r="AN204" s="171">
        <f>IFERROR(U204/2,"0")</f>
      </c>
    </row>
    <row x14ac:dyDescent="0.25" r="205" customHeight="1" ht="18.75">
      <c r="A205" s="158">
        <f>A204+1</f>
      </c>
      <c r="B205" s="159">
        <v>45801</v>
      </c>
      <c r="C205" s="147" t="s">
        <v>633</v>
      </c>
      <c r="D205" s="159">
        <v>45802</v>
      </c>
      <c r="E205" s="198" t="s">
        <v>192</v>
      </c>
      <c r="F205" s="160" t="s">
        <v>32</v>
      </c>
      <c r="G205" s="147" t="s">
        <v>193</v>
      </c>
      <c r="H205" s="147" t="s">
        <v>304</v>
      </c>
      <c r="I205" s="158">
        <v>1109</v>
      </c>
      <c r="J205" s="147" t="s">
        <v>301</v>
      </c>
      <c r="K205" s="199">
        <v>194</v>
      </c>
      <c r="L205" s="198" t="s">
        <v>10</v>
      </c>
      <c r="M205" s="161">
        <f>IFERROR(VLOOKUP(L205,'Material Master'!B:C,2,0),"")</f>
      </c>
      <c r="N205" s="199">
        <v>300</v>
      </c>
      <c r="O205" s="162">
        <f>IFERROR(M205*N205,"")</f>
      </c>
      <c r="P205" s="198" t="s">
        <v>402</v>
      </c>
      <c r="Q205" s="158" t="s">
        <v>634</v>
      </c>
      <c r="R205" s="163">
        <v>45778</v>
      </c>
      <c r="S205" s="147"/>
      <c r="T205" s="147"/>
      <c r="U205" s="158">
        <v>491</v>
      </c>
      <c r="V205" s="164">
        <v>31</v>
      </c>
      <c r="W205" s="165">
        <f>IFERROR(U205*V205,"0")</f>
      </c>
      <c r="X205" s="7"/>
      <c r="Y205" s="166">
        <f>IFERROR((O205/1000)*Masters!$C$3,"0")</f>
      </c>
      <c r="Z205" s="167"/>
      <c r="AA205" s="164">
        <f>IFERROR(VLOOKUP(L205,Masters!G:H,2,0),"0")</f>
      </c>
      <c r="AB205" s="166">
        <f>IFERROR(AA205*N205,"0")</f>
      </c>
      <c r="AC205" s="168"/>
      <c r="AD205" s="158"/>
      <c r="AE205" s="166">
        <f>W205+Y205+AB205+AD205</f>
      </c>
      <c r="AF205" s="167"/>
      <c r="AG205" s="169">
        <f>M205&amp;"-"&amp;F205</f>
      </c>
      <c r="AH205" s="166">
        <f>IFERROR(VLOOKUP(AG205,Masters!N:O,2,0),"0")</f>
      </c>
      <c r="AI205" s="166">
        <f>AH205*N205</f>
      </c>
      <c r="AJ205" s="158"/>
      <c r="AK205" s="170">
        <f>AI205-AE205</f>
      </c>
      <c r="AL205" s="167"/>
      <c r="AM205" s="147"/>
      <c r="AN205" s="171">
        <f>IFERROR(U205/2,"0")</f>
      </c>
    </row>
    <row x14ac:dyDescent="0.25" r="206" customHeight="1" ht="18.75">
      <c r="A206" s="158">
        <f>A205+1</f>
      </c>
      <c r="B206" s="159">
        <v>45801</v>
      </c>
      <c r="C206" s="147" t="s">
        <v>635</v>
      </c>
      <c r="D206" s="159">
        <v>45803</v>
      </c>
      <c r="E206" s="198" t="s">
        <v>192</v>
      </c>
      <c r="F206" s="160" t="s">
        <v>32</v>
      </c>
      <c r="G206" s="147" t="s">
        <v>270</v>
      </c>
      <c r="H206" s="147" t="s">
        <v>302</v>
      </c>
      <c r="I206" s="158">
        <v>1109</v>
      </c>
      <c r="J206" s="147" t="s">
        <v>301</v>
      </c>
      <c r="K206" s="199">
        <v>197</v>
      </c>
      <c r="L206" s="198" t="s">
        <v>10</v>
      </c>
      <c r="M206" s="161">
        <f>IFERROR(VLOOKUP(L206,'Material Master'!B:C,2,0),"")</f>
      </c>
      <c r="N206" s="199">
        <v>300</v>
      </c>
      <c r="O206" s="162">
        <f>IFERROR(M206*N206,"")</f>
      </c>
      <c r="P206" s="198" t="s">
        <v>402</v>
      </c>
      <c r="Q206" s="158" t="s">
        <v>636</v>
      </c>
      <c r="R206" s="163">
        <v>45778</v>
      </c>
      <c r="S206" s="147"/>
      <c r="T206" s="6"/>
      <c r="U206" s="158">
        <v>406</v>
      </c>
      <c r="V206" s="164">
        <v>31</v>
      </c>
      <c r="W206" s="165">
        <f>IFERROR(U206*V206,"0")</f>
      </c>
      <c r="X206" s="7"/>
      <c r="Y206" s="166">
        <f>IFERROR((O206/1000)*Masters!$C$3,"0")</f>
      </c>
      <c r="Z206" s="195"/>
      <c r="AA206" s="164">
        <f>IFERROR(VLOOKUP(L206,Masters!G:H,2,0),"0")</f>
      </c>
      <c r="AB206" s="166">
        <f>IFERROR(AA206*N206,"0")</f>
      </c>
      <c r="AC206" s="196"/>
      <c r="AD206" s="7"/>
      <c r="AE206" s="166">
        <f>W206+Y206+AB206+AD206</f>
      </c>
      <c r="AF206" s="195"/>
      <c r="AG206" s="169">
        <f>M206&amp;"-"&amp;F206</f>
      </c>
      <c r="AH206" s="166">
        <f>IFERROR(VLOOKUP(AG206,Masters!N:O,2,0),"0")</f>
      </c>
      <c r="AI206" s="166">
        <f>AH206*N206</f>
      </c>
      <c r="AJ206" s="7"/>
      <c r="AK206" s="170">
        <f>AI206-AE206</f>
      </c>
      <c r="AL206" s="195"/>
      <c r="AM206" s="6"/>
      <c r="AN206" s="171">
        <f>IFERROR(U206/2,"0")</f>
      </c>
    </row>
    <row x14ac:dyDescent="0.25" r="207" customHeight="1" ht="18.75">
      <c r="A207" s="158">
        <f>A206+1</f>
      </c>
      <c r="B207" s="159">
        <v>45801</v>
      </c>
      <c r="C207" s="173" t="s">
        <v>637</v>
      </c>
      <c r="D207" s="159"/>
      <c r="E207" s="173" t="s">
        <v>168</v>
      </c>
      <c r="F207" s="173"/>
      <c r="G207" s="173" t="s">
        <v>273</v>
      </c>
      <c r="H207" s="173"/>
      <c r="I207" s="184">
        <v>1109</v>
      </c>
      <c r="J207" s="173"/>
      <c r="K207" s="184"/>
      <c r="L207" s="173"/>
      <c r="M207" s="185">
        <f>IFERROR(VLOOKUP(L207,'Material Master'!B:C,2,0),"")</f>
      </c>
      <c r="N207" s="184"/>
      <c r="O207" s="186">
        <f>IFERROR(M207*N207,"")</f>
      </c>
      <c r="P207" s="173"/>
      <c r="Q207" s="184"/>
      <c r="R207" s="187">
        <v>45778</v>
      </c>
      <c r="S207" s="173" t="s">
        <v>638</v>
      </c>
      <c r="T207" s="188"/>
      <c r="U207" s="184"/>
      <c r="V207" s="185">
        <v>31</v>
      </c>
      <c r="W207" s="189">
        <f>IFERROR(U207*V207,"0")</f>
      </c>
      <c r="X207" s="190"/>
      <c r="Y207" s="191">
        <f>IFERROR((O207/1000)*Masters!$C$3,"0")</f>
      </c>
      <c r="Z207" s="192"/>
      <c r="AA207" s="164">
        <f>IFERROR(VLOOKUP(L207,Masters!G:H,2,0),"0")</f>
      </c>
      <c r="AB207" s="166">
        <f>IFERROR(AA207*N207,"0")</f>
      </c>
      <c r="AC207" s="193"/>
      <c r="AD207" s="190"/>
      <c r="AE207" s="166">
        <f>W207+Y207+AB207+AD207</f>
      </c>
      <c r="AF207" s="192"/>
      <c r="AG207" s="169">
        <f>M207&amp;"-"&amp;F207</f>
      </c>
      <c r="AH207" s="191">
        <f>IFERROR(VLOOKUP(AG207,Masters!N:O,2,0),"0")</f>
      </c>
      <c r="AI207" s="166">
        <f>AH207*N207</f>
      </c>
      <c r="AJ207" s="190"/>
      <c r="AK207" s="170">
        <f>AI207-AE207</f>
      </c>
      <c r="AL207" s="192"/>
      <c r="AM207" s="188"/>
      <c r="AN207" s="171">
        <f>IFERROR(U207/2,"0")</f>
      </c>
    </row>
    <row x14ac:dyDescent="0.25" r="208" customHeight="1" ht="18.75">
      <c r="A208" s="158">
        <f>A207+1</f>
      </c>
      <c r="B208" s="159">
        <v>45801</v>
      </c>
      <c r="C208" s="147" t="s">
        <v>639</v>
      </c>
      <c r="D208" s="159">
        <v>45803</v>
      </c>
      <c r="E208" s="198" t="s">
        <v>204</v>
      </c>
      <c r="F208" s="160" t="s">
        <v>231</v>
      </c>
      <c r="G208" s="147" t="s">
        <v>230</v>
      </c>
      <c r="H208" s="147" t="s">
        <v>305</v>
      </c>
      <c r="I208" s="158">
        <v>1109</v>
      </c>
      <c r="J208" s="147" t="s">
        <v>301</v>
      </c>
      <c r="K208" s="199">
        <v>196</v>
      </c>
      <c r="L208" s="198" t="s">
        <v>10</v>
      </c>
      <c r="M208" s="161">
        <f>IFERROR(VLOOKUP(L208,'Material Master'!B:C,2,0),"")</f>
      </c>
      <c r="N208" s="199">
        <v>300</v>
      </c>
      <c r="O208" s="162">
        <f>IFERROR(M208*N208,"")</f>
      </c>
      <c r="P208" s="198" t="s">
        <v>402</v>
      </c>
      <c r="Q208" s="158">
        <v>373420</v>
      </c>
      <c r="R208" s="163">
        <v>45778</v>
      </c>
      <c r="S208" s="147"/>
      <c r="T208" s="147"/>
      <c r="U208" s="158">
        <v>79</v>
      </c>
      <c r="V208" s="164">
        <v>31</v>
      </c>
      <c r="W208" s="165">
        <f>IFERROR(U208*V208,"0")</f>
      </c>
      <c r="X208" s="7"/>
      <c r="Y208" s="166">
        <f>IFERROR((O208/1000)*Masters!$C$3,"0")</f>
      </c>
      <c r="Z208" s="167"/>
      <c r="AA208" s="164">
        <f>IFERROR(VLOOKUP(L208,Masters!G:H,2,0),"0")</f>
      </c>
      <c r="AB208" s="166">
        <f>IFERROR(AA208*N208,"0")</f>
      </c>
      <c r="AC208" s="168"/>
      <c r="AD208" s="158"/>
      <c r="AE208" s="166">
        <f>W208+Y208+AB208+AD208</f>
      </c>
      <c r="AF208" s="167"/>
      <c r="AG208" s="169">
        <f>M208&amp;"-"&amp;F208</f>
      </c>
      <c r="AH208" s="166">
        <f>IFERROR(VLOOKUP(AG208,Masters!N:O,2,0),"0")</f>
      </c>
      <c r="AI208" s="166">
        <f>AH208*N208</f>
      </c>
      <c r="AJ208" s="158"/>
      <c r="AK208" s="170">
        <f>AI208-AE208</f>
      </c>
      <c r="AL208" s="167"/>
      <c r="AM208" s="147"/>
      <c r="AN208" s="171">
        <f>IFERROR(U208/2,"0")</f>
      </c>
    </row>
    <row x14ac:dyDescent="0.25" r="209" customHeight="1" ht="18.75">
      <c r="A209" s="158">
        <f>A208+1</f>
      </c>
      <c r="B209" s="159">
        <v>45801</v>
      </c>
      <c r="C209" s="147" t="s">
        <v>640</v>
      </c>
      <c r="D209" s="159">
        <v>45802</v>
      </c>
      <c r="E209" s="198" t="s">
        <v>97</v>
      </c>
      <c r="F209" s="160" t="s">
        <v>32</v>
      </c>
      <c r="G209" s="147" t="s">
        <v>149</v>
      </c>
      <c r="H209" s="147" t="s">
        <v>305</v>
      </c>
      <c r="I209" s="158">
        <v>1109</v>
      </c>
      <c r="J209" s="147" t="s">
        <v>301</v>
      </c>
      <c r="K209" s="199">
        <v>193</v>
      </c>
      <c r="L209" s="198" t="s">
        <v>10</v>
      </c>
      <c r="M209" s="161">
        <f>IFERROR(VLOOKUP(L209,'Material Master'!B:C,2,0),"")</f>
      </c>
      <c r="N209" s="199">
        <v>300</v>
      </c>
      <c r="O209" s="162">
        <f>IFERROR(M209*N209,"")</f>
      </c>
      <c r="P209" s="198" t="s">
        <v>402</v>
      </c>
      <c r="Q209" s="158" t="s">
        <v>641</v>
      </c>
      <c r="R209" s="163">
        <v>45778</v>
      </c>
      <c r="S209" s="147"/>
      <c r="T209" s="147"/>
      <c r="U209" s="158">
        <v>320</v>
      </c>
      <c r="V209" s="164">
        <v>31</v>
      </c>
      <c r="W209" s="165">
        <f>IFERROR(U209*V209,"0")</f>
      </c>
      <c r="X209" s="7"/>
      <c r="Y209" s="166">
        <f>IFERROR((O209/1000)*Masters!$C$3,"0")</f>
      </c>
      <c r="Z209" s="167"/>
      <c r="AA209" s="164">
        <f>IFERROR(VLOOKUP(L209,Masters!G:H,2,0),"0")</f>
      </c>
      <c r="AB209" s="166">
        <f>IFERROR(AA209*N209,"0")</f>
      </c>
      <c r="AC209" s="168"/>
      <c r="AD209" s="158"/>
      <c r="AE209" s="166">
        <f>W209+Y209+AB209+AD209</f>
      </c>
      <c r="AF209" s="167"/>
      <c r="AG209" s="169">
        <f>M209&amp;"-"&amp;F209</f>
      </c>
      <c r="AH209" s="166">
        <f>IFERROR(VLOOKUP(AG209,Masters!N:O,2,0),"0")</f>
      </c>
      <c r="AI209" s="166">
        <f>AH209*N209</f>
      </c>
      <c r="AJ209" s="158"/>
      <c r="AK209" s="170">
        <f>AI209-AE209</f>
      </c>
      <c r="AL209" s="167"/>
      <c r="AM209" s="147"/>
      <c r="AN209" s="171">
        <f>IFERROR(U209/2,"0")</f>
      </c>
    </row>
    <row x14ac:dyDescent="0.25" r="210" customHeight="1" ht="18.75">
      <c r="A210" s="158">
        <f>A209+1</f>
      </c>
      <c r="B210" s="159">
        <v>45803</v>
      </c>
      <c r="C210" s="147" t="s">
        <v>642</v>
      </c>
      <c r="D210" s="159">
        <v>45804</v>
      </c>
      <c r="E210" s="198" t="s">
        <v>205</v>
      </c>
      <c r="F210" s="160" t="s">
        <v>236</v>
      </c>
      <c r="G210" s="147" t="s">
        <v>170</v>
      </c>
      <c r="H210" s="147" t="s">
        <v>303</v>
      </c>
      <c r="I210" s="158">
        <v>1109</v>
      </c>
      <c r="J210" s="147" t="s">
        <v>301</v>
      </c>
      <c r="K210" s="199">
        <v>198</v>
      </c>
      <c r="L210" s="198" t="s">
        <v>10</v>
      </c>
      <c r="M210" s="161">
        <f>IFERROR(VLOOKUP(L210,'Material Master'!B:C,2,0),"")</f>
      </c>
      <c r="N210" s="199">
        <v>300</v>
      </c>
      <c r="O210" s="162">
        <f>IFERROR(M210*N210,"")</f>
      </c>
      <c r="P210" s="198" t="s">
        <v>402</v>
      </c>
      <c r="Q210" s="158" t="s">
        <v>643</v>
      </c>
      <c r="R210" s="163">
        <v>45778</v>
      </c>
      <c r="S210" s="147"/>
      <c r="T210" s="6"/>
      <c r="U210" s="158">
        <v>641</v>
      </c>
      <c r="V210" s="164">
        <v>31</v>
      </c>
      <c r="W210" s="165">
        <f>IFERROR(U210*V210,"0")</f>
      </c>
      <c r="X210" s="7"/>
      <c r="Y210" s="166">
        <f>IFERROR((O210/1000)*Masters!$C$3,"0")</f>
      </c>
      <c r="Z210" s="195"/>
      <c r="AA210" s="164">
        <f>IFERROR(VLOOKUP(L210,Masters!G:H,2,0),"0")</f>
      </c>
      <c r="AB210" s="166">
        <f>IFERROR(AA210*N210,"0")</f>
      </c>
      <c r="AC210" s="196"/>
      <c r="AD210" s="7"/>
      <c r="AE210" s="166">
        <f>W210+Y210+AB210+AD210</f>
      </c>
      <c r="AF210" s="195"/>
      <c r="AG210" s="169">
        <f>M210&amp;"-"&amp;F210</f>
      </c>
      <c r="AH210" s="166">
        <f>IFERROR(VLOOKUP(AG210,Masters!N:O,2,0),"0")</f>
      </c>
      <c r="AI210" s="166">
        <f>AH210*N210</f>
      </c>
      <c r="AJ210" s="7"/>
      <c r="AK210" s="170">
        <f>AI210-AE210</f>
      </c>
      <c r="AL210" s="195"/>
      <c r="AM210" s="6"/>
      <c r="AN210" s="171">
        <f>IFERROR(U210/2,"0")</f>
      </c>
    </row>
    <row x14ac:dyDescent="0.25" r="211" customHeight="1" ht="18.75">
      <c r="A211" s="158">
        <f>A210+1</f>
      </c>
      <c r="B211" s="159">
        <v>45804</v>
      </c>
      <c r="C211" s="147" t="s">
        <v>644</v>
      </c>
      <c r="D211" s="159">
        <v>45805</v>
      </c>
      <c r="E211" s="198" t="s">
        <v>139</v>
      </c>
      <c r="F211" s="160" t="s">
        <v>32</v>
      </c>
      <c r="G211" s="147" t="s">
        <v>140</v>
      </c>
      <c r="H211" s="147" t="s">
        <v>304</v>
      </c>
      <c r="I211" s="158">
        <v>1109</v>
      </c>
      <c r="J211" s="147" t="s">
        <v>301</v>
      </c>
      <c r="K211" s="199">
        <v>201</v>
      </c>
      <c r="L211" s="198" t="s">
        <v>10</v>
      </c>
      <c r="M211" s="161">
        <f>IFERROR(VLOOKUP(L211,'Material Master'!B:C,2,0),"")</f>
      </c>
      <c r="N211" s="199">
        <v>300</v>
      </c>
      <c r="O211" s="162">
        <f>IFERROR(M211*N211,"")</f>
      </c>
      <c r="P211" s="198" t="s">
        <v>402</v>
      </c>
      <c r="Q211" s="158" t="s">
        <v>645</v>
      </c>
      <c r="R211" s="163">
        <v>45778</v>
      </c>
      <c r="S211" s="147"/>
      <c r="T211" s="6"/>
      <c r="U211" s="158">
        <v>311</v>
      </c>
      <c r="V211" s="164">
        <v>31</v>
      </c>
      <c r="W211" s="165">
        <f>IFERROR(U211*V211,"0")</f>
      </c>
      <c r="X211" s="7"/>
      <c r="Y211" s="166">
        <f>IFERROR((O211/1000)*Masters!$C$3,"0")</f>
      </c>
      <c r="Z211" s="195"/>
      <c r="AA211" s="164">
        <f>IFERROR(VLOOKUP(L211,Masters!G:H,2,0),"0")</f>
      </c>
      <c r="AB211" s="166">
        <f>IFERROR(AA211*N211,"0")</f>
      </c>
      <c r="AC211" s="196"/>
      <c r="AD211" s="7"/>
      <c r="AE211" s="166">
        <f>W211+Y211+AB211+AD211</f>
      </c>
      <c r="AF211" s="195"/>
      <c r="AG211" s="169">
        <f>M211&amp;"-"&amp;F211</f>
      </c>
      <c r="AH211" s="166">
        <f>IFERROR(VLOOKUP(AG211,Masters!N:O,2,0),"0")</f>
      </c>
      <c r="AI211" s="166">
        <f>AH211*N211</f>
      </c>
      <c r="AJ211" s="7"/>
      <c r="AK211" s="170">
        <f>AI211-AE211</f>
      </c>
      <c r="AL211" s="195"/>
      <c r="AM211" s="6"/>
      <c r="AN211" s="171">
        <f>IFERROR(U211/2,"0")</f>
      </c>
    </row>
    <row x14ac:dyDescent="0.25" r="212" customHeight="1" ht="18.75">
      <c r="A212" s="158">
        <f>A211+1</f>
      </c>
      <c r="B212" s="159">
        <v>45804</v>
      </c>
      <c r="C212" s="147" t="s">
        <v>646</v>
      </c>
      <c r="D212" s="159">
        <v>45804</v>
      </c>
      <c r="E212" s="198" t="s">
        <v>139</v>
      </c>
      <c r="F212" s="160" t="s">
        <v>32</v>
      </c>
      <c r="G212" s="147" t="s">
        <v>209</v>
      </c>
      <c r="H212" s="198" t="s">
        <v>305</v>
      </c>
      <c r="I212" s="158">
        <v>1109</v>
      </c>
      <c r="J212" s="147" t="s">
        <v>301</v>
      </c>
      <c r="K212" s="199">
        <v>200</v>
      </c>
      <c r="L212" s="198" t="s">
        <v>10</v>
      </c>
      <c r="M212" s="161">
        <f>IFERROR(VLOOKUP(L212,'Material Master'!B:C,2,0),"")</f>
      </c>
      <c r="N212" s="199">
        <v>300</v>
      </c>
      <c r="O212" s="162">
        <f>IFERROR(M212*N212,"")</f>
      </c>
      <c r="P212" s="198" t="s">
        <v>402</v>
      </c>
      <c r="Q212" s="158" t="s">
        <v>647</v>
      </c>
      <c r="R212" s="163">
        <v>45778</v>
      </c>
      <c r="S212" s="147"/>
      <c r="T212" s="6"/>
      <c r="U212" s="158">
        <v>326</v>
      </c>
      <c r="V212" s="164">
        <v>31</v>
      </c>
      <c r="W212" s="165">
        <f>IFERROR(U212*V212,"0")</f>
      </c>
      <c r="X212" s="7"/>
      <c r="Y212" s="166">
        <f>IFERROR((O212/1000)*Masters!$C$3,"0")</f>
      </c>
      <c r="Z212" s="195"/>
      <c r="AA212" s="164">
        <f>IFERROR(VLOOKUP(L212,Masters!G:H,2,0),"0")</f>
      </c>
      <c r="AB212" s="166">
        <f>IFERROR(AA212*N212,"0")</f>
      </c>
      <c r="AC212" s="196"/>
      <c r="AD212" s="7"/>
      <c r="AE212" s="166">
        <f>W212+Y212+AB212+AD212</f>
      </c>
      <c r="AF212" s="195"/>
      <c r="AG212" s="169">
        <f>M212&amp;"-"&amp;F212</f>
      </c>
      <c r="AH212" s="166">
        <f>IFERROR(VLOOKUP(AG212,Masters!N:O,2,0),"0")</f>
      </c>
      <c r="AI212" s="166">
        <f>AH212*N212</f>
      </c>
      <c r="AJ212" s="7"/>
      <c r="AK212" s="170">
        <f>AI212-AE212</f>
      </c>
      <c r="AL212" s="195"/>
      <c r="AM212" s="6"/>
      <c r="AN212" s="171">
        <f>IFERROR(U212/2,"0")</f>
      </c>
    </row>
    <row x14ac:dyDescent="0.25" r="213" customHeight="1" ht="18.75">
      <c r="A213" s="158">
        <f>A212+1</f>
      </c>
      <c r="B213" s="159">
        <v>45804</v>
      </c>
      <c r="C213" s="147" t="s">
        <v>648</v>
      </c>
      <c r="D213" s="159">
        <v>45806</v>
      </c>
      <c r="E213" s="198" t="s">
        <v>134</v>
      </c>
      <c r="F213" s="160" t="s">
        <v>231</v>
      </c>
      <c r="G213" s="147" t="s">
        <v>230</v>
      </c>
      <c r="H213" s="198" t="s">
        <v>305</v>
      </c>
      <c r="I213" s="158">
        <v>709</v>
      </c>
      <c r="J213" s="147" t="s">
        <v>301</v>
      </c>
      <c r="K213" s="199">
        <v>204</v>
      </c>
      <c r="L213" s="198" t="s">
        <v>10</v>
      </c>
      <c r="M213" s="161">
        <f>IFERROR(VLOOKUP(L213,'Material Master'!B:C,2,0),"")</f>
      </c>
      <c r="N213" s="199">
        <v>100</v>
      </c>
      <c r="O213" s="162">
        <f>IFERROR(M213*N213,"")</f>
      </c>
      <c r="P213" s="198" t="s">
        <v>402</v>
      </c>
      <c r="Q213" s="158" t="s">
        <v>649</v>
      </c>
      <c r="R213" s="163">
        <v>45778</v>
      </c>
      <c r="S213" s="147"/>
      <c r="T213" s="6"/>
      <c r="U213" s="158">
        <v>63</v>
      </c>
      <c r="V213" s="164">
        <v>31</v>
      </c>
      <c r="W213" s="165">
        <f>IFERROR(U213*V213,"0")</f>
      </c>
      <c r="X213" s="7"/>
      <c r="Y213" s="166">
        <f>IFERROR((O213/1000)*Masters!$C$3,"0")</f>
      </c>
      <c r="Z213" s="195"/>
      <c r="AA213" s="164">
        <f>IFERROR(VLOOKUP(L213,Masters!G:H,2,0),"0")</f>
      </c>
      <c r="AB213" s="166">
        <f>IFERROR(AA213*N213,"0")</f>
      </c>
      <c r="AC213" s="196"/>
      <c r="AD213" s="7"/>
      <c r="AE213" s="166">
        <f>W213+Y213+AB213+AD213</f>
      </c>
      <c r="AF213" s="195"/>
      <c r="AG213" s="169">
        <f>M213&amp;"-"&amp;F213</f>
      </c>
      <c r="AH213" s="166">
        <f>IFERROR(VLOOKUP(AG213,Masters!N:O,2,0),"0")</f>
      </c>
      <c r="AI213" s="166">
        <f>AH213*N213</f>
      </c>
      <c r="AJ213" s="7"/>
      <c r="AK213" s="170">
        <f>AI213-AE213</f>
      </c>
      <c r="AL213" s="195"/>
      <c r="AM213" s="6"/>
      <c r="AN213" s="171">
        <f>IFERROR(U213/2,"0")</f>
      </c>
    </row>
    <row x14ac:dyDescent="0.25" r="214" customHeight="1" ht="18.75">
      <c r="A214" s="158">
        <f>A213+1</f>
      </c>
      <c r="B214" s="159">
        <v>45804</v>
      </c>
      <c r="C214" s="147" t="s">
        <v>648</v>
      </c>
      <c r="D214" s="159">
        <v>45805</v>
      </c>
      <c r="E214" s="198" t="s">
        <v>218</v>
      </c>
      <c r="F214" s="160" t="s">
        <v>32</v>
      </c>
      <c r="G214" s="147" t="s">
        <v>219</v>
      </c>
      <c r="H214" s="198" t="s">
        <v>302</v>
      </c>
      <c r="I214" s="158">
        <v>1109</v>
      </c>
      <c r="J214" s="147" t="s">
        <v>301</v>
      </c>
      <c r="K214" s="199">
        <v>202</v>
      </c>
      <c r="L214" s="198" t="s">
        <v>10</v>
      </c>
      <c r="M214" s="161">
        <f>IFERROR(VLOOKUP(L214,'Material Master'!B:C,2,0),"")</f>
      </c>
      <c r="N214" s="199">
        <v>300</v>
      </c>
      <c r="O214" s="162">
        <f>IFERROR(M214*N214,"")</f>
      </c>
      <c r="P214" s="198" t="s">
        <v>402</v>
      </c>
      <c r="Q214" s="158" t="s">
        <v>650</v>
      </c>
      <c r="R214" s="163">
        <v>45778</v>
      </c>
      <c r="S214" s="147"/>
      <c r="T214" s="6"/>
      <c r="U214" s="158">
        <v>445</v>
      </c>
      <c r="V214" s="164">
        <v>31</v>
      </c>
      <c r="W214" s="165">
        <f>IFERROR(U214*V214,"0")</f>
      </c>
      <c r="X214" s="7"/>
      <c r="Y214" s="166">
        <f>IFERROR((O214/1000)*Masters!$C$3,"0")</f>
      </c>
      <c r="Z214" s="195"/>
      <c r="AA214" s="164">
        <f>IFERROR(VLOOKUP(L214,Masters!G:H,2,0),"0")</f>
      </c>
      <c r="AB214" s="166">
        <f>IFERROR(AA214*N214,"0")</f>
      </c>
      <c r="AC214" s="196"/>
      <c r="AD214" s="7"/>
      <c r="AE214" s="166">
        <f>W214+Y214+AB214+AD214</f>
      </c>
      <c r="AF214" s="195"/>
      <c r="AG214" s="169">
        <f>M214&amp;"-"&amp;F214</f>
      </c>
      <c r="AH214" s="166">
        <f>IFERROR(VLOOKUP(AG214,Masters!N:O,2,0),"0")</f>
      </c>
      <c r="AI214" s="166">
        <f>AH214*N214</f>
      </c>
      <c r="AJ214" s="7"/>
      <c r="AK214" s="170">
        <f>AI214-AE214</f>
      </c>
      <c r="AL214" s="195"/>
      <c r="AM214" s="6"/>
      <c r="AN214" s="171">
        <f>IFERROR(U214/2,"0")</f>
      </c>
    </row>
    <row x14ac:dyDescent="0.25" r="215" customHeight="1" ht="18.75">
      <c r="A215" s="158">
        <f>A214+1</f>
      </c>
      <c r="B215" s="159">
        <v>45804</v>
      </c>
      <c r="C215" s="173" t="s">
        <v>648</v>
      </c>
      <c r="D215" s="159"/>
      <c r="E215" s="173" t="s">
        <v>651</v>
      </c>
      <c r="F215" s="173"/>
      <c r="G215" s="173" t="s">
        <v>652</v>
      </c>
      <c r="H215" s="173"/>
      <c r="I215" s="184">
        <v>709</v>
      </c>
      <c r="J215" s="173"/>
      <c r="K215" s="184"/>
      <c r="L215" s="173"/>
      <c r="M215" s="185">
        <f>IFERROR(VLOOKUP(L215,'Material Master'!B:C,2,0),"")</f>
      </c>
      <c r="N215" s="184"/>
      <c r="O215" s="186">
        <f>IFERROR(M215*N215,"")</f>
      </c>
      <c r="P215" s="173"/>
      <c r="Q215" s="184"/>
      <c r="R215" s="187">
        <v>45778</v>
      </c>
      <c r="S215" s="173" t="s">
        <v>653</v>
      </c>
      <c r="T215" s="188"/>
      <c r="U215" s="184"/>
      <c r="V215" s="185">
        <v>31</v>
      </c>
      <c r="W215" s="189">
        <f>IFERROR(U215*V215,"0")</f>
      </c>
      <c r="X215" s="190"/>
      <c r="Y215" s="191">
        <f>IFERROR((O215/1000)*Masters!$C$3,"0")</f>
      </c>
      <c r="Z215" s="192"/>
      <c r="AA215" s="164">
        <f>IFERROR(VLOOKUP(L215,Masters!G:H,2,0),"0")</f>
      </c>
      <c r="AB215" s="166">
        <f>IFERROR(AA215*N215,"0")</f>
      </c>
      <c r="AC215" s="193"/>
      <c r="AD215" s="190"/>
      <c r="AE215" s="166">
        <f>W215+Y215+AB215+AD215</f>
      </c>
      <c r="AF215" s="192"/>
      <c r="AG215" s="169">
        <f>M215&amp;"-"&amp;F215</f>
      </c>
      <c r="AH215" s="191">
        <f>IFERROR(VLOOKUP(AG215,Masters!N:O,2,0),"0")</f>
      </c>
      <c r="AI215" s="166">
        <f>AH215*N215</f>
      </c>
      <c r="AJ215" s="190"/>
      <c r="AK215" s="170">
        <f>AI215-AE215</f>
      </c>
      <c r="AL215" s="192"/>
      <c r="AM215" s="188"/>
      <c r="AN215" s="171">
        <f>IFERROR(U215/2,"0")</f>
      </c>
    </row>
    <row x14ac:dyDescent="0.25" r="216" customHeight="1" ht="18.75">
      <c r="A216" s="158">
        <f>A215+1</f>
      </c>
      <c r="B216" s="159">
        <v>45805</v>
      </c>
      <c r="C216" s="147" t="s">
        <v>654</v>
      </c>
      <c r="D216" s="159">
        <v>45806</v>
      </c>
      <c r="E216" s="198" t="s">
        <v>204</v>
      </c>
      <c r="F216" s="160" t="s">
        <v>231</v>
      </c>
      <c r="G216" s="147" t="s">
        <v>230</v>
      </c>
      <c r="H216" s="198" t="s">
        <v>304</v>
      </c>
      <c r="I216" s="158">
        <v>1109</v>
      </c>
      <c r="J216" s="147" t="s">
        <v>301</v>
      </c>
      <c r="K216" s="199">
        <v>206</v>
      </c>
      <c r="L216" s="198" t="s">
        <v>10</v>
      </c>
      <c r="M216" s="161">
        <f>IFERROR(VLOOKUP(L216,'Material Master'!B:C,2,0),"")</f>
      </c>
      <c r="N216" s="199">
        <v>300</v>
      </c>
      <c r="O216" s="162">
        <f>IFERROR(M216*N216,"")</f>
      </c>
      <c r="P216" s="198" t="s">
        <v>402</v>
      </c>
      <c r="Q216" s="158">
        <v>325511</v>
      </c>
      <c r="R216" s="163">
        <v>45778</v>
      </c>
      <c r="S216" s="147"/>
      <c r="T216" s="6"/>
      <c r="U216" s="158">
        <v>95</v>
      </c>
      <c r="V216" s="164">
        <v>31</v>
      </c>
      <c r="W216" s="165">
        <f>IFERROR(U216*V216,"0")</f>
      </c>
      <c r="X216" s="7"/>
      <c r="Y216" s="166">
        <f>IFERROR((O216/1000)*Masters!$C$3,"0")</f>
      </c>
      <c r="Z216" s="195"/>
      <c r="AA216" s="164">
        <f>IFERROR(VLOOKUP(L216,Masters!G:H,2,0),"0")</f>
      </c>
      <c r="AB216" s="166">
        <f>IFERROR(AA216*N216,"0")</f>
      </c>
      <c r="AC216" s="196"/>
      <c r="AD216" s="7"/>
      <c r="AE216" s="166">
        <f>W216+Y216+AB216+AD216</f>
      </c>
      <c r="AF216" s="195"/>
      <c r="AG216" s="169">
        <f>M216&amp;"-"&amp;F216</f>
      </c>
      <c r="AH216" s="166">
        <f>IFERROR(VLOOKUP(AG216,Masters!N:O,2,0),"0")</f>
      </c>
      <c r="AI216" s="166">
        <f>AH216*N216</f>
      </c>
      <c r="AJ216" s="7"/>
      <c r="AK216" s="170">
        <f>AI216-AE216</f>
      </c>
      <c r="AL216" s="195"/>
      <c r="AM216" s="6"/>
      <c r="AN216" s="171">
        <f>IFERROR(U216/2,"0")</f>
      </c>
    </row>
    <row x14ac:dyDescent="0.25" r="217" customHeight="1" ht="18.75">
      <c r="A217" s="158">
        <f>A216+1</f>
      </c>
      <c r="B217" s="159">
        <v>45805</v>
      </c>
      <c r="C217" s="147" t="s">
        <v>655</v>
      </c>
      <c r="D217" s="159">
        <v>45806</v>
      </c>
      <c r="E217" s="198" t="s">
        <v>100</v>
      </c>
      <c r="F217" s="160" t="s">
        <v>231</v>
      </c>
      <c r="G217" s="147" t="s">
        <v>101</v>
      </c>
      <c r="H217" s="198" t="s">
        <v>303</v>
      </c>
      <c r="I217" s="158">
        <v>1109</v>
      </c>
      <c r="J217" s="147" t="s">
        <v>301</v>
      </c>
      <c r="K217" s="199">
        <v>205</v>
      </c>
      <c r="L217" s="198" t="s">
        <v>10</v>
      </c>
      <c r="M217" s="161">
        <f>IFERROR(VLOOKUP(L217,'Material Master'!B:C,2,0),"")</f>
      </c>
      <c r="N217" s="199">
        <v>300</v>
      </c>
      <c r="O217" s="162">
        <f>IFERROR(M217*N217,"")</f>
      </c>
      <c r="P217" s="198" t="s">
        <v>402</v>
      </c>
      <c r="Q217" s="158" t="s">
        <v>656</v>
      </c>
      <c r="R217" s="163">
        <v>45778</v>
      </c>
      <c r="S217" s="147"/>
      <c r="T217" s="6"/>
      <c r="U217" s="158">
        <v>137</v>
      </c>
      <c r="V217" s="164">
        <v>31</v>
      </c>
      <c r="W217" s="165">
        <f>IFERROR(U217*V217,"0")</f>
      </c>
      <c r="X217" s="7"/>
      <c r="Y217" s="166">
        <f>IFERROR((O217/1000)*Masters!$C$3,"0")</f>
      </c>
      <c r="Z217" s="195"/>
      <c r="AA217" s="164">
        <f>IFERROR(VLOOKUP(L217,Masters!G:H,2,0),"0")</f>
      </c>
      <c r="AB217" s="166">
        <f>IFERROR(AA217*N217,"0")</f>
      </c>
      <c r="AC217" s="196"/>
      <c r="AD217" s="7"/>
      <c r="AE217" s="166">
        <f>W217+Y217+AB217+AD217</f>
      </c>
      <c r="AF217" s="195"/>
      <c r="AG217" s="169">
        <f>M217&amp;"-"&amp;F217</f>
      </c>
      <c r="AH217" s="166">
        <f>IFERROR(VLOOKUP(AG217,Masters!N:O,2,0),"0")</f>
      </c>
      <c r="AI217" s="166">
        <f>AH217*N217</f>
      </c>
      <c r="AJ217" s="7"/>
      <c r="AK217" s="170">
        <f>AI217-AE217</f>
      </c>
      <c r="AL217" s="195"/>
      <c r="AM217" s="6"/>
      <c r="AN217" s="171">
        <f>IFERROR(U217/2,"0")</f>
      </c>
    </row>
    <row x14ac:dyDescent="0.25" r="218" customHeight="1" ht="18.75">
      <c r="A218" s="158">
        <f>A217+1</f>
      </c>
      <c r="B218" s="159">
        <v>45805</v>
      </c>
      <c r="C218" s="147" t="s">
        <v>657</v>
      </c>
      <c r="D218" s="159">
        <v>45805</v>
      </c>
      <c r="E218" s="198" t="s">
        <v>220</v>
      </c>
      <c r="F218" s="160" t="s">
        <v>231</v>
      </c>
      <c r="G218" s="147" t="s">
        <v>658</v>
      </c>
      <c r="H218" s="198" t="s">
        <v>305</v>
      </c>
      <c r="I218" s="158">
        <v>1109</v>
      </c>
      <c r="J218" s="147" t="s">
        <v>301</v>
      </c>
      <c r="K218" s="199">
        <v>203</v>
      </c>
      <c r="L218" s="198" t="s">
        <v>10</v>
      </c>
      <c r="M218" s="161">
        <f>IFERROR(VLOOKUP(L218,'Material Master'!B:C,2,0),"")</f>
      </c>
      <c r="N218" s="199">
        <v>300</v>
      </c>
      <c r="O218" s="162">
        <f>IFERROR(M218*N218,"")</f>
      </c>
      <c r="P218" s="198" t="s">
        <v>402</v>
      </c>
      <c r="Q218" s="158" t="s">
        <v>659</v>
      </c>
      <c r="R218" s="163">
        <v>45778</v>
      </c>
      <c r="S218" s="147"/>
      <c r="T218" s="6"/>
      <c r="U218" s="158">
        <v>149</v>
      </c>
      <c r="V218" s="164">
        <v>31</v>
      </c>
      <c r="W218" s="165">
        <f>IFERROR(U218*V218,"0")</f>
      </c>
      <c r="X218" s="7"/>
      <c r="Y218" s="166">
        <f>IFERROR((O218/1000)*Masters!$C$3,"0")</f>
      </c>
      <c r="Z218" s="195"/>
      <c r="AA218" s="164">
        <f>IFERROR(VLOOKUP(L218,Masters!G:H,2,0),"0")</f>
      </c>
      <c r="AB218" s="166">
        <f>IFERROR(AA218*N218,"0")</f>
      </c>
      <c r="AC218" s="196"/>
      <c r="AD218" s="7"/>
      <c r="AE218" s="166">
        <f>W218+Y218+AB218+AD218</f>
      </c>
      <c r="AF218" s="195"/>
      <c r="AG218" s="169">
        <f>M218&amp;"-"&amp;F218</f>
      </c>
      <c r="AH218" s="166">
        <f>IFERROR(VLOOKUP(AG218,Masters!N:O,2,0),"0")</f>
      </c>
      <c r="AI218" s="166">
        <f>AH218*N218</f>
      </c>
      <c r="AJ218" s="7"/>
      <c r="AK218" s="170">
        <f>AI218-AE218</f>
      </c>
      <c r="AL218" s="195"/>
      <c r="AM218" s="6"/>
      <c r="AN218" s="171">
        <f>IFERROR(U218/2,"0")</f>
      </c>
    </row>
    <row x14ac:dyDescent="0.25" r="219" customHeight="1" ht="18.75">
      <c r="A219" s="158">
        <f>A218+1</f>
      </c>
      <c r="B219" s="159">
        <v>45807</v>
      </c>
      <c r="C219" s="198" t="s">
        <v>660</v>
      </c>
      <c r="D219" s="159">
        <v>45807</v>
      </c>
      <c r="E219" s="198" t="s">
        <v>148</v>
      </c>
      <c r="F219" s="160" t="s">
        <v>231</v>
      </c>
      <c r="G219" s="147" t="s">
        <v>203</v>
      </c>
      <c r="H219" s="198" t="s">
        <v>303</v>
      </c>
      <c r="I219" s="158">
        <v>1109</v>
      </c>
      <c r="J219" s="147" t="s">
        <v>301</v>
      </c>
      <c r="K219" s="199">
        <v>208</v>
      </c>
      <c r="L219" s="198" t="s">
        <v>10</v>
      </c>
      <c r="M219" s="161">
        <f>IFERROR(VLOOKUP(L219,'Material Master'!B:C,2,0),"")</f>
      </c>
      <c r="N219" s="199">
        <v>300</v>
      </c>
      <c r="O219" s="162">
        <f>IFERROR(M219*N219,"")</f>
      </c>
      <c r="P219" s="198" t="s">
        <v>402</v>
      </c>
      <c r="Q219" s="158">
        <v>648174</v>
      </c>
      <c r="R219" s="163">
        <v>45778</v>
      </c>
      <c r="S219" s="147"/>
      <c r="T219" s="6"/>
      <c r="U219" s="158">
        <v>127</v>
      </c>
      <c r="V219" s="164">
        <v>31</v>
      </c>
      <c r="W219" s="165">
        <f>IFERROR(U219*V219,"0")</f>
      </c>
      <c r="X219" s="7"/>
      <c r="Y219" s="166">
        <f>IFERROR((O219/1000)*Masters!$C$3,"0")</f>
      </c>
      <c r="Z219" s="195"/>
      <c r="AA219" s="164">
        <f>IFERROR(VLOOKUP(L219,Masters!G:H,2,0),"0")</f>
      </c>
      <c r="AB219" s="166">
        <f>IFERROR(AA219*N219,"0")</f>
      </c>
      <c r="AC219" s="196"/>
      <c r="AD219" s="7"/>
      <c r="AE219" s="166">
        <f>W219+Y219+AB219+AD219</f>
      </c>
      <c r="AF219" s="195"/>
      <c r="AG219" s="169">
        <f>M219&amp;"-"&amp;F219</f>
      </c>
      <c r="AH219" s="166">
        <f>IFERROR(VLOOKUP(AG219,Masters!N:O,2,0),"0")</f>
      </c>
      <c r="AI219" s="166">
        <f>AH219*N219</f>
      </c>
      <c r="AJ219" s="7"/>
      <c r="AK219" s="170">
        <f>AI219-AE219</f>
      </c>
      <c r="AL219" s="195"/>
      <c r="AM219" s="6"/>
      <c r="AN219" s="171">
        <f>IFERROR(U219/2,"0")</f>
      </c>
    </row>
    <row x14ac:dyDescent="0.25" r="220" customHeight="1" ht="18.75">
      <c r="A220" s="158">
        <f>A219+1</f>
      </c>
      <c r="B220" s="159">
        <v>45807</v>
      </c>
      <c r="C220" s="198" t="s">
        <v>661</v>
      </c>
      <c r="D220" s="159">
        <v>45807</v>
      </c>
      <c r="E220" s="198" t="s">
        <v>97</v>
      </c>
      <c r="F220" s="160" t="s">
        <v>231</v>
      </c>
      <c r="G220" s="147" t="s">
        <v>203</v>
      </c>
      <c r="H220" s="198" t="s">
        <v>302</v>
      </c>
      <c r="I220" s="158">
        <v>1109</v>
      </c>
      <c r="J220" s="147" t="s">
        <v>301</v>
      </c>
      <c r="K220" s="199">
        <v>209</v>
      </c>
      <c r="L220" s="198" t="s">
        <v>10</v>
      </c>
      <c r="M220" s="161">
        <f>IFERROR(VLOOKUP(L220,'Material Master'!B:C,2,0),"")</f>
      </c>
      <c r="N220" s="199">
        <v>300</v>
      </c>
      <c r="O220" s="162">
        <f>IFERROR(M220*N220,"")</f>
      </c>
      <c r="P220" s="198" t="s">
        <v>402</v>
      </c>
      <c r="Q220" s="158" t="s">
        <v>662</v>
      </c>
      <c r="R220" s="163">
        <v>45778</v>
      </c>
      <c r="S220" s="147"/>
      <c r="T220" s="6"/>
      <c r="U220" s="158">
        <v>123</v>
      </c>
      <c r="V220" s="164">
        <v>31</v>
      </c>
      <c r="W220" s="165">
        <f>IFERROR(U220*V220,"0")</f>
      </c>
      <c r="X220" s="7"/>
      <c r="Y220" s="166">
        <f>IFERROR((O220/1000)*Masters!$C$3,"0")</f>
      </c>
      <c r="Z220" s="195"/>
      <c r="AA220" s="164">
        <f>IFERROR(VLOOKUP(L220,Masters!G:H,2,0),"0")</f>
      </c>
      <c r="AB220" s="166">
        <f>IFERROR(AA220*N220,"0")</f>
      </c>
      <c r="AC220" s="196"/>
      <c r="AD220" s="7"/>
      <c r="AE220" s="166">
        <f>W220+Y220+AB220+AD220</f>
      </c>
      <c r="AF220" s="195"/>
      <c r="AG220" s="169">
        <f>M220&amp;"-"&amp;F220</f>
      </c>
      <c r="AH220" s="166">
        <f>IFERROR(VLOOKUP(AG220,Masters!N:O,2,0),"0")</f>
      </c>
      <c r="AI220" s="166">
        <f>AH220*N220</f>
      </c>
      <c r="AJ220" s="7"/>
      <c r="AK220" s="170">
        <f>AI220-AE220</f>
      </c>
      <c r="AL220" s="195"/>
      <c r="AM220" s="6"/>
      <c r="AN220" s="171">
        <f>IFERROR(U220/2,"0")</f>
      </c>
    </row>
    <row x14ac:dyDescent="0.25" r="221" customHeight="1" ht="18.75">
      <c r="A221" s="158">
        <f>A220+1</f>
      </c>
      <c r="B221" s="159">
        <v>45807</v>
      </c>
      <c r="C221" s="198" t="s">
        <v>663</v>
      </c>
      <c r="D221" s="159">
        <v>45807</v>
      </c>
      <c r="E221" s="198" t="s">
        <v>205</v>
      </c>
      <c r="F221" s="160" t="s">
        <v>236</v>
      </c>
      <c r="G221" s="147" t="s">
        <v>170</v>
      </c>
      <c r="H221" s="198" t="s">
        <v>305</v>
      </c>
      <c r="I221" s="158">
        <v>1109</v>
      </c>
      <c r="J221" s="147" t="s">
        <v>301</v>
      </c>
      <c r="K221" s="199">
        <v>207</v>
      </c>
      <c r="L221" s="198" t="s">
        <v>10</v>
      </c>
      <c r="M221" s="161">
        <f>IFERROR(VLOOKUP(L221,'Material Master'!B:C,2,0),"")</f>
      </c>
      <c r="N221" s="199">
        <v>300</v>
      </c>
      <c r="O221" s="162">
        <f>IFERROR(M221*N221,"")</f>
      </c>
      <c r="P221" s="198" t="s">
        <v>402</v>
      </c>
      <c r="Q221" s="158" t="s">
        <v>664</v>
      </c>
      <c r="R221" s="163">
        <v>45778</v>
      </c>
      <c r="S221" s="147"/>
      <c r="T221" s="6"/>
      <c r="U221" s="158">
        <v>682</v>
      </c>
      <c r="V221" s="164">
        <v>31</v>
      </c>
      <c r="W221" s="165">
        <f>IFERROR(U221*V221,"0")</f>
      </c>
      <c r="X221" s="7"/>
      <c r="Y221" s="166">
        <f>IFERROR((O221/1000)*Masters!$C$3,"0")</f>
      </c>
      <c r="Z221" s="195"/>
      <c r="AA221" s="164">
        <f>IFERROR(VLOOKUP(L221,Masters!G:H,2,0),"0")</f>
      </c>
      <c r="AB221" s="166">
        <f>IFERROR(AA221*N221,"0")</f>
      </c>
      <c r="AC221" s="196"/>
      <c r="AD221" s="7"/>
      <c r="AE221" s="166">
        <f>W221+Y221+AB221+AD221</f>
      </c>
      <c r="AF221" s="195"/>
      <c r="AG221" s="169">
        <f>M221&amp;"-"&amp;F221</f>
      </c>
      <c r="AH221" s="166">
        <f>IFERROR(VLOOKUP(AG221,Masters!N:O,2,0),"0")</f>
      </c>
      <c r="AI221" s="166">
        <f>AH221*N221</f>
      </c>
      <c r="AJ221" s="7"/>
      <c r="AK221" s="170">
        <f>AI221-AE221</f>
      </c>
      <c r="AL221" s="195"/>
      <c r="AM221" s="6"/>
      <c r="AN221" s="171">
        <f>IFERROR(U221/2,"0")</f>
      </c>
    </row>
    <row x14ac:dyDescent="0.25" r="222" customHeight="1" ht="18.75">
      <c r="A222" s="158">
        <f>A221+1</f>
      </c>
      <c r="B222" s="159">
        <v>45807</v>
      </c>
      <c r="C222" s="198" t="s">
        <v>665</v>
      </c>
      <c r="D222" s="159">
        <v>45807</v>
      </c>
      <c r="E222" s="198" t="s">
        <v>79</v>
      </c>
      <c r="F222" s="160" t="s">
        <v>231</v>
      </c>
      <c r="G222" s="147" t="s">
        <v>80</v>
      </c>
      <c r="H222" s="198" t="s">
        <v>304</v>
      </c>
      <c r="I222" s="158">
        <v>1109</v>
      </c>
      <c r="J222" s="147" t="s">
        <v>301</v>
      </c>
      <c r="K222" s="199">
        <v>210</v>
      </c>
      <c r="L222" s="198" t="s">
        <v>15</v>
      </c>
      <c r="M222" s="161">
        <f>IFERROR(VLOOKUP(L222,'Material Master'!B:C,2,0),"")</f>
      </c>
      <c r="N222" s="199">
        <v>30</v>
      </c>
      <c r="O222" s="162">
        <f>IFERROR(M222*N222,"")</f>
      </c>
      <c r="P222" s="198" t="s">
        <v>402</v>
      </c>
      <c r="Q222" s="158" t="s">
        <v>666</v>
      </c>
      <c r="R222" s="163">
        <v>45778</v>
      </c>
      <c r="S222" s="147"/>
      <c r="T222" s="6"/>
      <c r="U222" s="158">
        <v>148</v>
      </c>
      <c r="V222" s="164">
        <v>31</v>
      </c>
      <c r="W222" s="165">
        <f>IFERROR(U222*V222,"0")</f>
      </c>
      <c r="X222" s="7"/>
      <c r="Y222" s="166">
        <f>IFERROR((O222/1000)*Masters!$C$3,"0")</f>
      </c>
      <c r="Z222" s="195"/>
      <c r="AA222" s="164">
        <f>IFERROR(VLOOKUP(L222,Masters!G:H,2,0),"0")</f>
      </c>
      <c r="AB222" s="166">
        <f>IFERROR(AA222*N222,"0")</f>
      </c>
      <c r="AC222" s="196"/>
      <c r="AD222" s="7"/>
      <c r="AE222" s="166">
        <f>W222+Y222+AB222+AD222</f>
      </c>
      <c r="AF222" s="195"/>
      <c r="AG222" s="169">
        <f>M222&amp;"-"&amp;F222</f>
      </c>
      <c r="AH222" s="166">
        <f>IFERROR(VLOOKUP(AG222,Masters!N:O,2,0),"0")</f>
      </c>
      <c r="AI222" s="166">
        <f>AH222*N222</f>
      </c>
      <c r="AJ222" s="7"/>
      <c r="AK222" s="170">
        <f>AI222-AE222</f>
      </c>
      <c r="AL222" s="195"/>
      <c r="AM222" s="6"/>
      <c r="AN222" s="171">
        <f>IFERROR(U222/2,"0")</f>
      </c>
    </row>
    <row x14ac:dyDescent="0.25" r="223" customHeight="1" ht="18.75">
      <c r="A223" s="158">
        <f>A222+1</f>
      </c>
      <c r="B223" s="159">
        <v>45807</v>
      </c>
      <c r="C223" s="198" t="s">
        <v>667</v>
      </c>
      <c r="D223" s="159">
        <v>45808</v>
      </c>
      <c r="E223" s="198" t="s">
        <v>79</v>
      </c>
      <c r="F223" s="160" t="s">
        <v>231</v>
      </c>
      <c r="G223" s="147" t="s">
        <v>80</v>
      </c>
      <c r="H223" s="198" t="s">
        <v>302</v>
      </c>
      <c r="I223" s="158">
        <v>1109</v>
      </c>
      <c r="J223" s="147" t="s">
        <v>301</v>
      </c>
      <c r="K223" s="199">
        <v>211</v>
      </c>
      <c r="L223" s="198" t="s">
        <v>15</v>
      </c>
      <c r="M223" s="161">
        <f>IFERROR(VLOOKUP(L223,'Material Master'!B:C,2,0),"")</f>
      </c>
      <c r="N223" s="199">
        <v>30</v>
      </c>
      <c r="O223" s="162">
        <f>IFERROR(M223*N223,"")</f>
      </c>
      <c r="P223" s="198" t="s">
        <v>402</v>
      </c>
      <c r="Q223" s="158" t="s">
        <v>668</v>
      </c>
      <c r="R223" s="163">
        <v>45778</v>
      </c>
      <c r="S223" s="147"/>
      <c r="T223" s="6"/>
      <c r="U223" s="158">
        <v>150</v>
      </c>
      <c r="V223" s="164">
        <v>31</v>
      </c>
      <c r="W223" s="165">
        <f>IFERROR(U223*V223,"0")</f>
      </c>
      <c r="X223" s="7"/>
      <c r="Y223" s="166">
        <f>IFERROR((O223/1000)*Masters!$C$3,"0")</f>
      </c>
      <c r="Z223" s="195"/>
      <c r="AA223" s="164">
        <f>IFERROR(VLOOKUP(L223,Masters!G:H,2,0),"0")</f>
      </c>
      <c r="AB223" s="166">
        <f>IFERROR(AA223*N223,"0")</f>
      </c>
      <c r="AC223" s="196"/>
      <c r="AD223" s="7"/>
      <c r="AE223" s="166">
        <f>W223+Y223+AB223+AD223</f>
      </c>
      <c r="AF223" s="195"/>
      <c r="AG223" s="169">
        <f>M223&amp;"-"&amp;F223</f>
      </c>
      <c r="AH223" s="166">
        <f>IFERROR(VLOOKUP(AG223,Masters!N:O,2,0),"0")</f>
      </c>
      <c r="AI223" s="166">
        <f>AH223*N223</f>
      </c>
      <c r="AJ223" s="7"/>
      <c r="AK223" s="170">
        <f>AI223-AE223</f>
      </c>
      <c r="AL223" s="195"/>
      <c r="AM223" s="6"/>
      <c r="AN223" s="171">
        <f>IFERROR(U223/2,"0")</f>
      </c>
    </row>
    <row x14ac:dyDescent="0.25" r="224" customHeight="1" ht="18.75">
      <c r="A224" s="158">
        <f>A223+1</f>
      </c>
      <c r="B224" s="159">
        <v>45807</v>
      </c>
      <c r="C224" s="198" t="s">
        <v>669</v>
      </c>
      <c r="D224" s="159">
        <v>45808</v>
      </c>
      <c r="E224" s="198" t="s">
        <v>79</v>
      </c>
      <c r="F224" s="160" t="s">
        <v>231</v>
      </c>
      <c r="G224" s="147" t="s">
        <v>80</v>
      </c>
      <c r="H224" s="198" t="s">
        <v>303</v>
      </c>
      <c r="I224" s="158">
        <v>1109</v>
      </c>
      <c r="J224" s="147" t="s">
        <v>301</v>
      </c>
      <c r="K224" s="199">
        <v>212</v>
      </c>
      <c r="L224" s="198" t="s">
        <v>15</v>
      </c>
      <c r="M224" s="161">
        <f>IFERROR(VLOOKUP(L224,'Material Master'!B:C,2,0),"")</f>
      </c>
      <c r="N224" s="199">
        <v>30</v>
      </c>
      <c r="O224" s="162">
        <f>IFERROR(M224*N224,"")</f>
      </c>
      <c r="P224" s="198" t="s">
        <v>402</v>
      </c>
      <c r="Q224" s="158" t="s">
        <v>670</v>
      </c>
      <c r="R224" s="163">
        <v>45778</v>
      </c>
      <c r="S224" s="147"/>
      <c r="T224" s="6"/>
      <c r="U224" s="158">
        <v>148</v>
      </c>
      <c r="V224" s="164">
        <v>31</v>
      </c>
      <c r="W224" s="165">
        <f>IFERROR(U224*V224,"0")</f>
      </c>
      <c r="X224" s="7"/>
      <c r="Y224" s="166">
        <f>IFERROR((O224/1000)*Masters!$C$3,"0")</f>
      </c>
      <c r="Z224" s="195"/>
      <c r="AA224" s="164">
        <f>IFERROR(VLOOKUP(L224,Masters!G:H,2,0),"0")</f>
      </c>
      <c r="AB224" s="166">
        <f>IFERROR(AA224*N224,"0")</f>
      </c>
      <c r="AC224" s="196"/>
      <c r="AD224" s="7"/>
      <c r="AE224" s="166">
        <f>W224+Y224+AB224+AD224</f>
      </c>
      <c r="AF224" s="195"/>
      <c r="AG224" s="169">
        <f>M224&amp;"-"&amp;F224</f>
      </c>
      <c r="AH224" s="166">
        <f>IFERROR(VLOOKUP(AG224,Masters!N:O,2,0),"0")</f>
      </c>
      <c r="AI224" s="166">
        <f>AH224*N224</f>
      </c>
      <c r="AJ224" s="7"/>
      <c r="AK224" s="170">
        <f>AI224-AE224</f>
      </c>
      <c r="AL224" s="195"/>
      <c r="AM224" s="6"/>
      <c r="AN224" s="171">
        <f>IFERROR(U224/2,"0")</f>
      </c>
    </row>
    <row x14ac:dyDescent="0.25" r="225" customHeight="1" ht="18.75">
      <c r="A225" s="158">
        <f>A224+1</f>
      </c>
      <c r="B225" s="159">
        <v>45808</v>
      </c>
      <c r="C225" s="198" t="s">
        <v>671</v>
      </c>
      <c r="D225" s="159">
        <v>45808</v>
      </c>
      <c r="E225" s="198" t="s">
        <v>128</v>
      </c>
      <c r="F225" s="160" t="s">
        <v>32</v>
      </c>
      <c r="G225" s="147" t="s">
        <v>163</v>
      </c>
      <c r="H225" s="198" t="s">
        <v>304</v>
      </c>
      <c r="I225" s="158">
        <v>1109</v>
      </c>
      <c r="J225" s="147" t="s">
        <v>301</v>
      </c>
      <c r="K225" s="199">
        <v>213</v>
      </c>
      <c r="L225" s="198" t="s">
        <v>10</v>
      </c>
      <c r="M225" s="161">
        <f>IFERROR(VLOOKUP(L225,'Material Master'!B:C,2,0),"")</f>
      </c>
      <c r="N225" s="199">
        <v>100</v>
      </c>
      <c r="O225" s="162">
        <f>IFERROR(M225*N225,"")</f>
      </c>
      <c r="P225" s="198" t="s">
        <v>402</v>
      </c>
      <c r="Q225" s="158" t="s">
        <v>672</v>
      </c>
      <c r="R225" s="163">
        <v>45778</v>
      </c>
      <c r="S225" s="147"/>
      <c r="T225" s="6"/>
      <c r="U225" s="158">
        <v>0</v>
      </c>
      <c r="V225" s="164">
        <v>31</v>
      </c>
      <c r="W225" s="165">
        <f>IFERROR(U225*V225,"0")</f>
      </c>
      <c r="X225" s="7"/>
      <c r="Y225" s="166">
        <f>IFERROR((O225/1000)*Masters!$C$3,"0")</f>
      </c>
      <c r="Z225" s="195"/>
      <c r="AA225" s="164">
        <f>IFERROR(VLOOKUP(L225,Masters!G:H,2,0),"0")</f>
      </c>
      <c r="AB225" s="166">
        <f>IFERROR(AA225*N225,"0")</f>
      </c>
      <c r="AC225" s="196"/>
      <c r="AD225" s="7"/>
      <c r="AE225" s="166">
        <f>W225+Y225+AB225+AD225</f>
      </c>
      <c r="AF225" s="195"/>
      <c r="AG225" s="169">
        <f>M225&amp;"-"&amp;F225</f>
      </c>
      <c r="AH225" s="166">
        <f>IFERROR(VLOOKUP(AG225,Masters!N:O,2,0),"0")</f>
      </c>
      <c r="AI225" s="166">
        <f>AH225*N225</f>
      </c>
      <c r="AJ225" s="7"/>
      <c r="AK225" s="170">
        <f>AI225-AE225</f>
      </c>
      <c r="AL225" s="195"/>
      <c r="AM225" s="6"/>
      <c r="AN225" s="171">
        <f>IFERROR(U225/2,"0")</f>
      </c>
    </row>
    <row x14ac:dyDescent="0.25" r="226" customHeight="1" ht="18.75">
      <c r="A226" s="158">
        <f>A225+1</f>
      </c>
      <c r="B226" s="159">
        <v>45808</v>
      </c>
      <c r="C226" s="198" t="s">
        <v>671</v>
      </c>
      <c r="D226" s="159">
        <v>45808</v>
      </c>
      <c r="E226" s="198" t="s">
        <v>128</v>
      </c>
      <c r="F226" s="160" t="s">
        <v>32</v>
      </c>
      <c r="G226" s="147" t="s">
        <v>248</v>
      </c>
      <c r="H226" s="198" t="s">
        <v>304</v>
      </c>
      <c r="I226" s="158">
        <v>1109</v>
      </c>
      <c r="J226" s="147" t="s">
        <v>301</v>
      </c>
      <c r="K226" s="199">
        <v>214</v>
      </c>
      <c r="L226" s="198" t="s">
        <v>10</v>
      </c>
      <c r="M226" s="161">
        <f>IFERROR(VLOOKUP(L226,'Material Master'!B:C,2,0),"")</f>
      </c>
      <c r="N226" s="199">
        <v>100</v>
      </c>
      <c r="O226" s="162">
        <f>IFERROR(M226*N226,"")</f>
      </c>
      <c r="P226" s="198" t="s">
        <v>402</v>
      </c>
      <c r="Q226" s="158" t="s">
        <v>672</v>
      </c>
      <c r="R226" s="163">
        <v>45778</v>
      </c>
      <c r="S226" s="147"/>
      <c r="T226" s="6"/>
      <c r="U226" s="158">
        <v>0</v>
      </c>
      <c r="V226" s="164">
        <v>31</v>
      </c>
      <c r="W226" s="165">
        <f>IFERROR(U226*V226,"0")</f>
      </c>
      <c r="X226" s="7"/>
      <c r="Y226" s="166">
        <f>IFERROR((O226/1000)*Masters!$C$3,"0")</f>
      </c>
      <c r="Z226" s="195"/>
      <c r="AA226" s="164">
        <f>IFERROR(VLOOKUP(L226,Masters!G:H,2,0),"0")</f>
      </c>
      <c r="AB226" s="166">
        <f>IFERROR(AA226*N226,"0")</f>
      </c>
      <c r="AC226" s="196"/>
      <c r="AD226" s="7"/>
      <c r="AE226" s="166">
        <f>W226+Y226+AB226+AD226</f>
      </c>
      <c r="AF226" s="195"/>
      <c r="AG226" s="169">
        <f>M226&amp;"-"&amp;F226</f>
      </c>
      <c r="AH226" s="166">
        <f>IFERROR(VLOOKUP(AG226,Masters!N:O,2,0),"0")</f>
      </c>
      <c r="AI226" s="166">
        <f>AH226*N226</f>
      </c>
      <c r="AJ226" s="7"/>
      <c r="AK226" s="170">
        <f>AI226-AE226</f>
      </c>
      <c r="AL226" s="195"/>
      <c r="AM226" s="6"/>
      <c r="AN226" s="171">
        <f>IFERROR(U226/2,"0")</f>
      </c>
    </row>
    <row x14ac:dyDescent="0.25" r="227" customHeight="1" ht="18.75">
      <c r="A227" s="158">
        <f>A226+1</f>
      </c>
      <c r="B227" s="159">
        <v>45808</v>
      </c>
      <c r="C227" s="198" t="s">
        <v>671</v>
      </c>
      <c r="D227" s="159">
        <v>45808</v>
      </c>
      <c r="E227" s="198" t="s">
        <v>128</v>
      </c>
      <c r="F227" s="160" t="s">
        <v>19</v>
      </c>
      <c r="G227" s="147" t="s">
        <v>214</v>
      </c>
      <c r="H227" s="198" t="s">
        <v>304</v>
      </c>
      <c r="I227" s="158">
        <v>1109</v>
      </c>
      <c r="J227" s="147" t="s">
        <v>301</v>
      </c>
      <c r="K227" s="199">
        <v>215</v>
      </c>
      <c r="L227" s="198" t="s">
        <v>10</v>
      </c>
      <c r="M227" s="161">
        <f>IFERROR(VLOOKUP(L227,'Material Master'!B:C,2,0),"")</f>
      </c>
      <c r="N227" s="199">
        <v>100</v>
      </c>
      <c r="O227" s="162">
        <f>IFERROR(M227*N227,"")</f>
      </c>
      <c r="P227" s="198" t="s">
        <v>402</v>
      </c>
      <c r="Q227" s="158" t="s">
        <v>672</v>
      </c>
      <c r="R227" s="163">
        <v>45778</v>
      </c>
      <c r="S227" s="147"/>
      <c r="T227" s="6"/>
      <c r="U227" s="158">
        <v>527</v>
      </c>
      <c r="V227" s="164">
        <v>31</v>
      </c>
      <c r="W227" s="165">
        <f>IFERROR(U227*V227,"0")</f>
      </c>
      <c r="X227" s="7"/>
      <c r="Y227" s="166">
        <f>IFERROR((O227/1000)*Masters!$C$3,"0")</f>
      </c>
      <c r="Z227" s="195"/>
      <c r="AA227" s="164">
        <f>IFERROR(VLOOKUP(L227,Masters!G:H,2,0),"0")</f>
      </c>
      <c r="AB227" s="166">
        <f>IFERROR(AA227*N227,"0")</f>
      </c>
      <c r="AC227" s="196"/>
      <c r="AD227" s="7"/>
      <c r="AE227" s="166">
        <f>W227+Y227+AB227+AD227</f>
      </c>
      <c r="AF227" s="195"/>
      <c r="AG227" s="169">
        <f>M227&amp;"-"&amp;F227</f>
      </c>
      <c r="AH227" s="166">
        <f>IFERROR(VLOOKUP(AG227,Masters!N:O,2,0),"0")</f>
      </c>
      <c r="AI227" s="166">
        <f>AH227*N227</f>
      </c>
      <c r="AJ227" s="7"/>
      <c r="AK227" s="170">
        <f>AI227-AE227</f>
      </c>
      <c r="AL227" s="195"/>
      <c r="AM227" s="6"/>
      <c r="AN227" s="171">
        <f>IFERROR(U227/2,"0")</f>
      </c>
    </row>
    <row x14ac:dyDescent="0.25" r="228" customHeight="1" ht="18.75">
      <c r="A228" s="158">
        <f>A227+1</f>
      </c>
      <c r="B228" s="159">
        <v>45808</v>
      </c>
      <c r="C228" s="174" t="s">
        <v>673</v>
      </c>
      <c r="D228" s="159">
        <v>45808</v>
      </c>
      <c r="E228" s="174" t="s">
        <v>102</v>
      </c>
      <c r="F228" s="175" t="s">
        <v>32</v>
      </c>
      <c r="G228" s="174" t="s">
        <v>361</v>
      </c>
      <c r="H228" s="174" t="s">
        <v>303</v>
      </c>
      <c r="I228" s="176">
        <v>1109</v>
      </c>
      <c r="J228" s="174" t="s">
        <v>301</v>
      </c>
      <c r="K228" s="176">
        <v>216</v>
      </c>
      <c r="L228" s="174" t="s">
        <v>10</v>
      </c>
      <c r="M228" s="177">
        <f>IFERROR(VLOOKUP(L228,'Material Master'!B:C,2,0),"")</f>
      </c>
      <c r="N228" s="176">
        <v>300</v>
      </c>
      <c r="O228" s="178">
        <f>IFERROR(M228*N228,"")</f>
      </c>
      <c r="P228" s="174" t="s">
        <v>402</v>
      </c>
      <c r="Q228" s="176" t="s">
        <v>674</v>
      </c>
      <c r="R228" s="179">
        <v>45778</v>
      </c>
      <c r="S228" s="174" t="s">
        <v>490</v>
      </c>
      <c r="T228" s="200"/>
      <c r="U228" s="176">
        <v>272</v>
      </c>
      <c r="V228" s="177">
        <v>31</v>
      </c>
      <c r="W228" s="180">
        <f>IFERROR(U228*V228,"0")</f>
      </c>
      <c r="X228" s="181"/>
      <c r="Y228" s="166">
        <f>IFERROR((O228/1000)*Masters!$C$3,"0")</f>
      </c>
      <c r="Z228" s="201"/>
      <c r="AA228" s="164">
        <f>IFERROR(VLOOKUP(L228,Masters!G:H,2,0),"0")</f>
      </c>
      <c r="AB228" s="166">
        <f>IFERROR(AA228*N228,"0")</f>
      </c>
      <c r="AC228" s="202"/>
      <c r="AD228" s="181"/>
      <c r="AE228" s="166">
        <f>W228+Y228+AB228+AD228</f>
      </c>
      <c r="AF228" s="201"/>
      <c r="AG228" s="169">
        <f>M228&amp;"-"&amp;F228</f>
      </c>
      <c r="AH228" s="166">
        <f>IFERROR(VLOOKUP(AG228,Masters!N:O,2,0),"0")</f>
      </c>
      <c r="AI228" s="166">
        <f>AH228*N228</f>
      </c>
      <c r="AJ228" s="181"/>
      <c r="AK228" s="170">
        <f>AI228-AE228</f>
      </c>
      <c r="AL228" s="201"/>
      <c r="AM228" s="200"/>
      <c r="AN228" s="171">
        <f>IFERROR(U228/2,"0")</f>
      </c>
    </row>
    <row x14ac:dyDescent="0.25" r="229" customHeight="1" ht="18.75">
      <c r="A229" s="158">
        <f>A228+1</f>
      </c>
      <c r="B229" s="159">
        <v>45808</v>
      </c>
      <c r="C229" s="174" t="s">
        <v>675</v>
      </c>
      <c r="D229" s="159">
        <v>45808</v>
      </c>
      <c r="E229" s="174" t="s">
        <v>124</v>
      </c>
      <c r="F229" s="175" t="s">
        <v>32</v>
      </c>
      <c r="G229" s="174" t="s">
        <v>125</v>
      </c>
      <c r="H229" s="174" t="s">
        <v>302</v>
      </c>
      <c r="I229" s="176">
        <v>1109</v>
      </c>
      <c r="J229" s="174" t="s">
        <v>301</v>
      </c>
      <c r="K229" s="176">
        <v>217</v>
      </c>
      <c r="L229" s="174" t="s">
        <v>10</v>
      </c>
      <c r="M229" s="177">
        <f>IFERROR(VLOOKUP(L229,'Material Master'!B:C,2,0),"")</f>
      </c>
      <c r="N229" s="176">
        <v>300</v>
      </c>
      <c r="O229" s="178">
        <f>IFERROR(M229*N229,"")</f>
      </c>
      <c r="P229" s="174" t="s">
        <v>402</v>
      </c>
      <c r="Q229" s="176" t="s">
        <v>676</v>
      </c>
      <c r="R229" s="179">
        <v>45778</v>
      </c>
      <c r="S229" s="174" t="s">
        <v>490</v>
      </c>
      <c r="T229" s="200"/>
      <c r="U229" s="176">
        <v>287</v>
      </c>
      <c r="V229" s="177">
        <v>31</v>
      </c>
      <c r="W229" s="180">
        <f>IFERROR(U229*V229,"0")</f>
      </c>
      <c r="X229" s="181"/>
      <c r="Y229" s="166">
        <f>IFERROR((O229/1000)*Masters!$C$3,"0")</f>
      </c>
      <c r="Z229" s="201"/>
      <c r="AA229" s="164">
        <f>IFERROR(VLOOKUP(L229,Masters!G:H,2,0),"0")</f>
      </c>
      <c r="AB229" s="166">
        <f>IFERROR(AA229*N229,"0")</f>
      </c>
      <c r="AC229" s="202"/>
      <c r="AD229" s="181"/>
      <c r="AE229" s="166">
        <f>W229+Y229+AB229+AD229</f>
      </c>
      <c r="AF229" s="201"/>
      <c r="AG229" s="169">
        <f>M229&amp;"-"&amp;F229</f>
      </c>
      <c r="AH229" s="166">
        <f>IFERROR(VLOOKUP(AG229,Masters!N:O,2,0),"0")</f>
      </c>
      <c r="AI229" s="166">
        <f>AH229*N229</f>
      </c>
      <c r="AJ229" s="181"/>
      <c r="AK229" s="170">
        <f>AI229-AE229</f>
      </c>
      <c r="AL229" s="201"/>
      <c r="AM229" s="200"/>
      <c r="AN229" s="171">
        <f>IFERROR(U229/2,"0")</f>
      </c>
    </row>
    <row x14ac:dyDescent="0.25" r="230" customHeight="1" ht="18.75">
      <c r="A230" s="158">
        <f>A229+1</f>
      </c>
      <c r="B230" s="159">
        <v>45810</v>
      </c>
      <c r="C230" s="198" t="s">
        <v>677</v>
      </c>
      <c r="D230" s="159">
        <v>45810</v>
      </c>
      <c r="E230" s="198" t="s">
        <v>181</v>
      </c>
      <c r="F230" s="160" t="s">
        <v>32</v>
      </c>
      <c r="G230" s="147" t="s">
        <v>117</v>
      </c>
      <c r="H230" s="198" t="s">
        <v>303</v>
      </c>
      <c r="I230" s="158">
        <v>1109</v>
      </c>
      <c r="J230" s="147" t="s">
        <v>301</v>
      </c>
      <c r="K230" s="199">
        <v>218</v>
      </c>
      <c r="L230" s="198" t="s">
        <v>10</v>
      </c>
      <c r="M230" s="161">
        <f>IFERROR(VLOOKUP(L230,'Material Master'!B:C,2,0),"")</f>
      </c>
      <c r="N230" s="199">
        <v>300</v>
      </c>
      <c r="O230" s="162">
        <f>IFERROR(M230*N230,"")</f>
      </c>
      <c r="P230" s="198" t="s">
        <v>402</v>
      </c>
      <c r="Q230" s="158" t="s">
        <v>678</v>
      </c>
      <c r="R230" s="163">
        <v>45778</v>
      </c>
      <c r="S230" s="147"/>
      <c r="T230" s="6"/>
      <c r="U230" s="158">
        <v>365</v>
      </c>
      <c r="V230" s="164">
        <v>31</v>
      </c>
      <c r="W230" s="165">
        <f>IFERROR(U230*V230,"0")</f>
      </c>
      <c r="X230" s="7"/>
      <c r="Y230" s="166">
        <f>IFERROR((O230/1000)*Masters!$C$3,"0")</f>
      </c>
      <c r="Z230" s="195"/>
      <c r="AA230" s="164">
        <f>IFERROR(VLOOKUP(L230,Masters!G:H,2,0),"0")</f>
      </c>
      <c r="AB230" s="166">
        <f>IFERROR(AA230*N230,"0")</f>
      </c>
      <c r="AC230" s="196"/>
      <c r="AD230" s="7"/>
      <c r="AE230" s="166">
        <f>W230+Y230+AB230+AD230</f>
      </c>
      <c r="AF230" s="195"/>
      <c r="AG230" s="169">
        <f>M230&amp;"-"&amp;F230</f>
      </c>
      <c r="AH230" s="166">
        <f>IFERROR(VLOOKUP(AG230,Masters!N:O,2,0),"0")</f>
      </c>
      <c r="AI230" s="166">
        <f>AH230*N230</f>
      </c>
      <c r="AJ230" s="7"/>
      <c r="AK230" s="170">
        <f>AI230-AE230</f>
      </c>
      <c r="AL230" s="195"/>
      <c r="AM230" s="6"/>
      <c r="AN230" s="171">
        <f>IFERROR(U230/2,"0")</f>
      </c>
    </row>
    <row x14ac:dyDescent="0.25" r="231" customHeight="1" ht="18.75">
      <c r="A231" s="158">
        <f>A230+1</f>
      </c>
      <c r="B231" s="159">
        <v>45810</v>
      </c>
      <c r="C231" s="198" t="s">
        <v>679</v>
      </c>
      <c r="D231" s="159">
        <v>45810</v>
      </c>
      <c r="E231" s="198" t="s">
        <v>204</v>
      </c>
      <c r="F231" s="160" t="s">
        <v>231</v>
      </c>
      <c r="G231" s="147" t="s">
        <v>230</v>
      </c>
      <c r="H231" s="198" t="s">
        <v>305</v>
      </c>
      <c r="I231" s="158">
        <v>1109</v>
      </c>
      <c r="J231" s="147" t="s">
        <v>301</v>
      </c>
      <c r="K231" s="199">
        <v>219</v>
      </c>
      <c r="L231" s="198" t="s">
        <v>10</v>
      </c>
      <c r="M231" s="161">
        <f>IFERROR(VLOOKUP(L231,'Material Master'!B:C,2,0),"")</f>
      </c>
      <c r="N231" s="199">
        <v>300</v>
      </c>
      <c r="O231" s="162">
        <f>IFERROR(M231*N231,"")</f>
      </c>
      <c r="P231" s="198" t="s">
        <v>402</v>
      </c>
      <c r="Q231" s="158" t="s">
        <v>680</v>
      </c>
      <c r="R231" s="163">
        <v>45778</v>
      </c>
      <c r="S231" s="147"/>
      <c r="T231" s="6"/>
      <c r="U231" s="158">
        <v>82</v>
      </c>
      <c r="V231" s="164">
        <v>31</v>
      </c>
      <c r="W231" s="165">
        <f>IFERROR(U231*V231,"0")</f>
      </c>
      <c r="X231" s="7"/>
      <c r="Y231" s="166">
        <f>IFERROR((O231/1000)*Masters!$C$3,"0")</f>
      </c>
      <c r="Z231" s="195"/>
      <c r="AA231" s="164">
        <f>IFERROR(VLOOKUP(L231,Masters!G:H,2,0),"0")</f>
      </c>
      <c r="AB231" s="166">
        <f>IFERROR(AA231*N231,"0")</f>
      </c>
      <c r="AC231" s="196"/>
      <c r="AD231" s="7"/>
      <c r="AE231" s="166">
        <f>W231+Y231+AB231+AD231</f>
      </c>
      <c r="AF231" s="195"/>
      <c r="AG231" s="169">
        <f>M231&amp;"-"&amp;F231</f>
      </c>
      <c r="AH231" s="166">
        <f>IFERROR(VLOOKUP(AG231,Masters!N:O,2,0),"0")</f>
      </c>
      <c r="AI231" s="166">
        <f>AH231*N231</f>
      </c>
      <c r="AJ231" s="7"/>
      <c r="AK231" s="170">
        <f>AI231-AE231</f>
      </c>
      <c r="AL231" s="195"/>
      <c r="AM231" s="6"/>
      <c r="AN231" s="171">
        <f>IFERROR(U231/2,"0")</f>
      </c>
    </row>
    <row x14ac:dyDescent="0.25" r="232" customHeight="1" ht="18.75">
      <c r="A232" s="158">
        <f>A231+1</f>
      </c>
      <c r="B232" s="159">
        <v>45810</v>
      </c>
      <c r="C232" s="198" t="s">
        <v>681</v>
      </c>
      <c r="D232" s="159">
        <v>45810</v>
      </c>
      <c r="E232" s="198" t="s">
        <v>221</v>
      </c>
      <c r="F232" s="160" t="s">
        <v>32</v>
      </c>
      <c r="G232" s="147" t="s">
        <v>222</v>
      </c>
      <c r="H232" s="198" t="s">
        <v>302</v>
      </c>
      <c r="I232" s="158">
        <v>1109</v>
      </c>
      <c r="J232" s="147" t="s">
        <v>301</v>
      </c>
      <c r="K232" s="199">
        <v>220</v>
      </c>
      <c r="L232" s="198" t="s">
        <v>10</v>
      </c>
      <c r="M232" s="161">
        <f>IFERROR(VLOOKUP(L232,'Material Master'!B:C,2,0),"")</f>
      </c>
      <c r="N232" s="199">
        <v>300</v>
      </c>
      <c r="O232" s="162">
        <f>IFERROR(M232*N232,"")</f>
      </c>
      <c r="P232" s="198" t="s">
        <v>402</v>
      </c>
      <c r="Q232" s="158" t="s">
        <v>682</v>
      </c>
      <c r="R232" s="163">
        <v>45778</v>
      </c>
      <c r="S232" s="147"/>
      <c r="T232" s="6"/>
      <c r="U232" s="158">
        <v>388</v>
      </c>
      <c r="V232" s="164">
        <v>31</v>
      </c>
      <c r="W232" s="165">
        <f>IFERROR(U232*V232,"0")</f>
      </c>
      <c r="X232" s="7"/>
      <c r="Y232" s="166">
        <f>IFERROR((O232/1000)*Masters!$C$3,"0")</f>
      </c>
      <c r="Z232" s="195"/>
      <c r="AA232" s="164">
        <f>IFERROR(VLOOKUP(L232,Masters!G:H,2,0),"0")</f>
      </c>
      <c r="AB232" s="166">
        <f>IFERROR(AA232*N232,"0")</f>
      </c>
      <c r="AC232" s="196"/>
      <c r="AD232" s="7"/>
      <c r="AE232" s="166">
        <f>W232+Y232+AB232+AD232</f>
      </c>
      <c r="AF232" s="195"/>
      <c r="AG232" s="169">
        <f>M232&amp;"-"&amp;F232</f>
      </c>
      <c r="AH232" s="166">
        <f>IFERROR(VLOOKUP(AG232,Masters!N:O,2,0),"0")</f>
      </c>
      <c r="AI232" s="166">
        <f>AH232*N232</f>
      </c>
      <c r="AJ232" s="7"/>
      <c r="AK232" s="170">
        <f>AI232-AE232</f>
      </c>
      <c r="AL232" s="195"/>
      <c r="AM232" s="6"/>
      <c r="AN232" s="171">
        <f>IFERROR(U232/2,"0")</f>
      </c>
    </row>
    <row x14ac:dyDescent="0.25" r="233" customHeight="1" ht="18.75">
      <c r="A233" s="158">
        <f>A232+1</f>
      </c>
      <c r="B233" s="159">
        <v>45810</v>
      </c>
      <c r="C233" s="174" t="s">
        <v>683</v>
      </c>
      <c r="D233" s="159">
        <v>45810</v>
      </c>
      <c r="E233" s="174" t="s">
        <v>204</v>
      </c>
      <c r="F233" s="175" t="s">
        <v>274</v>
      </c>
      <c r="G233" s="174" t="s">
        <v>223</v>
      </c>
      <c r="H233" s="174" t="s">
        <v>305</v>
      </c>
      <c r="I233" s="176">
        <v>1109</v>
      </c>
      <c r="J233" s="174" t="s">
        <v>301</v>
      </c>
      <c r="K233" s="176">
        <v>221</v>
      </c>
      <c r="L233" s="174" t="s">
        <v>10</v>
      </c>
      <c r="M233" s="177">
        <f>IFERROR(VLOOKUP(L233,'Material Master'!B:C,2,0),"")</f>
      </c>
      <c r="N233" s="176">
        <v>300</v>
      </c>
      <c r="O233" s="178">
        <f>IFERROR(M233*N233,"")</f>
      </c>
      <c r="P233" s="174" t="s">
        <v>402</v>
      </c>
      <c r="Q233" s="176" t="s">
        <v>684</v>
      </c>
      <c r="R233" s="179">
        <v>45778</v>
      </c>
      <c r="S233" s="174" t="s">
        <v>490</v>
      </c>
      <c r="T233" s="200"/>
      <c r="U233" s="176">
        <v>1220</v>
      </c>
      <c r="V233" s="177">
        <v>31</v>
      </c>
      <c r="W233" s="180">
        <f>IFERROR(U233*V233,"0")</f>
      </c>
      <c r="X233" s="181"/>
      <c r="Y233" s="166">
        <f>IFERROR((O233/1000)*Masters!$C$3,"0")</f>
      </c>
      <c r="Z233" s="201"/>
      <c r="AA233" s="164">
        <f>IFERROR(VLOOKUP(L233,Masters!G:H,2,0),"0")</f>
      </c>
      <c r="AB233" s="166">
        <f>IFERROR(AA233*N233,"0")</f>
      </c>
      <c r="AC233" s="202"/>
      <c r="AD233" s="181"/>
      <c r="AE233" s="166">
        <f>W233+Y233+AB233+AD233</f>
      </c>
      <c r="AF233" s="201"/>
      <c r="AG233" s="169">
        <f>M233&amp;"-"&amp;F233</f>
      </c>
      <c r="AH233" s="166">
        <f>IFERROR(VLOOKUP(AG233,Masters!N:O,2,0),"0")</f>
      </c>
      <c r="AI233" s="166">
        <f>AH233*N233</f>
      </c>
      <c r="AJ233" s="181"/>
      <c r="AK233" s="170">
        <f>AI233-AE233</f>
      </c>
      <c r="AL233" s="201"/>
      <c r="AM233" s="200"/>
      <c r="AN233" s="171">
        <f>IFERROR(U233/2,"0")</f>
      </c>
    </row>
    <row x14ac:dyDescent="0.25" r="234" customHeight="1" ht="18.75">
      <c r="A234" s="158">
        <f>A233+1</f>
      </c>
      <c r="B234" s="159">
        <v>45810</v>
      </c>
      <c r="C234" s="173" t="s">
        <v>685</v>
      </c>
      <c r="D234" s="159"/>
      <c r="E234" s="173" t="s">
        <v>134</v>
      </c>
      <c r="F234" s="173"/>
      <c r="G234" s="173" t="s">
        <v>80</v>
      </c>
      <c r="H234" s="173"/>
      <c r="I234" s="184">
        <v>2515</v>
      </c>
      <c r="J234" s="173"/>
      <c r="K234" s="184"/>
      <c r="L234" s="173"/>
      <c r="M234" s="185">
        <f>IFERROR(VLOOKUP(L234,'Material Master'!B:C,2,0),"")</f>
      </c>
      <c r="N234" s="184"/>
      <c r="O234" s="186">
        <f>IFERROR(M234*N234,"")</f>
      </c>
      <c r="P234" s="173"/>
      <c r="Q234" s="184"/>
      <c r="R234" s="187">
        <v>45778</v>
      </c>
      <c r="S234" s="173" t="s">
        <v>686</v>
      </c>
      <c r="T234" s="188"/>
      <c r="U234" s="184"/>
      <c r="V234" s="185">
        <v>31</v>
      </c>
      <c r="W234" s="189">
        <f>IFERROR(U234*V234,"0")</f>
      </c>
      <c r="X234" s="190"/>
      <c r="Y234" s="191">
        <f>IFERROR((O234/1000)*Masters!$C$3,"0")</f>
      </c>
      <c r="Z234" s="192"/>
      <c r="AA234" s="164">
        <f>IFERROR(VLOOKUP(L234,Masters!G:H,2,0),"0")</f>
      </c>
      <c r="AB234" s="166">
        <f>IFERROR(AA234*N234,"0")</f>
      </c>
      <c r="AC234" s="193"/>
      <c r="AD234" s="190"/>
      <c r="AE234" s="166">
        <f>W234+Y234+AB234+AD234</f>
      </c>
      <c r="AF234" s="192"/>
      <c r="AG234" s="169">
        <f>M234&amp;"-"&amp;F234</f>
      </c>
      <c r="AH234" s="191">
        <f>IFERROR(VLOOKUP(AG234,Masters!N:O,2,0),"0")</f>
      </c>
      <c r="AI234" s="166">
        <f>AH234*N234</f>
      </c>
      <c r="AJ234" s="190"/>
      <c r="AK234" s="170">
        <f>AI234-AE234</f>
      </c>
      <c r="AL234" s="192"/>
      <c r="AM234" s="188"/>
      <c r="AN234" s="171">
        <f>IFERROR(U234/2,"0")</f>
      </c>
    </row>
    <row x14ac:dyDescent="0.25" r="235" customHeight="1" ht="18.75">
      <c r="A235" s="158">
        <f>A234+1</f>
      </c>
      <c r="B235" s="159">
        <v>45810</v>
      </c>
      <c r="C235" s="173" t="s">
        <v>687</v>
      </c>
      <c r="D235" s="159"/>
      <c r="E235" s="173" t="s">
        <v>134</v>
      </c>
      <c r="F235" s="173"/>
      <c r="G235" s="173" t="s">
        <v>80</v>
      </c>
      <c r="H235" s="173"/>
      <c r="I235" s="184">
        <v>2515</v>
      </c>
      <c r="J235" s="173"/>
      <c r="K235" s="184"/>
      <c r="L235" s="173"/>
      <c r="M235" s="185">
        <f>IFERROR(VLOOKUP(L235,'Material Master'!B:C,2,0),"")</f>
      </c>
      <c r="N235" s="184"/>
      <c r="O235" s="186">
        <f>IFERROR(M235*N235,"")</f>
      </c>
      <c r="P235" s="173"/>
      <c r="Q235" s="184"/>
      <c r="R235" s="187">
        <v>45778</v>
      </c>
      <c r="S235" s="173" t="s">
        <v>686</v>
      </c>
      <c r="T235" s="188"/>
      <c r="U235" s="184"/>
      <c r="V235" s="185">
        <v>31</v>
      </c>
      <c r="W235" s="189">
        <f>IFERROR(U235*V235,"0")</f>
      </c>
      <c r="X235" s="190"/>
      <c r="Y235" s="191">
        <f>IFERROR((O235/1000)*Masters!$C$3,"0")</f>
      </c>
      <c r="Z235" s="192"/>
      <c r="AA235" s="164">
        <f>IFERROR(VLOOKUP(L235,Masters!G:H,2,0),"0")</f>
      </c>
      <c r="AB235" s="166">
        <f>IFERROR(AA235*N235,"0")</f>
      </c>
      <c r="AC235" s="193"/>
      <c r="AD235" s="190"/>
      <c r="AE235" s="166">
        <f>W235+Y235+AB235+AD235</f>
      </c>
      <c r="AF235" s="192"/>
      <c r="AG235" s="169">
        <f>M235&amp;"-"&amp;F235</f>
      </c>
      <c r="AH235" s="191">
        <f>IFERROR(VLOOKUP(AG235,Masters!N:O,2,0),"0")</f>
      </c>
      <c r="AI235" s="166">
        <f>AH235*N235</f>
      </c>
      <c r="AJ235" s="190"/>
      <c r="AK235" s="170">
        <f>AI235-AE235</f>
      </c>
      <c r="AL235" s="192"/>
      <c r="AM235" s="188"/>
      <c r="AN235" s="171">
        <f>IFERROR(U235/2,"0")</f>
      </c>
    </row>
    <row x14ac:dyDescent="0.25" r="236" customHeight="1" ht="18.75">
      <c r="A236" s="158">
        <f>A235+1</f>
      </c>
      <c r="B236" s="159">
        <v>45810</v>
      </c>
      <c r="C236" s="198" t="s">
        <v>688</v>
      </c>
      <c r="D236" s="159">
        <v>45811</v>
      </c>
      <c r="E236" s="198" t="s">
        <v>114</v>
      </c>
      <c r="F236" s="160" t="s">
        <v>32</v>
      </c>
      <c r="G236" s="147" t="s">
        <v>115</v>
      </c>
      <c r="H236" s="198" t="s">
        <v>303</v>
      </c>
      <c r="I236" s="158">
        <v>709</v>
      </c>
      <c r="J236" s="147" t="s">
        <v>301</v>
      </c>
      <c r="K236" s="199">
        <v>223</v>
      </c>
      <c r="L236" s="198" t="s">
        <v>10</v>
      </c>
      <c r="M236" s="161">
        <f>IFERROR(VLOOKUP(L236,'Material Master'!B:C,2,0),"")</f>
      </c>
      <c r="N236" s="199">
        <v>100</v>
      </c>
      <c r="O236" s="162">
        <f>IFERROR(M236*N236,"")</f>
      </c>
      <c r="P236" s="198" t="s">
        <v>402</v>
      </c>
      <c r="Q236" s="158">
        <v>68506</v>
      </c>
      <c r="R236" s="163">
        <v>45778</v>
      </c>
      <c r="S236" s="147"/>
      <c r="T236" s="6"/>
      <c r="U236" s="158">
        <v>244</v>
      </c>
      <c r="V236" s="164">
        <v>31</v>
      </c>
      <c r="W236" s="165">
        <f>IFERROR(U236*V236,"0")</f>
      </c>
      <c r="X236" s="7"/>
      <c r="Y236" s="166">
        <f>IFERROR((O236/1000)*Masters!$C$3,"0")</f>
      </c>
      <c r="Z236" s="195"/>
      <c r="AA236" s="164">
        <f>IFERROR(VLOOKUP(L236,Masters!G:H,2,0),"0")</f>
      </c>
      <c r="AB236" s="166">
        <f>IFERROR(AA236*N236,"0")</f>
      </c>
      <c r="AC236" s="196"/>
      <c r="AD236" s="7"/>
      <c r="AE236" s="166">
        <f>W236+Y236+AB236+AD236</f>
      </c>
      <c r="AF236" s="195"/>
      <c r="AG236" s="169">
        <f>M236&amp;"-"&amp;F236</f>
      </c>
      <c r="AH236" s="166">
        <f>IFERROR(VLOOKUP(AG236,Masters!N:O,2,0),"0")</f>
      </c>
      <c r="AI236" s="166">
        <f>AH236*N236</f>
      </c>
      <c r="AJ236" s="7"/>
      <c r="AK236" s="170">
        <f>AI236-AE236</f>
      </c>
      <c r="AL236" s="195"/>
      <c r="AM236" s="6"/>
      <c r="AN236" s="171">
        <f>IFERROR(U236/2,"0")</f>
      </c>
    </row>
    <row x14ac:dyDescent="0.25" r="237" customHeight="1" ht="18.75">
      <c r="A237" s="158">
        <f>A236+1</f>
      </c>
      <c r="B237" s="159">
        <v>45810</v>
      </c>
      <c r="C237" s="198" t="s">
        <v>689</v>
      </c>
      <c r="D237" s="159">
        <v>45812</v>
      </c>
      <c r="E237" s="198" t="s">
        <v>119</v>
      </c>
      <c r="F237" s="160" t="s">
        <v>231</v>
      </c>
      <c r="G237" s="147" t="s">
        <v>230</v>
      </c>
      <c r="H237" s="198" t="s">
        <v>302</v>
      </c>
      <c r="I237" s="158">
        <v>1109</v>
      </c>
      <c r="J237" s="147" t="s">
        <v>301</v>
      </c>
      <c r="K237" s="199">
        <v>224</v>
      </c>
      <c r="L237" s="198" t="s">
        <v>10</v>
      </c>
      <c r="M237" s="161">
        <f>IFERROR(VLOOKUP(L237,'Material Master'!B:C,2,0),"")</f>
      </c>
      <c r="N237" s="199">
        <v>300</v>
      </c>
      <c r="O237" s="162">
        <f>IFERROR(M237*N237,"")</f>
      </c>
      <c r="P237" s="198" t="s">
        <v>402</v>
      </c>
      <c r="Q237" s="158" t="s">
        <v>690</v>
      </c>
      <c r="R237" s="163">
        <v>45778</v>
      </c>
      <c r="S237" s="147"/>
      <c r="T237" s="6"/>
      <c r="U237" s="158">
        <v>74</v>
      </c>
      <c r="V237" s="164">
        <v>31</v>
      </c>
      <c r="W237" s="165">
        <f>IFERROR(U237*V237,"0")</f>
      </c>
      <c r="X237" s="7"/>
      <c r="Y237" s="166">
        <f>IFERROR((O237/1000)*Masters!$C$3,"0")</f>
      </c>
      <c r="Z237" s="195"/>
      <c r="AA237" s="164">
        <f>IFERROR(VLOOKUP(L237,Masters!G:H,2,0),"0")</f>
      </c>
      <c r="AB237" s="166">
        <f>IFERROR(AA237*N237,"0")</f>
      </c>
      <c r="AC237" s="196"/>
      <c r="AD237" s="7"/>
      <c r="AE237" s="166">
        <f>W237+Y237+AB237+AD237</f>
      </c>
      <c r="AF237" s="195"/>
      <c r="AG237" s="169">
        <f>M237&amp;"-"&amp;F237</f>
      </c>
      <c r="AH237" s="166">
        <f>IFERROR(VLOOKUP(AG237,Masters!N:O,2,0),"0")</f>
      </c>
      <c r="AI237" s="166">
        <f>AH237*N237</f>
      </c>
      <c r="AJ237" s="7"/>
      <c r="AK237" s="170">
        <f>AI237-AE237</f>
      </c>
      <c r="AL237" s="195"/>
      <c r="AM237" s="6"/>
      <c r="AN237" s="171">
        <f>IFERROR(U237/2,"0")</f>
      </c>
    </row>
    <row x14ac:dyDescent="0.25" r="238" customHeight="1" ht="18.75">
      <c r="A238" s="158">
        <f>A237+1</f>
      </c>
      <c r="B238" s="159">
        <v>45810</v>
      </c>
      <c r="C238" s="198" t="s">
        <v>691</v>
      </c>
      <c r="D238" s="159">
        <v>45817</v>
      </c>
      <c r="E238" s="198" t="s">
        <v>119</v>
      </c>
      <c r="F238" s="160" t="s">
        <v>231</v>
      </c>
      <c r="G238" s="147" t="s">
        <v>230</v>
      </c>
      <c r="H238" s="198" t="s">
        <v>304</v>
      </c>
      <c r="I238" s="158">
        <v>1109</v>
      </c>
      <c r="J238" s="147" t="s">
        <v>301</v>
      </c>
      <c r="K238" s="199">
        <v>236</v>
      </c>
      <c r="L238" s="198" t="s">
        <v>10</v>
      </c>
      <c r="M238" s="161">
        <f>IFERROR(VLOOKUP(L238,'Material Master'!B:C,2,0),"")</f>
      </c>
      <c r="N238" s="199">
        <v>300</v>
      </c>
      <c r="O238" s="162">
        <f>IFERROR(M238*N238,"")</f>
      </c>
      <c r="P238" s="198" t="s">
        <v>402</v>
      </c>
      <c r="Q238" s="158" t="s">
        <v>692</v>
      </c>
      <c r="R238" s="163">
        <v>45778</v>
      </c>
      <c r="S238" s="147"/>
      <c r="T238" s="6"/>
      <c r="U238" s="158">
        <v>74</v>
      </c>
      <c r="V238" s="164">
        <v>31</v>
      </c>
      <c r="W238" s="165">
        <f>IFERROR(U238*V238,"0")</f>
      </c>
      <c r="X238" s="7"/>
      <c r="Y238" s="166">
        <f>IFERROR((O238/1000)*Masters!$C$3,"0")</f>
      </c>
      <c r="Z238" s="195"/>
      <c r="AA238" s="164">
        <f>IFERROR(VLOOKUP(L238,Masters!G:H,2,0),"0")</f>
      </c>
      <c r="AB238" s="166">
        <f>IFERROR(AA238*N238,"0")</f>
      </c>
      <c r="AC238" s="196"/>
      <c r="AD238" s="7"/>
      <c r="AE238" s="166">
        <f>W238+Y238+AB238+AD238</f>
      </c>
      <c r="AF238" s="195"/>
      <c r="AG238" s="169">
        <f>M238&amp;"-"&amp;F238</f>
      </c>
      <c r="AH238" s="166">
        <f>IFERROR(VLOOKUP(AG238,Masters!N:O,2,0),"0")</f>
      </c>
      <c r="AI238" s="166">
        <f>AH238*N238</f>
      </c>
      <c r="AJ238" s="7"/>
      <c r="AK238" s="170">
        <f>AI238-AE238</f>
      </c>
      <c r="AL238" s="195"/>
      <c r="AM238" s="6"/>
      <c r="AN238" s="171">
        <f>IFERROR(U238/2,"0")</f>
      </c>
    </row>
    <row x14ac:dyDescent="0.25" r="239" customHeight="1" ht="18.75">
      <c r="A239" s="158">
        <f>A238+1</f>
      </c>
      <c r="B239" s="159">
        <v>45810</v>
      </c>
      <c r="C239" s="198" t="s">
        <v>693</v>
      </c>
      <c r="D239" s="159">
        <v>45818</v>
      </c>
      <c r="E239" s="198" t="s">
        <v>119</v>
      </c>
      <c r="F239" s="160" t="s">
        <v>231</v>
      </c>
      <c r="G239" s="147" t="s">
        <v>230</v>
      </c>
      <c r="H239" s="198" t="s">
        <v>305</v>
      </c>
      <c r="I239" s="158">
        <v>1109</v>
      </c>
      <c r="J239" s="147" t="s">
        <v>301</v>
      </c>
      <c r="K239" s="199">
        <v>237</v>
      </c>
      <c r="L239" s="198" t="s">
        <v>10</v>
      </c>
      <c r="M239" s="161">
        <f>IFERROR(VLOOKUP(L239,'Material Master'!B:C,2,0),"")</f>
      </c>
      <c r="N239" s="199">
        <v>300</v>
      </c>
      <c r="O239" s="162">
        <f>IFERROR(M239*N239,"")</f>
      </c>
      <c r="P239" s="198" t="s">
        <v>402</v>
      </c>
      <c r="Q239" s="158" t="s">
        <v>694</v>
      </c>
      <c r="R239" s="163">
        <v>45778</v>
      </c>
      <c r="S239" s="147"/>
      <c r="T239" s="6"/>
      <c r="U239" s="158">
        <v>86</v>
      </c>
      <c r="V239" s="164">
        <v>31</v>
      </c>
      <c r="W239" s="165">
        <f>IFERROR(U239*V239,"0")</f>
      </c>
      <c r="X239" s="7"/>
      <c r="Y239" s="166">
        <f>IFERROR((O239/1000)*Masters!$C$3,"0")</f>
      </c>
      <c r="Z239" s="195"/>
      <c r="AA239" s="164">
        <f>IFERROR(VLOOKUP(L239,Masters!G:H,2,0),"0")</f>
      </c>
      <c r="AB239" s="166">
        <f>IFERROR(AA239*N239,"0")</f>
      </c>
      <c r="AC239" s="196"/>
      <c r="AD239" s="7"/>
      <c r="AE239" s="166">
        <f>W239+Y239+AB239+AD239</f>
      </c>
      <c r="AF239" s="195"/>
      <c r="AG239" s="169">
        <f>M239&amp;"-"&amp;F239</f>
      </c>
      <c r="AH239" s="166">
        <f>IFERROR(VLOOKUP(AG239,Masters!N:O,2,0),"0")</f>
      </c>
      <c r="AI239" s="166">
        <f>AH239*N239</f>
      </c>
      <c r="AJ239" s="7"/>
      <c r="AK239" s="170">
        <f>AI239-AE239</f>
      </c>
      <c r="AL239" s="195"/>
      <c r="AM239" s="6"/>
      <c r="AN239" s="171">
        <f>IFERROR(U239/2,"0")</f>
      </c>
    </row>
    <row x14ac:dyDescent="0.25" r="240" customHeight="1" ht="18.75">
      <c r="A240" s="158">
        <f>A239+1</f>
      </c>
      <c r="B240" s="159">
        <v>45810</v>
      </c>
      <c r="C240" s="198" t="s">
        <v>695</v>
      </c>
      <c r="D240" s="159">
        <v>45824</v>
      </c>
      <c r="E240" s="198" t="s">
        <v>119</v>
      </c>
      <c r="F240" s="160" t="s">
        <v>231</v>
      </c>
      <c r="G240" s="147" t="s">
        <v>230</v>
      </c>
      <c r="H240" s="198" t="s">
        <v>305</v>
      </c>
      <c r="I240" s="158">
        <v>1109</v>
      </c>
      <c r="J240" s="147" t="s">
        <v>301</v>
      </c>
      <c r="K240" s="199">
        <v>251</v>
      </c>
      <c r="L240" s="198" t="s">
        <v>10</v>
      </c>
      <c r="M240" s="161">
        <f>IFERROR(VLOOKUP(L240,'Material Master'!B:C,2,0),"")</f>
      </c>
      <c r="N240" s="199">
        <v>300</v>
      </c>
      <c r="O240" s="162">
        <f>IFERROR(M240*N240,"")</f>
      </c>
      <c r="P240" s="198" t="s">
        <v>402</v>
      </c>
      <c r="Q240" s="158" t="s">
        <v>696</v>
      </c>
      <c r="R240" s="163">
        <v>45778</v>
      </c>
      <c r="S240" s="147"/>
      <c r="T240" s="6"/>
      <c r="U240" s="158">
        <v>77</v>
      </c>
      <c r="V240" s="164">
        <v>31</v>
      </c>
      <c r="W240" s="165">
        <f>IFERROR(U240*V240,"0")</f>
      </c>
      <c r="X240" s="7"/>
      <c r="Y240" s="166">
        <f>IFERROR((O240/1000)*Masters!$C$3,"0")</f>
      </c>
      <c r="Z240" s="195"/>
      <c r="AA240" s="164">
        <f>IFERROR(VLOOKUP(L240,Masters!G:H,2,0),"0")</f>
      </c>
      <c r="AB240" s="166">
        <f>IFERROR(AA240*N240,"0")</f>
      </c>
      <c r="AC240" s="196"/>
      <c r="AD240" s="7"/>
      <c r="AE240" s="166">
        <f>W240+Y240+AB240+AD240</f>
      </c>
      <c r="AF240" s="195"/>
      <c r="AG240" s="169">
        <f>M240&amp;"-"&amp;F240</f>
      </c>
      <c r="AH240" s="166">
        <f>IFERROR(VLOOKUP(AG240,Masters!N:O,2,0),"0")</f>
      </c>
      <c r="AI240" s="166">
        <f>AH240*N240</f>
      </c>
      <c r="AJ240" s="7"/>
      <c r="AK240" s="170">
        <f>AI240-AE240</f>
      </c>
      <c r="AL240" s="195"/>
      <c r="AM240" s="6"/>
      <c r="AN240" s="171">
        <f>IFERROR(U240/2,"0")</f>
      </c>
    </row>
    <row x14ac:dyDescent="0.25" r="241" customHeight="1" ht="18.75">
      <c r="A241" s="158">
        <f>A240+1</f>
      </c>
      <c r="B241" s="159">
        <v>45810</v>
      </c>
      <c r="C241" s="198" t="s">
        <v>697</v>
      </c>
      <c r="D241" s="159">
        <v>45825</v>
      </c>
      <c r="E241" s="198" t="s">
        <v>119</v>
      </c>
      <c r="F241" s="160" t="s">
        <v>231</v>
      </c>
      <c r="G241" s="147" t="s">
        <v>230</v>
      </c>
      <c r="H241" s="198" t="s">
        <v>305</v>
      </c>
      <c r="I241" s="158">
        <v>1109</v>
      </c>
      <c r="J241" s="147" t="s">
        <v>301</v>
      </c>
      <c r="K241" s="199">
        <v>255</v>
      </c>
      <c r="L241" s="198" t="s">
        <v>10</v>
      </c>
      <c r="M241" s="161">
        <f>IFERROR(VLOOKUP(L241,'Material Master'!B:C,2,0),"")</f>
      </c>
      <c r="N241" s="199">
        <v>300</v>
      </c>
      <c r="O241" s="162">
        <f>IFERROR(M241*N241,"")</f>
      </c>
      <c r="P241" s="198" t="s">
        <v>402</v>
      </c>
      <c r="Q241" s="158" t="s">
        <v>698</v>
      </c>
      <c r="R241" s="163">
        <v>45778</v>
      </c>
      <c r="S241" s="147"/>
      <c r="T241" s="6"/>
      <c r="U241" s="158">
        <v>79</v>
      </c>
      <c r="V241" s="164">
        <v>31</v>
      </c>
      <c r="W241" s="165">
        <f>IFERROR(U241*V241,"0")</f>
      </c>
      <c r="X241" s="7"/>
      <c r="Y241" s="166">
        <f>IFERROR((O241/1000)*Masters!$C$3,"0")</f>
      </c>
      <c r="Z241" s="195"/>
      <c r="AA241" s="164">
        <f>IFERROR(VLOOKUP(L241,Masters!G:H,2,0),"0")</f>
      </c>
      <c r="AB241" s="166">
        <f>IFERROR(AA241*N241,"0")</f>
      </c>
      <c r="AC241" s="196"/>
      <c r="AD241" s="7"/>
      <c r="AE241" s="166">
        <f>W241+Y241+AB241+AD241</f>
      </c>
      <c r="AF241" s="195"/>
      <c r="AG241" s="169">
        <f>M241&amp;"-"&amp;F241</f>
      </c>
      <c r="AH241" s="166">
        <f>IFERROR(VLOOKUP(AG241,Masters!N:O,2,0),"0")</f>
      </c>
      <c r="AI241" s="166">
        <f>AH241*N241</f>
      </c>
      <c r="AJ241" s="7"/>
      <c r="AK241" s="170">
        <f>AI241-AE241</f>
      </c>
      <c r="AL241" s="195"/>
      <c r="AM241" s="6"/>
      <c r="AN241" s="171">
        <f>IFERROR(U241/2,"0")</f>
      </c>
    </row>
    <row x14ac:dyDescent="0.25" r="242" customHeight="1" ht="18.75">
      <c r="A242" s="158">
        <f>A241+1</f>
      </c>
      <c r="B242" s="159">
        <v>45810</v>
      </c>
      <c r="C242" s="198" t="s">
        <v>699</v>
      </c>
      <c r="D242" s="159">
        <v>45826</v>
      </c>
      <c r="E242" s="198" t="s">
        <v>119</v>
      </c>
      <c r="F242" s="160" t="s">
        <v>231</v>
      </c>
      <c r="G242" s="147" t="s">
        <v>230</v>
      </c>
      <c r="H242" s="198" t="s">
        <v>305</v>
      </c>
      <c r="I242" s="158">
        <v>1109</v>
      </c>
      <c r="J242" s="147" t="s">
        <v>301</v>
      </c>
      <c r="K242" s="199">
        <v>259</v>
      </c>
      <c r="L242" s="198" t="s">
        <v>10</v>
      </c>
      <c r="M242" s="161">
        <f>IFERROR(VLOOKUP(L242,'Material Master'!B:C,2,0),"")</f>
      </c>
      <c r="N242" s="199">
        <v>300</v>
      </c>
      <c r="O242" s="162">
        <f>IFERROR(M242*N242,"")</f>
      </c>
      <c r="P242" s="198" t="s">
        <v>402</v>
      </c>
      <c r="Q242" s="158" t="s">
        <v>700</v>
      </c>
      <c r="R242" s="163">
        <v>45778</v>
      </c>
      <c r="S242" s="147"/>
      <c r="T242" s="6"/>
      <c r="U242" s="158">
        <v>76</v>
      </c>
      <c r="V242" s="164">
        <v>31</v>
      </c>
      <c r="W242" s="165">
        <f>IFERROR(U242*V242,"0")</f>
      </c>
      <c r="X242" s="7"/>
      <c r="Y242" s="166">
        <f>IFERROR((O242/1000)*Masters!$C$3,"0")</f>
      </c>
      <c r="Z242" s="195"/>
      <c r="AA242" s="164">
        <f>IFERROR(VLOOKUP(L242,Masters!G:H,2,0),"0")</f>
      </c>
      <c r="AB242" s="166">
        <f>IFERROR(AA242*N242,"0")</f>
      </c>
      <c r="AC242" s="196"/>
      <c r="AD242" s="7"/>
      <c r="AE242" s="166">
        <f>W242+Y242+AB242+AD242</f>
      </c>
      <c r="AF242" s="195"/>
      <c r="AG242" s="169">
        <f>M242&amp;"-"&amp;F242</f>
      </c>
      <c r="AH242" s="166">
        <f>IFERROR(VLOOKUP(AG242,Masters!N:O,2,0),"0")</f>
      </c>
      <c r="AI242" s="166">
        <f>AH242*N242</f>
      </c>
      <c r="AJ242" s="7"/>
      <c r="AK242" s="170">
        <f>AI242-AE242</f>
      </c>
      <c r="AL242" s="195"/>
      <c r="AM242" s="6"/>
      <c r="AN242" s="171">
        <f>IFERROR(U242/2,"0")</f>
      </c>
    </row>
    <row x14ac:dyDescent="0.25" r="243" customHeight="1" ht="18.75">
      <c r="A243" s="158">
        <f>A242+1</f>
      </c>
      <c r="B243" s="159">
        <v>45810</v>
      </c>
      <c r="C243" s="198" t="s">
        <v>701</v>
      </c>
      <c r="D243" s="159">
        <v>45827</v>
      </c>
      <c r="E243" s="198" t="s">
        <v>119</v>
      </c>
      <c r="F243" s="160" t="s">
        <v>231</v>
      </c>
      <c r="G243" s="147" t="s">
        <v>230</v>
      </c>
      <c r="H243" s="198" t="s">
        <v>304</v>
      </c>
      <c r="I243" s="158">
        <v>1109</v>
      </c>
      <c r="J243" s="147" t="s">
        <v>301</v>
      </c>
      <c r="K243" s="199">
        <v>262</v>
      </c>
      <c r="L243" s="198" t="s">
        <v>10</v>
      </c>
      <c r="M243" s="161">
        <f>IFERROR(VLOOKUP(L243,'Material Master'!B:C,2,0),"")</f>
      </c>
      <c r="N243" s="199">
        <v>300</v>
      </c>
      <c r="O243" s="162">
        <f>IFERROR(M243*N243,"")</f>
      </c>
      <c r="P243" s="198" t="s">
        <v>402</v>
      </c>
      <c r="Q243" s="158">
        <v>976294</v>
      </c>
      <c r="R243" s="163">
        <v>45778</v>
      </c>
      <c r="S243" s="147"/>
      <c r="T243" s="6"/>
      <c r="U243" s="158">
        <v>66</v>
      </c>
      <c r="V243" s="164">
        <v>31</v>
      </c>
      <c r="W243" s="165">
        <f>IFERROR(U243*V243,"0")</f>
      </c>
      <c r="X243" s="7"/>
      <c r="Y243" s="166">
        <f>IFERROR((O243/1000)*Masters!$C$3,"0")</f>
      </c>
      <c r="Z243" s="195"/>
      <c r="AA243" s="164">
        <f>IFERROR(VLOOKUP(L243,Masters!G:H,2,0),"0")</f>
      </c>
      <c r="AB243" s="166">
        <f>IFERROR(AA243*N243,"0")</f>
      </c>
      <c r="AC243" s="196"/>
      <c r="AD243" s="7"/>
      <c r="AE243" s="166">
        <f>W243+Y243+AB243+AD243</f>
      </c>
      <c r="AF243" s="195"/>
      <c r="AG243" s="169">
        <f>M243&amp;"-"&amp;F243</f>
      </c>
      <c r="AH243" s="166">
        <f>IFERROR(VLOOKUP(AG243,Masters!N:O,2,0),"0")</f>
      </c>
      <c r="AI243" s="166">
        <f>AH243*N243</f>
      </c>
      <c r="AJ243" s="7"/>
      <c r="AK243" s="170">
        <f>AI243-AE243</f>
      </c>
      <c r="AL243" s="195"/>
      <c r="AM243" s="6"/>
      <c r="AN243" s="171">
        <f>IFERROR(U243/2,"0")</f>
      </c>
    </row>
    <row x14ac:dyDescent="0.25" r="244" customHeight="1" ht="18.75">
      <c r="A244" s="158">
        <f>A243+1</f>
      </c>
      <c r="B244" s="159">
        <v>45810</v>
      </c>
      <c r="C244" s="198" t="s">
        <v>702</v>
      </c>
      <c r="D244" s="159">
        <v>45815</v>
      </c>
      <c r="E244" s="198" t="s">
        <v>110</v>
      </c>
      <c r="F244" s="160" t="s">
        <v>231</v>
      </c>
      <c r="G244" s="147" t="s">
        <v>111</v>
      </c>
      <c r="H244" s="198" t="s">
        <v>305</v>
      </c>
      <c r="I244" s="158">
        <v>1109</v>
      </c>
      <c r="J244" s="147" t="s">
        <v>301</v>
      </c>
      <c r="K244" s="199">
        <v>234</v>
      </c>
      <c r="L244" s="198" t="s">
        <v>10</v>
      </c>
      <c r="M244" s="161">
        <f>IFERROR(VLOOKUP(L244,'Material Master'!B:C,2,0),"")</f>
      </c>
      <c r="N244" s="199">
        <v>300</v>
      </c>
      <c r="O244" s="162">
        <f>IFERROR(M244*N244,"")</f>
      </c>
      <c r="P244" s="198" t="s">
        <v>402</v>
      </c>
      <c r="Q244" s="158" t="s">
        <v>703</v>
      </c>
      <c r="R244" s="163">
        <v>45778</v>
      </c>
      <c r="S244" s="147"/>
      <c r="T244" s="6"/>
      <c r="U244" s="158">
        <v>36</v>
      </c>
      <c r="V244" s="164">
        <v>31</v>
      </c>
      <c r="W244" s="165">
        <f>IFERROR(U244*V244,"0")</f>
      </c>
      <c r="X244" s="7"/>
      <c r="Y244" s="166">
        <f>IFERROR((O244/1000)*Masters!$C$3,"0")</f>
      </c>
      <c r="Z244" s="195"/>
      <c r="AA244" s="164">
        <f>IFERROR(VLOOKUP(L244,Masters!G:H,2,0),"0")</f>
      </c>
      <c r="AB244" s="166">
        <f>IFERROR(AA244*N244,"0")</f>
      </c>
      <c r="AC244" s="196"/>
      <c r="AD244" s="7"/>
      <c r="AE244" s="166">
        <f>W244+Y244+AB244+AD244</f>
      </c>
      <c r="AF244" s="195"/>
      <c r="AG244" s="169">
        <f>M244&amp;"-"&amp;F244</f>
      </c>
      <c r="AH244" s="166">
        <f>IFERROR(VLOOKUP(AG244,Masters!N:O,2,0),"0")</f>
      </c>
      <c r="AI244" s="166">
        <f>AH244*N244</f>
      </c>
      <c r="AJ244" s="7"/>
      <c r="AK244" s="170">
        <f>AI244-AE244</f>
      </c>
      <c r="AL244" s="195"/>
      <c r="AM244" s="6"/>
      <c r="AN244" s="171">
        <f>IFERROR(U244/2,"0")</f>
      </c>
    </row>
    <row x14ac:dyDescent="0.25" r="245" customHeight="1" ht="18.75">
      <c r="A245" s="158">
        <f>A244+1</f>
      </c>
      <c r="B245" s="159">
        <v>45811</v>
      </c>
      <c r="C245" s="173" t="s">
        <v>704</v>
      </c>
      <c r="D245" s="159"/>
      <c r="E245" s="173" t="s">
        <v>227</v>
      </c>
      <c r="F245" s="173"/>
      <c r="G245" s="173" t="s">
        <v>228</v>
      </c>
      <c r="H245" s="173"/>
      <c r="I245" s="184">
        <v>909</v>
      </c>
      <c r="J245" s="173"/>
      <c r="K245" s="184"/>
      <c r="L245" s="173"/>
      <c r="M245" s="185">
        <f>IFERROR(VLOOKUP(L245,'Material Master'!B:C,2,0),"")</f>
      </c>
      <c r="N245" s="184"/>
      <c r="O245" s="186">
        <f>IFERROR(M245*N245,"")</f>
      </c>
      <c r="P245" s="173"/>
      <c r="Q245" s="184"/>
      <c r="R245" s="187">
        <v>45809</v>
      </c>
      <c r="S245" s="173" t="s">
        <v>705</v>
      </c>
      <c r="T245" s="188"/>
      <c r="U245" s="184"/>
      <c r="V245" s="185">
        <v>31</v>
      </c>
      <c r="W245" s="189"/>
      <c r="X245" s="190"/>
      <c r="Y245" s="191">
        <f>IFERROR((O245/1000)*Masters!$C$3,"0")</f>
      </c>
      <c r="Z245" s="192"/>
      <c r="AA245" s="164">
        <f>IFERROR(VLOOKUP(L245,Masters!G:H,2,0),"0")</f>
      </c>
      <c r="AB245" s="166">
        <f>IFERROR(AA245*N245,"0")</f>
      </c>
      <c r="AC245" s="193"/>
      <c r="AD245" s="190"/>
      <c r="AE245" s="166">
        <f>W245+Y245+AB245+AD245</f>
      </c>
      <c r="AF245" s="192"/>
      <c r="AG245" s="169">
        <f>M245&amp;"-"&amp;F245</f>
      </c>
      <c r="AH245" s="191">
        <f>IFERROR(VLOOKUP(AG245,Masters!N:O,2,0),"0")</f>
      </c>
      <c r="AI245" s="166">
        <f>AH245*N245</f>
      </c>
      <c r="AJ245" s="190"/>
      <c r="AK245" s="170">
        <f>AI245-AE245</f>
      </c>
      <c r="AL245" s="192"/>
      <c r="AM245" s="188"/>
      <c r="AN245" s="171">
        <f>IFERROR(U245/2,"0")</f>
      </c>
    </row>
    <row x14ac:dyDescent="0.25" r="246" customHeight="1" ht="18.75">
      <c r="A246" s="158">
        <f>A245+1</f>
      </c>
      <c r="B246" s="159">
        <v>45811</v>
      </c>
      <c r="C246" s="198" t="s">
        <v>706</v>
      </c>
      <c r="D246" s="159">
        <v>45811</v>
      </c>
      <c r="E246" s="198" t="s">
        <v>102</v>
      </c>
      <c r="F246" s="160" t="s">
        <v>32</v>
      </c>
      <c r="G246" s="147" t="s">
        <v>117</v>
      </c>
      <c r="H246" s="198" t="s">
        <v>304</v>
      </c>
      <c r="I246" s="158">
        <v>1109</v>
      </c>
      <c r="J246" s="147" t="s">
        <v>301</v>
      </c>
      <c r="K246" s="199">
        <v>222</v>
      </c>
      <c r="L246" s="198" t="s">
        <v>10</v>
      </c>
      <c r="M246" s="161">
        <f>IFERROR(VLOOKUP(L246,'Material Master'!B:C,2,0),"")</f>
      </c>
      <c r="N246" s="199">
        <v>300</v>
      </c>
      <c r="O246" s="162">
        <f>IFERROR(M246*N246,"")</f>
      </c>
      <c r="P246" s="198" t="s">
        <v>402</v>
      </c>
      <c r="Q246" s="158" t="s">
        <v>707</v>
      </c>
      <c r="R246" s="163">
        <v>45809</v>
      </c>
      <c r="S246" s="147"/>
      <c r="T246" s="6"/>
      <c r="U246" s="158">
        <v>339</v>
      </c>
      <c r="V246" s="164">
        <v>31</v>
      </c>
      <c r="W246" s="165">
        <f>IFERROR(U246*V246,"0")</f>
      </c>
      <c r="X246" s="7"/>
      <c r="Y246" s="166">
        <f>IFERROR((O246/1000)*Masters!$C$3,"0")</f>
      </c>
      <c r="Z246" s="195"/>
      <c r="AA246" s="164">
        <f>IFERROR(VLOOKUP(L246,Masters!G:H,2,0),"0")</f>
      </c>
      <c r="AB246" s="166">
        <f>IFERROR(AA246*N246,"0")</f>
      </c>
      <c r="AC246" s="196"/>
      <c r="AD246" s="7"/>
      <c r="AE246" s="166">
        <f>W246+Y246+AB246+AD246</f>
      </c>
      <c r="AF246" s="195"/>
      <c r="AG246" s="169">
        <f>M246&amp;"-"&amp;F246</f>
      </c>
      <c r="AH246" s="166">
        <f>IFERROR(VLOOKUP(AG246,Masters!N:O,2,0),"0")</f>
      </c>
      <c r="AI246" s="166">
        <f>AH246*N246</f>
      </c>
      <c r="AJ246" s="7"/>
      <c r="AK246" s="170">
        <f>AI246-AE246</f>
      </c>
      <c r="AL246" s="195"/>
      <c r="AM246" s="6"/>
      <c r="AN246" s="171">
        <f>IFERROR(U246/2,"0")</f>
      </c>
    </row>
    <row x14ac:dyDescent="0.25" r="247" customHeight="1" ht="18.75">
      <c r="A247" s="158">
        <f>A246+1</f>
      </c>
      <c r="B247" s="159">
        <v>45812</v>
      </c>
      <c r="C247" s="198" t="s">
        <v>708</v>
      </c>
      <c r="D247" s="159">
        <v>45812</v>
      </c>
      <c r="E247" s="198" t="s">
        <v>84</v>
      </c>
      <c r="F247" s="160" t="s">
        <v>231</v>
      </c>
      <c r="G247" s="147" t="s">
        <v>530</v>
      </c>
      <c r="H247" s="198" t="s">
        <v>303</v>
      </c>
      <c r="I247" s="158">
        <v>909</v>
      </c>
      <c r="J247" s="147" t="s">
        <v>301</v>
      </c>
      <c r="K247" s="199">
        <v>225</v>
      </c>
      <c r="L247" s="198" t="s">
        <v>10</v>
      </c>
      <c r="M247" s="161">
        <f>IFERROR(VLOOKUP(L247,'Material Master'!B:C,2,0),"")</f>
      </c>
      <c r="N247" s="199">
        <v>200</v>
      </c>
      <c r="O247" s="162">
        <f>IFERROR(M247*N247,"")</f>
      </c>
      <c r="P247" s="198" t="s">
        <v>402</v>
      </c>
      <c r="Q247" s="158" t="s">
        <v>709</v>
      </c>
      <c r="R247" s="163">
        <v>45809</v>
      </c>
      <c r="S247" s="147"/>
      <c r="T247" s="6"/>
      <c r="U247" s="158">
        <v>196</v>
      </c>
      <c r="V247" s="164">
        <v>31</v>
      </c>
      <c r="W247" s="165">
        <f>IFERROR(U247*V247,"0")</f>
      </c>
      <c r="X247" s="7"/>
      <c r="Y247" s="166">
        <f>IFERROR((O247/1000)*Masters!$C$3,"0")</f>
      </c>
      <c r="Z247" s="195"/>
      <c r="AA247" s="164">
        <f>IFERROR(VLOOKUP(L247,Masters!G:H,2,0),"0")</f>
      </c>
      <c r="AB247" s="166">
        <f>IFERROR(AA247*N247,"0")</f>
      </c>
      <c r="AC247" s="196"/>
      <c r="AD247" s="7"/>
      <c r="AE247" s="166">
        <f>W247+Y247+AB247+AD247</f>
      </c>
      <c r="AF247" s="195"/>
      <c r="AG247" s="169">
        <f>M247&amp;"-"&amp;F247</f>
      </c>
      <c r="AH247" s="166">
        <f>IFERROR(VLOOKUP(AG247,Masters!N:O,2,0),"0")</f>
      </c>
      <c r="AI247" s="166">
        <f>AH247*N247</f>
      </c>
      <c r="AJ247" s="7"/>
      <c r="AK247" s="170">
        <f>AI247-AE247</f>
      </c>
      <c r="AL247" s="195"/>
      <c r="AM247" s="6"/>
      <c r="AN247" s="171">
        <f>IFERROR(U247/2,"0")</f>
      </c>
    </row>
    <row x14ac:dyDescent="0.25" r="248" customHeight="1" ht="18.75">
      <c r="A248" s="158">
        <f>A247+1</f>
      </c>
      <c r="B248" s="159">
        <v>45812</v>
      </c>
      <c r="C248" s="198" t="s">
        <v>710</v>
      </c>
      <c r="D248" s="159">
        <v>45812</v>
      </c>
      <c r="E248" s="198" t="s">
        <v>160</v>
      </c>
      <c r="F248" s="160" t="s">
        <v>32</v>
      </c>
      <c r="G248" s="147" t="s">
        <v>161</v>
      </c>
      <c r="H248" s="198" t="s">
        <v>304</v>
      </c>
      <c r="I248" s="158">
        <v>1109</v>
      </c>
      <c r="J248" s="147" t="s">
        <v>301</v>
      </c>
      <c r="K248" s="199">
        <v>226</v>
      </c>
      <c r="L248" s="198" t="s">
        <v>10</v>
      </c>
      <c r="M248" s="161">
        <f>IFERROR(VLOOKUP(L248,'Material Master'!B:C,2,0),"")</f>
      </c>
      <c r="N248" s="199">
        <v>300</v>
      </c>
      <c r="O248" s="162">
        <f>IFERROR(M248*N248,"")</f>
      </c>
      <c r="P248" s="198" t="s">
        <v>402</v>
      </c>
      <c r="Q248" s="158" t="s">
        <v>711</v>
      </c>
      <c r="R248" s="163">
        <v>45809</v>
      </c>
      <c r="S248" s="147"/>
      <c r="T248" s="6"/>
      <c r="U248" s="158">
        <v>359</v>
      </c>
      <c r="V248" s="164">
        <v>31</v>
      </c>
      <c r="W248" s="165">
        <f>IFERROR(U248*V248,"0")</f>
      </c>
      <c r="X248" s="7"/>
      <c r="Y248" s="166">
        <f>IFERROR((O248/1000)*Masters!$C$3,"0")</f>
      </c>
      <c r="Z248" s="195"/>
      <c r="AA248" s="164">
        <f>IFERROR(VLOOKUP(L248,Masters!G:H,2,0),"0")</f>
      </c>
      <c r="AB248" s="166">
        <f>IFERROR(AA248*N248,"0")</f>
      </c>
      <c r="AC248" s="196"/>
      <c r="AD248" s="7"/>
      <c r="AE248" s="166">
        <f>W248+Y248+AB248+AD248</f>
      </c>
      <c r="AF248" s="195"/>
      <c r="AG248" s="169">
        <f>M248&amp;"-"&amp;F248</f>
      </c>
      <c r="AH248" s="166">
        <f>IFERROR(VLOOKUP(AG248,Masters!N:O,2,0),"0")</f>
      </c>
      <c r="AI248" s="166">
        <f>AH248*N248</f>
      </c>
      <c r="AJ248" s="7"/>
      <c r="AK248" s="170">
        <f>AI248-AE248</f>
      </c>
      <c r="AL248" s="195"/>
      <c r="AM248" s="6"/>
      <c r="AN248" s="171">
        <f>IFERROR(U248/2,"0")</f>
      </c>
    </row>
    <row x14ac:dyDescent="0.25" r="249" customHeight="1" ht="18.75">
      <c r="A249" s="158">
        <f>A248+1</f>
      </c>
      <c r="B249" s="159">
        <v>45813</v>
      </c>
      <c r="C249" s="198" t="s">
        <v>712</v>
      </c>
      <c r="D249" s="159">
        <v>45813</v>
      </c>
      <c r="E249" s="198" t="s">
        <v>97</v>
      </c>
      <c r="F249" s="160" t="s">
        <v>32</v>
      </c>
      <c r="G249" s="147" t="s">
        <v>224</v>
      </c>
      <c r="H249" s="198" t="s">
        <v>302</v>
      </c>
      <c r="I249" s="158">
        <v>1109</v>
      </c>
      <c r="J249" s="147" t="s">
        <v>301</v>
      </c>
      <c r="K249" s="199">
        <v>227</v>
      </c>
      <c r="L249" s="198" t="s">
        <v>10</v>
      </c>
      <c r="M249" s="161">
        <f>IFERROR(VLOOKUP(L249,'Material Master'!B:C,2,0),"")</f>
      </c>
      <c r="N249" s="199">
        <v>300</v>
      </c>
      <c r="O249" s="162">
        <f>IFERROR(M249*N249,"")</f>
      </c>
      <c r="P249" s="198" t="s">
        <v>402</v>
      </c>
      <c r="Q249" s="158" t="s">
        <v>713</v>
      </c>
      <c r="R249" s="163">
        <v>45809</v>
      </c>
      <c r="S249" s="147"/>
      <c r="T249" s="6"/>
      <c r="U249" s="158">
        <v>353</v>
      </c>
      <c r="V249" s="164">
        <v>31</v>
      </c>
      <c r="W249" s="165">
        <f>IFERROR(U249*V249,"0")</f>
      </c>
      <c r="X249" s="7"/>
      <c r="Y249" s="166">
        <f>IFERROR((O249/1000)*Masters!$C$3,"0")</f>
      </c>
      <c r="Z249" s="195"/>
      <c r="AA249" s="164">
        <f>IFERROR(VLOOKUP(L249,Masters!G:H,2,0),"0")</f>
      </c>
      <c r="AB249" s="166">
        <f>IFERROR(AA249*N249,"0")</f>
      </c>
      <c r="AC249" s="196"/>
      <c r="AD249" s="7"/>
      <c r="AE249" s="166">
        <f>W249+Y249+AB249+AD249</f>
      </c>
      <c r="AF249" s="195"/>
      <c r="AG249" s="169">
        <f>M249&amp;"-"&amp;F249</f>
      </c>
      <c r="AH249" s="166">
        <f>IFERROR(VLOOKUP(AG249,Masters!N:O,2,0),"0")</f>
      </c>
      <c r="AI249" s="166">
        <f>AH249*N249</f>
      </c>
      <c r="AJ249" s="7"/>
      <c r="AK249" s="170">
        <f>AI249-AE249</f>
      </c>
      <c r="AL249" s="195"/>
      <c r="AM249" s="6"/>
      <c r="AN249" s="171">
        <f>IFERROR(U249/2,"0")</f>
      </c>
    </row>
    <row x14ac:dyDescent="0.25" r="250" customHeight="1" ht="18.75">
      <c r="A250" s="158">
        <f>A249+1</f>
      </c>
      <c r="B250" s="159">
        <v>45813</v>
      </c>
      <c r="C250" s="198" t="s">
        <v>714</v>
      </c>
      <c r="D250" s="159">
        <v>45813</v>
      </c>
      <c r="E250" s="198" t="s">
        <v>73</v>
      </c>
      <c r="F250" s="160" t="s">
        <v>32</v>
      </c>
      <c r="G250" s="147" t="s">
        <v>147</v>
      </c>
      <c r="H250" s="198" t="s">
        <v>305</v>
      </c>
      <c r="I250" s="158">
        <v>1109</v>
      </c>
      <c r="J250" s="147" t="s">
        <v>301</v>
      </c>
      <c r="K250" s="199">
        <v>228</v>
      </c>
      <c r="L250" s="198" t="s">
        <v>10</v>
      </c>
      <c r="M250" s="161">
        <f>IFERROR(VLOOKUP(L250,'Material Master'!B:C,2,0),"")</f>
      </c>
      <c r="N250" s="199">
        <v>300</v>
      </c>
      <c r="O250" s="162">
        <f>IFERROR(M250*N250,"")</f>
      </c>
      <c r="P250" s="198" t="s">
        <v>402</v>
      </c>
      <c r="Q250" s="158" t="s">
        <v>715</v>
      </c>
      <c r="R250" s="163">
        <v>45809</v>
      </c>
      <c r="S250" s="203" t="s">
        <v>716</v>
      </c>
      <c r="T250" s="6"/>
      <c r="U250" s="158">
        <v>289</v>
      </c>
      <c r="V250" s="164">
        <v>31</v>
      </c>
      <c r="W250" s="165">
        <f>IFERROR(U250*V250,"0")</f>
      </c>
      <c r="X250" s="7"/>
      <c r="Y250" s="166">
        <f>IFERROR((O250/1000)*Masters!$C$3,"0")</f>
      </c>
      <c r="Z250" s="195"/>
      <c r="AA250" s="164">
        <f>IFERROR(VLOOKUP(L250,Masters!G:H,2,0),"0")</f>
      </c>
      <c r="AB250" s="166">
        <f>IFERROR(AA250*N250,"0")</f>
      </c>
      <c r="AC250" s="196"/>
      <c r="AD250" s="7"/>
      <c r="AE250" s="166">
        <f>W250+Y250+AB250+AD250</f>
      </c>
      <c r="AF250" s="195"/>
      <c r="AG250" s="169">
        <f>M250&amp;"-"&amp;F250</f>
      </c>
      <c r="AH250" s="166">
        <f>IFERROR(VLOOKUP(AG250,Masters!N:O,2,0),"0")</f>
      </c>
      <c r="AI250" s="166">
        <f>AH250*N250</f>
      </c>
      <c r="AJ250" s="7"/>
      <c r="AK250" s="170">
        <f>AI250-AE250</f>
      </c>
      <c r="AL250" s="195"/>
      <c r="AM250" s="6"/>
      <c r="AN250" s="171">
        <f>IFERROR(U250/2,"0")</f>
      </c>
    </row>
    <row x14ac:dyDescent="0.25" r="251" customHeight="1" ht="18.75">
      <c r="A251" s="158">
        <f>A250+1</f>
      </c>
      <c r="B251" s="159">
        <v>45813</v>
      </c>
      <c r="C251" s="198" t="s">
        <v>717</v>
      </c>
      <c r="D251" s="159">
        <v>45813</v>
      </c>
      <c r="E251" s="198" t="s">
        <v>159</v>
      </c>
      <c r="F251" s="147" t="s">
        <v>32</v>
      </c>
      <c r="G251" s="147" t="s">
        <v>361</v>
      </c>
      <c r="H251" s="198" t="s">
        <v>316</v>
      </c>
      <c r="I251" s="158">
        <v>2515</v>
      </c>
      <c r="J251" s="147" t="s">
        <v>306</v>
      </c>
      <c r="K251" s="199">
        <v>229</v>
      </c>
      <c r="L251" s="198" t="s">
        <v>10</v>
      </c>
      <c r="M251" s="161">
        <f>IFERROR(VLOOKUP(L251,'Material Master'!B:C,2,0),"")</f>
      </c>
      <c r="N251" s="199">
        <v>600</v>
      </c>
      <c r="O251" s="162">
        <f>IFERROR(M251*N251,"")</f>
      </c>
      <c r="P251" s="198" t="s">
        <v>402</v>
      </c>
      <c r="Q251" s="158" t="s">
        <v>718</v>
      </c>
      <c r="R251" s="163">
        <v>45809</v>
      </c>
      <c r="S251" s="147" t="s">
        <v>306</v>
      </c>
      <c r="T251" s="6"/>
      <c r="U251" s="158">
        <v>0</v>
      </c>
      <c r="V251" s="164">
        <v>31</v>
      </c>
      <c r="W251" s="165">
        <v>13000</v>
      </c>
      <c r="X251" s="7"/>
      <c r="Y251" s="166">
        <f>IFERROR((O251/1000)*Masters!$C$3,"0")</f>
      </c>
      <c r="Z251" s="195"/>
      <c r="AA251" s="164">
        <f>IFERROR(VLOOKUP(L251,Masters!G:H,2,0),"0")</f>
      </c>
      <c r="AB251" s="166">
        <f>IFERROR(AA251*N251,"0")</f>
      </c>
      <c r="AC251" s="196"/>
      <c r="AD251" s="8">
        <v>3900</v>
      </c>
      <c r="AE251" s="166">
        <f>W251+Y251+AB251+AD251</f>
      </c>
      <c r="AF251" s="195"/>
      <c r="AG251" s="169">
        <f>M251&amp;"-"&amp;F251</f>
      </c>
      <c r="AH251" s="166">
        <f>IFERROR(VLOOKUP(AG251,Masters!N:O,2,0),"0")</f>
      </c>
      <c r="AI251" s="166">
        <f>AH251*N251</f>
      </c>
      <c r="AJ251" s="7"/>
      <c r="AK251" s="170">
        <f>AI251-AE251</f>
      </c>
      <c r="AL251" s="195"/>
      <c r="AM251" s="6"/>
      <c r="AN251" s="171">
        <f>IFERROR(U251/2,"0")</f>
      </c>
    </row>
    <row x14ac:dyDescent="0.25" r="252" customHeight="1" ht="18.75">
      <c r="A252" s="158">
        <f>A251+1</f>
      </c>
      <c r="B252" s="159">
        <v>45814</v>
      </c>
      <c r="C252" s="198" t="s">
        <v>719</v>
      </c>
      <c r="D252" s="159">
        <v>45814</v>
      </c>
      <c r="E252" s="198" t="s">
        <v>225</v>
      </c>
      <c r="F252" s="160" t="s">
        <v>236</v>
      </c>
      <c r="G252" s="147" t="s">
        <v>226</v>
      </c>
      <c r="H252" s="198" t="s">
        <v>303</v>
      </c>
      <c r="I252" s="158">
        <v>1109</v>
      </c>
      <c r="J252" s="147" t="s">
        <v>301</v>
      </c>
      <c r="K252" s="199">
        <v>230</v>
      </c>
      <c r="L252" s="198" t="s">
        <v>10</v>
      </c>
      <c r="M252" s="161">
        <f>IFERROR(VLOOKUP(L252,'Material Master'!B:C,2,0),"")</f>
      </c>
      <c r="N252" s="199">
        <v>300</v>
      </c>
      <c r="O252" s="162">
        <f>IFERROR(M252*N252,"")</f>
      </c>
      <c r="P252" s="198" t="s">
        <v>402</v>
      </c>
      <c r="Q252" s="158" t="s">
        <v>720</v>
      </c>
      <c r="R252" s="163">
        <v>45809</v>
      </c>
      <c r="S252" s="147"/>
      <c r="T252" s="6"/>
      <c r="U252" s="158">
        <v>609</v>
      </c>
      <c r="V252" s="164">
        <v>31</v>
      </c>
      <c r="W252" s="165">
        <f>IFERROR(U252*V252,"0")</f>
      </c>
      <c r="X252" s="7"/>
      <c r="Y252" s="166">
        <f>IFERROR((O252/1000)*Masters!$C$3,"0")</f>
      </c>
      <c r="Z252" s="195"/>
      <c r="AA252" s="164">
        <f>IFERROR(VLOOKUP(L252,Masters!G:H,2,0),"0")</f>
      </c>
      <c r="AB252" s="166">
        <f>IFERROR(AA252*N252,"0")</f>
      </c>
      <c r="AC252" s="196"/>
      <c r="AD252" s="7"/>
      <c r="AE252" s="166">
        <f>W252+Y252+AB252+AD252</f>
      </c>
      <c r="AF252" s="195"/>
      <c r="AG252" s="169">
        <f>M252&amp;"-"&amp;F252</f>
      </c>
      <c r="AH252" s="166">
        <f>IFERROR(VLOOKUP(AG252,Masters!N:O,2,0),"0")</f>
      </c>
      <c r="AI252" s="166">
        <f>AH252*N252</f>
      </c>
      <c r="AJ252" s="7"/>
      <c r="AK252" s="170">
        <f>AI252-AE252</f>
      </c>
      <c r="AL252" s="195"/>
      <c r="AM252" s="6"/>
      <c r="AN252" s="171">
        <f>IFERROR(U252/2,"0")</f>
      </c>
    </row>
    <row x14ac:dyDescent="0.25" r="253" customHeight="1" ht="18.75">
      <c r="A253" s="158">
        <f>A252+1</f>
      </c>
      <c r="B253" s="159">
        <v>45814</v>
      </c>
      <c r="C253" s="198" t="s">
        <v>721</v>
      </c>
      <c r="D253" s="159">
        <v>45814</v>
      </c>
      <c r="E253" s="198" t="s">
        <v>69</v>
      </c>
      <c r="F253" s="160" t="s">
        <v>231</v>
      </c>
      <c r="G253" s="147" t="s">
        <v>230</v>
      </c>
      <c r="H253" s="198" t="s">
        <v>302</v>
      </c>
      <c r="I253" s="158">
        <v>1109</v>
      </c>
      <c r="J253" s="147" t="s">
        <v>301</v>
      </c>
      <c r="K253" s="199">
        <v>231</v>
      </c>
      <c r="L253" s="198" t="s">
        <v>10</v>
      </c>
      <c r="M253" s="161">
        <f>IFERROR(VLOOKUP(L253,'Material Master'!B:C,2,0),"")</f>
      </c>
      <c r="N253" s="199">
        <v>300</v>
      </c>
      <c r="O253" s="162">
        <f>IFERROR(M253*N253,"")</f>
      </c>
      <c r="P253" s="198" t="s">
        <v>402</v>
      </c>
      <c r="Q253" s="158" t="s">
        <v>722</v>
      </c>
      <c r="R253" s="163">
        <v>45809</v>
      </c>
      <c r="S253" s="147"/>
      <c r="T253" s="6"/>
      <c r="U253" s="158">
        <v>63</v>
      </c>
      <c r="V253" s="164">
        <v>31</v>
      </c>
      <c r="W253" s="165">
        <f>IFERROR(U253*V253,"0")</f>
      </c>
      <c r="X253" s="7"/>
      <c r="Y253" s="166">
        <f>IFERROR((O253/1000)*Masters!$C$3,"0")</f>
      </c>
      <c r="Z253" s="195"/>
      <c r="AA253" s="164">
        <f>IFERROR(VLOOKUP(L253,Masters!G:H,2,0),"0")</f>
      </c>
      <c r="AB253" s="166">
        <f>IFERROR(AA253*N253,"0")</f>
      </c>
      <c r="AC253" s="196"/>
      <c r="AD253" s="7"/>
      <c r="AE253" s="166">
        <f>W253+Y253+AB253+AD253</f>
      </c>
      <c r="AF253" s="195"/>
      <c r="AG253" s="169">
        <f>M253&amp;"-"&amp;F253</f>
      </c>
      <c r="AH253" s="166">
        <f>IFERROR(VLOOKUP(AG253,Masters!N:O,2,0),"0")</f>
      </c>
      <c r="AI253" s="166">
        <f>AH253*N253</f>
      </c>
      <c r="AJ253" s="7"/>
      <c r="AK253" s="170">
        <f>AI253-AE253</f>
      </c>
      <c r="AL253" s="195"/>
      <c r="AM253" s="6"/>
      <c r="AN253" s="171">
        <f>IFERROR(U253/2,"0")</f>
      </c>
    </row>
    <row x14ac:dyDescent="0.25" r="254" customHeight="1" ht="18.75">
      <c r="A254" s="158">
        <f>A253+1</f>
      </c>
      <c r="B254" s="159">
        <v>45814</v>
      </c>
      <c r="C254" s="198" t="s">
        <v>723</v>
      </c>
      <c r="D254" s="159">
        <v>45814</v>
      </c>
      <c r="E254" s="198" t="s">
        <v>229</v>
      </c>
      <c r="F254" s="160" t="s">
        <v>231</v>
      </c>
      <c r="G254" s="147" t="s">
        <v>230</v>
      </c>
      <c r="H254" s="198" t="s">
        <v>304</v>
      </c>
      <c r="I254" s="158">
        <v>709</v>
      </c>
      <c r="J254" s="147" t="s">
        <v>301</v>
      </c>
      <c r="K254" s="199">
        <v>232</v>
      </c>
      <c r="L254" s="198" t="s">
        <v>10</v>
      </c>
      <c r="M254" s="161">
        <f>IFERROR(VLOOKUP(L254,'Material Master'!B:C,2,0),"")</f>
      </c>
      <c r="N254" s="199">
        <v>100</v>
      </c>
      <c r="O254" s="162">
        <f>IFERROR(M254*N254,"")</f>
      </c>
      <c r="P254" s="198" t="s">
        <v>402</v>
      </c>
      <c r="Q254" s="158" t="s">
        <v>724</v>
      </c>
      <c r="R254" s="163">
        <v>45809</v>
      </c>
      <c r="S254" s="147"/>
      <c r="T254" s="6"/>
      <c r="U254" s="158">
        <v>62</v>
      </c>
      <c r="V254" s="164">
        <v>31</v>
      </c>
      <c r="W254" s="165">
        <f>IFERROR(U254*V254,"0")</f>
      </c>
      <c r="X254" s="7"/>
      <c r="Y254" s="166">
        <f>IFERROR((O254/1000)*Masters!$C$3,"0")</f>
      </c>
      <c r="Z254" s="195"/>
      <c r="AA254" s="164">
        <f>IFERROR(VLOOKUP(L254,Masters!G:H,2,0),"0")</f>
      </c>
      <c r="AB254" s="166">
        <f>IFERROR(AA254*N254,"0")</f>
      </c>
      <c r="AC254" s="196"/>
      <c r="AD254" s="7"/>
      <c r="AE254" s="166">
        <f>W254+Y254+AB254+AD254</f>
      </c>
      <c r="AF254" s="195"/>
      <c r="AG254" s="169">
        <f>M254&amp;"-"&amp;F254</f>
      </c>
      <c r="AH254" s="166">
        <f>IFERROR(VLOOKUP(AG254,Masters!N:O,2,0),"0")</f>
      </c>
      <c r="AI254" s="166">
        <f>AH254*N254</f>
      </c>
      <c r="AJ254" s="7"/>
      <c r="AK254" s="170">
        <f>AI254-AE254</f>
      </c>
      <c r="AL254" s="195"/>
      <c r="AM254" s="6"/>
      <c r="AN254" s="171">
        <f>IFERROR(U254/2,"0")</f>
      </c>
    </row>
    <row x14ac:dyDescent="0.25" r="255" customHeight="1" ht="18.75">
      <c r="A255" s="158">
        <f>A254+1</f>
      </c>
      <c r="B255" s="159">
        <v>45814</v>
      </c>
      <c r="C255" s="174" t="s">
        <v>725</v>
      </c>
      <c r="D255" s="159">
        <v>45814</v>
      </c>
      <c r="E255" s="174" t="s">
        <v>173</v>
      </c>
      <c r="F255" s="175" t="s">
        <v>231</v>
      </c>
      <c r="G255" s="174" t="s">
        <v>230</v>
      </c>
      <c r="H255" s="174" t="s">
        <v>304</v>
      </c>
      <c r="I255" s="176">
        <v>1109</v>
      </c>
      <c r="J255" s="174" t="s">
        <v>301</v>
      </c>
      <c r="K255" s="176">
        <v>233</v>
      </c>
      <c r="L255" s="174" t="s">
        <v>10</v>
      </c>
      <c r="M255" s="177">
        <f>IFERROR(VLOOKUP(L255,'Material Master'!B:C,2,0),"")</f>
      </c>
      <c r="N255" s="176">
        <v>300</v>
      </c>
      <c r="O255" s="178">
        <f>IFERROR(M255*N255,"")</f>
      </c>
      <c r="P255" s="174" t="s">
        <v>402</v>
      </c>
      <c r="Q255" s="176" t="s">
        <v>726</v>
      </c>
      <c r="R255" s="179">
        <v>45809</v>
      </c>
      <c r="S255" s="174" t="s">
        <v>490</v>
      </c>
      <c r="T255" s="200"/>
      <c r="U255" s="176">
        <v>68</v>
      </c>
      <c r="V255" s="177">
        <v>31</v>
      </c>
      <c r="W255" s="180">
        <f>IFERROR(U255*V255,"0")</f>
      </c>
      <c r="X255" s="181"/>
      <c r="Y255" s="166">
        <f>IFERROR((O255/1000)*Masters!$C$3,"0")</f>
      </c>
      <c r="Z255" s="201"/>
      <c r="AA255" s="164">
        <f>IFERROR(VLOOKUP(L255,Masters!G:H,2,0),"0")</f>
      </c>
      <c r="AB255" s="166">
        <f>IFERROR(AA255*N255,"0")</f>
      </c>
      <c r="AC255" s="202"/>
      <c r="AD255" s="181"/>
      <c r="AE255" s="166">
        <f>W255+Y255+AB255+AD255</f>
      </c>
      <c r="AF255" s="201"/>
      <c r="AG255" s="169">
        <f>M255&amp;"-"&amp;F255</f>
      </c>
      <c r="AH255" s="166">
        <f>IFERROR(VLOOKUP(AG255,Masters!N:O,2,0),"0")</f>
      </c>
      <c r="AI255" s="166">
        <f>AH255*N255</f>
      </c>
      <c r="AJ255" s="181"/>
      <c r="AK255" s="170">
        <f>AI255-AE255</f>
      </c>
      <c r="AL255" s="201"/>
      <c r="AM255" s="200"/>
      <c r="AN255" s="171">
        <f>IFERROR(U255/2,"0")</f>
      </c>
    </row>
    <row x14ac:dyDescent="0.25" r="256" customHeight="1" ht="18.75">
      <c r="A256" s="158">
        <f>A255+1</f>
      </c>
      <c r="B256" s="159">
        <v>45814</v>
      </c>
      <c r="C256" s="173" t="s">
        <v>727</v>
      </c>
      <c r="D256" s="159"/>
      <c r="E256" s="173" t="s">
        <v>614</v>
      </c>
      <c r="F256" s="173"/>
      <c r="G256" s="173" t="s">
        <v>235</v>
      </c>
      <c r="H256" s="173"/>
      <c r="I256" s="184">
        <v>709</v>
      </c>
      <c r="J256" s="173"/>
      <c r="K256" s="184"/>
      <c r="L256" s="173"/>
      <c r="M256" s="185">
        <f>IFERROR(VLOOKUP(L256,'Material Master'!B:C,2,0),"")</f>
      </c>
      <c r="N256" s="184"/>
      <c r="O256" s="186">
        <f>IFERROR(M256*N256,"")</f>
      </c>
      <c r="P256" s="173"/>
      <c r="Q256" s="184"/>
      <c r="R256" s="187">
        <v>45809</v>
      </c>
      <c r="S256" s="173" t="s">
        <v>728</v>
      </c>
      <c r="T256" s="188"/>
      <c r="U256" s="184"/>
      <c r="V256" s="185">
        <v>31</v>
      </c>
      <c r="W256" s="189">
        <f>IFERROR(U256*V256,"0")</f>
      </c>
      <c r="X256" s="190"/>
      <c r="Y256" s="191">
        <f>IFERROR((O256/1000)*Masters!$C$3,"0")</f>
      </c>
      <c r="Z256" s="192"/>
      <c r="AA256" s="164">
        <f>IFERROR(VLOOKUP(L256,Masters!G:H,2,0),"0")</f>
      </c>
      <c r="AB256" s="166">
        <f>IFERROR(AA256*N256,"0")</f>
      </c>
      <c r="AC256" s="193"/>
      <c r="AD256" s="190"/>
      <c r="AE256" s="166">
        <f>W256+Y256+AB256+AD256</f>
      </c>
      <c r="AF256" s="192"/>
      <c r="AG256" s="169">
        <f>M256&amp;"-"&amp;F256</f>
      </c>
      <c r="AH256" s="191">
        <f>IFERROR(VLOOKUP(AG256,Masters!N:O,2,0),"0")</f>
      </c>
      <c r="AI256" s="166">
        <f>AH256*N256</f>
      </c>
      <c r="AJ256" s="190"/>
      <c r="AK256" s="170">
        <f>AI256-AE256</f>
      </c>
      <c r="AL256" s="192"/>
      <c r="AM256" s="188"/>
      <c r="AN256" s="171">
        <f>IFERROR(U256/2,"0")</f>
      </c>
    </row>
    <row x14ac:dyDescent="0.25" r="257" customHeight="1" ht="18.75">
      <c r="A257" s="158">
        <f>A256+1</f>
      </c>
      <c r="B257" s="159">
        <v>45814</v>
      </c>
      <c r="C257" s="173" t="s">
        <v>729</v>
      </c>
      <c r="D257" s="159"/>
      <c r="E257" s="173" t="s">
        <v>232</v>
      </c>
      <c r="F257" s="173"/>
      <c r="G257" s="173" t="s">
        <v>233</v>
      </c>
      <c r="H257" s="173"/>
      <c r="I257" s="184">
        <v>709</v>
      </c>
      <c r="J257" s="173"/>
      <c r="K257" s="184"/>
      <c r="L257" s="173"/>
      <c r="M257" s="185">
        <f>IFERROR(VLOOKUP(L257,'Material Master'!B:C,2,0),"")</f>
      </c>
      <c r="N257" s="184"/>
      <c r="O257" s="186">
        <f>IFERROR(M257*N257,"")</f>
      </c>
      <c r="P257" s="173"/>
      <c r="Q257" s="184"/>
      <c r="R257" s="187">
        <v>45809</v>
      </c>
      <c r="S257" s="173" t="s">
        <v>728</v>
      </c>
      <c r="T257" s="188"/>
      <c r="U257" s="184"/>
      <c r="V257" s="185">
        <v>31</v>
      </c>
      <c r="W257" s="189">
        <f>IFERROR(U257*V257,"0")</f>
      </c>
      <c r="X257" s="190"/>
      <c r="Y257" s="191">
        <f>IFERROR((O257/1000)*Masters!$C$3,"0")</f>
      </c>
      <c r="Z257" s="192"/>
      <c r="AA257" s="164">
        <f>IFERROR(VLOOKUP(L257,Masters!G:H,2,0),"0")</f>
      </c>
      <c r="AB257" s="166">
        <f>IFERROR(AA257*N257,"0")</f>
      </c>
      <c r="AC257" s="193"/>
      <c r="AD257" s="190"/>
      <c r="AE257" s="166">
        <f>W257+Y257+AB257+AD257</f>
      </c>
      <c r="AF257" s="192"/>
      <c r="AG257" s="169">
        <f>M257&amp;"-"&amp;F257</f>
      </c>
      <c r="AH257" s="191">
        <f>IFERROR(VLOOKUP(AG257,Masters!N:O,2,0),"0")</f>
      </c>
      <c r="AI257" s="166">
        <f>AH257*N257</f>
      </c>
      <c r="AJ257" s="190"/>
      <c r="AK257" s="170">
        <f>AI257-AE257</f>
      </c>
      <c r="AL257" s="192"/>
      <c r="AM257" s="188"/>
      <c r="AN257" s="171">
        <f>IFERROR(U257/2,"0")</f>
      </c>
    </row>
    <row x14ac:dyDescent="0.25" r="258" customHeight="1" ht="18.75">
      <c r="A258" s="158">
        <f>A257+1</f>
      </c>
      <c r="B258" s="159">
        <v>45817</v>
      </c>
      <c r="C258" s="198" t="s">
        <v>730</v>
      </c>
      <c r="D258" s="159">
        <v>45817</v>
      </c>
      <c r="E258" s="198" t="s">
        <v>79</v>
      </c>
      <c r="F258" s="160" t="s">
        <v>32</v>
      </c>
      <c r="G258" s="147" t="s">
        <v>158</v>
      </c>
      <c r="H258" s="198" t="s">
        <v>302</v>
      </c>
      <c r="I258" s="158">
        <v>1109</v>
      </c>
      <c r="J258" s="147" t="s">
        <v>301</v>
      </c>
      <c r="K258" s="199">
        <v>235</v>
      </c>
      <c r="L258" s="198" t="s">
        <v>15</v>
      </c>
      <c r="M258" s="161">
        <f>IFERROR(VLOOKUP(L258,'Material Master'!B:C,2,0),"")</f>
      </c>
      <c r="N258" s="199">
        <v>30</v>
      </c>
      <c r="O258" s="162">
        <f>IFERROR(M258*N258,"")</f>
      </c>
      <c r="P258" s="198" t="s">
        <v>402</v>
      </c>
      <c r="Q258" s="158" t="s">
        <v>731</v>
      </c>
      <c r="R258" s="163">
        <v>45809</v>
      </c>
      <c r="S258" s="147"/>
      <c r="T258" s="6"/>
      <c r="U258" s="158">
        <v>420</v>
      </c>
      <c r="V258" s="164">
        <v>31</v>
      </c>
      <c r="W258" s="165">
        <f>IFERROR(U258*V258,"0")</f>
      </c>
      <c r="X258" s="7"/>
      <c r="Y258" s="166">
        <f>IFERROR((O258/1000)*Masters!$C$3,"0")</f>
      </c>
      <c r="Z258" s="195"/>
      <c r="AA258" s="164">
        <f>IFERROR(VLOOKUP(L258,Masters!G:H,2,0),"0")</f>
      </c>
      <c r="AB258" s="166">
        <f>IFERROR(AA258*N258,"0")</f>
      </c>
      <c r="AC258" s="196"/>
      <c r="AD258" s="7"/>
      <c r="AE258" s="166">
        <f>W258+Y258+AB258+AD258</f>
      </c>
      <c r="AF258" s="195"/>
      <c r="AG258" s="169">
        <f>M258&amp;"-"&amp;F258</f>
      </c>
      <c r="AH258" s="166">
        <f>IFERROR(VLOOKUP(AG258,Masters!N:O,2,0),"0")</f>
      </c>
      <c r="AI258" s="166">
        <f>AH258*N258</f>
      </c>
      <c r="AJ258" s="7"/>
      <c r="AK258" s="170">
        <f>AI258-AE258</f>
      </c>
      <c r="AL258" s="195"/>
      <c r="AM258" s="6"/>
      <c r="AN258" s="171">
        <f>IFERROR(U258/2,"0")</f>
      </c>
    </row>
    <row x14ac:dyDescent="0.25" r="259" customHeight="1" ht="18.75">
      <c r="A259" s="158">
        <f>A258+1</f>
      </c>
      <c r="B259" s="159">
        <v>45817</v>
      </c>
      <c r="C259" s="173" t="s">
        <v>732</v>
      </c>
      <c r="D259" s="159"/>
      <c r="E259" s="173" t="s">
        <v>237</v>
      </c>
      <c r="F259" s="173"/>
      <c r="G259" s="173" t="s">
        <v>238</v>
      </c>
      <c r="H259" s="173"/>
      <c r="I259" s="184">
        <v>709</v>
      </c>
      <c r="J259" s="173"/>
      <c r="K259" s="184"/>
      <c r="L259" s="173"/>
      <c r="M259" s="185">
        <f>IFERROR(VLOOKUP(L259,'Material Master'!B:C,2,0),"")</f>
      </c>
      <c r="N259" s="184"/>
      <c r="O259" s="186">
        <f>IFERROR(M259*N259,"")</f>
      </c>
      <c r="P259" s="173"/>
      <c r="Q259" s="184"/>
      <c r="R259" s="187">
        <v>45809</v>
      </c>
      <c r="S259" s="173" t="s">
        <v>728</v>
      </c>
      <c r="T259" s="188"/>
      <c r="U259" s="184"/>
      <c r="V259" s="185">
        <v>31</v>
      </c>
      <c r="W259" s="189">
        <f>IFERROR(U259*V259,"0")</f>
      </c>
      <c r="X259" s="190"/>
      <c r="Y259" s="191">
        <f>IFERROR((O259/1000)*Masters!$C$3,"0")</f>
      </c>
      <c r="Z259" s="192"/>
      <c r="AA259" s="164">
        <f>IFERROR(VLOOKUP(L259,Masters!G:H,2,0),"0")</f>
      </c>
      <c r="AB259" s="166">
        <f>IFERROR(AA259*N259,"0")</f>
      </c>
      <c r="AC259" s="193"/>
      <c r="AD259" s="190"/>
      <c r="AE259" s="166">
        <f>W259+Y259+AB259+AD259</f>
      </c>
      <c r="AF259" s="192"/>
      <c r="AG259" s="169">
        <f>M259&amp;"-"&amp;F259</f>
      </c>
      <c r="AH259" s="191">
        <f>IFERROR(VLOOKUP(AG259,Masters!N:O,2,0),"0")</f>
      </c>
      <c r="AI259" s="166">
        <f>AH259*N259</f>
      </c>
      <c r="AJ259" s="190"/>
      <c r="AK259" s="170">
        <f>AI259-AE259</f>
      </c>
      <c r="AL259" s="192"/>
      <c r="AM259" s="188"/>
      <c r="AN259" s="171">
        <f>IFERROR(U259/2,"0")</f>
      </c>
    </row>
    <row x14ac:dyDescent="0.25" r="260" customHeight="1" ht="18.75">
      <c r="A260" s="158">
        <f>A259+1</f>
      </c>
      <c r="B260" s="159">
        <v>45819</v>
      </c>
      <c r="C260" s="198" t="s">
        <v>733</v>
      </c>
      <c r="D260" s="159">
        <v>45819</v>
      </c>
      <c r="E260" s="198" t="s">
        <v>116</v>
      </c>
      <c r="F260" s="160" t="s">
        <v>32</v>
      </c>
      <c r="G260" s="147" t="s">
        <v>117</v>
      </c>
      <c r="H260" s="198" t="s">
        <v>303</v>
      </c>
      <c r="I260" s="158">
        <v>1109</v>
      </c>
      <c r="J260" s="147" t="s">
        <v>301</v>
      </c>
      <c r="K260" s="199">
        <v>238</v>
      </c>
      <c r="L260" s="198" t="s">
        <v>10</v>
      </c>
      <c r="M260" s="161">
        <f>IFERROR(VLOOKUP(L260,'Material Master'!B:C,2,0),"")</f>
      </c>
      <c r="N260" s="199">
        <v>300</v>
      </c>
      <c r="O260" s="162">
        <f>IFERROR(M260*N260,"")</f>
      </c>
      <c r="P260" s="198" t="s">
        <v>402</v>
      </c>
      <c r="Q260" s="158" t="s">
        <v>734</v>
      </c>
      <c r="R260" s="163">
        <v>45809</v>
      </c>
      <c r="S260" s="147"/>
      <c r="T260" s="6"/>
      <c r="U260" s="158">
        <v>360</v>
      </c>
      <c r="V260" s="164">
        <v>31</v>
      </c>
      <c r="W260" s="165">
        <f>IFERROR(U260*V260,"0")</f>
      </c>
      <c r="X260" s="7"/>
      <c r="Y260" s="166">
        <f>IFERROR((O260/1000)*Masters!$C$3,"0")</f>
      </c>
      <c r="Z260" s="195"/>
      <c r="AA260" s="164">
        <f>IFERROR(VLOOKUP(L260,Masters!G:H,2,0),"0")</f>
      </c>
      <c r="AB260" s="166">
        <f>IFERROR(AA260*N260,"0")</f>
      </c>
      <c r="AC260" s="196"/>
      <c r="AD260" s="7"/>
      <c r="AE260" s="166">
        <f>W260+Y260+AB260+AD260</f>
      </c>
      <c r="AF260" s="195"/>
      <c r="AG260" s="169">
        <f>M260&amp;"-"&amp;F260</f>
      </c>
      <c r="AH260" s="166">
        <f>IFERROR(VLOOKUP(AG260,Masters!N:O,2,0),"0")</f>
      </c>
      <c r="AI260" s="166">
        <f>AH260*N260</f>
      </c>
      <c r="AJ260" s="7"/>
      <c r="AK260" s="170">
        <f>AI260-AE260</f>
      </c>
      <c r="AL260" s="195"/>
      <c r="AM260" s="6"/>
      <c r="AN260" s="171">
        <f>IFERROR(U260/2,"0")</f>
      </c>
    </row>
    <row x14ac:dyDescent="0.25" r="261" customHeight="1" ht="18.75">
      <c r="A261" s="158">
        <f>A260+1</f>
      </c>
      <c r="B261" s="159">
        <v>45819</v>
      </c>
      <c r="C261" s="198" t="s">
        <v>735</v>
      </c>
      <c r="D261" s="159">
        <v>45820</v>
      </c>
      <c r="E261" s="198" t="s">
        <v>93</v>
      </c>
      <c r="F261" s="160" t="s">
        <v>231</v>
      </c>
      <c r="G261" s="147" t="s">
        <v>485</v>
      </c>
      <c r="H261" s="198" t="s">
        <v>304</v>
      </c>
      <c r="I261" s="158">
        <v>1109</v>
      </c>
      <c r="J261" s="147" t="s">
        <v>301</v>
      </c>
      <c r="K261" s="199">
        <v>239</v>
      </c>
      <c r="L261" s="198" t="s">
        <v>10</v>
      </c>
      <c r="M261" s="161">
        <f>IFERROR(VLOOKUP(L261,'Material Master'!B:C,2,0),"")</f>
      </c>
      <c r="N261" s="199">
        <v>300</v>
      </c>
      <c r="O261" s="162">
        <f>IFERROR(M261*N261,"")</f>
      </c>
      <c r="P261" s="198" t="s">
        <v>402</v>
      </c>
      <c r="Q261" s="158" t="s">
        <v>736</v>
      </c>
      <c r="R261" s="163">
        <v>45809</v>
      </c>
      <c r="S261" s="147"/>
      <c r="T261" s="6"/>
      <c r="U261" s="158">
        <v>189</v>
      </c>
      <c r="V261" s="164">
        <v>31</v>
      </c>
      <c r="W261" s="165">
        <f>IFERROR(U261*V261,"0")</f>
      </c>
      <c r="X261" s="7"/>
      <c r="Y261" s="166">
        <f>IFERROR((O261/1000)*Masters!$C$3,"0")</f>
      </c>
      <c r="Z261" s="195"/>
      <c r="AA261" s="164">
        <f>IFERROR(VLOOKUP(L261,Masters!G:H,2,0),"0")</f>
      </c>
      <c r="AB261" s="166">
        <f>IFERROR(AA261*N261,"0")</f>
      </c>
      <c r="AC261" s="196"/>
      <c r="AD261" s="7"/>
      <c r="AE261" s="166">
        <f>W261+Y261+AB261+AD261</f>
      </c>
      <c r="AF261" s="195"/>
      <c r="AG261" s="169">
        <f>M261&amp;"-"&amp;F261</f>
      </c>
      <c r="AH261" s="166">
        <f>IFERROR(VLOOKUP(AG261,Masters!N:O,2,0),"0")</f>
      </c>
      <c r="AI261" s="166">
        <f>AH261*N261</f>
      </c>
      <c r="AJ261" s="7"/>
      <c r="AK261" s="170">
        <f>AI261-AE261</f>
      </c>
      <c r="AL261" s="195"/>
      <c r="AM261" s="6"/>
      <c r="AN261" s="171">
        <f>IFERROR(U261/2,"0")</f>
      </c>
    </row>
    <row x14ac:dyDescent="0.25" r="262" customHeight="1" ht="18.75">
      <c r="A262" s="158">
        <f>A261+1</f>
      </c>
      <c r="B262" s="159">
        <v>45820</v>
      </c>
      <c r="C262" s="198" t="s">
        <v>737</v>
      </c>
      <c r="D262" s="159">
        <v>45820</v>
      </c>
      <c r="E262" s="198" t="s">
        <v>173</v>
      </c>
      <c r="F262" s="160" t="s">
        <v>231</v>
      </c>
      <c r="G262" s="147" t="s">
        <v>230</v>
      </c>
      <c r="H262" s="198" t="s">
        <v>302</v>
      </c>
      <c r="I262" s="158">
        <v>1109</v>
      </c>
      <c r="J262" s="147" t="s">
        <v>301</v>
      </c>
      <c r="K262" s="199">
        <v>240</v>
      </c>
      <c r="L262" s="198" t="s">
        <v>10</v>
      </c>
      <c r="M262" s="161">
        <f>IFERROR(VLOOKUP(L262,'Material Master'!B:C,2,0),"")</f>
      </c>
      <c r="N262" s="199">
        <v>300</v>
      </c>
      <c r="O262" s="162">
        <f>IFERROR(M262*N262,"")</f>
      </c>
      <c r="P262" s="198" t="s">
        <v>402</v>
      </c>
      <c r="Q262" s="158" t="s">
        <v>738</v>
      </c>
      <c r="R262" s="163">
        <v>45809</v>
      </c>
      <c r="S262" s="147"/>
      <c r="T262" s="6"/>
      <c r="U262" s="158">
        <v>71</v>
      </c>
      <c r="V262" s="164">
        <v>31</v>
      </c>
      <c r="W262" s="165">
        <f>IFERROR(U262*V262,"0")</f>
      </c>
      <c r="X262" s="7"/>
      <c r="Y262" s="166">
        <f>IFERROR((O262/1000)*Masters!$C$3,"0")</f>
      </c>
      <c r="Z262" s="195"/>
      <c r="AA262" s="164">
        <f>IFERROR(VLOOKUP(L262,Masters!G:H,2,0),"0")</f>
      </c>
      <c r="AB262" s="166">
        <f>IFERROR(AA262*N262,"0")</f>
      </c>
      <c r="AC262" s="196"/>
      <c r="AD262" s="7"/>
      <c r="AE262" s="166">
        <f>W262+Y262+AB262+AD262</f>
      </c>
      <c r="AF262" s="195"/>
      <c r="AG262" s="169">
        <f>M262&amp;"-"&amp;F262</f>
      </c>
      <c r="AH262" s="166">
        <f>IFERROR(VLOOKUP(AG262,Masters!N:O,2,0),"0")</f>
      </c>
      <c r="AI262" s="166">
        <f>AH262*N262</f>
      </c>
      <c r="AJ262" s="7"/>
      <c r="AK262" s="170">
        <f>AI262-AE262</f>
      </c>
      <c r="AL262" s="195"/>
      <c r="AM262" s="6"/>
      <c r="AN262" s="171">
        <f>IFERROR(U262/2,"0")</f>
      </c>
    </row>
    <row x14ac:dyDescent="0.25" r="263" customHeight="1" ht="18.75">
      <c r="A263" s="158">
        <f>A262+1</f>
      </c>
      <c r="B263" s="159">
        <v>45820</v>
      </c>
      <c r="C263" s="198" t="s">
        <v>739</v>
      </c>
      <c r="D263" s="159">
        <v>45820</v>
      </c>
      <c r="E263" s="198" t="s">
        <v>84</v>
      </c>
      <c r="F263" s="160" t="s">
        <v>231</v>
      </c>
      <c r="G263" s="147" t="s">
        <v>123</v>
      </c>
      <c r="H263" s="198" t="s">
        <v>305</v>
      </c>
      <c r="I263" s="158">
        <v>909</v>
      </c>
      <c r="J263" s="147" t="s">
        <v>301</v>
      </c>
      <c r="K263" s="199">
        <v>241</v>
      </c>
      <c r="L263" s="198" t="s">
        <v>10</v>
      </c>
      <c r="M263" s="161">
        <f>IFERROR(VLOOKUP(L263,'Material Master'!B:C,2,0),"")</f>
      </c>
      <c r="N263" s="199">
        <v>200</v>
      </c>
      <c r="O263" s="162">
        <f>IFERROR(M263*N263,"")</f>
      </c>
      <c r="P263" s="198" t="s">
        <v>402</v>
      </c>
      <c r="Q263" s="158" t="s">
        <v>740</v>
      </c>
      <c r="R263" s="163">
        <v>45809</v>
      </c>
      <c r="S263" s="147"/>
      <c r="T263" s="6"/>
      <c r="U263" s="158">
        <v>109</v>
      </c>
      <c r="V263" s="164">
        <v>31</v>
      </c>
      <c r="W263" s="165">
        <f>IFERROR(U263*V263,"0")</f>
      </c>
      <c r="X263" s="7"/>
      <c r="Y263" s="166">
        <f>IFERROR((O263/1000)*Masters!$C$3,"0")</f>
      </c>
      <c r="Z263" s="195"/>
      <c r="AA263" s="164">
        <f>IFERROR(VLOOKUP(L263,Masters!G:H,2,0),"0")</f>
      </c>
      <c r="AB263" s="166">
        <f>IFERROR(AA263*N263,"0")</f>
      </c>
      <c r="AC263" s="196"/>
      <c r="AD263" s="7"/>
      <c r="AE263" s="166">
        <f>W263+Y263+AB263+AD263</f>
      </c>
      <c r="AF263" s="195"/>
      <c r="AG263" s="169">
        <f>M263&amp;"-"&amp;F263</f>
      </c>
      <c r="AH263" s="166">
        <f>IFERROR(VLOOKUP(AG263,Masters!N:O,2,0),"0")</f>
      </c>
      <c r="AI263" s="166">
        <f>AH263*N263</f>
      </c>
      <c r="AJ263" s="7"/>
      <c r="AK263" s="170">
        <f>AI263-AE263</f>
      </c>
      <c r="AL263" s="195"/>
      <c r="AM263" s="6"/>
      <c r="AN263" s="171">
        <f>IFERROR(U263/2,"0")</f>
      </c>
    </row>
    <row x14ac:dyDescent="0.25" r="264" customHeight="1" ht="18.75">
      <c r="A264" s="158">
        <f>A263+1</f>
      </c>
      <c r="B264" s="159">
        <v>45820</v>
      </c>
      <c r="C264" s="198" t="s">
        <v>741</v>
      </c>
      <c r="D264" s="159">
        <v>45821</v>
      </c>
      <c r="E264" s="198" t="s">
        <v>239</v>
      </c>
      <c r="F264" s="160" t="s">
        <v>236</v>
      </c>
      <c r="G264" s="147" t="s">
        <v>240</v>
      </c>
      <c r="H264" s="198" t="s">
        <v>304</v>
      </c>
      <c r="I264" s="158">
        <v>1109</v>
      </c>
      <c r="J264" s="147" t="s">
        <v>301</v>
      </c>
      <c r="K264" s="199">
        <v>242</v>
      </c>
      <c r="L264" s="198" t="s">
        <v>10</v>
      </c>
      <c r="M264" s="161">
        <f>IFERROR(VLOOKUP(L264,'Material Master'!B:C,2,0),"")</f>
      </c>
      <c r="N264" s="199">
        <v>300</v>
      </c>
      <c r="O264" s="162">
        <f>IFERROR(M264*N264,"")</f>
      </c>
      <c r="P264" s="198" t="s">
        <v>402</v>
      </c>
      <c r="Q264" s="158" t="s">
        <v>742</v>
      </c>
      <c r="R264" s="163">
        <v>45809</v>
      </c>
      <c r="S264" s="147"/>
      <c r="T264" s="6"/>
      <c r="U264" s="158">
        <v>744</v>
      </c>
      <c r="V264" s="164">
        <v>31</v>
      </c>
      <c r="W264" s="165">
        <f>IFERROR(U264*V264,"0")</f>
      </c>
      <c r="X264" s="7"/>
      <c r="Y264" s="166">
        <f>IFERROR((O264/1000)*Masters!$C$3,"0")</f>
      </c>
      <c r="Z264" s="195"/>
      <c r="AA264" s="164">
        <f>IFERROR(VLOOKUP(L264,Masters!G:H,2,0),"0")</f>
      </c>
      <c r="AB264" s="166">
        <f>IFERROR(AA264*N264,"0")</f>
      </c>
      <c r="AC264" s="196"/>
      <c r="AD264" s="7"/>
      <c r="AE264" s="166">
        <f>W264+Y264+AB264+AD264</f>
      </c>
      <c r="AF264" s="195"/>
      <c r="AG264" s="169">
        <f>M264&amp;"-"&amp;F264</f>
      </c>
      <c r="AH264" s="166">
        <f>IFERROR(VLOOKUP(AG264,Masters!N:O,2,0),"0")</f>
      </c>
      <c r="AI264" s="166">
        <f>AH264*N264</f>
      </c>
      <c r="AJ264" s="7"/>
      <c r="AK264" s="170">
        <f>AI264-AE264</f>
      </c>
      <c r="AL264" s="195"/>
      <c r="AM264" s="6"/>
      <c r="AN264" s="171">
        <f>IFERROR(U264/2,"0")</f>
      </c>
    </row>
    <row x14ac:dyDescent="0.25" r="265" customHeight="1" ht="18.75">
      <c r="A265" s="158">
        <f>A264+1</f>
      </c>
      <c r="B265" s="159">
        <v>45821</v>
      </c>
      <c r="C265" s="198" t="s">
        <v>743</v>
      </c>
      <c r="D265" s="159">
        <v>45822</v>
      </c>
      <c r="E265" s="198" t="s">
        <v>152</v>
      </c>
      <c r="F265" s="160" t="s">
        <v>32</v>
      </c>
      <c r="G265" s="147" t="s">
        <v>248</v>
      </c>
      <c r="H265" s="198" t="s">
        <v>302</v>
      </c>
      <c r="I265" s="158">
        <v>1109</v>
      </c>
      <c r="J265" s="147" t="s">
        <v>301</v>
      </c>
      <c r="K265" s="199">
        <v>246</v>
      </c>
      <c r="L265" s="198" t="s">
        <v>10</v>
      </c>
      <c r="M265" s="161">
        <f>IFERROR(VLOOKUP(L265,'Material Master'!B:C,2,0),"")</f>
      </c>
      <c r="N265" s="199">
        <v>300</v>
      </c>
      <c r="O265" s="162">
        <f>IFERROR(M265*N265,"")</f>
      </c>
      <c r="P265" s="198" t="s">
        <v>402</v>
      </c>
      <c r="Q265" s="158" t="s">
        <v>744</v>
      </c>
      <c r="R265" s="163">
        <v>45809</v>
      </c>
      <c r="S265" s="147"/>
      <c r="T265" s="6"/>
      <c r="U265" s="158">
        <v>447</v>
      </c>
      <c r="V265" s="164">
        <v>31</v>
      </c>
      <c r="W265" s="165">
        <f>IFERROR(U265*V265,"0")</f>
      </c>
      <c r="X265" s="7"/>
      <c r="Y265" s="166">
        <f>IFERROR((O265/1000)*Masters!$C$3,"0")</f>
      </c>
      <c r="Z265" s="195"/>
      <c r="AA265" s="164">
        <f>IFERROR(VLOOKUP(L265,Masters!G:H,2,0),"0")</f>
      </c>
      <c r="AB265" s="166">
        <f>IFERROR(AA265*N265,"0")</f>
      </c>
      <c r="AC265" s="196"/>
      <c r="AD265" s="7"/>
      <c r="AE265" s="166">
        <f>W265+Y265+AB265+AD265</f>
      </c>
      <c r="AF265" s="195"/>
      <c r="AG265" s="169">
        <f>M265&amp;"-"&amp;F265</f>
      </c>
      <c r="AH265" s="166">
        <f>IFERROR(VLOOKUP(AG265,Masters!N:O,2,0),"0")</f>
      </c>
      <c r="AI265" s="166">
        <f>AH265*N265</f>
      </c>
      <c r="AJ265" s="7"/>
      <c r="AK265" s="170">
        <f>AI265-AE265</f>
      </c>
      <c r="AL265" s="195"/>
      <c r="AM265" s="6"/>
      <c r="AN265" s="171">
        <f>IFERROR(U265/2,"0")</f>
      </c>
    </row>
    <row x14ac:dyDescent="0.25" r="266" customHeight="1" ht="18.75">
      <c r="A266" s="158">
        <f>A265+1</f>
      </c>
      <c r="B266" s="159">
        <v>45821</v>
      </c>
      <c r="C266" s="198" t="s">
        <v>745</v>
      </c>
      <c r="D266" s="159">
        <v>45821</v>
      </c>
      <c r="E266" s="198" t="s">
        <v>148</v>
      </c>
      <c r="F266" s="160" t="s">
        <v>32</v>
      </c>
      <c r="G266" s="147" t="s">
        <v>149</v>
      </c>
      <c r="H266" s="198" t="s">
        <v>303</v>
      </c>
      <c r="I266" s="158">
        <v>1109</v>
      </c>
      <c r="J266" s="147" t="s">
        <v>301</v>
      </c>
      <c r="K266" s="199">
        <v>243</v>
      </c>
      <c r="L266" s="198" t="s">
        <v>10</v>
      </c>
      <c r="M266" s="161">
        <f>IFERROR(VLOOKUP(L266,'Material Master'!B:C,2,0),"")</f>
      </c>
      <c r="N266" s="199">
        <v>300</v>
      </c>
      <c r="O266" s="162">
        <f>IFERROR(M266*N266,"")</f>
      </c>
      <c r="P266" s="198" t="s">
        <v>402</v>
      </c>
      <c r="Q266" s="158" t="s">
        <v>746</v>
      </c>
      <c r="R266" s="163">
        <v>45809</v>
      </c>
      <c r="S266" s="147"/>
      <c r="T266" s="6"/>
      <c r="U266" s="158">
        <v>321</v>
      </c>
      <c r="V266" s="164">
        <v>31</v>
      </c>
      <c r="W266" s="165">
        <f>IFERROR(U266*V266,"0")</f>
      </c>
      <c r="X266" s="7"/>
      <c r="Y266" s="166">
        <f>IFERROR((O266/1000)*Masters!$C$3,"0")</f>
      </c>
      <c r="Z266" s="195"/>
      <c r="AA266" s="164">
        <f>IFERROR(VLOOKUP(L266,Masters!G:H,2,0),"0")</f>
      </c>
      <c r="AB266" s="166">
        <f>IFERROR(AA266*N266,"0")</f>
      </c>
      <c r="AC266" s="196"/>
      <c r="AD266" s="7"/>
      <c r="AE266" s="166">
        <f>W266+Y266+AB266+AD266</f>
      </c>
      <c r="AF266" s="195"/>
      <c r="AG266" s="169">
        <f>M266&amp;"-"&amp;F266</f>
      </c>
      <c r="AH266" s="166">
        <f>IFERROR(VLOOKUP(AG266,Masters!N:O,2,0),"0")</f>
      </c>
      <c r="AI266" s="166">
        <f>AH266*N266</f>
      </c>
      <c r="AJ266" s="7"/>
      <c r="AK266" s="170">
        <f>AI266-AE266</f>
      </c>
      <c r="AL266" s="195"/>
      <c r="AM266" s="6"/>
      <c r="AN266" s="171">
        <f>IFERROR(U266/2,"0")</f>
      </c>
    </row>
    <row x14ac:dyDescent="0.25" r="267" customHeight="1" ht="18.75">
      <c r="A267" s="158">
        <f>A266+1</f>
      </c>
      <c r="B267" s="159">
        <v>45821</v>
      </c>
      <c r="C267" s="198" t="s">
        <v>747</v>
      </c>
      <c r="D267" s="159">
        <v>45821</v>
      </c>
      <c r="E267" s="198" t="s">
        <v>148</v>
      </c>
      <c r="F267" s="160" t="s">
        <v>231</v>
      </c>
      <c r="G267" s="147" t="s">
        <v>203</v>
      </c>
      <c r="H267" s="198" t="s">
        <v>305</v>
      </c>
      <c r="I267" s="158">
        <v>1109</v>
      </c>
      <c r="J267" s="147" t="s">
        <v>301</v>
      </c>
      <c r="K267" s="199">
        <v>244</v>
      </c>
      <c r="L267" s="198" t="s">
        <v>10</v>
      </c>
      <c r="M267" s="161">
        <f>IFERROR(VLOOKUP(L267,'Material Master'!B:C,2,0),"")</f>
      </c>
      <c r="N267" s="199">
        <v>300</v>
      </c>
      <c r="O267" s="162">
        <f>IFERROR(M267*N267,"")</f>
      </c>
      <c r="P267" s="198" t="s">
        <v>402</v>
      </c>
      <c r="Q267" s="158" t="s">
        <v>748</v>
      </c>
      <c r="R267" s="163">
        <v>45809</v>
      </c>
      <c r="S267" s="147"/>
      <c r="T267" s="6"/>
      <c r="U267" s="158">
        <v>130</v>
      </c>
      <c r="V267" s="164">
        <v>31</v>
      </c>
      <c r="W267" s="165">
        <f>IFERROR(U267*V267,"0")</f>
      </c>
      <c r="X267" s="7"/>
      <c r="Y267" s="166">
        <f>IFERROR((O267/1000)*Masters!$C$3,"0")</f>
      </c>
      <c r="Z267" s="195"/>
      <c r="AA267" s="164">
        <f>IFERROR(VLOOKUP(L267,Masters!G:H,2,0),"0")</f>
      </c>
      <c r="AB267" s="166">
        <f>IFERROR(AA267*N267,"0")</f>
      </c>
      <c r="AC267" s="196"/>
      <c r="AD267" s="7"/>
      <c r="AE267" s="166">
        <f>W267+Y267+AB267+AD267</f>
      </c>
      <c r="AF267" s="195"/>
      <c r="AG267" s="169">
        <f>M267&amp;"-"&amp;F267</f>
      </c>
      <c r="AH267" s="166">
        <f>IFERROR(VLOOKUP(AG267,Masters!N:O,2,0),"0")</f>
      </c>
      <c r="AI267" s="166">
        <f>AH267*N267</f>
      </c>
      <c r="AJ267" s="7"/>
      <c r="AK267" s="170">
        <f>AI267-AE267</f>
      </c>
      <c r="AL267" s="195"/>
      <c r="AM267" s="6"/>
      <c r="AN267" s="171">
        <f>IFERROR(U267/2,"0")</f>
      </c>
    </row>
    <row x14ac:dyDescent="0.25" r="268" customHeight="1" ht="18.75">
      <c r="A268" s="158">
        <f>A267+1</f>
      </c>
      <c r="B268" s="159">
        <v>45821</v>
      </c>
      <c r="C268" s="198" t="s">
        <v>749</v>
      </c>
      <c r="D268" s="159">
        <v>45822</v>
      </c>
      <c r="E268" s="198" t="s">
        <v>162</v>
      </c>
      <c r="F268" s="160" t="s">
        <v>231</v>
      </c>
      <c r="G268" s="147" t="s">
        <v>80</v>
      </c>
      <c r="H268" s="198" t="s">
        <v>305</v>
      </c>
      <c r="I268" s="158">
        <v>1109</v>
      </c>
      <c r="J268" s="147" t="s">
        <v>301</v>
      </c>
      <c r="K268" s="199">
        <v>247</v>
      </c>
      <c r="L268" s="198" t="s">
        <v>10</v>
      </c>
      <c r="M268" s="161">
        <f>IFERROR(VLOOKUP(L268,'Material Master'!B:C,2,0),"")</f>
      </c>
      <c r="N268" s="199">
        <v>300</v>
      </c>
      <c r="O268" s="162">
        <f>IFERROR(M268*N268,"")</f>
      </c>
      <c r="P268" s="198" t="s">
        <v>402</v>
      </c>
      <c r="Q268" s="158" t="s">
        <v>750</v>
      </c>
      <c r="R268" s="163">
        <v>45809</v>
      </c>
      <c r="S268" s="147"/>
      <c r="T268" s="6"/>
      <c r="U268" s="158">
        <v>124</v>
      </c>
      <c r="V268" s="164">
        <v>31</v>
      </c>
      <c r="W268" s="165">
        <f>IFERROR(U268*V268,"0")</f>
      </c>
      <c r="X268" s="7"/>
      <c r="Y268" s="166">
        <f>IFERROR((O268/1000)*Masters!$C$3,"0")</f>
      </c>
      <c r="Z268" s="195"/>
      <c r="AA268" s="164">
        <f>IFERROR(VLOOKUP(L268,Masters!G:H,2,0),"0")</f>
      </c>
      <c r="AB268" s="166">
        <f>IFERROR(AA268*N268,"0")</f>
      </c>
      <c r="AC268" s="196"/>
      <c r="AD268" s="7"/>
      <c r="AE268" s="166">
        <f>W268+Y268+AB268+AD268</f>
      </c>
      <c r="AF268" s="195"/>
      <c r="AG268" s="169">
        <f>M268&amp;"-"&amp;F268</f>
      </c>
      <c r="AH268" s="166">
        <f>IFERROR(VLOOKUP(AG268,Masters!N:O,2,0),"0")</f>
      </c>
      <c r="AI268" s="166">
        <f>AH268*N268</f>
      </c>
      <c r="AJ268" s="7"/>
      <c r="AK268" s="170">
        <f>AI268-AE268</f>
      </c>
      <c r="AL268" s="195"/>
      <c r="AM268" s="6"/>
      <c r="AN268" s="171">
        <f>IFERROR(U268/2,"0")</f>
      </c>
    </row>
    <row x14ac:dyDescent="0.25" r="269" customHeight="1" ht="18.75">
      <c r="A269" s="158">
        <f>A268+1</f>
      </c>
      <c r="B269" s="159">
        <v>45821</v>
      </c>
      <c r="C269" s="198" t="s">
        <v>751</v>
      </c>
      <c r="D269" s="159">
        <v>45821</v>
      </c>
      <c r="E269" s="198" t="s">
        <v>79</v>
      </c>
      <c r="F269" s="160" t="s">
        <v>231</v>
      </c>
      <c r="G269" s="147" t="s">
        <v>80</v>
      </c>
      <c r="H269" s="198" t="s">
        <v>302</v>
      </c>
      <c r="I269" s="158">
        <v>1109</v>
      </c>
      <c r="J269" s="147" t="s">
        <v>301</v>
      </c>
      <c r="K269" s="199">
        <v>245</v>
      </c>
      <c r="L269" s="198" t="s">
        <v>15</v>
      </c>
      <c r="M269" s="161">
        <f>IFERROR(VLOOKUP(L269,'Material Master'!B:C,2,0),"")</f>
      </c>
      <c r="N269" s="199">
        <v>30</v>
      </c>
      <c r="O269" s="162">
        <f>IFERROR(M269*N269,"")</f>
      </c>
      <c r="P269" s="198" t="s">
        <v>402</v>
      </c>
      <c r="Q269" s="158" t="s">
        <v>752</v>
      </c>
      <c r="R269" s="163">
        <v>45809</v>
      </c>
      <c r="S269" s="147"/>
      <c r="T269" s="6"/>
      <c r="U269" s="158">
        <v>156</v>
      </c>
      <c r="V269" s="164">
        <v>31</v>
      </c>
      <c r="W269" s="165">
        <f>IFERROR(U269*V269,"0")</f>
      </c>
      <c r="X269" s="7"/>
      <c r="Y269" s="166">
        <f>IFERROR((O269/1000)*Masters!$C$3,"0")</f>
      </c>
      <c r="Z269" s="195"/>
      <c r="AA269" s="164">
        <f>IFERROR(VLOOKUP(L269,Masters!G:H,2,0),"0")</f>
      </c>
      <c r="AB269" s="166">
        <f>IFERROR(AA269*N269,"0")</f>
      </c>
      <c r="AC269" s="196"/>
      <c r="AD269" s="7"/>
      <c r="AE269" s="166">
        <f>W269+Y269+AB269+AD269</f>
      </c>
      <c r="AF269" s="195"/>
      <c r="AG269" s="169">
        <f>M269&amp;"-"&amp;F269</f>
      </c>
      <c r="AH269" s="166">
        <f>IFERROR(VLOOKUP(AG269,Masters!N:O,2,0),"0")</f>
      </c>
      <c r="AI269" s="166">
        <f>AH269*N269</f>
      </c>
      <c r="AJ269" s="7"/>
      <c r="AK269" s="170">
        <f>AI269-AE269</f>
      </c>
      <c r="AL269" s="195"/>
      <c r="AM269" s="6"/>
      <c r="AN269" s="171">
        <f>IFERROR(U269/2,"0")</f>
      </c>
    </row>
    <row x14ac:dyDescent="0.25" r="270" customHeight="1" ht="18.75">
      <c r="A270" s="158">
        <f>A269+1</f>
      </c>
      <c r="B270" s="159">
        <v>45821</v>
      </c>
      <c r="C270" s="198" t="s">
        <v>753</v>
      </c>
      <c r="D270" s="159">
        <v>45822</v>
      </c>
      <c r="E270" s="198" t="s">
        <v>241</v>
      </c>
      <c r="F270" s="160" t="s">
        <v>231</v>
      </c>
      <c r="G270" s="147" t="s">
        <v>80</v>
      </c>
      <c r="H270" s="198" t="s">
        <v>303</v>
      </c>
      <c r="I270" s="158">
        <v>1109</v>
      </c>
      <c r="J270" s="147" t="s">
        <v>301</v>
      </c>
      <c r="K270" s="199">
        <v>248</v>
      </c>
      <c r="L270" s="198" t="s">
        <v>10</v>
      </c>
      <c r="M270" s="161">
        <f>IFERROR(VLOOKUP(L270,'Material Master'!B:C,2,0),"")</f>
      </c>
      <c r="N270" s="199">
        <v>300</v>
      </c>
      <c r="O270" s="162">
        <f>IFERROR(M270*N270,"")</f>
      </c>
      <c r="P270" s="198" t="s">
        <v>402</v>
      </c>
      <c r="Q270" s="158" t="s">
        <v>754</v>
      </c>
      <c r="R270" s="163">
        <v>45809</v>
      </c>
      <c r="S270" s="147"/>
      <c r="T270" s="6"/>
      <c r="U270" s="158">
        <v>139</v>
      </c>
      <c r="V270" s="164">
        <v>31</v>
      </c>
      <c r="W270" s="165">
        <f>IFERROR(U270*V270,"0")</f>
      </c>
      <c r="X270" s="7"/>
      <c r="Y270" s="166">
        <f>IFERROR((O270/1000)*Masters!$C$3,"0")</f>
      </c>
      <c r="Z270" s="195"/>
      <c r="AA270" s="164">
        <f>IFERROR(VLOOKUP(L270,Masters!G:H,2,0),"0")</f>
      </c>
      <c r="AB270" s="166">
        <f>IFERROR(AA270*N270,"0")</f>
      </c>
      <c r="AC270" s="196"/>
      <c r="AD270" s="7"/>
      <c r="AE270" s="166">
        <f>W270+Y270+AB270+AD270</f>
      </c>
      <c r="AF270" s="195"/>
      <c r="AG270" s="169">
        <f>M270&amp;"-"&amp;F270</f>
      </c>
      <c r="AH270" s="166">
        <f>IFERROR(VLOOKUP(AG270,Masters!N:O,2,0),"0")</f>
      </c>
      <c r="AI270" s="166">
        <f>AH270*N270</f>
      </c>
      <c r="AJ270" s="7"/>
      <c r="AK270" s="170">
        <f>AI270-AE270</f>
      </c>
      <c r="AL270" s="195"/>
      <c r="AM270" s="6"/>
      <c r="AN270" s="171">
        <f>IFERROR(U270/2,"0")</f>
      </c>
    </row>
    <row x14ac:dyDescent="0.25" r="271" customHeight="1" ht="18.75">
      <c r="A271" s="158">
        <f>A270+1</f>
      </c>
      <c r="B271" s="159">
        <v>45822</v>
      </c>
      <c r="C271" s="198" t="s">
        <v>755</v>
      </c>
      <c r="D271" s="159">
        <v>45822</v>
      </c>
      <c r="E271" s="198" t="s">
        <v>159</v>
      </c>
      <c r="F271" s="147" t="s">
        <v>32</v>
      </c>
      <c r="G271" s="147" t="s">
        <v>361</v>
      </c>
      <c r="H271" s="198" t="s">
        <v>317</v>
      </c>
      <c r="I271" s="158">
        <v>2515</v>
      </c>
      <c r="J271" s="147" t="s">
        <v>306</v>
      </c>
      <c r="K271" s="199">
        <v>249</v>
      </c>
      <c r="L271" s="198" t="s">
        <v>10</v>
      </c>
      <c r="M271" s="161">
        <f>IFERROR(VLOOKUP(L271,'Material Master'!B:C,2,0),"")</f>
      </c>
      <c r="N271" s="199">
        <v>600</v>
      </c>
      <c r="O271" s="162">
        <f>IFERROR(M271*N271,"")</f>
      </c>
      <c r="P271" s="198" t="s">
        <v>402</v>
      </c>
      <c r="Q271" s="158" t="s">
        <v>756</v>
      </c>
      <c r="R271" s="163">
        <v>45809</v>
      </c>
      <c r="S271" s="147" t="s">
        <v>306</v>
      </c>
      <c r="T271" s="6"/>
      <c r="U271" s="158">
        <v>0</v>
      </c>
      <c r="V271" s="164">
        <v>31</v>
      </c>
      <c r="W271" s="165">
        <v>13000</v>
      </c>
      <c r="X271" s="7"/>
      <c r="Y271" s="166">
        <f>IFERROR((O271/1000)*Masters!$C$3,"0")</f>
      </c>
      <c r="Z271" s="195"/>
      <c r="AA271" s="164">
        <f>IFERROR(VLOOKUP(L271,Masters!G:H,2,0),"0")</f>
      </c>
      <c r="AB271" s="166">
        <f>IFERROR(AA271*N271,"0")</f>
      </c>
      <c r="AC271" s="196"/>
      <c r="AD271" s="8">
        <v>3900</v>
      </c>
      <c r="AE271" s="166">
        <f>W271+Y271+AB271+AD271</f>
      </c>
      <c r="AF271" s="195"/>
      <c r="AG271" s="169">
        <f>M271&amp;"-"&amp;F271</f>
      </c>
      <c r="AH271" s="166">
        <f>IFERROR(VLOOKUP(AG271,Masters!N:O,2,0),"0")</f>
      </c>
      <c r="AI271" s="166">
        <f>AH271*N271</f>
      </c>
      <c r="AJ271" s="7"/>
      <c r="AK271" s="170">
        <f>AI271-AE271</f>
      </c>
      <c r="AL271" s="195"/>
      <c r="AM271" s="6"/>
      <c r="AN271" s="171">
        <f>IFERROR(U271/2,"0")</f>
      </c>
    </row>
    <row x14ac:dyDescent="0.25" r="272" customHeight="1" ht="18.75">
      <c r="A272" s="158">
        <f>A271+1</f>
      </c>
      <c r="B272" s="159">
        <v>45822</v>
      </c>
      <c r="C272" s="198" t="s">
        <v>757</v>
      </c>
      <c r="D272" s="159">
        <v>45822</v>
      </c>
      <c r="E272" s="198" t="s">
        <v>97</v>
      </c>
      <c r="F272" s="160" t="s">
        <v>32</v>
      </c>
      <c r="G272" s="147" t="s">
        <v>149</v>
      </c>
      <c r="H272" s="198" t="s">
        <v>305</v>
      </c>
      <c r="I272" s="158">
        <v>1109</v>
      </c>
      <c r="J272" s="147" t="s">
        <v>301</v>
      </c>
      <c r="K272" s="199">
        <v>250</v>
      </c>
      <c r="L272" s="198" t="s">
        <v>10</v>
      </c>
      <c r="M272" s="161">
        <f>IFERROR(VLOOKUP(L272,'Material Master'!B:C,2,0),"")</f>
      </c>
      <c r="N272" s="199">
        <v>300</v>
      </c>
      <c r="O272" s="162">
        <f>IFERROR(M272*N272,"")</f>
      </c>
      <c r="P272" s="198" t="s">
        <v>402</v>
      </c>
      <c r="Q272" s="158" t="s">
        <v>758</v>
      </c>
      <c r="R272" s="163">
        <v>45809</v>
      </c>
      <c r="S272" s="147"/>
      <c r="T272" s="6"/>
      <c r="U272" s="158">
        <v>313</v>
      </c>
      <c r="V272" s="164">
        <v>31</v>
      </c>
      <c r="W272" s="165">
        <f>IFERROR(U272*V272,"0")</f>
      </c>
      <c r="X272" s="7"/>
      <c r="Y272" s="166">
        <f>IFERROR((O272/1000)*Masters!$C$3,"0")</f>
      </c>
      <c r="Z272" s="195"/>
      <c r="AA272" s="164">
        <f>IFERROR(VLOOKUP(L272,Masters!G:H,2,0),"0")</f>
      </c>
      <c r="AB272" s="166">
        <f>IFERROR(AA272*N272,"0")</f>
      </c>
      <c r="AC272" s="196"/>
      <c r="AD272" s="7"/>
      <c r="AE272" s="166">
        <f>W272+Y272+AB272+AD272</f>
      </c>
      <c r="AF272" s="195"/>
      <c r="AG272" s="169">
        <f>M272&amp;"-"&amp;F272</f>
      </c>
      <c r="AH272" s="166">
        <f>IFERROR(VLOOKUP(AG272,Masters!N:O,2,0),"0")</f>
      </c>
      <c r="AI272" s="166">
        <f>AH272*N272</f>
      </c>
      <c r="AJ272" s="7"/>
      <c r="AK272" s="170">
        <f>AI272-AE272</f>
      </c>
      <c r="AL272" s="195"/>
      <c r="AM272" s="6"/>
      <c r="AN272" s="171">
        <f>IFERROR(U272/2,"0")</f>
      </c>
    </row>
    <row x14ac:dyDescent="0.25" r="273" customHeight="1" ht="18.75">
      <c r="A273" s="158">
        <f>A272+1</f>
      </c>
      <c r="B273" s="159">
        <v>45822</v>
      </c>
      <c r="C273" s="198" t="s">
        <v>759</v>
      </c>
      <c r="D273" s="159">
        <v>45824</v>
      </c>
      <c r="E273" s="198" t="s">
        <v>204</v>
      </c>
      <c r="F273" s="160" t="s">
        <v>231</v>
      </c>
      <c r="G273" s="147" t="s">
        <v>230</v>
      </c>
      <c r="H273" s="198" t="s">
        <v>303</v>
      </c>
      <c r="I273" s="158">
        <v>1109</v>
      </c>
      <c r="J273" s="147" t="s">
        <v>301</v>
      </c>
      <c r="K273" s="199">
        <v>252</v>
      </c>
      <c r="L273" s="198" t="s">
        <v>10</v>
      </c>
      <c r="M273" s="161">
        <f>IFERROR(VLOOKUP(L273,'Material Master'!B:C,2,0),"")</f>
      </c>
      <c r="N273" s="199">
        <v>300</v>
      </c>
      <c r="O273" s="162">
        <f>IFERROR(M273*N273,"")</f>
      </c>
      <c r="P273" s="198" t="s">
        <v>402</v>
      </c>
      <c r="Q273" s="158" t="s">
        <v>760</v>
      </c>
      <c r="R273" s="163">
        <v>45809</v>
      </c>
      <c r="S273" s="147"/>
      <c r="T273" s="6"/>
      <c r="U273" s="158">
        <v>70</v>
      </c>
      <c r="V273" s="164">
        <v>31</v>
      </c>
      <c r="W273" s="165">
        <f>IFERROR(U273*V273,"0")</f>
      </c>
      <c r="X273" s="7"/>
      <c r="Y273" s="166">
        <f>IFERROR((O273/1000)*Masters!$C$3,"0")</f>
      </c>
      <c r="Z273" s="195"/>
      <c r="AA273" s="164">
        <f>IFERROR(VLOOKUP(L273,Masters!G:H,2,0),"0")</f>
      </c>
      <c r="AB273" s="166">
        <f>IFERROR(AA273*N273,"0")</f>
      </c>
      <c r="AC273" s="196"/>
      <c r="AD273" s="7"/>
      <c r="AE273" s="166">
        <f>W273+Y273+AB273+AD273</f>
      </c>
      <c r="AF273" s="195"/>
      <c r="AG273" s="169">
        <f>M273&amp;"-"&amp;F273</f>
      </c>
      <c r="AH273" s="166">
        <f>IFERROR(VLOOKUP(AG273,Masters!N:O,2,0),"0")</f>
      </c>
      <c r="AI273" s="166">
        <f>AH273*N273</f>
      </c>
      <c r="AJ273" s="7"/>
      <c r="AK273" s="170">
        <f>AI273-AE273</f>
      </c>
      <c r="AL273" s="195"/>
      <c r="AM273" s="6"/>
      <c r="AN273" s="171">
        <f>IFERROR(U273/2,"0")</f>
      </c>
    </row>
    <row x14ac:dyDescent="0.25" r="274" customHeight="1" ht="18.75">
      <c r="A274" s="158">
        <f>A273+1</f>
      </c>
      <c r="B274" s="159">
        <v>45822</v>
      </c>
      <c r="C274" s="198" t="s">
        <v>761</v>
      </c>
      <c r="D274" s="159">
        <v>45825</v>
      </c>
      <c r="E274" s="198" t="s">
        <v>75</v>
      </c>
      <c r="F274" s="160" t="s">
        <v>231</v>
      </c>
      <c r="G274" s="147" t="s">
        <v>242</v>
      </c>
      <c r="H274" s="198" t="s">
        <v>303</v>
      </c>
      <c r="I274" s="158">
        <v>1109</v>
      </c>
      <c r="J274" s="147" t="s">
        <v>301</v>
      </c>
      <c r="K274" s="199">
        <v>256</v>
      </c>
      <c r="L274" s="198" t="s">
        <v>10</v>
      </c>
      <c r="M274" s="161">
        <f>IFERROR(VLOOKUP(L274,'Material Master'!B:C,2,0),"")</f>
      </c>
      <c r="N274" s="199">
        <v>300</v>
      </c>
      <c r="O274" s="162">
        <f>IFERROR(M274*N274,"")</f>
      </c>
      <c r="P274" s="198" t="s">
        <v>402</v>
      </c>
      <c r="Q274" s="158" t="s">
        <v>762</v>
      </c>
      <c r="R274" s="163">
        <v>45809</v>
      </c>
      <c r="S274" s="147"/>
      <c r="T274" s="6"/>
      <c r="U274" s="158">
        <v>180</v>
      </c>
      <c r="V274" s="164">
        <v>31</v>
      </c>
      <c r="W274" s="165">
        <f>IFERROR(U274*V274,"0")</f>
      </c>
      <c r="X274" s="7"/>
      <c r="Y274" s="166">
        <f>IFERROR((O274/1000)*Masters!$C$3,"0")</f>
      </c>
      <c r="Z274" s="195"/>
      <c r="AA274" s="164">
        <f>IFERROR(VLOOKUP(L274,Masters!G:H,2,0),"0")</f>
      </c>
      <c r="AB274" s="166">
        <f>IFERROR(AA274*N274,"0")</f>
      </c>
      <c r="AC274" s="196"/>
      <c r="AD274" s="7"/>
      <c r="AE274" s="166">
        <f>W274+Y274+AB274+AD274</f>
      </c>
      <c r="AF274" s="195"/>
      <c r="AG274" s="169">
        <f>M274&amp;"-"&amp;F274</f>
      </c>
      <c r="AH274" s="166">
        <f>IFERROR(VLOOKUP(AG274,Masters!N:O,2,0),"0")</f>
      </c>
      <c r="AI274" s="166">
        <f>AH274*N274</f>
      </c>
      <c r="AJ274" s="7"/>
      <c r="AK274" s="170">
        <f>AI274-AE274</f>
      </c>
      <c r="AL274" s="195"/>
      <c r="AM274" s="6"/>
      <c r="AN274" s="171">
        <f>IFERROR(U274/2,"0")</f>
      </c>
    </row>
    <row x14ac:dyDescent="0.25" r="275" customHeight="1" ht="18.75">
      <c r="A275" s="158">
        <f>A274+1</f>
      </c>
      <c r="B275" s="159">
        <v>45822</v>
      </c>
      <c r="C275" s="198" t="s">
        <v>763</v>
      </c>
      <c r="D275" s="159">
        <v>45824</v>
      </c>
      <c r="E275" s="198" t="s">
        <v>95</v>
      </c>
      <c r="F275" s="160" t="s">
        <v>231</v>
      </c>
      <c r="G275" s="147" t="s">
        <v>658</v>
      </c>
      <c r="H275" s="198" t="s">
        <v>304</v>
      </c>
      <c r="I275" s="158">
        <v>1109</v>
      </c>
      <c r="J275" s="147" t="s">
        <v>301</v>
      </c>
      <c r="K275" s="199">
        <v>253</v>
      </c>
      <c r="L275" s="198" t="s">
        <v>15</v>
      </c>
      <c r="M275" s="161">
        <f>IFERROR(VLOOKUP(L275,'Material Master'!B:C,2,0),"")</f>
      </c>
      <c r="N275" s="199">
        <v>30</v>
      </c>
      <c r="O275" s="162">
        <f>IFERROR(M275*N275,"")</f>
      </c>
      <c r="P275" s="198" t="s">
        <v>402</v>
      </c>
      <c r="Q275" s="158" t="s">
        <v>764</v>
      </c>
      <c r="R275" s="163">
        <v>45809</v>
      </c>
      <c r="S275" s="147"/>
      <c r="T275" s="6"/>
      <c r="U275" s="158">
        <v>149</v>
      </c>
      <c r="V275" s="164">
        <v>31</v>
      </c>
      <c r="W275" s="165">
        <f>IFERROR(U275*V275,"0")</f>
      </c>
      <c r="X275" s="7"/>
      <c r="Y275" s="166">
        <f>IFERROR((O275/1000)*Masters!$C$3,"0")</f>
      </c>
      <c r="Z275" s="195"/>
      <c r="AA275" s="164">
        <f>IFERROR(VLOOKUP(L275,Masters!G:H,2,0),"0")</f>
      </c>
      <c r="AB275" s="166">
        <f>IFERROR(AA275*N275,"0")</f>
      </c>
      <c r="AC275" s="196"/>
      <c r="AD275" s="7"/>
      <c r="AE275" s="166">
        <f>W275+Y275+AB275+AD275</f>
      </c>
      <c r="AF275" s="195"/>
      <c r="AG275" s="169">
        <f>M275&amp;"-"&amp;F275</f>
      </c>
      <c r="AH275" s="166">
        <f>IFERROR(VLOOKUP(AG275,Masters!N:O,2,0),"0")</f>
      </c>
      <c r="AI275" s="166">
        <f>AH275*N275</f>
      </c>
      <c r="AJ275" s="7"/>
      <c r="AK275" s="170">
        <f>AI275-AE275</f>
      </c>
      <c r="AL275" s="195"/>
      <c r="AM275" s="6"/>
      <c r="AN275" s="171">
        <f>IFERROR(U275/2,"0")</f>
      </c>
    </row>
    <row x14ac:dyDescent="0.25" r="276" customHeight="1" ht="18.75">
      <c r="A276" s="158">
        <f>A275+1</f>
      </c>
      <c r="B276" s="159">
        <v>45822</v>
      </c>
      <c r="C276" s="198" t="s">
        <v>765</v>
      </c>
      <c r="D276" s="159">
        <v>45824</v>
      </c>
      <c r="E276" s="198" t="s">
        <v>84</v>
      </c>
      <c r="F276" s="160" t="s">
        <v>231</v>
      </c>
      <c r="G276" s="147" t="s">
        <v>530</v>
      </c>
      <c r="H276" s="198" t="s">
        <v>302</v>
      </c>
      <c r="I276" s="158">
        <v>909</v>
      </c>
      <c r="J276" s="147" t="s">
        <v>301</v>
      </c>
      <c r="K276" s="199">
        <v>254</v>
      </c>
      <c r="L276" s="198" t="s">
        <v>10</v>
      </c>
      <c r="M276" s="161">
        <f>IFERROR(VLOOKUP(L276,'Material Master'!B:C,2,0),"")</f>
      </c>
      <c r="N276" s="199">
        <v>200</v>
      </c>
      <c r="O276" s="162">
        <f>IFERROR(M276*N276,"")</f>
      </c>
      <c r="P276" s="198" t="s">
        <v>402</v>
      </c>
      <c r="Q276" s="158" t="s">
        <v>766</v>
      </c>
      <c r="R276" s="163">
        <v>45809</v>
      </c>
      <c r="S276" s="147"/>
      <c r="T276" s="6"/>
      <c r="U276" s="158">
        <v>198</v>
      </c>
      <c r="V276" s="164">
        <v>31</v>
      </c>
      <c r="W276" s="165">
        <f>IFERROR(U276*V276,"0")</f>
      </c>
      <c r="X276" s="7"/>
      <c r="Y276" s="166">
        <f>IFERROR((O276/1000)*Masters!$C$3,"0")</f>
      </c>
      <c r="Z276" s="195"/>
      <c r="AA276" s="164">
        <f>IFERROR(VLOOKUP(L276,Masters!G:H,2,0),"0")</f>
      </c>
      <c r="AB276" s="166">
        <f>IFERROR(AA276*N276,"0")</f>
      </c>
      <c r="AC276" s="196"/>
      <c r="AD276" s="7"/>
      <c r="AE276" s="166">
        <f>W276+Y276+AB276+AD276</f>
      </c>
      <c r="AF276" s="195"/>
      <c r="AG276" s="169">
        <f>M276&amp;"-"&amp;F276</f>
      </c>
      <c r="AH276" s="166">
        <f>IFERROR(VLOOKUP(AG276,Masters!N:O,2,0),"0")</f>
      </c>
      <c r="AI276" s="166">
        <f>AH276*N276</f>
      </c>
      <c r="AJ276" s="7"/>
      <c r="AK276" s="170">
        <f>AI276-AE276</f>
      </c>
      <c r="AL276" s="195"/>
      <c r="AM276" s="6"/>
      <c r="AN276" s="171">
        <f>IFERROR(U276/2,"0")</f>
      </c>
    </row>
    <row x14ac:dyDescent="0.25" r="277" customHeight="1" ht="18.75">
      <c r="A277" s="158">
        <f>A276+1</f>
      </c>
      <c r="B277" s="159">
        <v>45822</v>
      </c>
      <c r="C277" s="198" t="s">
        <v>767</v>
      </c>
      <c r="D277" s="159">
        <v>45825</v>
      </c>
      <c r="E277" s="198" t="s">
        <v>205</v>
      </c>
      <c r="F277" s="160" t="s">
        <v>32</v>
      </c>
      <c r="G277" s="147" t="s">
        <v>214</v>
      </c>
      <c r="H277" s="198" t="s">
        <v>302</v>
      </c>
      <c r="I277" s="158">
        <v>1109</v>
      </c>
      <c r="J277" s="147" t="s">
        <v>301</v>
      </c>
      <c r="K277" s="199">
        <v>258</v>
      </c>
      <c r="L277" s="198" t="s">
        <v>15</v>
      </c>
      <c r="M277" s="161">
        <f>IFERROR(VLOOKUP(L277,'Material Master'!B:C,2,0),"")</f>
      </c>
      <c r="N277" s="199">
        <v>25</v>
      </c>
      <c r="O277" s="162">
        <f>IFERROR(M277*N277,"")</f>
      </c>
      <c r="P277" s="198" t="s">
        <v>402</v>
      </c>
      <c r="Q277" s="158" t="s">
        <v>768</v>
      </c>
      <c r="R277" s="163">
        <v>45809</v>
      </c>
      <c r="S277" s="147"/>
      <c r="T277" s="6"/>
      <c r="U277" s="158">
        <v>408</v>
      </c>
      <c r="V277" s="164">
        <v>31</v>
      </c>
      <c r="W277" s="165">
        <f>IFERROR(U277*V277,"0")</f>
      </c>
      <c r="X277" s="7"/>
      <c r="Y277" s="166">
        <f>IFERROR((O277/1000)*Masters!$C$3,"0")</f>
      </c>
      <c r="Z277" s="195"/>
      <c r="AA277" s="164">
        <f>IFERROR(VLOOKUP(L277,Masters!G:H,2,0),"0")</f>
      </c>
      <c r="AB277" s="166">
        <f>IFERROR(AA277*N277,"0")</f>
      </c>
      <c r="AC277" s="196"/>
      <c r="AD277" s="7"/>
      <c r="AE277" s="166">
        <f>W277+Y277+AB277+AD277</f>
      </c>
      <c r="AF277" s="195"/>
      <c r="AG277" s="169">
        <f>M277&amp;"-"&amp;F277</f>
      </c>
      <c r="AH277" s="166">
        <f>IFERROR(VLOOKUP(AG277,Masters!N:O,2,0),"0")</f>
      </c>
      <c r="AI277" s="166">
        <f>AH277*N277</f>
      </c>
      <c r="AJ277" s="7"/>
      <c r="AK277" s="170">
        <f>AI277-AE277</f>
      </c>
      <c r="AL277" s="195"/>
      <c r="AM277" s="6"/>
      <c r="AN277" s="171">
        <f>IFERROR(U277/2,"0")</f>
      </c>
    </row>
    <row x14ac:dyDescent="0.25" r="278" customHeight="1" ht="18.75">
      <c r="A278" s="158">
        <f>A277+1</f>
      </c>
      <c r="B278" s="159">
        <v>45824</v>
      </c>
      <c r="C278" s="147" t="s">
        <v>648</v>
      </c>
      <c r="D278" s="159">
        <v>45825</v>
      </c>
      <c r="E278" s="198" t="s">
        <v>160</v>
      </c>
      <c r="F278" s="160" t="s">
        <v>32</v>
      </c>
      <c r="G278" s="147" t="s">
        <v>161</v>
      </c>
      <c r="H278" s="198" t="s">
        <v>304</v>
      </c>
      <c r="I278" s="158">
        <v>1109</v>
      </c>
      <c r="J278" s="147" t="s">
        <v>301</v>
      </c>
      <c r="K278" s="199">
        <v>257</v>
      </c>
      <c r="L278" s="198" t="s">
        <v>10</v>
      </c>
      <c r="M278" s="161">
        <f>IFERROR(VLOOKUP(L278,'Material Master'!B:C,2,0),"")</f>
      </c>
      <c r="N278" s="199">
        <v>300</v>
      </c>
      <c r="O278" s="162">
        <f>IFERROR(M278*N278,"")</f>
      </c>
      <c r="P278" s="198" t="s">
        <v>402</v>
      </c>
      <c r="Q278" s="158" t="s">
        <v>769</v>
      </c>
      <c r="R278" s="163">
        <v>45809</v>
      </c>
      <c r="S278" s="147"/>
      <c r="T278" s="6"/>
      <c r="U278" s="158">
        <v>347</v>
      </c>
      <c r="V278" s="164">
        <v>31</v>
      </c>
      <c r="W278" s="165">
        <f>IFERROR(U278*V278,"0")</f>
      </c>
      <c r="X278" s="7"/>
      <c r="Y278" s="166">
        <f>IFERROR((O278/1000)*Masters!$C$3,"0")</f>
      </c>
      <c r="Z278" s="195"/>
      <c r="AA278" s="164">
        <f>IFERROR(VLOOKUP(L278,Masters!G:H,2,0),"0")</f>
      </c>
      <c r="AB278" s="166">
        <f>IFERROR(AA278*N278,"0")</f>
      </c>
      <c r="AC278" s="196"/>
      <c r="AD278" s="7"/>
      <c r="AE278" s="166">
        <f>W278+Y278+AB278+AD278</f>
      </c>
      <c r="AF278" s="195"/>
      <c r="AG278" s="169">
        <f>M278&amp;"-"&amp;F278</f>
      </c>
      <c r="AH278" s="166">
        <f>IFERROR(VLOOKUP(AG278,Masters!N:O,2,0),"0")</f>
      </c>
      <c r="AI278" s="166">
        <f>AH278*N278</f>
      </c>
      <c r="AJ278" s="7"/>
      <c r="AK278" s="170">
        <f>AI278-AE278</f>
      </c>
      <c r="AL278" s="195"/>
      <c r="AM278" s="6"/>
      <c r="AN278" s="171">
        <f>IFERROR(U278/2,"0")</f>
      </c>
    </row>
    <row x14ac:dyDescent="0.25" r="279" customHeight="1" ht="18.75">
      <c r="A279" s="158">
        <f>A278+1</f>
      </c>
      <c r="B279" s="159">
        <v>45825</v>
      </c>
      <c r="C279" s="198" t="s">
        <v>770</v>
      </c>
      <c r="D279" s="159">
        <v>45826</v>
      </c>
      <c r="E279" s="198" t="s">
        <v>204</v>
      </c>
      <c r="F279" s="160" t="s">
        <v>231</v>
      </c>
      <c r="G279" s="147" t="s">
        <v>230</v>
      </c>
      <c r="H279" s="198" t="s">
        <v>303</v>
      </c>
      <c r="I279" s="158">
        <v>1109</v>
      </c>
      <c r="J279" s="147" t="s">
        <v>301</v>
      </c>
      <c r="K279" s="199">
        <v>261</v>
      </c>
      <c r="L279" s="198" t="s">
        <v>10</v>
      </c>
      <c r="M279" s="161">
        <f>IFERROR(VLOOKUP(L279,'Material Master'!B:C,2,0),"")</f>
      </c>
      <c r="N279" s="199">
        <v>300</v>
      </c>
      <c r="O279" s="162">
        <f>IFERROR(M279*N279,"")</f>
      </c>
      <c r="P279" s="198" t="s">
        <v>402</v>
      </c>
      <c r="Q279" s="158" t="s">
        <v>771</v>
      </c>
      <c r="R279" s="163">
        <v>45809</v>
      </c>
      <c r="S279" s="147"/>
      <c r="T279" s="6"/>
      <c r="U279" s="158">
        <v>90</v>
      </c>
      <c r="V279" s="164">
        <v>31</v>
      </c>
      <c r="W279" s="165">
        <f>IFERROR(U279*V279,"0")</f>
      </c>
      <c r="X279" s="7"/>
      <c r="Y279" s="166">
        <f>IFERROR((O279/1000)*Masters!$C$3,"0")</f>
      </c>
      <c r="Z279" s="195"/>
      <c r="AA279" s="164">
        <f>IFERROR(VLOOKUP(L279,Masters!G:H,2,0),"0")</f>
      </c>
      <c r="AB279" s="166">
        <f>IFERROR(AA279*N279,"0")</f>
      </c>
      <c r="AC279" s="196"/>
      <c r="AD279" s="7"/>
      <c r="AE279" s="166">
        <f>W279+Y279+AB279+AD279</f>
      </c>
      <c r="AF279" s="195"/>
      <c r="AG279" s="169">
        <f>M279&amp;"-"&amp;F279</f>
      </c>
      <c r="AH279" s="166">
        <f>IFERROR(VLOOKUP(AG279,Masters!N:O,2,0),"0")</f>
      </c>
      <c r="AI279" s="166">
        <f>AH279*N279</f>
      </c>
      <c r="AJ279" s="7"/>
      <c r="AK279" s="170">
        <f>AI279-AE279</f>
      </c>
      <c r="AL279" s="195"/>
      <c r="AM279" s="6"/>
      <c r="AN279" s="171">
        <f>IFERROR(U279/2,"0")</f>
      </c>
    </row>
    <row x14ac:dyDescent="0.25" r="280" customHeight="1" ht="18.75">
      <c r="A280" s="158">
        <f>A279+1</f>
      </c>
      <c r="B280" s="159">
        <v>45825</v>
      </c>
      <c r="C280" s="198" t="s">
        <v>772</v>
      </c>
      <c r="D280" s="159">
        <v>45826</v>
      </c>
      <c r="E280" s="198" t="s">
        <v>243</v>
      </c>
      <c r="F280" s="160" t="s">
        <v>231</v>
      </c>
      <c r="G280" s="147" t="s">
        <v>123</v>
      </c>
      <c r="H280" s="198" t="s">
        <v>304</v>
      </c>
      <c r="I280" s="158">
        <v>1109</v>
      </c>
      <c r="J280" s="147" t="s">
        <v>301</v>
      </c>
      <c r="K280" s="199">
        <v>260</v>
      </c>
      <c r="L280" s="198" t="s">
        <v>10</v>
      </c>
      <c r="M280" s="161">
        <f>IFERROR(VLOOKUP(L280,'Material Master'!B:C,2,0),"")</f>
      </c>
      <c r="N280" s="199">
        <v>300</v>
      </c>
      <c r="O280" s="162">
        <f>IFERROR(M280*N280,"")</f>
      </c>
      <c r="P280" s="198" t="s">
        <v>402</v>
      </c>
      <c r="Q280" s="158">
        <v>976294</v>
      </c>
      <c r="R280" s="163">
        <v>45809</v>
      </c>
      <c r="S280" s="147"/>
      <c r="T280" s="6"/>
      <c r="U280" s="158">
        <v>130</v>
      </c>
      <c r="V280" s="164">
        <v>31</v>
      </c>
      <c r="W280" s="165">
        <f>IFERROR(U280*V280,"0")</f>
      </c>
      <c r="X280" s="7"/>
      <c r="Y280" s="166">
        <f>IFERROR((O280/1000)*Masters!$C$3,"0")</f>
      </c>
      <c r="Z280" s="195"/>
      <c r="AA280" s="164">
        <f>IFERROR(VLOOKUP(L280,Masters!G:H,2,0),"0")</f>
      </c>
      <c r="AB280" s="166">
        <f>IFERROR(AA280*N280,"0")</f>
      </c>
      <c r="AC280" s="196"/>
      <c r="AD280" s="7"/>
      <c r="AE280" s="166">
        <f>W280+Y280+AB280+AD280</f>
      </c>
      <c r="AF280" s="195"/>
      <c r="AG280" s="169">
        <f>M280&amp;"-"&amp;F280</f>
      </c>
      <c r="AH280" s="166">
        <f>IFERROR(VLOOKUP(AG280,Masters!N:O,2,0),"0")</f>
      </c>
      <c r="AI280" s="166">
        <f>AH280*N280</f>
      </c>
      <c r="AJ280" s="7"/>
      <c r="AK280" s="170">
        <f>AI280-AE280</f>
      </c>
      <c r="AL280" s="195"/>
      <c r="AM280" s="6"/>
      <c r="AN280" s="171">
        <f>IFERROR(U280/2,"0")</f>
      </c>
    </row>
    <row x14ac:dyDescent="0.25" r="281" customHeight="1" ht="18.75">
      <c r="A281" s="158">
        <f>A280+1</f>
      </c>
      <c r="B281" s="159">
        <v>45825</v>
      </c>
      <c r="C281" s="173" t="s">
        <v>773</v>
      </c>
      <c r="D281" s="159"/>
      <c r="E281" s="173" t="s">
        <v>614</v>
      </c>
      <c r="F281" s="204"/>
      <c r="G281" s="173" t="s">
        <v>235</v>
      </c>
      <c r="H281" s="173"/>
      <c r="I281" s="184">
        <v>909</v>
      </c>
      <c r="J281" s="173"/>
      <c r="K281" s="184"/>
      <c r="L281" s="173"/>
      <c r="M281" s="185">
        <f>IFERROR(VLOOKUP(L281,'Material Master'!B:C,2,0),"")</f>
      </c>
      <c r="N281" s="184"/>
      <c r="O281" s="186">
        <f>IFERROR(M281*N281,"")</f>
      </c>
      <c r="P281" s="173"/>
      <c r="Q281" s="184"/>
      <c r="R281" s="187">
        <v>45809</v>
      </c>
      <c r="S281" s="173" t="s">
        <v>774</v>
      </c>
      <c r="T281" s="188"/>
      <c r="U281" s="184"/>
      <c r="V281" s="185">
        <v>31</v>
      </c>
      <c r="W281" s="189">
        <f>IFERROR(U281*V281,"0")</f>
      </c>
      <c r="X281" s="190"/>
      <c r="Y281" s="191">
        <f>IFERROR((O281/1000)*Masters!$C$3,"0")</f>
      </c>
      <c r="Z281" s="192"/>
      <c r="AA281" s="164">
        <f>IFERROR(VLOOKUP(L281,Masters!G:H,2,0),"0")</f>
      </c>
      <c r="AB281" s="166">
        <f>IFERROR(AA281*N281,"0")</f>
      </c>
      <c r="AC281" s="193"/>
      <c r="AD281" s="190"/>
      <c r="AE281" s="166">
        <f>W281+Y281+AB281+AD281</f>
      </c>
      <c r="AF281" s="192"/>
      <c r="AG281" s="169">
        <f>M281&amp;"-"&amp;F281</f>
      </c>
      <c r="AH281" s="191">
        <f>IFERROR(VLOOKUP(AG281,Masters!N:O,2,0),"0")</f>
      </c>
      <c r="AI281" s="166">
        <f>AH281*N281</f>
      </c>
      <c r="AJ281" s="190"/>
      <c r="AK281" s="170">
        <f>AI281-AE281</f>
      </c>
      <c r="AL281" s="192"/>
      <c r="AM281" s="188"/>
      <c r="AN281" s="171">
        <f>IFERROR(U281/2,"0")</f>
      </c>
    </row>
    <row x14ac:dyDescent="0.25" r="282" customHeight="1" ht="18.75">
      <c r="A282" s="158">
        <f>A281+1</f>
      </c>
      <c r="B282" s="159">
        <v>45826</v>
      </c>
      <c r="C282" s="198" t="s">
        <v>775</v>
      </c>
      <c r="D282" s="159">
        <v>45827</v>
      </c>
      <c r="E282" s="198" t="s">
        <v>184</v>
      </c>
      <c r="F282" s="160" t="s">
        <v>231</v>
      </c>
      <c r="G282" s="147" t="s">
        <v>111</v>
      </c>
      <c r="H282" s="198" t="s">
        <v>305</v>
      </c>
      <c r="I282" s="158">
        <v>709</v>
      </c>
      <c r="J282" s="147" t="s">
        <v>301</v>
      </c>
      <c r="K282" s="199">
        <v>263</v>
      </c>
      <c r="L282" s="198" t="s">
        <v>10</v>
      </c>
      <c r="M282" s="161">
        <f>IFERROR(VLOOKUP(L282,'Material Master'!B:C,2,0),"")</f>
      </c>
      <c r="N282" s="199">
        <v>100</v>
      </c>
      <c r="O282" s="162">
        <f>IFERROR(M282*N282,"")</f>
      </c>
      <c r="P282" s="198" t="s">
        <v>402</v>
      </c>
      <c r="Q282" s="158" t="s">
        <v>776</v>
      </c>
      <c r="R282" s="163">
        <v>45809</v>
      </c>
      <c r="S282" s="147"/>
      <c r="T282" s="6"/>
      <c r="U282" s="158">
        <v>31</v>
      </c>
      <c r="V282" s="164">
        <v>31</v>
      </c>
      <c r="W282" s="165">
        <f>IFERROR(U282*V282,"0")</f>
      </c>
      <c r="X282" s="7"/>
      <c r="Y282" s="166">
        <f>IFERROR((O282/1000)*Masters!$C$3,"0")</f>
      </c>
      <c r="Z282" s="195"/>
      <c r="AA282" s="164">
        <f>IFERROR(VLOOKUP(L282,Masters!G:H,2,0),"0")</f>
      </c>
      <c r="AB282" s="166">
        <f>IFERROR(AA282*N282,"0")</f>
      </c>
      <c r="AC282" s="196"/>
      <c r="AD282" s="7"/>
      <c r="AE282" s="166">
        <f>W282+Y282+AB282+AD282</f>
      </c>
      <c r="AF282" s="195"/>
      <c r="AG282" s="169">
        <f>M282&amp;"-"&amp;F282</f>
      </c>
      <c r="AH282" s="166">
        <f>IFERROR(VLOOKUP(AG282,Masters!N:O,2,0),"0")</f>
      </c>
      <c r="AI282" s="166">
        <f>AH282*N282</f>
      </c>
      <c r="AJ282" s="7"/>
      <c r="AK282" s="170">
        <f>AI282-AE282</f>
      </c>
      <c r="AL282" s="195"/>
      <c r="AM282" s="6"/>
      <c r="AN282" s="171">
        <f>IFERROR(U282/2,"0")</f>
      </c>
    </row>
    <row x14ac:dyDescent="0.25" r="283" customHeight="1" ht="18.75">
      <c r="A283" s="158">
        <f>A282+1</f>
      </c>
      <c r="B283" s="159">
        <v>45827</v>
      </c>
      <c r="C283" s="198" t="s">
        <v>777</v>
      </c>
      <c r="D283" s="159">
        <v>45827</v>
      </c>
      <c r="E283" s="198" t="s">
        <v>79</v>
      </c>
      <c r="F283" s="160" t="s">
        <v>32</v>
      </c>
      <c r="G283" s="147" t="s">
        <v>158</v>
      </c>
      <c r="H283" s="198" t="s">
        <v>302</v>
      </c>
      <c r="I283" s="158">
        <v>1109</v>
      </c>
      <c r="J283" s="147" t="s">
        <v>301</v>
      </c>
      <c r="K283" s="199">
        <v>264</v>
      </c>
      <c r="L283" s="198" t="s">
        <v>15</v>
      </c>
      <c r="M283" s="161">
        <f>IFERROR(VLOOKUP(L283,'Material Master'!B:C,2,0),"")</f>
      </c>
      <c r="N283" s="199">
        <v>30</v>
      </c>
      <c r="O283" s="162">
        <f>IFERROR(M283*N283,"")</f>
      </c>
      <c r="P283" s="198" t="s">
        <v>402</v>
      </c>
      <c r="Q283" s="158" t="s">
        <v>778</v>
      </c>
      <c r="R283" s="163">
        <v>45809</v>
      </c>
      <c r="S283" s="147"/>
      <c r="T283" s="6"/>
      <c r="U283" s="158">
        <v>411</v>
      </c>
      <c r="V283" s="164">
        <v>31</v>
      </c>
      <c r="W283" s="165">
        <f>IFERROR(U283*V283,"0")</f>
      </c>
      <c r="X283" s="7"/>
      <c r="Y283" s="166">
        <f>IFERROR((O283/1000)*Masters!$C$3,"0")</f>
      </c>
      <c r="Z283" s="195"/>
      <c r="AA283" s="164">
        <f>IFERROR(VLOOKUP(L283,Masters!G:H,2,0),"0")</f>
      </c>
      <c r="AB283" s="166">
        <f>IFERROR(AA283*N283,"0")</f>
      </c>
      <c r="AC283" s="196"/>
      <c r="AD283" s="7"/>
      <c r="AE283" s="166">
        <f>W283+Y283+AB283+AD283</f>
      </c>
      <c r="AF283" s="195"/>
      <c r="AG283" s="169">
        <f>M283&amp;"-"&amp;F283</f>
      </c>
      <c r="AH283" s="166">
        <f>IFERROR(VLOOKUP(AG283,Masters!N:O,2,0),"0")</f>
      </c>
      <c r="AI283" s="166">
        <f>AH283*N283</f>
      </c>
      <c r="AJ283" s="7"/>
      <c r="AK283" s="170">
        <f>AI283-AE283</f>
      </c>
      <c r="AL283" s="195"/>
      <c r="AM283" s="6"/>
      <c r="AN283" s="171">
        <f>IFERROR(U283/2,"0")</f>
      </c>
    </row>
    <row x14ac:dyDescent="0.25" r="284" customHeight="1" ht="18.75">
      <c r="A284" s="158">
        <f>A283+1</f>
      </c>
      <c r="B284" s="159">
        <v>45827</v>
      </c>
      <c r="C284" s="198" t="s">
        <v>779</v>
      </c>
      <c r="D284" s="159">
        <v>45827</v>
      </c>
      <c r="E284" s="198" t="s">
        <v>79</v>
      </c>
      <c r="F284" s="160" t="s">
        <v>32</v>
      </c>
      <c r="G284" s="147" t="s">
        <v>158</v>
      </c>
      <c r="H284" s="198" t="s">
        <v>303</v>
      </c>
      <c r="I284" s="158">
        <v>1109</v>
      </c>
      <c r="J284" s="147" t="s">
        <v>301</v>
      </c>
      <c r="K284" s="199">
        <v>265</v>
      </c>
      <c r="L284" s="198" t="s">
        <v>15</v>
      </c>
      <c r="M284" s="161">
        <f>IFERROR(VLOOKUP(L284,'Material Master'!B:C,2,0),"")</f>
      </c>
      <c r="N284" s="199">
        <v>30</v>
      </c>
      <c r="O284" s="162">
        <f>IFERROR(M284*N284,"")</f>
      </c>
      <c r="P284" s="198" t="s">
        <v>402</v>
      </c>
      <c r="Q284" s="158" t="s">
        <v>780</v>
      </c>
      <c r="R284" s="163">
        <v>45809</v>
      </c>
      <c r="S284" s="147"/>
      <c r="T284" s="6"/>
      <c r="U284" s="158">
        <v>429</v>
      </c>
      <c r="V284" s="164">
        <v>31</v>
      </c>
      <c r="W284" s="165">
        <f>IFERROR(U284*V284,"0")</f>
      </c>
      <c r="X284" s="7"/>
      <c r="Y284" s="166">
        <f>IFERROR((O284/1000)*Masters!$C$3,"0")</f>
      </c>
      <c r="Z284" s="195"/>
      <c r="AA284" s="164">
        <f>IFERROR(VLOOKUP(L284,Masters!G:H,2,0),"0")</f>
      </c>
      <c r="AB284" s="166">
        <f>IFERROR(AA284*N284,"0")</f>
      </c>
      <c r="AC284" s="196"/>
      <c r="AD284" s="7"/>
      <c r="AE284" s="166">
        <f>W284+Y284+AB284+AD284</f>
      </c>
      <c r="AF284" s="195"/>
      <c r="AG284" s="169">
        <f>M284&amp;"-"&amp;F284</f>
      </c>
      <c r="AH284" s="166">
        <f>IFERROR(VLOOKUP(AG284,Masters!N:O,2,0),"0")</f>
      </c>
      <c r="AI284" s="166">
        <f>AH284*N284</f>
      </c>
      <c r="AJ284" s="7"/>
      <c r="AK284" s="170">
        <f>AI284-AE284</f>
      </c>
      <c r="AL284" s="195"/>
      <c r="AM284" s="6"/>
      <c r="AN284" s="171">
        <f>IFERROR(U284/2,"0")</f>
      </c>
    </row>
    <row x14ac:dyDescent="0.25" r="285" customHeight="1" ht="18.75">
      <c r="A285" s="158">
        <f>A284+1</f>
      </c>
      <c r="B285" s="159">
        <v>45828</v>
      </c>
      <c r="C285" s="198" t="s">
        <v>781</v>
      </c>
      <c r="D285" s="159">
        <v>45828</v>
      </c>
      <c r="E285" s="198" t="s">
        <v>134</v>
      </c>
      <c r="F285" s="160" t="s">
        <v>32</v>
      </c>
      <c r="G285" s="147" t="s">
        <v>115</v>
      </c>
      <c r="H285" s="198" t="s">
        <v>305</v>
      </c>
      <c r="I285" s="158">
        <v>1109</v>
      </c>
      <c r="J285" s="147" t="s">
        <v>301</v>
      </c>
      <c r="K285" s="199">
        <v>266</v>
      </c>
      <c r="L285" s="198" t="s">
        <v>10</v>
      </c>
      <c r="M285" s="161">
        <f>IFERROR(VLOOKUP(L285,'Material Master'!B:C,2,0),"")</f>
      </c>
      <c r="N285" s="199">
        <v>300</v>
      </c>
      <c r="O285" s="162">
        <f>IFERROR(M285*N285,"")</f>
      </c>
      <c r="P285" s="198" t="s">
        <v>402</v>
      </c>
      <c r="Q285" s="158" t="s">
        <v>782</v>
      </c>
      <c r="R285" s="163">
        <v>45809</v>
      </c>
      <c r="S285" s="203" t="s">
        <v>783</v>
      </c>
      <c r="T285" s="6"/>
      <c r="U285" s="158">
        <v>251</v>
      </c>
      <c r="V285" s="164">
        <v>31</v>
      </c>
      <c r="W285" s="165">
        <f>IFERROR(U285*V285,"0")</f>
      </c>
      <c r="X285" s="7"/>
      <c r="Y285" s="166">
        <f>IFERROR((O285/1000)*Masters!$C$3,"0")</f>
      </c>
      <c r="Z285" s="195"/>
      <c r="AA285" s="164">
        <f>IFERROR(VLOOKUP(L285,Masters!G:H,2,0),"0")</f>
      </c>
      <c r="AB285" s="166">
        <f>IFERROR(AA285*N285,"0")</f>
      </c>
      <c r="AC285" s="196"/>
      <c r="AD285" s="7"/>
      <c r="AE285" s="166">
        <f>W285+Y285+AB285+AD285</f>
      </c>
      <c r="AF285" s="195"/>
      <c r="AG285" s="169">
        <f>M285&amp;"-"&amp;F285</f>
      </c>
      <c r="AH285" s="166">
        <f>IFERROR(VLOOKUP(AG285,Masters!N:O,2,0),"0")</f>
      </c>
      <c r="AI285" s="166">
        <f>AH285*N285</f>
      </c>
      <c r="AJ285" s="7"/>
      <c r="AK285" s="170">
        <f>AI285-AE285</f>
      </c>
      <c r="AL285" s="195"/>
      <c r="AM285" s="6"/>
      <c r="AN285" s="171">
        <f>IFERROR(U285/2,"0")</f>
      </c>
    </row>
    <row x14ac:dyDescent="0.25" r="286" customHeight="1" ht="18.75">
      <c r="A286" s="158">
        <f>A285+1</f>
      </c>
      <c r="B286" s="159">
        <v>45828</v>
      </c>
      <c r="C286" s="198" t="s">
        <v>784</v>
      </c>
      <c r="D286" s="159">
        <v>45829</v>
      </c>
      <c r="E286" s="198" t="s">
        <v>69</v>
      </c>
      <c r="F286" s="160" t="s">
        <v>231</v>
      </c>
      <c r="G286" s="147" t="s">
        <v>230</v>
      </c>
      <c r="H286" s="198" t="s">
        <v>302</v>
      </c>
      <c r="I286" s="158">
        <v>407</v>
      </c>
      <c r="J286" s="147" t="s">
        <v>301</v>
      </c>
      <c r="K286" s="199">
        <v>268</v>
      </c>
      <c r="L286" s="198" t="s">
        <v>15</v>
      </c>
      <c r="M286" s="161">
        <f>IFERROR(VLOOKUP(L286,'Material Master'!B:C,2,0),"")</f>
      </c>
      <c r="N286" s="199">
        <v>4</v>
      </c>
      <c r="O286" s="162">
        <f>IFERROR(M286*N286,"")</f>
      </c>
      <c r="P286" s="198" t="s">
        <v>402</v>
      </c>
      <c r="Q286" s="158" t="s">
        <v>785</v>
      </c>
      <c r="R286" s="163">
        <v>45809</v>
      </c>
      <c r="S286" s="147"/>
      <c r="T286" s="6"/>
      <c r="U286" s="158">
        <v>74</v>
      </c>
      <c r="V286" s="164">
        <v>31</v>
      </c>
      <c r="W286" s="165">
        <f>IFERROR(U286*V286,"0")</f>
      </c>
      <c r="X286" s="7"/>
      <c r="Y286" s="166">
        <f>IFERROR((O286/1000)*Masters!$C$3,"0")</f>
      </c>
      <c r="Z286" s="195"/>
      <c r="AA286" s="164">
        <f>IFERROR(VLOOKUP(L286,Masters!G:H,2,0),"0")</f>
      </c>
      <c r="AB286" s="166">
        <f>IFERROR(AA286*N286,"0")</f>
      </c>
      <c r="AC286" s="196"/>
      <c r="AD286" s="7"/>
      <c r="AE286" s="166">
        <f>W286+Y286+AB286+AD286</f>
      </c>
      <c r="AF286" s="195"/>
      <c r="AG286" s="169">
        <f>M286&amp;"-"&amp;F286</f>
      </c>
      <c r="AH286" s="166">
        <f>IFERROR(VLOOKUP(AG286,Masters!N:O,2,0),"0")</f>
      </c>
      <c r="AI286" s="166">
        <f>AH286*N286</f>
      </c>
      <c r="AJ286" s="7"/>
      <c r="AK286" s="170">
        <f>AI286-AE286</f>
      </c>
      <c r="AL286" s="195"/>
      <c r="AM286" s="6"/>
      <c r="AN286" s="171">
        <f>IFERROR(U286/2,"0")</f>
      </c>
    </row>
    <row x14ac:dyDescent="0.25" r="287" customHeight="1" ht="18.75">
      <c r="A287" s="158">
        <f>A286+1</f>
      </c>
      <c r="B287" s="159">
        <v>45828</v>
      </c>
      <c r="C287" s="198" t="s">
        <v>786</v>
      </c>
      <c r="D287" s="159">
        <v>45829</v>
      </c>
      <c r="E287" s="198" t="s">
        <v>159</v>
      </c>
      <c r="F287" s="160" t="s">
        <v>32</v>
      </c>
      <c r="G287" s="147" t="s">
        <v>361</v>
      </c>
      <c r="H287" s="198" t="s">
        <v>318</v>
      </c>
      <c r="I287" s="158">
        <v>2515</v>
      </c>
      <c r="J287" s="147" t="s">
        <v>306</v>
      </c>
      <c r="K287" s="199">
        <v>269</v>
      </c>
      <c r="L287" s="198" t="s">
        <v>10</v>
      </c>
      <c r="M287" s="161">
        <f>IFERROR(VLOOKUP(L287,'Material Master'!B:C,2,0),"")</f>
      </c>
      <c r="N287" s="199">
        <v>600</v>
      </c>
      <c r="O287" s="162">
        <f>IFERROR(M287*N287,"")</f>
      </c>
      <c r="P287" s="198" t="s">
        <v>402</v>
      </c>
      <c r="Q287" s="158" t="s">
        <v>787</v>
      </c>
      <c r="R287" s="163">
        <v>45809</v>
      </c>
      <c r="S287" s="147" t="s">
        <v>306</v>
      </c>
      <c r="T287" s="6"/>
      <c r="U287" s="158">
        <v>0</v>
      </c>
      <c r="V287" s="164">
        <v>31</v>
      </c>
      <c r="W287" s="165">
        <v>13000</v>
      </c>
      <c r="X287" s="7"/>
      <c r="Y287" s="166">
        <f>IFERROR((O287/1000)*Masters!$C$3,"0")</f>
      </c>
      <c r="Z287" s="195"/>
      <c r="AA287" s="164">
        <f>IFERROR(VLOOKUP(L287,Masters!G:H,2,0),"0")</f>
      </c>
      <c r="AB287" s="166">
        <f>IFERROR(AA287*N287,"0")</f>
      </c>
      <c r="AC287" s="196"/>
      <c r="AD287" s="8">
        <v>3900</v>
      </c>
      <c r="AE287" s="166">
        <f>W287+Y287+AB287+AD287</f>
      </c>
      <c r="AF287" s="195"/>
      <c r="AG287" s="169">
        <f>M287&amp;"-"&amp;F287</f>
      </c>
      <c r="AH287" s="166">
        <f>IFERROR(VLOOKUP(AG287,Masters!N:O,2,0),"0")</f>
      </c>
      <c r="AI287" s="166">
        <f>AH287*N287</f>
      </c>
      <c r="AJ287" s="7"/>
      <c r="AK287" s="170">
        <f>AI287-AE287</f>
      </c>
      <c r="AL287" s="195"/>
      <c r="AM287" s="6"/>
      <c r="AN287" s="171">
        <f>IFERROR(U287/2,"0")</f>
      </c>
    </row>
    <row x14ac:dyDescent="0.25" r="288" customHeight="1" ht="18.75">
      <c r="A288" s="158">
        <f>A287+1</f>
      </c>
      <c r="B288" s="159">
        <v>45828</v>
      </c>
      <c r="C288" s="198" t="s">
        <v>788</v>
      </c>
      <c r="D288" s="159">
        <v>45828</v>
      </c>
      <c r="E288" s="198" t="s">
        <v>244</v>
      </c>
      <c r="F288" s="160" t="s">
        <v>32</v>
      </c>
      <c r="G288" s="147" t="s">
        <v>140</v>
      </c>
      <c r="H288" s="198" t="s">
        <v>304</v>
      </c>
      <c r="I288" s="158">
        <v>1109</v>
      </c>
      <c r="J288" s="147" t="s">
        <v>301</v>
      </c>
      <c r="K288" s="199">
        <v>267</v>
      </c>
      <c r="L288" s="198" t="s">
        <v>10</v>
      </c>
      <c r="M288" s="161">
        <f>IFERROR(VLOOKUP(L288,'Material Master'!B:C,2,0),"")</f>
      </c>
      <c r="N288" s="199">
        <v>300</v>
      </c>
      <c r="O288" s="162">
        <f>IFERROR(M288*N288,"")</f>
      </c>
      <c r="P288" s="198" t="s">
        <v>402</v>
      </c>
      <c r="Q288" s="158" t="s">
        <v>789</v>
      </c>
      <c r="R288" s="163">
        <v>45809</v>
      </c>
      <c r="S288" s="147"/>
      <c r="T288" s="6"/>
      <c r="U288" s="158">
        <v>468</v>
      </c>
      <c r="V288" s="164">
        <v>31</v>
      </c>
      <c r="W288" s="165">
        <f>IFERROR(U288*V288,"0")</f>
      </c>
      <c r="X288" s="7"/>
      <c r="Y288" s="166">
        <f>IFERROR((O288/1000)*Masters!$C$3,"0")</f>
      </c>
      <c r="Z288" s="195"/>
      <c r="AA288" s="164">
        <f>IFERROR(VLOOKUP(L288,Masters!G:H,2,0),"0")</f>
      </c>
      <c r="AB288" s="166">
        <f>IFERROR(AA288*N288,"0")</f>
      </c>
      <c r="AC288" s="196"/>
      <c r="AD288" s="7"/>
      <c r="AE288" s="166">
        <f>W288+Y288+AB288+AD288</f>
      </c>
      <c r="AF288" s="195"/>
      <c r="AG288" s="169">
        <f>M288&amp;"-"&amp;F288</f>
      </c>
      <c r="AH288" s="166">
        <f>IFERROR(VLOOKUP(AG288,Masters!N:O,2,0),"0")</f>
      </c>
      <c r="AI288" s="166">
        <f>AH288*N288</f>
      </c>
      <c r="AJ288" s="7"/>
      <c r="AK288" s="170">
        <f>AI288-AE288</f>
      </c>
      <c r="AL288" s="195"/>
      <c r="AM288" s="6"/>
      <c r="AN288" s="171">
        <f>IFERROR(U288/2,"0")</f>
      </c>
    </row>
    <row x14ac:dyDescent="0.25" r="289" customHeight="1" ht="18.75">
      <c r="A289" s="158">
        <f>A288+1</f>
      </c>
      <c r="B289" s="159">
        <v>45829</v>
      </c>
      <c r="C289" s="173" t="s">
        <v>790</v>
      </c>
      <c r="D289" s="159"/>
      <c r="E289" s="173" t="s">
        <v>245</v>
      </c>
      <c r="F289" s="204"/>
      <c r="G289" s="173" t="s">
        <v>246</v>
      </c>
      <c r="H289" s="173"/>
      <c r="I289" s="184">
        <v>709</v>
      </c>
      <c r="J289" s="173"/>
      <c r="K289" s="184"/>
      <c r="L289" s="173"/>
      <c r="M289" s="185">
        <f>IFERROR(VLOOKUP(L289,'Material Master'!B:C,2,0),"")</f>
      </c>
      <c r="N289" s="184"/>
      <c r="O289" s="186">
        <f>IFERROR(M289*N289,"")</f>
      </c>
      <c r="P289" s="173"/>
      <c r="Q289" s="184"/>
      <c r="R289" s="187">
        <v>45809</v>
      </c>
      <c r="S289" s="173" t="s">
        <v>728</v>
      </c>
      <c r="T289" s="188"/>
      <c r="U289" s="184"/>
      <c r="V289" s="185">
        <v>31</v>
      </c>
      <c r="W289" s="189">
        <f>IFERROR(U289*V289,"0")</f>
      </c>
      <c r="X289" s="190"/>
      <c r="Y289" s="191">
        <f>IFERROR((O289/1000)*Masters!$C$3,"0")</f>
      </c>
      <c r="Z289" s="192"/>
      <c r="AA289" s="164">
        <f>IFERROR(VLOOKUP(L289,Masters!G:H,2,0),"0")</f>
      </c>
      <c r="AB289" s="166">
        <f>IFERROR(AA289*N289,"0")</f>
      </c>
      <c r="AC289" s="193"/>
      <c r="AD289" s="190"/>
      <c r="AE289" s="166">
        <f>W289+Y289+AB289+AD289</f>
      </c>
      <c r="AF289" s="192"/>
      <c r="AG289" s="169">
        <f>M289&amp;"-"&amp;F289</f>
      </c>
      <c r="AH289" s="191">
        <f>IFERROR(VLOOKUP(AG289,Masters!N:O,2,0),"0")</f>
      </c>
      <c r="AI289" s="166">
        <f>AH289*N289</f>
      </c>
      <c r="AJ289" s="190"/>
      <c r="AK289" s="170">
        <f>AI289-AE289</f>
      </c>
      <c r="AL289" s="192"/>
      <c r="AM289" s="188"/>
      <c r="AN289" s="171">
        <f>IFERROR(U289/2,"0")</f>
      </c>
    </row>
    <row x14ac:dyDescent="0.25" r="290" customHeight="1" ht="18.75">
      <c r="A290" s="158">
        <f>A289+1</f>
      </c>
      <c r="B290" s="159">
        <v>45831</v>
      </c>
      <c r="C290" s="198" t="s">
        <v>791</v>
      </c>
      <c r="D290" s="159">
        <v>45831</v>
      </c>
      <c r="E290" s="198" t="s">
        <v>205</v>
      </c>
      <c r="F290" s="160" t="s">
        <v>32</v>
      </c>
      <c r="G290" s="147" t="s">
        <v>214</v>
      </c>
      <c r="H290" s="198" t="s">
        <v>303</v>
      </c>
      <c r="I290" s="158">
        <v>1109</v>
      </c>
      <c r="J290" s="147" t="s">
        <v>301</v>
      </c>
      <c r="K290" s="199">
        <v>270</v>
      </c>
      <c r="L290" s="198" t="s">
        <v>10</v>
      </c>
      <c r="M290" s="161">
        <f>IFERROR(VLOOKUP(L290,'Material Master'!B:C,2,0),"")</f>
      </c>
      <c r="N290" s="199">
        <v>200</v>
      </c>
      <c r="O290" s="162">
        <f>IFERROR(M290*N290,"")</f>
      </c>
      <c r="P290" s="198" t="s">
        <v>402</v>
      </c>
      <c r="Q290" s="158" t="s">
        <v>792</v>
      </c>
      <c r="R290" s="163">
        <v>45809</v>
      </c>
      <c r="S290" s="147"/>
      <c r="T290" s="6"/>
      <c r="U290" s="158"/>
      <c r="V290" s="164">
        <v>31</v>
      </c>
      <c r="W290" s="165">
        <f>IFERROR(U290*V290,"0")</f>
      </c>
      <c r="X290" s="7"/>
      <c r="Y290" s="166">
        <f>IFERROR((O290/1000)*Masters!$C$3,"0")</f>
      </c>
      <c r="Z290" s="195"/>
      <c r="AA290" s="164">
        <f>IFERROR(VLOOKUP(L290,Masters!G:H,2,0),"0")</f>
      </c>
      <c r="AB290" s="166">
        <f>IFERROR(AA290*N290,"0")</f>
      </c>
      <c r="AC290" s="196"/>
      <c r="AD290" s="7"/>
      <c r="AE290" s="166">
        <f>W290+Y290+AB290+AD290</f>
      </c>
      <c r="AF290" s="195"/>
      <c r="AG290" s="169">
        <f>M290&amp;"-"&amp;F290</f>
      </c>
      <c r="AH290" s="166">
        <f>IFERROR(VLOOKUP(AG290,Masters!N:O,2,0),"0")</f>
      </c>
      <c r="AI290" s="166">
        <f>AH290*N290</f>
      </c>
      <c r="AJ290" s="7"/>
      <c r="AK290" s="170">
        <f>AI290-AE290</f>
      </c>
      <c r="AL290" s="195"/>
      <c r="AM290" s="6"/>
      <c r="AN290" s="171">
        <f>IFERROR(U290/2,"0")</f>
      </c>
    </row>
    <row x14ac:dyDescent="0.25" r="291" customHeight="1" ht="18.75">
      <c r="A291" s="158">
        <f>A290+1</f>
      </c>
      <c r="B291" s="159">
        <v>45831</v>
      </c>
      <c r="C291" s="198" t="s">
        <v>791</v>
      </c>
      <c r="D291" s="159">
        <v>45831</v>
      </c>
      <c r="E291" s="198" t="s">
        <v>584</v>
      </c>
      <c r="F291" s="160" t="s">
        <v>32</v>
      </c>
      <c r="G291" s="147" t="s">
        <v>248</v>
      </c>
      <c r="H291" s="198" t="s">
        <v>303</v>
      </c>
      <c r="I291" s="158">
        <v>1109</v>
      </c>
      <c r="J291" s="147" t="s">
        <v>301</v>
      </c>
      <c r="K291" s="199">
        <v>271</v>
      </c>
      <c r="L291" s="198" t="s">
        <v>10</v>
      </c>
      <c r="M291" s="161">
        <f>IFERROR(VLOOKUP(L291,'Material Master'!B:C,2,0),"")</f>
      </c>
      <c r="N291" s="199">
        <v>100</v>
      </c>
      <c r="O291" s="162">
        <f>IFERROR(M291*N291,"")</f>
      </c>
      <c r="P291" s="198" t="s">
        <v>402</v>
      </c>
      <c r="Q291" s="158" t="s">
        <v>792</v>
      </c>
      <c r="R291" s="163">
        <v>45809</v>
      </c>
      <c r="S291" s="147"/>
      <c r="T291" s="6"/>
      <c r="U291" s="158">
        <v>464</v>
      </c>
      <c r="V291" s="164">
        <v>31</v>
      </c>
      <c r="W291" s="165">
        <f>IFERROR(U291*V291,"0")</f>
      </c>
      <c r="X291" s="7"/>
      <c r="Y291" s="166">
        <f>IFERROR((O291/1000)*Masters!$C$3,"0")</f>
      </c>
      <c r="Z291" s="195"/>
      <c r="AA291" s="164">
        <f>IFERROR(VLOOKUP(L291,Masters!G:H,2,0),"0")</f>
      </c>
      <c r="AB291" s="166">
        <f>IFERROR(AA291*N291,"0")</f>
      </c>
      <c r="AC291" s="196"/>
      <c r="AD291" s="7"/>
      <c r="AE291" s="166">
        <f>W291+Y291+AB291+AD291</f>
      </c>
      <c r="AF291" s="195"/>
      <c r="AG291" s="169">
        <f>M291&amp;"-"&amp;F291</f>
      </c>
      <c r="AH291" s="166">
        <f>IFERROR(VLOOKUP(AG291,Masters!N:O,2,0),"0")</f>
      </c>
      <c r="AI291" s="166">
        <f>AH291*N291</f>
      </c>
      <c r="AJ291" s="7"/>
      <c r="AK291" s="170">
        <f>AI291-AE291</f>
      </c>
      <c r="AL291" s="195"/>
      <c r="AM291" s="6"/>
      <c r="AN291" s="171">
        <f>IFERROR(U291/2,"0")</f>
      </c>
    </row>
    <row x14ac:dyDescent="0.25" r="292" customHeight="1" ht="18.75">
      <c r="A292" s="158">
        <f>A291+1</f>
      </c>
      <c r="B292" s="159">
        <v>45831</v>
      </c>
      <c r="C292" s="198" t="s">
        <v>793</v>
      </c>
      <c r="D292" s="159">
        <v>45831</v>
      </c>
      <c r="E292" s="198" t="s">
        <v>81</v>
      </c>
      <c r="F292" s="160" t="s">
        <v>32</v>
      </c>
      <c r="G292" s="147" t="s">
        <v>532</v>
      </c>
      <c r="H292" s="198" t="s">
        <v>302</v>
      </c>
      <c r="I292" s="158">
        <v>709</v>
      </c>
      <c r="J292" s="147" t="s">
        <v>301</v>
      </c>
      <c r="K292" s="199">
        <v>273</v>
      </c>
      <c r="L292" s="198" t="s">
        <v>10</v>
      </c>
      <c r="M292" s="161">
        <f>IFERROR(VLOOKUP(L292,'Material Master'!B:C,2,0),"")</f>
      </c>
      <c r="N292" s="199">
        <v>100</v>
      </c>
      <c r="O292" s="162">
        <f>IFERROR(M292*N292,"")</f>
      </c>
      <c r="P292" s="198" t="s">
        <v>402</v>
      </c>
      <c r="Q292" s="158" t="s">
        <v>794</v>
      </c>
      <c r="R292" s="163">
        <v>45809</v>
      </c>
      <c r="S292" s="147"/>
      <c r="T292" s="6"/>
      <c r="U292" s="158">
        <v>247</v>
      </c>
      <c r="V292" s="164">
        <v>31</v>
      </c>
      <c r="W292" s="165">
        <f>IFERROR(U292*V292,"0")</f>
      </c>
      <c r="X292" s="7"/>
      <c r="Y292" s="166">
        <f>IFERROR((O292/1000)*Masters!$C$3,"0")</f>
      </c>
      <c r="Z292" s="195"/>
      <c r="AA292" s="164">
        <f>IFERROR(VLOOKUP(L292,Masters!G:H,2,0),"0")</f>
      </c>
      <c r="AB292" s="166">
        <f>IFERROR(AA292*N292,"0")</f>
      </c>
      <c r="AC292" s="196"/>
      <c r="AD292" s="7"/>
      <c r="AE292" s="166">
        <f>W292+Y292+AB292+AD292</f>
      </c>
      <c r="AF292" s="195"/>
      <c r="AG292" s="169">
        <f>M292&amp;"-"&amp;F292</f>
      </c>
      <c r="AH292" s="166">
        <f>IFERROR(VLOOKUP(AG292,Masters!N:O,2,0),"0")</f>
      </c>
      <c r="AI292" s="166">
        <f>AH292*N292</f>
      </c>
      <c r="AJ292" s="7"/>
      <c r="AK292" s="170">
        <f>AI292-AE292</f>
      </c>
      <c r="AL292" s="195"/>
      <c r="AM292" s="6"/>
      <c r="AN292" s="171">
        <f>IFERROR(U292/2,"0")</f>
      </c>
    </row>
    <row x14ac:dyDescent="0.25" r="293" customHeight="1" ht="18.75">
      <c r="A293" s="158">
        <f>A292+1</f>
      </c>
      <c r="B293" s="159">
        <v>45831</v>
      </c>
      <c r="C293" s="198" t="s">
        <v>795</v>
      </c>
      <c r="D293" s="159">
        <v>45831</v>
      </c>
      <c r="E293" s="198" t="s">
        <v>79</v>
      </c>
      <c r="F293" s="160" t="s">
        <v>32</v>
      </c>
      <c r="G293" s="147" t="s">
        <v>167</v>
      </c>
      <c r="H293" s="198" t="s">
        <v>304</v>
      </c>
      <c r="I293" s="158">
        <v>1109</v>
      </c>
      <c r="J293" s="147" t="s">
        <v>301</v>
      </c>
      <c r="K293" s="199">
        <v>272</v>
      </c>
      <c r="L293" s="198" t="s">
        <v>15</v>
      </c>
      <c r="M293" s="161">
        <f>IFERROR(VLOOKUP(L293,'Material Master'!B:C,2,0),"")</f>
      </c>
      <c r="N293" s="199">
        <v>30</v>
      </c>
      <c r="O293" s="162">
        <f>IFERROR(M293*N293,"")</f>
      </c>
      <c r="P293" s="198" t="s">
        <v>402</v>
      </c>
      <c r="Q293" s="158" t="s">
        <v>796</v>
      </c>
      <c r="R293" s="163">
        <v>45809</v>
      </c>
      <c r="S293" s="147"/>
      <c r="T293" s="6"/>
      <c r="U293" s="158">
        <v>376</v>
      </c>
      <c r="V293" s="164">
        <v>31</v>
      </c>
      <c r="W293" s="165">
        <f>IFERROR(U293*V293,"0")</f>
      </c>
      <c r="X293" s="7"/>
      <c r="Y293" s="166">
        <f>IFERROR((O293/1000)*Masters!$C$3,"0")</f>
      </c>
      <c r="Z293" s="195"/>
      <c r="AA293" s="164">
        <f>IFERROR(VLOOKUP(L293,Masters!G:H,2,0),"0")</f>
      </c>
      <c r="AB293" s="166">
        <f>IFERROR(AA293*N293,"0")</f>
      </c>
      <c r="AC293" s="196"/>
      <c r="AD293" s="7"/>
      <c r="AE293" s="166">
        <f>W293+Y293+AB293+AD293</f>
      </c>
      <c r="AF293" s="195"/>
      <c r="AG293" s="169">
        <f>M293&amp;"-"&amp;F293</f>
      </c>
      <c r="AH293" s="166">
        <f>IFERROR(VLOOKUP(AG293,Masters!N:O,2,0),"0")</f>
      </c>
      <c r="AI293" s="166">
        <f>AH293*N293</f>
      </c>
      <c r="AJ293" s="7"/>
      <c r="AK293" s="170">
        <f>AI293-AE293</f>
      </c>
      <c r="AL293" s="195"/>
      <c r="AM293" s="6"/>
      <c r="AN293" s="171">
        <f>IFERROR(U293/2,"0")</f>
      </c>
    </row>
    <row x14ac:dyDescent="0.25" r="294" customHeight="1" ht="18.75">
      <c r="A294" s="158">
        <f>A293+1</f>
      </c>
      <c r="B294" s="159">
        <v>45831</v>
      </c>
      <c r="C294" s="198" t="s">
        <v>797</v>
      </c>
      <c r="D294" s="159">
        <v>45832</v>
      </c>
      <c r="E294" s="198" t="s">
        <v>205</v>
      </c>
      <c r="F294" s="160" t="s">
        <v>236</v>
      </c>
      <c r="G294" s="147" t="s">
        <v>170</v>
      </c>
      <c r="H294" s="198" t="s">
        <v>305</v>
      </c>
      <c r="I294" s="158">
        <v>1109</v>
      </c>
      <c r="J294" s="147" t="s">
        <v>301</v>
      </c>
      <c r="K294" s="199">
        <v>274</v>
      </c>
      <c r="L294" s="198" t="s">
        <v>10</v>
      </c>
      <c r="M294" s="161">
        <f>IFERROR(VLOOKUP(L294,'Material Master'!B:C,2,0),"")</f>
      </c>
      <c r="N294" s="199">
        <v>300</v>
      </c>
      <c r="O294" s="162">
        <f>IFERROR(M294*N294,"")</f>
      </c>
      <c r="P294" s="198" t="s">
        <v>402</v>
      </c>
      <c r="Q294" s="158" t="s">
        <v>798</v>
      </c>
      <c r="R294" s="163">
        <v>45809</v>
      </c>
      <c r="S294" s="147"/>
      <c r="T294" s="6"/>
      <c r="U294" s="158">
        <v>651</v>
      </c>
      <c r="V294" s="164">
        <v>31</v>
      </c>
      <c r="W294" s="165">
        <f>IFERROR(U294*V294,"0")</f>
      </c>
      <c r="X294" s="7"/>
      <c r="Y294" s="166">
        <f>IFERROR((O294/1000)*Masters!$C$3,"0")</f>
      </c>
      <c r="Z294" s="195"/>
      <c r="AA294" s="164">
        <f>IFERROR(VLOOKUP(L294,Masters!G:H,2,0),"0")</f>
      </c>
      <c r="AB294" s="166">
        <f>IFERROR(AA294*N294,"0")</f>
      </c>
      <c r="AC294" s="196"/>
      <c r="AD294" s="7"/>
      <c r="AE294" s="166">
        <f>W294+Y294+AB294+AD294</f>
      </c>
      <c r="AF294" s="195"/>
      <c r="AG294" s="169">
        <f>M294&amp;"-"&amp;F294</f>
      </c>
      <c r="AH294" s="166">
        <f>IFERROR(VLOOKUP(AG294,Masters!N:O,2,0),"0")</f>
      </c>
      <c r="AI294" s="166">
        <f>AH294*N294</f>
      </c>
      <c r="AJ294" s="7"/>
      <c r="AK294" s="170">
        <f>AI294-AE294</f>
      </c>
      <c r="AL294" s="195"/>
      <c r="AM294" s="6"/>
      <c r="AN294" s="171">
        <f>IFERROR(U294/2,"0")</f>
      </c>
    </row>
    <row x14ac:dyDescent="0.25" r="295" customHeight="1" ht="18.75">
      <c r="A295" s="158">
        <f>A294+1</f>
      </c>
      <c r="B295" s="159">
        <v>45831</v>
      </c>
      <c r="C295" s="198" t="s">
        <v>799</v>
      </c>
      <c r="D295" s="159">
        <v>45832</v>
      </c>
      <c r="E295" s="198" t="s">
        <v>205</v>
      </c>
      <c r="F295" s="160" t="s">
        <v>236</v>
      </c>
      <c r="G295" s="147" t="s">
        <v>170</v>
      </c>
      <c r="H295" s="198" t="s">
        <v>302</v>
      </c>
      <c r="I295" s="158">
        <v>1109</v>
      </c>
      <c r="J295" s="147" t="s">
        <v>301</v>
      </c>
      <c r="K295" s="199">
        <v>275</v>
      </c>
      <c r="L295" s="198" t="s">
        <v>15</v>
      </c>
      <c r="M295" s="161">
        <f>IFERROR(VLOOKUP(L295,'Material Master'!B:C,2,0),"")</f>
      </c>
      <c r="N295" s="199">
        <v>25</v>
      </c>
      <c r="O295" s="162">
        <f>IFERROR(M295*N295,"")</f>
      </c>
      <c r="P295" s="198" t="s">
        <v>402</v>
      </c>
      <c r="Q295" s="158" t="s">
        <v>800</v>
      </c>
      <c r="R295" s="163">
        <v>45809</v>
      </c>
      <c r="S295" s="147"/>
      <c r="T295" s="6"/>
      <c r="U295" s="158">
        <v>645</v>
      </c>
      <c r="V295" s="164">
        <v>31</v>
      </c>
      <c r="W295" s="165">
        <f>IFERROR(U295*V295,"0")</f>
      </c>
      <c r="X295" s="7"/>
      <c r="Y295" s="166">
        <f>IFERROR((O295/1000)*Masters!$C$3,"0")</f>
      </c>
      <c r="Z295" s="195"/>
      <c r="AA295" s="164">
        <f>IFERROR(VLOOKUP(L295,Masters!G:H,2,0),"0")</f>
      </c>
      <c r="AB295" s="166">
        <f>IFERROR(AA295*N295,"0")</f>
      </c>
      <c r="AC295" s="196"/>
      <c r="AD295" s="7"/>
      <c r="AE295" s="166">
        <f>W295+Y295+AB295+AD295</f>
      </c>
      <c r="AF295" s="195"/>
      <c r="AG295" s="169">
        <f>M295&amp;"-"&amp;F295</f>
      </c>
      <c r="AH295" s="166">
        <f>IFERROR(VLOOKUP(AG295,Masters!N:O,2,0),"0")</f>
      </c>
      <c r="AI295" s="166">
        <f>AH295*N295</f>
      </c>
      <c r="AJ295" s="7"/>
      <c r="AK295" s="170">
        <f>AI295-AE295</f>
      </c>
      <c r="AL295" s="195"/>
      <c r="AM295" s="6"/>
      <c r="AN295" s="171">
        <f>IFERROR(U295/2,"0")</f>
      </c>
    </row>
    <row x14ac:dyDescent="0.25" r="296" customHeight="1" ht="18.75">
      <c r="A296" s="158">
        <f>A295+1</f>
      </c>
      <c r="B296" s="159">
        <v>45832</v>
      </c>
      <c r="C296" s="198" t="s">
        <v>801</v>
      </c>
      <c r="D296" s="159">
        <v>45833</v>
      </c>
      <c r="E296" s="198" t="s">
        <v>84</v>
      </c>
      <c r="F296" s="160" t="s">
        <v>231</v>
      </c>
      <c r="G296" s="147" t="s">
        <v>123</v>
      </c>
      <c r="H296" s="198" t="s">
        <v>303</v>
      </c>
      <c r="I296" s="158">
        <v>909</v>
      </c>
      <c r="J296" s="147" t="s">
        <v>301</v>
      </c>
      <c r="K296" s="199">
        <v>276</v>
      </c>
      <c r="L296" s="198" t="s">
        <v>10</v>
      </c>
      <c r="M296" s="161">
        <f>IFERROR(VLOOKUP(L296,'Material Master'!B:C,2,0),"")</f>
      </c>
      <c r="N296" s="199">
        <v>200</v>
      </c>
      <c r="O296" s="162">
        <f>IFERROR(M296*N296,"")</f>
      </c>
      <c r="P296" s="198" t="s">
        <v>402</v>
      </c>
      <c r="Q296" s="158" t="s">
        <v>802</v>
      </c>
      <c r="R296" s="163">
        <v>45809</v>
      </c>
      <c r="S296" s="147"/>
      <c r="T296" s="6"/>
      <c r="U296" s="158">
        <v>108</v>
      </c>
      <c r="V296" s="164">
        <v>31</v>
      </c>
      <c r="W296" s="165">
        <f>IFERROR(U296*V296,"0")</f>
      </c>
      <c r="X296" s="7"/>
      <c r="Y296" s="166">
        <f>IFERROR((O296/1000)*Masters!$C$3,"0")</f>
      </c>
      <c r="Z296" s="195"/>
      <c r="AA296" s="164">
        <f>IFERROR(VLOOKUP(L296,Masters!G:H,2,0),"0")</f>
      </c>
      <c r="AB296" s="166">
        <f>IFERROR(AA296*N296,"0")</f>
      </c>
      <c r="AC296" s="196"/>
      <c r="AD296" s="7"/>
      <c r="AE296" s="166">
        <f>W296+Y296+AB296+AD296</f>
      </c>
      <c r="AF296" s="195"/>
      <c r="AG296" s="169">
        <f>M296&amp;"-"&amp;F296</f>
      </c>
      <c r="AH296" s="166">
        <f>IFERROR(VLOOKUP(AG296,Masters!N:O,2,0),"0")</f>
      </c>
      <c r="AI296" s="166">
        <f>AH296*N296</f>
      </c>
      <c r="AJ296" s="7"/>
      <c r="AK296" s="170">
        <f>AI296-AE296</f>
      </c>
      <c r="AL296" s="195"/>
      <c r="AM296" s="6"/>
      <c r="AN296" s="171">
        <f>IFERROR(U296/2,"0")</f>
      </c>
    </row>
    <row x14ac:dyDescent="0.25" r="297" customHeight="1" ht="18.75">
      <c r="A297" s="158">
        <f>A296+1</f>
      </c>
      <c r="B297" s="159">
        <v>45833</v>
      </c>
      <c r="C297" s="198" t="s">
        <v>803</v>
      </c>
      <c r="D297" s="159">
        <v>45833</v>
      </c>
      <c r="E297" s="198" t="s">
        <v>249</v>
      </c>
      <c r="F297" s="160" t="s">
        <v>804</v>
      </c>
      <c r="G297" s="147" t="s">
        <v>250</v>
      </c>
      <c r="H297" s="198" t="s">
        <v>304</v>
      </c>
      <c r="I297" s="158">
        <v>1109</v>
      </c>
      <c r="J297" s="147" t="s">
        <v>301</v>
      </c>
      <c r="K297" s="199">
        <v>277</v>
      </c>
      <c r="L297" s="198" t="s">
        <v>10</v>
      </c>
      <c r="M297" s="161">
        <f>IFERROR(VLOOKUP(L297,'Material Master'!B:C,2,0),"")</f>
      </c>
      <c r="N297" s="199">
        <v>300</v>
      </c>
      <c r="O297" s="162">
        <f>IFERROR(M297*N297,"")</f>
      </c>
      <c r="P297" s="198" t="s">
        <v>402</v>
      </c>
      <c r="Q297" s="158" t="s">
        <v>805</v>
      </c>
      <c r="R297" s="163">
        <v>45809</v>
      </c>
      <c r="S297" s="147"/>
      <c r="T297" s="6"/>
      <c r="U297" s="158">
        <v>149</v>
      </c>
      <c r="V297" s="164">
        <v>31</v>
      </c>
      <c r="W297" s="165">
        <f>IFERROR(U297*V297,"0")</f>
      </c>
      <c r="X297" s="7"/>
      <c r="Y297" s="166">
        <f>IFERROR((O297/1000)*Masters!$C$3,"0")</f>
      </c>
      <c r="Z297" s="195"/>
      <c r="AA297" s="164">
        <f>IFERROR(VLOOKUP(L297,Masters!G:H,2,0),"0")</f>
      </c>
      <c r="AB297" s="166">
        <f>IFERROR(AA297*N297,"0")</f>
      </c>
      <c r="AC297" s="196"/>
      <c r="AD297" s="7"/>
      <c r="AE297" s="166">
        <f>W297+Y297+AB297+AD297</f>
      </c>
      <c r="AF297" s="195"/>
      <c r="AG297" s="169">
        <f>M297&amp;"-"&amp;F297</f>
      </c>
      <c r="AH297" s="166">
        <f>IFERROR(VLOOKUP(AG297,Masters!N:O,2,0),"0")</f>
      </c>
      <c r="AI297" s="166">
        <f>AH297*N297</f>
      </c>
      <c r="AJ297" s="7"/>
      <c r="AK297" s="170">
        <f>AI297-AE297</f>
      </c>
      <c r="AL297" s="195"/>
      <c r="AM297" s="6"/>
      <c r="AN297" s="171">
        <f>IFERROR(U297/2,"0")</f>
      </c>
    </row>
    <row x14ac:dyDescent="0.25" r="298" customHeight="1" ht="18.75">
      <c r="A298" s="158">
        <f>A297+1</f>
      </c>
      <c r="B298" s="159">
        <v>45833</v>
      </c>
      <c r="C298" s="173" t="s">
        <v>806</v>
      </c>
      <c r="D298" s="159"/>
      <c r="E298" s="173" t="s">
        <v>252</v>
      </c>
      <c r="F298" s="204"/>
      <c r="G298" s="173" t="s">
        <v>145</v>
      </c>
      <c r="H298" s="173"/>
      <c r="I298" s="184">
        <v>709</v>
      </c>
      <c r="J298" s="173"/>
      <c r="K298" s="184"/>
      <c r="L298" s="173"/>
      <c r="M298" s="185">
        <f>IFERROR(VLOOKUP(L298,'Material Master'!B:C,2,0),"")</f>
      </c>
      <c r="N298" s="184"/>
      <c r="O298" s="186">
        <f>IFERROR(M298*N298,"")</f>
      </c>
      <c r="P298" s="173"/>
      <c r="Q298" s="184"/>
      <c r="R298" s="187">
        <v>45809</v>
      </c>
      <c r="S298" s="173" t="s">
        <v>728</v>
      </c>
      <c r="T298" s="188"/>
      <c r="U298" s="184"/>
      <c r="V298" s="185">
        <v>31</v>
      </c>
      <c r="W298" s="189">
        <f>IFERROR(U298*V298,"0")</f>
      </c>
      <c r="X298" s="190"/>
      <c r="Y298" s="191">
        <f>IFERROR((O298/1000)*Masters!$C$3,"0")</f>
      </c>
      <c r="Z298" s="192"/>
      <c r="AA298" s="164">
        <f>IFERROR(VLOOKUP(L298,Masters!G:H,2,0),"0")</f>
      </c>
      <c r="AB298" s="166">
        <f>IFERROR(AA298*N298,"0")</f>
      </c>
      <c r="AC298" s="193"/>
      <c r="AD298" s="190"/>
      <c r="AE298" s="166">
        <f>W298+Y298+AB298+AD298</f>
      </c>
      <c r="AF298" s="192"/>
      <c r="AG298" s="169">
        <f>M298&amp;"-"&amp;F298</f>
      </c>
      <c r="AH298" s="191">
        <f>IFERROR(VLOOKUP(AG298,Masters!N:O,2,0),"0")</f>
      </c>
      <c r="AI298" s="166">
        <f>AH298*N298</f>
      </c>
      <c r="AJ298" s="190"/>
      <c r="AK298" s="170">
        <f>AI298-AE298</f>
      </c>
      <c r="AL298" s="192"/>
      <c r="AM298" s="188"/>
      <c r="AN298" s="171">
        <f>IFERROR(U298/2,"0")</f>
      </c>
    </row>
    <row x14ac:dyDescent="0.25" r="299" customHeight="1" ht="18.75">
      <c r="A299" s="158">
        <f>A298+1</f>
      </c>
      <c r="B299" s="159">
        <v>45833</v>
      </c>
      <c r="C299" s="198" t="s">
        <v>807</v>
      </c>
      <c r="D299" s="159">
        <v>45834</v>
      </c>
      <c r="E299" s="198" t="s">
        <v>174</v>
      </c>
      <c r="F299" s="160" t="s">
        <v>32</v>
      </c>
      <c r="G299" s="147" t="s">
        <v>175</v>
      </c>
      <c r="H299" s="198" t="s">
        <v>303</v>
      </c>
      <c r="I299" s="158">
        <v>1109</v>
      </c>
      <c r="J299" s="147" t="s">
        <v>301</v>
      </c>
      <c r="K299" s="199">
        <v>278</v>
      </c>
      <c r="L299" s="198" t="s">
        <v>10</v>
      </c>
      <c r="M299" s="161">
        <f>IFERROR(VLOOKUP(L299,'Material Master'!B:C,2,0),"")</f>
      </c>
      <c r="N299" s="199">
        <v>300</v>
      </c>
      <c r="O299" s="162">
        <f>IFERROR(M299*N299,"")</f>
      </c>
      <c r="P299" s="198" t="s">
        <v>402</v>
      </c>
      <c r="Q299" s="158" t="s">
        <v>808</v>
      </c>
      <c r="R299" s="163">
        <v>45809</v>
      </c>
      <c r="S299" s="147"/>
      <c r="T299" s="6"/>
      <c r="U299" s="158">
        <v>252</v>
      </c>
      <c r="V299" s="164">
        <v>31</v>
      </c>
      <c r="W299" s="165">
        <f>IFERROR(U299*V299,"0")</f>
      </c>
      <c r="X299" s="7"/>
      <c r="Y299" s="166">
        <f>IFERROR((O299/1000)*Masters!$C$3,"0")</f>
      </c>
      <c r="Z299" s="195"/>
      <c r="AA299" s="164">
        <f>IFERROR(VLOOKUP(L299,Masters!G:H,2,0),"0")</f>
      </c>
      <c r="AB299" s="166">
        <f>IFERROR(AA299*N299,"0")</f>
      </c>
      <c r="AC299" s="196"/>
      <c r="AD299" s="7"/>
      <c r="AE299" s="166">
        <f>W299+Y299+AB299+AD299</f>
      </c>
      <c r="AF299" s="195"/>
      <c r="AG299" s="169">
        <f>M299&amp;"-"&amp;F299</f>
      </c>
      <c r="AH299" s="166">
        <f>IFERROR(VLOOKUP(AG299,Masters!N:O,2,0),"0")</f>
      </c>
      <c r="AI299" s="166">
        <f>AH299*N299</f>
      </c>
      <c r="AJ299" s="7"/>
      <c r="AK299" s="170">
        <f>AI299-AE299</f>
      </c>
      <c r="AL299" s="195"/>
      <c r="AM299" s="6"/>
      <c r="AN299" s="171">
        <f>IFERROR(U299/2,"0")</f>
      </c>
    </row>
    <row x14ac:dyDescent="0.25" r="300" customHeight="1" ht="18.75">
      <c r="A300" s="158">
        <f>A299+1</f>
      </c>
      <c r="B300" s="159">
        <v>45834</v>
      </c>
      <c r="C300" s="173" t="s">
        <v>809</v>
      </c>
      <c r="D300" s="159"/>
      <c r="E300" s="173" t="s">
        <v>245</v>
      </c>
      <c r="F300" s="204"/>
      <c r="G300" s="173" t="s">
        <v>251</v>
      </c>
      <c r="H300" s="173"/>
      <c r="I300" s="184">
        <v>709</v>
      </c>
      <c r="J300" s="173"/>
      <c r="K300" s="184"/>
      <c r="L300" s="173"/>
      <c r="M300" s="185">
        <f>IFERROR(VLOOKUP(L300,'Material Master'!B:C,2,0),"")</f>
      </c>
      <c r="N300" s="184"/>
      <c r="O300" s="186">
        <f>IFERROR(M300*N300,"")</f>
      </c>
      <c r="P300" s="173"/>
      <c r="Q300" s="184"/>
      <c r="R300" s="187">
        <v>45809</v>
      </c>
      <c r="S300" s="173" t="s">
        <v>728</v>
      </c>
      <c r="T300" s="188"/>
      <c r="U300" s="184"/>
      <c r="V300" s="185">
        <v>31</v>
      </c>
      <c r="W300" s="189">
        <f>IFERROR(U300*V300,"0")</f>
      </c>
      <c r="X300" s="190"/>
      <c r="Y300" s="191">
        <f>IFERROR((O300/1000)*Masters!$C$3,"0")</f>
      </c>
      <c r="Z300" s="192"/>
      <c r="AA300" s="164">
        <f>IFERROR(VLOOKUP(L300,Masters!G:H,2,0),"0")</f>
      </c>
      <c r="AB300" s="166">
        <f>IFERROR(AA300*N300,"0")</f>
      </c>
      <c r="AC300" s="193"/>
      <c r="AD300" s="190"/>
      <c r="AE300" s="166">
        <f>W300+Y300+AB300+AD300</f>
      </c>
      <c r="AF300" s="192"/>
      <c r="AG300" s="169">
        <f>M300&amp;"-"&amp;F300</f>
      </c>
      <c r="AH300" s="191">
        <f>IFERROR(VLOOKUP(AG300,Masters!N:O,2,0),"0")</f>
      </c>
      <c r="AI300" s="166">
        <f>AH300*N300</f>
      </c>
      <c r="AJ300" s="190"/>
      <c r="AK300" s="170">
        <f>AI300-AE300</f>
      </c>
      <c r="AL300" s="192"/>
      <c r="AM300" s="188"/>
      <c r="AN300" s="171">
        <f>IFERROR(U300/2,"0")</f>
      </c>
    </row>
    <row x14ac:dyDescent="0.25" r="301" customHeight="1" ht="18.75">
      <c r="A301" s="158">
        <f>A300+1</f>
      </c>
      <c r="B301" s="159">
        <v>45834</v>
      </c>
      <c r="C301" s="198" t="s">
        <v>810</v>
      </c>
      <c r="D301" s="159">
        <v>45834</v>
      </c>
      <c r="E301" s="198" t="s">
        <v>204</v>
      </c>
      <c r="F301" s="160" t="s">
        <v>231</v>
      </c>
      <c r="G301" s="147" t="s">
        <v>530</v>
      </c>
      <c r="H301" s="198" t="s">
        <v>304</v>
      </c>
      <c r="I301" s="158">
        <v>1109</v>
      </c>
      <c r="J301" s="147" t="s">
        <v>301</v>
      </c>
      <c r="K301" s="199">
        <v>279</v>
      </c>
      <c r="L301" s="198" t="s">
        <v>15</v>
      </c>
      <c r="M301" s="161">
        <f>IFERROR(VLOOKUP(L301,'Material Master'!B:C,2,0),"")</f>
      </c>
      <c r="N301" s="199">
        <v>30</v>
      </c>
      <c r="O301" s="162">
        <f>IFERROR(M301*N301,"")</f>
      </c>
      <c r="P301" s="198" t="s">
        <v>402</v>
      </c>
      <c r="Q301" s="158" t="s">
        <v>811</v>
      </c>
      <c r="R301" s="163">
        <v>45809</v>
      </c>
      <c r="S301" s="147"/>
      <c r="T301" s="6"/>
      <c r="U301" s="158">
        <v>190</v>
      </c>
      <c r="V301" s="164">
        <v>31</v>
      </c>
      <c r="W301" s="165">
        <f>IFERROR(U301*V301,"0")</f>
      </c>
      <c r="X301" s="7"/>
      <c r="Y301" s="166">
        <f>IFERROR((O301/1000)*Masters!$C$3,"0")</f>
      </c>
      <c r="Z301" s="195"/>
      <c r="AA301" s="164">
        <f>IFERROR(VLOOKUP(L301,Masters!G:H,2,0),"0")</f>
      </c>
      <c r="AB301" s="166">
        <f>IFERROR(AA301*N301,"0")</f>
      </c>
      <c r="AC301" s="196"/>
      <c r="AD301" s="7"/>
      <c r="AE301" s="166">
        <f>W301+Y301+AB301+AD301</f>
      </c>
      <c r="AF301" s="195"/>
      <c r="AG301" s="169">
        <f>M301&amp;"-"&amp;F301</f>
      </c>
      <c r="AH301" s="166">
        <f>IFERROR(VLOOKUP(AG301,Masters!N:O,2,0),"0")</f>
      </c>
      <c r="AI301" s="166">
        <f>AH301*N301</f>
      </c>
      <c r="AJ301" s="7"/>
      <c r="AK301" s="170">
        <f>AI301-AE301</f>
      </c>
      <c r="AL301" s="195"/>
      <c r="AM301" s="6"/>
      <c r="AN301" s="171">
        <f>IFERROR(U301/2,"0")</f>
      </c>
    </row>
    <row x14ac:dyDescent="0.25" r="302" customHeight="1" ht="18.75">
      <c r="A302" s="158">
        <f>A301+1</f>
      </c>
      <c r="B302" s="159">
        <v>45835</v>
      </c>
      <c r="C302" s="198" t="s">
        <v>812</v>
      </c>
      <c r="D302" s="159">
        <v>45835</v>
      </c>
      <c r="E302" s="198" t="s">
        <v>148</v>
      </c>
      <c r="F302" s="160" t="s">
        <v>231</v>
      </c>
      <c r="G302" s="147" t="s">
        <v>151</v>
      </c>
      <c r="H302" s="198" t="s">
        <v>305</v>
      </c>
      <c r="I302" s="158">
        <v>1109</v>
      </c>
      <c r="J302" s="147" t="s">
        <v>301</v>
      </c>
      <c r="K302" s="199">
        <v>280</v>
      </c>
      <c r="L302" s="198" t="s">
        <v>10</v>
      </c>
      <c r="M302" s="161">
        <f>IFERROR(VLOOKUP(L302,'Material Master'!B:C,2,0),"")</f>
      </c>
      <c r="N302" s="199">
        <v>300</v>
      </c>
      <c r="O302" s="162">
        <f>IFERROR(M302*N302,"")</f>
      </c>
      <c r="P302" s="198" t="s">
        <v>402</v>
      </c>
      <c r="Q302" s="158" t="s">
        <v>813</v>
      </c>
      <c r="R302" s="163">
        <v>45809</v>
      </c>
      <c r="S302" s="147"/>
      <c r="T302" s="6"/>
      <c r="U302" s="158">
        <v>231</v>
      </c>
      <c r="V302" s="164">
        <v>31</v>
      </c>
      <c r="W302" s="165">
        <f>IFERROR(U302*V302,"0")</f>
      </c>
      <c r="X302" s="7"/>
      <c r="Y302" s="166">
        <f>IFERROR((O302/1000)*Masters!$C$3,"0")</f>
      </c>
      <c r="Z302" s="195"/>
      <c r="AA302" s="164">
        <f>IFERROR(VLOOKUP(L302,Masters!G:H,2,0),"0")</f>
      </c>
      <c r="AB302" s="166">
        <f>IFERROR(AA302*N302,"0")</f>
      </c>
      <c r="AC302" s="196"/>
      <c r="AD302" s="7"/>
      <c r="AE302" s="166">
        <f>W302+Y302+AB302+AD302</f>
      </c>
      <c r="AF302" s="195"/>
      <c r="AG302" s="169">
        <f>M302&amp;"-"&amp;F302</f>
      </c>
      <c r="AH302" s="166">
        <f>IFERROR(VLOOKUP(AG302,Masters!N:O,2,0),"0")</f>
      </c>
      <c r="AI302" s="166">
        <f>AH302*N302</f>
      </c>
      <c r="AJ302" s="7"/>
      <c r="AK302" s="170">
        <f>AI302-AE302</f>
      </c>
      <c r="AL302" s="195"/>
      <c r="AM302" s="6"/>
      <c r="AN302" s="171">
        <f>IFERROR(U302/2,"0")</f>
      </c>
    </row>
    <row x14ac:dyDescent="0.25" r="303" customHeight="1" ht="18.75">
      <c r="A303" s="158">
        <f>A302+1</f>
      </c>
      <c r="B303" s="159">
        <v>45835</v>
      </c>
      <c r="C303" s="198" t="s">
        <v>814</v>
      </c>
      <c r="D303" s="159">
        <v>45835</v>
      </c>
      <c r="E303" s="198" t="s">
        <v>157</v>
      </c>
      <c r="F303" s="160" t="s">
        <v>32</v>
      </c>
      <c r="G303" s="147" t="s">
        <v>158</v>
      </c>
      <c r="H303" s="198" t="s">
        <v>302</v>
      </c>
      <c r="I303" s="158">
        <v>1109</v>
      </c>
      <c r="J303" s="147" t="s">
        <v>301</v>
      </c>
      <c r="K303" s="199">
        <v>281</v>
      </c>
      <c r="L303" s="198" t="s">
        <v>10</v>
      </c>
      <c r="M303" s="161">
        <f>IFERROR(VLOOKUP(L303,'Material Master'!B:C,2,0),"")</f>
      </c>
      <c r="N303" s="199">
        <v>300</v>
      </c>
      <c r="O303" s="162">
        <f>IFERROR(M303*N303,"")</f>
      </c>
      <c r="P303" s="198" t="s">
        <v>402</v>
      </c>
      <c r="Q303" s="158" t="s">
        <v>815</v>
      </c>
      <c r="R303" s="163">
        <v>45809</v>
      </c>
      <c r="S303" s="147"/>
      <c r="T303" s="6"/>
      <c r="U303" s="158">
        <v>416</v>
      </c>
      <c r="V303" s="164">
        <v>31</v>
      </c>
      <c r="W303" s="165">
        <f>IFERROR(U303*V303,"0")</f>
      </c>
      <c r="X303" s="7"/>
      <c r="Y303" s="166">
        <f>IFERROR((O303/1000)*Masters!$C$3,"0")</f>
      </c>
      <c r="Z303" s="195"/>
      <c r="AA303" s="164">
        <f>IFERROR(VLOOKUP(L303,Masters!G:H,2,0),"0")</f>
      </c>
      <c r="AB303" s="166">
        <f>IFERROR(AA303*N303,"0")</f>
      </c>
      <c r="AC303" s="196"/>
      <c r="AD303" s="7"/>
      <c r="AE303" s="166">
        <f>W303+Y303+AB303+AD303</f>
      </c>
      <c r="AF303" s="195"/>
      <c r="AG303" s="169">
        <f>M303&amp;"-"&amp;F303</f>
      </c>
      <c r="AH303" s="166">
        <f>IFERROR(VLOOKUP(AG303,Masters!N:O,2,0),"0")</f>
      </c>
      <c r="AI303" s="166">
        <f>AH303*N303</f>
      </c>
      <c r="AJ303" s="7"/>
      <c r="AK303" s="170">
        <f>AI303-AE303</f>
      </c>
      <c r="AL303" s="195"/>
      <c r="AM303" s="6"/>
      <c r="AN303" s="171">
        <f>IFERROR(U303/2,"0")</f>
      </c>
    </row>
    <row x14ac:dyDescent="0.25" r="304" customHeight="1" ht="18.75">
      <c r="A304" s="158">
        <f>A303+1</f>
      </c>
      <c r="B304" s="159">
        <v>45836</v>
      </c>
      <c r="C304" s="198" t="s">
        <v>816</v>
      </c>
      <c r="D304" s="159">
        <v>45836</v>
      </c>
      <c r="E304" s="198" t="s">
        <v>79</v>
      </c>
      <c r="F304" s="160" t="s">
        <v>32</v>
      </c>
      <c r="G304" s="147" t="s">
        <v>158</v>
      </c>
      <c r="H304" s="198" t="s">
        <v>304</v>
      </c>
      <c r="I304" s="158">
        <v>1109</v>
      </c>
      <c r="J304" s="147" t="s">
        <v>301</v>
      </c>
      <c r="K304" s="199">
        <v>282</v>
      </c>
      <c r="L304" s="198" t="s">
        <v>15</v>
      </c>
      <c r="M304" s="161">
        <f>IFERROR(VLOOKUP(L304,'Material Master'!B:C,2,0),"")</f>
      </c>
      <c r="N304" s="199">
        <v>30</v>
      </c>
      <c r="O304" s="162">
        <f>IFERROR(M304*N304,"")</f>
      </c>
      <c r="P304" s="198" t="s">
        <v>402</v>
      </c>
      <c r="Q304" s="158" t="s">
        <v>817</v>
      </c>
      <c r="R304" s="163">
        <v>45809</v>
      </c>
      <c r="S304" s="147"/>
      <c r="T304" s="6"/>
      <c r="U304" s="158">
        <v>411</v>
      </c>
      <c r="V304" s="164">
        <v>31</v>
      </c>
      <c r="W304" s="165">
        <f>IFERROR(U304*V304,"0")</f>
      </c>
      <c r="X304" s="7"/>
      <c r="Y304" s="166">
        <f>IFERROR((O304/1000)*Masters!$C$3,"0")</f>
      </c>
      <c r="Z304" s="195"/>
      <c r="AA304" s="164">
        <f>IFERROR(VLOOKUP(L304,Masters!G:H,2,0),"0")</f>
      </c>
      <c r="AB304" s="166">
        <f>IFERROR(AA304*N304,"0")</f>
      </c>
      <c r="AC304" s="196"/>
      <c r="AD304" s="7"/>
      <c r="AE304" s="166">
        <f>W304+Y304+AB304+AD304</f>
      </c>
      <c r="AF304" s="195"/>
      <c r="AG304" s="169">
        <f>M304&amp;"-"&amp;F304</f>
      </c>
      <c r="AH304" s="166">
        <f>IFERROR(VLOOKUP(AG304,Masters!N:O,2,0),"0")</f>
      </c>
      <c r="AI304" s="166">
        <f>AH304*N304</f>
      </c>
      <c r="AJ304" s="7"/>
      <c r="AK304" s="170">
        <f>AI304-AE304</f>
      </c>
      <c r="AL304" s="195"/>
      <c r="AM304" s="6"/>
      <c r="AN304" s="171">
        <f>IFERROR(U304/2,"0")</f>
      </c>
    </row>
    <row x14ac:dyDescent="0.25" r="305" customHeight="1" ht="18.75">
      <c r="A305" s="158">
        <f>A304+1</f>
      </c>
      <c r="B305" s="159">
        <v>45836</v>
      </c>
      <c r="C305" s="198" t="s">
        <v>818</v>
      </c>
      <c r="D305" s="159">
        <v>45836</v>
      </c>
      <c r="E305" s="198" t="s">
        <v>253</v>
      </c>
      <c r="F305" s="160" t="s">
        <v>236</v>
      </c>
      <c r="G305" s="147" t="s">
        <v>169</v>
      </c>
      <c r="H305" s="198" t="s">
        <v>303</v>
      </c>
      <c r="I305" s="158">
        <v>1109</v>
      </c>
      <c r="J305" s="147" t="s">
        <v>301</v>
      </c>
      <c r="K305" s="199">
        <v>283</v>
      </c>
      <c r="L305" s="198" t="s">
        <v>10</v>
      </c>
      <c r="M305" s="161">
        <f>IFERROR(VLOOKUP(L305,'Material Master'!B:C,2,0),"")</f>
      </c>
      <c r="N305" s="199">
        <v>300</v>
      </c>
      <c r="O305" s="162">
        <f>IFERROR(M305*N305,"")</f>
      </c>
      <c r="P305" s="198" t="s">
        <v>402</v>
      </c>
      <c r="Q305" s="158" t="s">
        <v>819</v>
      </c>
      <c r="R305" s="163">
        <v>45809</v>
      </c>
      <c r="S305" s="147"/>
      <c r="T305" s="6"/>
      <c r="U305" s="158">
        <v>577</v>
      </c>
      <c r="V305" s="164">
        <v>31</v>
      </c>
      <c r="W305" s="165">
        <f>IFERROR(U305*V305,"0")</f>
      </c>
      <c r="X305" s="7"/>
      <c r="Y305" s="166">
        <f>IFERROR((O305/1000)*Masters!$C$3,"0")</f>
      </c>
      <c r="Z305" s="195"/>
      <c r="AA305" s="164">
        <f>IFERROR(VLOOKUP(L305,Masters!G:H,2,0),"0")</f>
      </c>
      <c r="AB305" s="166">
        <f>IFERROR(AA305*N305,"0")</f>
      </c>
      <c r="AC305" s="196"/>
      <c r="AD305" s="7"/>
      <c r="AE305" s="166">
        <f>W305+Y305+AB305+AD305</f>
      </c>
      <c r="AF305" s="195"/>
      <c r="AG305" s="169">
        <f>M305&amp;"-"&amp;F305</f>
      </c>
      <c r="AH305" s="166">
        <f>IFERROR(VLOOKUP(AG305,Masters!N:O,2,0),"0")</f>
      </c>
      <c r="AI305" s="166">
        <f>AH305*N305</f>
      </c>
      <c r="AJ305" s="7"/>
      <c r="AK305" s="170">
        <f>AI305-AE305</f>
      </c>
      <c r="AL305" s="195"/>
      <c r="AM305" s="6"/>
      <c r="AN305" s="171">
        <f>IFERROR(U305/2,"0")</f>
      </c>
    </row>
    <row x14ac:dyDescent="0.25" r="306" customHeight="1" ht="18.75">
      <c r="A306" s="158">
        <f>A305+1</f>
      </c>
      <c r="B306" s="159">
        <v>45836</v>
      </c>
      <c r="C306" s="198" t="s">
        <v>820</v>
      </c>
      <c r="D306" s="159">
        <v>45836</v>
      </c>
      <c r="E306" s="198" t="s">
        <v>119</v>
      </c>
      <c r="F306" s="160" t="s">
        <v>231</v>
      </c>
      <c r="G306" s="147" t="s">
        <v>493</v>
      </c>
      <c r="H306" s="198" t="s">
        <v>305</v>
      </c>
      <c r="I306" s="158">
        <v>1109</v>
      </c>
      <c r="J306" s="147" t="s">
        <v>301</v>
      </c>
      <c r="K306" s="199">
        <v>284</v>
      </c>
      <c r="L306" s="198" t="s">
        <v>10</v>
      </c>
      <c r="M306" s="161">
        <f>IFERROR(VLOOKUP(L306,'Material Master'!B:C,2,0),"")</f>
      </c>
      <c r="N306" s="199">
        <v>300</v>
      </c>
      <c r="O306" s="162">
        <f>IFERROR(M306*N306,"")</f>
      </c>
      <c r="P306" s="198" t="s">
        <v>402</v>
      </c>
      <c r="Q306" s="158" t="s">
        <v>821</v>
      </c>
      <c r="R306" s="163">
        <v>45809</v>
      </c>
      <c r="S306" s="147"/>
      <c r="T306" s="6"/>
      <c r="U306" s="158">
        <v>84</v>
      </c>
      <c r="V306" s="164">
        <v>31</v>
      </c>
      <c r="W306" s="165">
        <f>IFERROR(U306*V306,"0")</f>
      </c>
      <c r="X306" s="7"/>
      <c r="Y306" s="166">
        <f>IFERROR((O306/1000)*Masters!$C$3,"0")</f>
      </c>
      <c r="Z306" s="195"/>
      <c r="AA306" s="164">
        <f>IFERROR(VLOOKUP(L306,Masters!G:H,2,0),"0")</f>
      </c>
      <c r="AB306" s="166">
        <f>IFERROR(AA306*N306,"0")</f>
      </c>
      <c r="AC306" s="196"/>
      <c r="AD306" s="7"/>
      <c r="AE306" s="166">
        <f>W306+Y306+AB306+AD306</f>
      </c>
      <c r="AF306" s="195"/>
      <c r="AG306" s="169">
        <f>M306&amp;"-"&amp;F306</f>
      </c>
      <c r="AH306" s="166">
        <f>IFERROR(VLOOKUP(AG306,Masters!N:O,2,0),"0")</f>
      </c>
      <c r="AI306" s="166">
        <f>AH306*N306</f>
      </c>
      <c r="AJ306" s="7"/>
      <c r="AK306" s="170">
        <f>AI306-AE306</f>
      </c>
      <c r="AL306" s="195"/>
      <c r="AM306" s="6"/>
      <c r="AN306" s="171">
        <f>IFERROR(U306/2,"0")</f>
      </c>
    </row>
    <row x14ac:dyDescent="0.25" r="307" customHeight="1" ht="18.75">
      <c r="A307" s="158">
        <f>A306+1</f>
      </c>
      <c r="B307" s="159">
        <v>45837</v>
      </c>
      <c r="C307" s="198" t="s">
        <v>822</v>
      </c>
      <c r="D307" s="159">
        <v>45837</v>
      </c>
      <c r="E307" s="198" t="s">
        <v>93</v>
      </c>
      <c r="F307" s="160" t="s">
        <v>231</v>
      </c>
      <c r="G307" s="147" t="s">
        <v>80</v>
      </c>
      <c r="H307" s="198" t="s">
        <v>302</v>
      </c>
      <c r="I307" s="158">
        <v>909</v>
      </c>
      <c r="J307" s="147" t="s">
        <v>301</v>
      </c>
      <c r="K307" s="199">
        <v>285</v>
      </c>
      <c r="L307" s="198" t="s">
        <v>10</v>
      </c>
      <c r="M307" s="161">
        <f>IFERROR(VLOOKUP(L307,'Material Master'!B:C,2,0),"")</f>
      </c>
      <c r="N307" s="199">
        <v>200</v>
      </c>
      <c r="O307" s="162">
        <f>IFERROR(M307*N307,"")</f>
      </c>
      <c r="P307" s="198" t="s">
        <v>402</v>
      </c>
      <c r="Q307" s="158" t="s">
        <v>823</v>
      </c>
      <c r="R307" s="163">
        <v>45809</v>
      </c>
      <c r="S307" s="147"/>
      <c r="T307" s="6"/>
      <c r="U307" s="158">
        <v>144</v>
      </c>
      <c r="V307" s="164">
        <v>31</v>
      </c>
      <c r="W307" s="165">
        <f>IFERROR(U307*V307,"0")</f>
      </c>
      <c r="X307" s="7"/>
      <c r="Y307" s="166">
        <f>IFERROR((O307/1000)*Masters!$C$3,"0")</f>
      </c>
      <c r="Z307" s="195"/>
      <c r="AA307" s="164">
        <f>IFERROR(VLOOKUP(L307,Masters!G:H,2,0),"0")</f>
      </c>
      <c r="AB307" s="166">
        <f>IFERROR(AA307*N307,"0")</f>
      </c>
      <c r="AC307" s="196"/>
      <c r="AD307" s="7"/>
      <c r="AE307" s="166">
        <f>W307+Y307+AB307+AD307</f>
      </c>
      <c r="AF307" s="195"/>
      <c r="AG307" s="169">
        <f>M307&amp;"-"&amp;F307</f>
      </c>
      <c r="AH307" s="166">
        <f>IFERROR(VLOOKUP(AG307,Masters!N:O,2,0),"0")</f>
      </c>
      <c r="AI307" s="166">
        <f>AH307*N307</f>
      </c>
      <c r="AJ307" s="7"/>
      <c r="AK307" s="170">
        <f>AI307-AE307</f>
      </c>
      <c r="AL307" s="195"/>
      <c r="AM307" s="6"/>
      <c r="AN307" s="171">
        <f>IFERROR(U307/2,"0")</f>
      </c>
    </row>
    <row x14ac:dyDescent="0.25" r="308" customHeight="1" ht="18.75">
      <c r="A308" s="158">
        <f>A307+1</f>
      </c>
      <c r="B308" s="159">
        <v>45837</v>
      </c>
      <c r="C308" s="198" t="s">
        <v>824</v>
      </c>
      <c r="D308" s="159">
        <v>45837</v>
      </c>
      <c r="E308" s="198" t="s">
        <v>79</v>
      </c>
      <c r="F308" s="160" t="s">
        <v>231</v>
      </c>
      <c r="G308" s="147" t="s">
        <v>80</v>
      </c>
      <c r="H308" s="198" t="s">
        <v>305</v>
      </c>
      <c r="I308" s="158">
        <v>1109</v>
      </c>
      <c r="J308" s="147" t="s">
        <v>301</v>
      </c>
      <c r="K308" s="199">
        <v>287</v>
      </c>
      <c r="L308" s="198" t="s">
        <v>15</v>
      </c>
      <c r="M308" s="161">
        <f>IFERROR(VLOOKUP(L308,'Material Master'!B:C,2,0),"")</f>
      </c>
      <c r="N308" s="199">
        <v>30</v>
      </c>
      <c r="O308" s="162">
        <f>IFERROR(M308*N308,"")</f>
      </c>
      <c r="P308" s="198" t="s">
        <v>402</v>
      </c>
      <c r="Q308" s="158" t="s">
        <v>825</v>
      </c>
      <c r="R308" s="163">
        <v>45809</v>
      </c>
      <c r="S308" s="147"/>
      <c r="T308" s="6"/>
      <c r="U308" s="158">
        <v>152</v>
      </c>
      <c r="V308" s="164">
        <v>31</v>
      </c>
      <c r="W308" s="165">
        <f>IFERROR(U308*V308,"0")</f>
      </c>
      <c r="X308" s="7"/>
      <c r="Y308" s="166">
        <f>IFERROR((O308/1000)*Masters!$C$3,"0")</f>
      </c>
      <c r="Z308" s="195"/>
      <c r="AA308" s="164">
        <f>IFERROR(VLOOKUP(L308,Masters!G:H,2,0),"0")</f>
      </c>
      <c r="AB308" s="166">
        <f>IFERROR(AA308*N308,"0")</f>
      </c>
      <c r="AC308" s="196"/>
      <c r="AD308" s="7"/>
      <c r="AE308" s="166">
        <f>W308+Y308+AB308+AD308</f>
      </c>
      <c r="AF308" s="195"/>
      <c r="AG308" s="169">
        <f>M308&amp;"-"&amp;F308</f>
      </c>
      <c r="AH308" s="166">
        <f>IFERROR(VLOOKUP(AG308,Masters!N:O,2,0),"0")</f>
      </c>
      <c r="AI308" s="166">
        <f>AH308*N308</f>
      </c>
      <c r="AJ308" s="7"/>
      <c r="AK308" s="170">
        <f>AI308-AE308</f>
      </c>
      <c r="AL308" s="195"/>
      <c r="AM308" s="6"/>
      <c r="AN308" s="171">
        <f>IFERROR(U308/2,"0")</f>
      </c>
    </row>
    <row x14ac:dyDescent="0.25" r="309" customHeight="1" ht="18.75">
      <c r="A309" s="158">
        <f>A308+1</f>
      </c>
      <c r="B309" s="159">
        <v>45837</v>
      </c>
      <c r="C309" s="198" t="s">
        <v>826</v>
      </c>
      <c r="D309" s="159">
        <v>45837</v>
      </c>
      <c r="E309" s="198" t="s">
        <v>79</v>
      </c>
      <c r="F309" s="160" t="s">
        <v>32</v>
      </c>
      <c r="G309" s="147" t="s">
        <v>167</v>
      </c>
      <c r="H309" s="198" t="s">
        <v>304</v>
      </c>
      <c r="I309" s="158">
        <v>1109</v>
      </c>
      <c r="J309" s="147" t="s">
        <v>301</v>
      </c>
      <c r="K309" s="199">
        <v>286</v>
      </c>
      <c r="L309" s="198" t="s">
        <v>15</v>
      </c>
      <c r="M309" s="161">
        <f>IFERROR(VLOOKUP(L309,'Material Master'!B:C,2,0),"")</f>
      </c>
      <c r="N309" s="199">
        <v>30</v>
      </c>
      <c r="O309" s="162">
        <f>IFERROR(M309*N309,"")</f>
      </c>
      <c r="P309" s="198" t="s">
        <v>402</v>
      </c>
      <c r="Q309" s="158" t="s">
        <v>827</v>
      </c>
      <c r="R309" s="163">
        <v>45809</v>
      </c>
      <c r="S309" s="147"/>
      <c r="T309" s="6"/>
      <c r="U309" s="158">
        <v>375</v>
      </c>
      <c r="V309" s="164">
        <v>31</v>
      </c>
      <c r="W309" s="165">
        <f>IFERROR(U309*V309,"0")</f>
      </c>
      <c r="X309" s="7"/>
      <c r="Y309" s="166">
        <f>IFERROR((O309/1000)*Masters!$C$3,"0")</f>
      </c>
      <c r="Z309" s="195"/>
      <c r="AA309" s="164">
        <f>IFERROR(VLOOKUP(L309,Masters!G:H,2,0),"0")</f>
      </c>
      <c r="AB309" s="166">
        <f>IFERROR(AA309*N309,"0")</f>
      </c>
      <c r="AC309" s="196"/>
      <c r="AD309" s="7"/>
      <c r="AE309" s="166">
        <f>W309+Y309+AB309+AD309</f>
      </c>
      <c r="AF309" s="195"/>
      <c r="AG309" s="169">
        <f>M309&amp;"-"&amp;F309</f>
      </c>
      <c r="AH309" s="166">
        <f>IFERROR(VLOOKUP(AG309,Masters!N:O,2,0),"0")</f>
      </c>
      <c r="AI309" s="166">
        <f>AH309*N309</f>
      </c>
      <c r="AJ309" s="7"/>
      <c r="AK309" s="170">
        <f>AI309-AE309</f>
      </c>
      <c r="AL309" s="195"/>
      <c r="AM309" s="6"/>
      <c r="AN309" s="171">
        <f>IFERROR(U309/2,"0")</f>
      </c>
    </row>
    <row x14ac:dyDescent="0.25" r="310" customHeight="1" ht="18.75">
      <c r="A310" s="158">
        <f>A309+1</f>
      </c>
      <c r="B310" s="159">
        <v>45838</v>
      </c>
      <c r="C310" s="198" t="s">
        <v>828</v>
      </c>
      <c r="D310" s="159">
        <v>45838</v>
      </c>
      <c r="E310" s="198" t="s">
        <v>79</v>
      </c>
      <c r="F310" s="160" t="s">
        <v>32</v>
      </c>
      <c r="G310" s="147" t="s">
        <v>155</v>
      </c>
      <c r="H310" s="198" t="s">
        <v>302</v>
      </c>
      <c r="I310" s="158">
        <v>1109</v>
      </c>
      <c r="J310" s="147" t="s">
        <v>301</v>
      </c>
      <c r="K310" s="199">
        <v>288</v>
      </c>
      <c r="L310" s="198" t="s">
        <v>15</v>
      </c>
      <c r="M310" s="161">
        <f>IFERROR(VLOOKUP(L310,'Material Master'!B:C,2,0),"")</f>
      </c>
      <c r="N310" s="199">
        <v>30</v>
      </c>
      <c r="O310" s="162">
        <f>IFERROR(M310*N310,"")</f>
      </c>
      <c r="P310" s="198" t="s">
        <v>402</v>
      </c>
      <c r="Q310" s="158" t="s">
        <v>829</v>
      </c>
      <c r="R310" s="163">
        <v>45809</v>
      </c>
      <c r="S310" s="147"/>
      <c r="T310" s="6"/>
      <c r="U310" s="158">
        <v>287</v>
      </c>
      <c r="V310" s="164">
        <v>31</v>
      </c>
      <c r="W310" s="165">
        <f>IFERROR(U310*V310,"0")</f>
      </c>
      <c r="X310" s="7"/>
      <c r="Y310" s="166">
        <f>IFERROR((O310/1000)*Masters!$C$3,"0")</f>
      </c>
      <c r="Z310" s="195"/>
      <c r="AA310" s="164">
        <f>IFERROR(VLOOKUP(L310,Masters!G:H,2,0),"0")</f>
      </c>
      <c r="AB310" s="166">
        <f>IFERROR(AA310*N310,"0")</f>
      </c>
      <c r="AC310" s="196"/>
      <c r="AD310" s="7"/>
      <c r="AE310" s="166">
        <f>W310+Y310+AB310+AD310</f>
      </c>
      <c r="AF310" s="195"/>
      <c r="AG310" s="169">
        <f>M310&amp;"-"&amp;F310</f>
      </c>
      <c r="AH310" s="166">
        <f>IFERROR(VLOOKUP(AG310,Masters!N:O,2,0),"0")</f>
      </c>
      <c r="AI310" s="166">
        <f>AH310*N310</f>
      </c>
      <c r="AJ310" s="7"/>
      <c r="AK310" s="170">
        <f>AI310-AE310</f>
      </c>
      <c r="AL310" s="195"/>
      <c r="AM310" s="6"/>
      <c r="AN310" s="171">
        <f>IFERROR(U310/2,"0")</f>
      </c>
    </row>
    <row x14ac:dyDescent="0.25" r="311" customHeight="1" ht="18.75">
      <c r="A311" s="158">
        <f>A310+1</f>
      </c>
      <c r="B311" s="159">
        <v>45838</v>
      </c>
      <c r="C311" s="198" t="s">
        <v>830</v>
      </c>
      <c r="D311" s="159">
        <v>45838</v>
      </c>
      <c r="E311" s="198" t="s">
        <v>190</v>
      </c>
      <c r="F311" s="160" t="s">
        <v>236</v>
      </c>
      <c r="G311" s="147" t="s">
        <v>191</v>
      </c>
      <c r="H311" s="198" t="s">
        <v>303</v>
      </c>
      <c r="I311" s="158">
        <v>1109</v>
      </c>
      <c r="J311" s="147" t="s">
        <v>301</v>
      </c>
      <c r="K311" s="199">
        <v>289</v>
      </c>
      <c r="L311" s="198" t="s">
        <v>10</v>
      </c>
      <c r="M311" s="161">
        <f>IFERROR(VLOOKUP(L311,'Material Master'!B:C,2,0),"")</f>
      </c>
      <c r="N311" s="199">
        <v>300</v>
      </c>
      <c r="O311" s="162">
        <f>IFERROR(M311*N311,"")</f>
      </c>
      <c r="P311" s="198" t="s">
        <v>402</v>
      </c>
      <c r="Q311" s="158" t="s">
        <v>831</v>
      </c>
      <c r="R311" s="163">
        <v>45809</v>
      </c>
      <c r="S311" s="147"/>
      <c r="T311" s="6"/>
      <c r="U311" s="158">
        <v>589</v>
      </c>
      <c r="V311" s="164">
        <v>31</v>
      </c>
      <c r="W311" s="165">
        <f>IFERROR(U311*V311,"0")</f>
      </c>
      <c r="X311" s="7"/>
      <c r="Y311" s="166">
        <f>IFERROR((O311/1000)*Masters!$C$3,"0")</f>
      </c>
      <c r="Z311" s="195"/>
      <c r="AA311" s="164">
        <f>IFERROR(VLOOKUP(L311,Masters!G:H,2,0),"0")</f>
      </c>
      <c r="AB311" s="166">
        <f>IFERROR(AA311*N311,"0")</f>
      </c>
      <c r="AC311" s="196"/>
      <c r="AD311" s="7"/>
      <c r="AE311" s="166">
        <f>W311+Y311+AB311+AD311</f>
      </c>
      <c r="AF311" s="195"/>
      <c r="AG311" s="169">
        <f>M311&amp;"-"&amp;F311</f>
      </c>
      <c r="AH311" s="166">
        <f>IFERROR(VLOOKUP(AG311,Masters!N:O,2,0),"0")</f>
      </c>
      <c r="AI311" s="166">
        <f>AH311*N311</f>
      </c>
      <c r="AJ311" s="7"/>
      <c r="AK311" s="170">
        <f>AI311-AE311</f>
      </c>
      <c r="AL311" s="195"/>
      <c r="AM311" s="6"/>
      <c r="AN311" s="171">
        <f>IFERROR(U311/2,"0")</f>
      </c>
    </row>
    <row x14ac:dyDescent="0.25" r="312" customHeight="1" ht="18.75">
      <c r="A312" s="158">
        <f>A311+1</f>
      </c>
      <c r="B312" s="159">
        <v>45838</v>
      </c>
      <c r="C312" s="198" t="s">
        <v>832</v>
      </c>
      <c r="D312" s="159">
        <v>45841</v>
      </c>
      <c r="E312" s="198" t="s">
        <v>119</v>
      </c>
      <c r="F312" s="160" t="s">
        <v>231</v>
      </c>
      <c r="G312" s="147" t="s">
        <v>230</v>
      </c>
      <c r="H312" s="198" t="s">
        <v>302</v>
      </c>
      <c r="I312" s="158">
        <v>1109</v>
      </c>
      <c r="J312" s="147" t="s">
        <v>301</v>
      </c>
      <c r="K312" s="199">
        <v>293</v>
      </c>
      <c r="L312" s="198" t="s">
        <v>10</v>
      </c>
      <c r="M312" s="161">
        <f>IFERROR(VLOOKUP(L312,'Material Master'!B:C,2,0),"")</f>
      </c>
      <c r="N312" s="199">
        <v>300</v>
      </c>
      <c r="O312" s="162">
        <f>IFERROR(M312*N312,"")</f>
      </c>
      <c r="P312" s="198" t="s">
        <v>402</v>
      </c>
      <c r="Q312" s="158" t="s">
        <v>833</v>
      </c>
      <c r="R312" s="163">
        <v>45809</v>
      </c>
      <c r="S312" s="147"/>
      <c r="T312" s="6"/>
      <c r="U312" s="158">
        <v>93</v>
      </c>
      <c r="V312" s="164">
        <v>31</v>
      </c>
      <c r="W312" s="165">
        <f>IFERROR(U312*V312,"0")</f>
      </c>
      <c r="X312" s="7"/>
      <c r="Y312" s="166">
        <f>IFERROR((O312/1000)*Masters!$C$3,"0")</f>
      </c>
      <c r="Z312" s="195"/>
      <c r="AA312" s="164">
        <f>IFERROR(VLOOKUP(L312,Masters!G:H,2,0),"0")</f>
      </c>
      <c r="AB312" s="166">
        <f>IFERROR(AA312*N312,"0")</f>
      </c>
      <c r="AC312" s="196"/>
      <c r="AD312" s="7"/>
      <c r="AE312" s="166">
        <f>W312+Y312+AB312+AD312</f>
      </c>
      <c r="AF312" s="195"/>
      <c r="AG312" s="169">
        <f>M312&amp;"-"&amp;F312</f>
      </c>
      <c r="AH312" s="166">
        <f>IFERROR(VLOOKUP(AG312,Masters!N:O,2,0),"0")</f>
      </c>
      <c r="AI312" s="166">
        <f>AH312*N312</f>
      </c>
      <c r="AJ312" s="7"/>
      <c r="AK312" s="170">
        <f>AI312-AE312</f>
      </c>
      <c r="AL312" s="195"/>
      <c r="AM312" s="6"/>
      <c r="AN312" s="171">
        <f>IFERROR(U312/2,"0")</f>
      </c>
    </row>
    <row x14ac:dyDescent="0.25" r="313" customHeight="1" ht="18.75">
      <c r="A313" s="158">
        <f>A312+1</f>
      </c>
      <c r="B313" s="159">
        <v>45838</v>
      </c>
      <c r="C313" s="198" t="s">
        <v>834</v>
      </c>
      <c r="D313" s="159">
        <v>45850</v>
      </c>
      <c r="E313" s="198" t="s">
        <v>119</v>
      </c>
      <c r="F313" s="160" t="s">
        <v>231</v>
      </c>
      <c r="G313" s="147" t="s">
        <v>230</v>
      </c>
      <c r="H313" s="198" t="s">
        <v>305</v>
      </c>
      <c r="I313" s="158">
        <v>1109</v>
      </c>
      <c r="J313" s="147" t="s">
        <v>301</v>
      </c>
      <c r="K313" s="199">
        <v>315</v>
      </c>
      <c r="L313" s="198" t="s">
        <v>10</v>
      </c>
      <c r="M313" s="161">
        <f>IFERROR(VLOOKUP(L313,'Material Master'!B:C,2,0),"")</f>
      </c>
      <c r="N313" s="199">
        <v>300</v>
      </c>
      <c r="O313" s="162">
        <f>IFERROR(M313*N313,"")</f>
      </c>
      <c r="P313" s="198" t="s">
        <v>402</v>
      </c>
      <c r="Q313" s="158" t="s">
        <v>835</v>
      </c>
      <c r="R313" s="163">
        <v>45809</v>
      </c>
      <c r="S313" s="147"/>
      <c r="T313" s="6"/>
      <c r="U313" s="158">
        <v>90</v>
      </c>
      <c r="V313" s="164">
        <v>31</v>
      </c>
      <c r="W313" s="165">
        <f>IFERROR(U313*V313,"0")</f>
      </c>
      <c r="X313" s="7"/>
      <c r="Y313" s="166">
        <f>IFERROR((O313/1000)*Masters!$C$3,"0")</f>
      </c>
      <c r="Z313" s="195"/>
      <c r="AA313" s="164">
        <f>IFERROR(VLOOKUP(L313,Masters!G:H,2,0),"0")</f>
      </c>
      <c r="AB313" s="166">
        <f>IFERROR(AA313*N313,"0")</f>
      </c>
      <c r="AC313" s="196"/>
      <c r="AD313" s="7"/>
      <c r="AE313" s="166">
        <f>W313+Y313+AB313+AD313</f>
      </c>
      <c r="AF313" s="195"/>
      <c r="AG313" s="169">
        <f>M313&amp;"-"&amp;F313</f>
      </c>
      <c r="AH313" s="166">
        <f>IFERROR(VLOOKUP(AG313,Masters!N:O,2,0),"0")</f>
      </c>
      <c r="AI313" s="166">
        <f>AH313*N313</f>
      </c>
      <c r="AJ313" s="7"/>
      <c r="AK313" s="170">
        <f>AI313-AE313</f>
      </c>
      <c r="AL313" s="195"/>
      <c r="AM313" s="6"/>
      <c r="AN313" s="171">
        <f>IFERROR(U313/2,"0")</f>
      </c>
    </row>
    <row x14ac:dyDescent="0.25" r="314" customHeight="1" ht="18.75">
      <c r="A314" s="158">
        <f>A313+1</f>
      </c>
      <c r="B314" s="159">
        <v>45838</v>
      </c>
      <c r="C314" s="198" t="s">
        <v>836</v>
      </c>
      <c r="D314" s="159">
        <v>45839</v>
      </c>
      <c r="E314" s="198" t="s">
        <v>148</v>
      </c>
      <c r="F314" s="160" t="s">
        <v>231</v>
      </c>
      <c r="G314" s="147" t="s">
        <v>203</v>
      </c>
      <c r="H314" s="198" t="s">
        <v>305</v>
      </c>
      <c r="I314" s="158">
        <v>1109</v>
      </c>
      <c r="J314" s="147" t="s">
        <v>301</v>
      </c>
      <c r="K314" s="199">
        <v>290</v>
      </c>
      <c r="L314" s="198" t="s">
        <v>10</v>
      </c>
      <c r="M314" s="161">
        <f>IFERROR(VLOOKUP(L314,'Material Master'!B:C,2,0),"")</f>
      </c>
      <c r="N314" s="199">
        <v>300</v>
      </c>
      <c r="O314" s="162">
        <f>IFERROR(M314*N314,"")</f>
      </c>
      <c r="P314" s="198" t="s">
        <v>402</v>
      </c>
      <c r="Q314" s="158" t="s">
        <v>837</v>
      </c>
      <c r="R314" s="163">
        <v>45809</v>
      </c>
      <c r="S314" s="147"/>
      <c r="T314" s="6"/>
      <c r="U314" s="158">
        <v>130</v>
      </c>
      <c r="V314" s="164">
        <v>31</v>
      </c>
      <c r="W314" s="165">
        <f>IFERROR(U314*V314,"0")</f>
      </c>
      <c r="X314" s="7"/>
      <c r="Y314" s="166">
        <f>IFERROR((O314/1000)*Masters!$C$3,"0")</f>
      </c>
      <c r="Z314" s="195"/>
      <c r="AA314" s="164">
        <f>IFERROR(VLOOKUP(L314,Masters!G:H,2,0),"0")</f>
      </c>
      <c r="AB314" s="166">
        <f>IFERROR(AA314*N314,"0")</f>
      </c>
      <c r="AC314" s="196"/>
      <c r="AD314" s="7"/>
      <c r="AE314" s="166">
        <f>W314+Y314+AB314+AD314</f>
      </c>
      <c r="AF314" s="195"/>
      <c r="AG314" s="169">
        <f>M314&amp;"-"&amp;F314</f>
      </c>
      <c r="AH314" s="166">
        <f>IFERROR(VLOOKUP(AG314,Masters!N:O,2,0),"0")</f>
      </c>
      <c r="AI314" s="166">
        <f>AH314*N314</f>
      </c>
      <c r="AJ314" s="7"/>
      <c r="AK314" s="170">
        <f>AI314-AE314</f>
      </c>
      <c r="AL314" s="195"/>
      <c r="AM314" s="6"/>
      <c r="AN314" s="171">
        <f>IFERROR(U314/2,"0")</f>
      </c>
    </row>
    <row x14ac:dyDescent="0.25" r="315" customHeight="1" ht="18.75">
      <c r="A315" s="158">
        <f>A314+1</f>
      </c>
      <c r="B315" s="159">
        <v>45838</v>
      </c>
      <c r="C315" s="173" t="s">
        <v>838</v>
      </c>
      <c r="D315" s="159"/>
      <c r="E315" s="173" t="s">
        <v>148</v>
      </c>
      <c r="F315" s="204"/>
      <c r="G315" s="173" t="s">
        <v>203</v>
      </c>
      <c r="H315" s="173"/>
      <c r="I315" s="184">
        <v>2515</v>
      </c>
      <c r="J315" s="173"/>
      <c r="K315" s="184"/>
      <c r="L315" s="173"/>
      <c r="M315" s="185">
        <f>IFERROR(VLOOKUP(L315,'Material Master'!B:C,2,0),"")</f>
      </c>
      <c r="N315" s="184"/>
      <c r="O315" s="186">
        <f>IFERROR(M315*N315,"")</f>
      </c>
      <c r="P315" s="173"/>
      <c r="Q315" s="184"/>
      <c r="R315" s="187">
        <v>45809</v>
      </c>
      <c r="S315" s="173" t="s">
        <v>839</v>
      </c>
      <c r="T315" s="188"/>
      <c r="U315" s="184"/>
      <c r="V315" s="185">
        <v>31</v>
      </c>
      <c r="W315" s="189">
        <f>IFERROR(U315*V315,"0")</f>
      </c>
      <c r="X315" s="190"/>
      <c r="Y315" s="191">
        <f>IFERROR((O315/1000)*Masters!$C$3,"0")</f>
      </c>
      <c r="Z315" s="192"/>
      <c r="AA315" s="164">
        <f>IFERROR(VLOOKUP(L315,Masters!G:H,2,0),"0")</f>
      </c>
      <c r="AB315" s="166">
        <f>IFERROR(AA315*N315,"0")</f>
      </c>
      <c r="AC315" s="193"/>
      <c r="AD315" s="190"/>
      <c r="AE315" s="166">
        <f>W315+Y315+AB315+AD315</f>
      </c>
      <c r="AF315" s="192"/>
      <c r="AG315" s="169">
        <f>M315&amp;"-"&amp;F315</f>
      </c>
      <c r="AH315" s="191">
        <f>IFERROR(VLOOKUP(AG315,Masters!N:O,2,0),"0")</f>
      </c>
      <c r="AI315" s="166">
        <f>AH315*N315</f>
      </c>
      <c r="AJ315" s="190"/>
      <c r="AK315" s="170">
        <f>AI315-AE315</f>
      </c>
      <c r="AL315" s="192"/>
      <c r="AM315" s="188"/>
      <c r="AN315" s="171">
        <f>IFERROR(U315/2,"0")</f>
      </c>
    </row>
    <row x14ac:dyDescent="0.25" r="316" customHeight="1" ht="18.75">
      <c r="A316" s="158">
        <f>A315+1</f>
      </c>
      <c r="B316" s="159">
        <v>45838</v>
      </c>
      <c r="C316" s="173" t="s">
        <v>840</v>
      </c>
      <c r="D316" s="159"/>
      <c r="E316" s="173" t="s">
        <v>148</v>
      </c>
      <c r="F316" s="204"/>
      <c r="G316" s="173" t="s">
        <v>203</v>
      </c>
      <c r="H316" s="173"/>
      <c r="I316" s="184">
        <v>2515</v>
      </c>
      <c r="J316" s="173"/>
      <c r="K316" s="184"/>
      <c r="L316" s="173"/>
      <c r="M316" s="185">
        <f>IFERROR(VLOOKUP(L316,'Material Master'!B:C,2,0),"")</f>
      </c>
      <c r="N316" s="184"/>
      <c r="O316" s="186">
        <f>IFERROR(M316*N316,"")</f>
      </c>
      <c r="P316" s="173"/>
      <c r="Q316" s="184"/>
      <c r="R316" s="187">
        <v>45809</v>
      </c>
      <c r="S316" s="173" t="s">
        <v>839</v>
      </c>
      <c r="T316" s="188"/>
      <c r="U316" s="184"/>
      <c r="V316" s="185">
        <v>31</v>
      </c>
      <c r="W316" s="189">
        <f>IFERROR(U316*V316,"0")</f>
      </c>
      <c r="X316" s="190"/>
      <c r="Y316" s="191">
        <f>IFERROR((O316/1000)*Masters!$C$3,"0")</f>
      </c>
      <c r="Z316" s="192"/>
      <c r="AA316" s="164">
        <f>IFERROR(VLOOKUP(L316,Masters!G:H,2,0),"0")</f>
      </c>
      <c r="AB316" s="166">
        <f>IFERROR(AA316*N316,"0")</f>
      </c>
      <c r="AC316" s="193"/>
      <c r="AD316" s="190"/>
      <c r="AE316" s="166">
        <f>W316+Y316+AB316+AD316</f>
      </c>
      <c r="AF316" s="192"/>
      <c r="AG316" s="169">
        <f>M316&amp;"-"&amp;F316</f>
      </c>
      <c r="AH316" s="191">
        <f>IFERROR(VLOOKUP(AG316,Masters!N:O,2,0),"0")</f>
      </c>
      <c r="AI316" s="166">
        <f>AH316*N316</f>
      </c>
      <c r="AJ316" s="190"/>
      <c r="AK316" s="170">
        <f>AI316-AE316</f>
      </c>
      <c r="AL316" s="192"/>
      <c r="AM316" s="188"/>
      <c r="AN316" s="171">
        <f>IFERROR(U316/2,"0")</f>
      </c>
    </row>
    <row x14ac:dyDescent="0.25" r="317" customHeight="1" ht="18.75">
      <c r="A317" s="158">
        <f>A316+1</f>
      </c>
      <c r="B317" s="159">
        <v>45838</v>
      </c>
      <c r="C317" s="173" t="s">
        <v>841</v>
      </c>
      <c r="D317" s="159"/>
      <c r="E317" s="173" t="s">
        <v>148</v>
      </c>
      <c r="F317" s="204"/>
      <c r="G317" s="173" t="s">
        <v>203</v>
      </c>
      <c r="H317" s="173"/>
      <c r="I317" s="184">
        <v>2515</v>
      </c>
      <c r="J317" s="173"/>
      <c r="K317" s="184"/>
      <c r="L317" s="173"/>
      <c r="M317" s="185">
        <f>IFERROR(VLOOKUP(L317,'Material Master'!B:C,2,0),"")</f>
      </c>
      <c r="N317" s="184"/>
      <c r="O317" s="186">
        <f>IFERROR(M317*N317,"")</f>
      </c>
      <c r="P317" s="173"/>
      <c r="Q317" s="184"/>
      <c r="R317" s="187">
        <v>45809</v>
      </c>
      <c r="S317" s="173" t="s">
        <v>839</v>
      </c>
      <c r="T317" s="188"/>
      <c r="U317" s="184"/>
      <c r="V317" s="185">
        <v>31</v>
      </c>
      <c r="W317" s="189">
        <f>IFERROR(U317*V317,"0")</f>
      </c>
      <c r="X317" s="190"/>
      <c r="Y317" s="191">
        <f>IFERROR((O317/1000)*Masters!$C$3,"0")</f>
      </c>
      <c r="Z317" s="192"/>
      <c r="AA317" s="164">
        <f>IFERROR(VLOOKUP(L317,Masters!G:H,2,0),"0")</f>
      </c>
      <c r="AB317" s="166">
        <f>IFERROR(AA317*N317,"0")</f>
      </c>
      <c r="AC317" s="193"/>
      <c r="AD317" s="190"/>
      <c r="AE317" s="166">
        <f>W317+Y317+AB317+AD317</f>
      </c>
      <c r="AF317" s="192"/>
      <c r="AG317" s="169">
        <f>M317&amp;"-"&amp;F317</f>
      </c>
      <c r="AH317" s="191">
        <f>IFERROR(VLOOKUP(AG317,Masters!N:O,2,0),"0")</f>
      </c>
      <c r="AI317" s="166">
        <f>AH317*N317</f>
      </c>
      <c r="AJ317" s="190"/>
      <c r="AK317" s="170">
        <f>AI317-AE317</f>
      </c>
      <c r="AL317" s="192"/>
      <c r="AM317" s="188"/>
      <c r="AN317" s="171">
        <f>IFERROR(U317/2,"0")</f>
      </c>
    </row>
    <row x14ac:dyDescent="0.25" r="318" customHeight="1" ht="18.75">
      <c r="A318" s="158">
        <f>A317+1</f>
      </c>
      <c r="B318" s="159">
        <v>45838</v>
      </c>
      <c r="C318" s="173" t="s">
        <v>842</v>
      </c>
      <c r="D318" s="159"/>
      <c r="E318" s="173" t="s">
        <v>148</v>
      </c>
      <c r="F318" s="204"/>
      <c r="G318" s="173" t="s">
        <v>203</v>
      </c>
      <c r="H318" s="173"/>
      <c r="I318" s="184">
        <v>2515</v>
      </c>
      <c r="J318" s="173"/>
      <c r="K318" s="184"/>
      <c r="L318" s="173"/>
      <c r="M318" s="185">
        <f>IFERROR(VLOOKUP(L318,'Material Master'!B:C,2,0),"")</f>
      </c>
      <c r="N318" s="184"/>
      <c r="O318" s="186">
        <f>IFERROR(M318*N318,"")</f>
      </c>
      <c r="P318" s="173"/>
      <c r="Q318" s="184"/>
      <c r="R318" s="187">
        <v>45809</v>
      </c>
      <c r="S318" s="173" t="s">
        <v>839</v>
      </c>
      <c r="T318" s="188"/>
      <c r="U318" s="184"/>
      <c r="V318" s="185">
        <v>31</v>
      </c>
      <c r="W318" s="189">
        <f>IFERROR(U318*V318,"0")</f>
      </c>
      <c r="X318" s="190"/>
      <c r="Y318" s="191">
        <f>IFERROR((O318/1000)*Masters!$C$3,"0")</f>
      </c>
      <c r="Z318" s="192"/>
      <c r="AA318" s="164">
        <f>IFERROR(VLOOKUP(L318,Masters!G:H,2,0),"0")</f>
      </c>
      <c r="AB318" s="166">
        <f>IFERROR(AA318*N318,"0")</f>
      </c>
      <c r="AC318" s="193"/>
      <c r="AD318" s="190"/>
      <c r="AE318" s="166">
        <f>W318+Y318+AB318+AD318</f>
      </c>
      <c r="AF318" s="192"/>
      <c r="AG318" s="169">
        <f>M318&amp;"-"&amp;F318</f>
      </c>
      <c r="AH318" s="191">
        <f>IFERROR(VLOOKUP(AG318,Masters!N:O,2,0),"0")</f>
      </c>
      <c r="AI318" s="166">
        <f>AH318*N318</f>
      </c>
      <c r="AJ318" s="190"/>
      <c r="AK318" s="170">
        <f>AI318-AE318</f>
      </c>
      <c r="AL318" s="192"/>
      <c r="AM318" s="188"/>
      <c r="AN318" s="171">
        <f>IFERROR(U318/2,"0")</f>
      </c>
    </row>
    <row x14ac:dyDescent="0.25" r="319" customHeight="1" ht="18.75">
      <c r="A319" s="158">
        <f>A318+1</f>
      </c>
      <c r="B319" s="159">
        <v>45838</v>
      </c>
      <c r="C319" s="198" t="s">
        <v>843</v>
      </c>
      <c r="D319" s="159">
        <v>45841</v>
      </c>
      <c r="E319" s="198" t="s">
        <v>148</v>
      </c>
      <c r="F319" s="160" t="s">
        <v>231</v>
      </c>
      <c r="G319" s="147" t="s">
        <v>203</v>
      </c>
      <c r="H319" s="198" t="s">
        <v>304</v>
      </c>
      <c r="I319" s="158">
        <v>1109</v>
      </c>
      <c r="J319" s="147" t="s">
        <v>301</v>
      </c>
      <c r="K319" s="199">
        <v>292</v>
      </c>
      <c r="L319" s="198" t="s">
        <v>10</v>
      </c>
      <c r="M319" s="161">
        <f>IFERROR(VLOOKUP(L319,'Material Master'!B:C,2,0),"")</f>
      </c>
      <c r="N319" s="199">
        <v>300</v>
      </c>
      <c r="O319" s="162">
        <f>IFERROR(M319*N319,"")</f>
      </c>
      <c r="P319" s="198" t="s">
        <v>402</v>
      </c>
      <c r="Q319" s="158" t="s">
        <v>844</v>
      </c>
      <c r="R319" s="163">
        <v>45809</v>
      </c>
      <c r="S319" s="147"/>
      <c r="T319" s="6"/>
      <c r="U319" s="158">
        <v>140</v>
      </c>
      <c r="V319" s="164">
        <v>31</v>
      </c>
      <c r="W319" s="165">
        <f>IFERROR(U319*V319,"0")</f>
      </c>
      <c r="X319" s="7"/>
      <c r="Y319" s="166">
        <f>IFERROR((O319/1000)*Masters!$C$3,"0")</f>
      </c>
      <c r="Z319" s="195"/>
      <c r="AA319" s="164">
        <f>IFERROR(VLOOKUP(L319,Masters!G:H,2,0),"0")</f>
      </c>
      <c r="AB319" s="166">
        <f>IFERROR(AA319*N319,"0")</f>
      </c>
      <c r="AC319" s="196"/>
      <c r="AD319" s="7"/>
      <c r="AE319" s="166">
        <f>W319+Y319+AB319+AD319</f>
      </c>
      <c r="AF319" s="195"/>
      <c r="AG319" s="169">
        <f>M319&amp;"-"&amp;F319</f>
      </c>
      <c r="AH319" s="166">
        <f>IFERROR(VLOOKUP(AG319,Masters!N:O,2,0),"0")</f>
      </c>
      <c r="AI319" s="166">
        <f>AH319*N319</f>
      </c>
      <c r="AJ319" s="7"/>
      <c r="AK319" s="170">
        <f>AI319-AE319</f>
      </c>
      <c r="AL319" s="195"/>
      <c r="AM319" s="6"/>
      <c r="AN319" s="171">
        <f>IFERROR(U319/2,"0")</f>
      </c>
    </row>
    <row x14ac:dyDescent="0.25" r="320" customHeight="1" ht="18.75">
      <c r="A320" s="158">
        <f>A319+1</f>
      </c>
      <c r="B320" s="159">
        <v>45838</v>
      </c>
      <c r="C320" s="173" t="s">
        <v>845</v>
      </c>
      <c r="D320" s="159"/>
      <c r="E320" s="173" t="s">
        <v>148</v>
      </c>
      <c r="F320" s="204"/>
      <c r="G320" s="173" t="s">
        <v>203</v>
      </c>
      <c r="H320" s="173"/>
      <c r="I320" s="184">
        <v>2515</v>
      </c>
      <c r="J320" s="173"/>
      <c r="K320" s="184"/>
      <c r="L320" s="173"/>
      <c r="M320" s="185">
        <f>IFERROR(VLOOKUP(L320,'Material Master'!B:C,2,0),"")</f>
      </c>
      <c r="N320" s="184"/>
      <c r="O320" s="186">
        <f>IFERROR(M320*N320,"")</f>
      </c>
      <c r="P320" s="173"/>
      <c r="Q320" s="184"/>
      <c r="R320" s="187">
        <v>45809</v>
      </c>
      <c r="S320" s="173" t="s">
        <v>839</v>
      </c>
      <c r="T320" s="188"/>
      <c r="U320" s="184"/>
      <c r="V320" s="185">
        <v>31</v>
      </c>
      <c r="W320" s="189">
        <f>IFERROR(U320*V320,"0")</f>
      </c>
      <c r="X320" s="190"/>
      <c r="Y320" s="191">
        <f>IFERROR((O320/1000)*Masters!$C$3,"0")</f>
      </c>
      <c r="Z320" s="192"/>
      <c r="AA320" s="164">
        <f>IFERROR(VLOOKUP(L320,Masters!G:H,2,0),"0")</f>
      </c>
      <c r="AB320" s="166">
        <f>IFERROR(AA320*N320,"0")</f>
      </c>
      <c r="AC320" s="193"/>
      <c r="AD320" s="190"/>
      <c r="AE320" s="166">
        <f>W320+Y320+AB320+AD320</f>
      </c>
      <c r="AF320" s="192"/>
      <c r="AG320" s="169">
        <f>M320&amp;"-"&amp;F320</f>
      </c>
      <c r="AH320" s="191">
        <f>IFERROR(VLOOKUP(AG320,Masters!N:O,2,0),"0")</f>
      </c>
      <c r="AI320" s="166">
        <f>AH320*N320</f>
      </c>
      <c r="AJ320" s="190"/>
      <c r="AK320" s="170">
        <f>AI320-AE320</f>
      </c>
      <c r="AL320" s="192"/>
      <c r="AM320" s="188"/>
      <c r="AN320" s="171">
        <f>IFERROR(U320/2,"0")</f>
      </c>
    </row>
    <row x14ac:dyDescent="0.25" r="321" customHeight="1" ht="18.75">
      <c r="A321" s="158">
        <f>A320+1</f>
      </c>
      <c r="B321" s="159">
        <v>45838</v>
      </c>
      <c r="C321" s="198" t="s">
        <v>846</v>
      </c>
      <c r="D321" s="159">
        <v>45847</v>
      </c>
      <c r="E321" s="198" t="s">
        <v>148</v>
      </c>
      <c r="F321" s="160" t="s">
        <v>231</v>
      </c>
      <c r="G321" s="147" t="s">
        <v>203</v>
      </c>
      <c r="H321" s="198" t="s">
        <v>302</v>
      </c>
      <c r="I321" s="158">
        <v>1109</v>
      </c>
      <c r="J321" s="147" t="s">
        <v>301</v>
      </c>
      <c r="K321" s="199">
        <v>309</v>
      </c>
      <c r="L321" s="198" t="s">
        <v>10</v>
      </c>
      <c r="M321" s="161">
        <f>IFERROR(VLOOKUP(L321,'Material Master'!B:C,2,0),"")</f>
      </c>
      <c r="N321" s="199">
        <v>300</v>
      </c>
      <c r="O321" s="162">
        <f>IFERROR(M321*N321,"")</f>
      </c>
      <c r="P321" s="198" t="s">
        <v>402</v>
      </c>
      <c r="Q321" s="158" t="s">
        <v>847</v>
      </c>
      <c r="R321" s="163">
        <v>45809</v>
      </c>
      <c r="S321" s="147"/>
      <c r="T321" s="6"/>
      <c r="U321" s="158">
        <v>140</v>
      </c>
      <c r="V321" s="164">
        <v>31</v>
      </c>
      <c r="W321" s="165">
        <f>IFERROR(U321*V321,"0")</f>
      </c>
      <c r="X321" s="7"/>
      <c r="Y321" s="166">
        <f>IFERROR((O321/1000)*Masters!$C$3,"0")</f>
      </c>
      <c r="Z321" s="195"/>
      <c r="AA321" s="164">
        <f>IFERROR(VLOOKUP(L321,Masters!G:H,2,0),"0")</f>
      </c>
      <c r="AB321" s="166">
        <f>IFERROR(AA321*N321,"0")</f>
      </c>
      <c r="AC321" s="196"/>
      <c r="AD321" s="7"/>
      <c r="AE321" s="166">
        <f>W321+Y321+AB321+AD321</f>
      </c>
      <c r="AF321" s="195"/>
      <c r="AG321" s="169">
        <f>M321&amp;"-"&amp;F321</f>
      </c>
      <c r="AH321" s="166">
        <f>IFERROR(VLOOKUP(AG321,Masters!N:O,2,0),"0")</f>
      </c>
      <c r="AI321" s="166">
        <f>AH321*N321</f>
      </c>
      <c r="AJ321" s="7"/>
      <c r="AK321" s="170">
        <f>AI321-AE321</f>
      </c>
      <c r="AL321" s="195"/>
      <c r="AM321" s="6"/>
      <c r="AN321" s="171">
        <f>IFERROR(U321/2,"0")</f>
      </c>
    </row>
    <row x14ac:dyDescent="0.25" r="322" customHeight="1" ht="18.75">
      <c r="A322" s="158">
        <f>A321+1</f>
      </c>
      <c r="B322" s="159">
        <v>45838</v>
      </c>
      <c r="C322" s="173" t="s">
        <v>848</v>
      </c>
      <c r="D322" s="159"/>
      <c r="E322" s="205" t="s">
        <v>254</v>
      </c>
      <c r="F322" s="204"/>
      <c r="G322" s="173" t="s">
        <v>255</v>
      </c>
      <c r="H322" s="173"/>
      <c r="I322" s="184">
        <v>909</v>
      </c>
      <c r="J322" s="173"/>
      <c r="K322" s="184"/>
      <c r="L322" s="173"/>
      <c r="M322" s="185">
        <f>IFERROR(VLOOKUP(L322,'Material Master'!B:C,2,0),"")</f>
      </c>
      <c r="N322" s="184"/>
      <c r="O322" s="186">
        <f>IFERROR(M322*N322,"")</f>
      </c>
      <c r="P322" s="173"/>
      <c r="Q322" s="184"/>
      <c r="R322" s="187">
        <v>45809</v>
      </c>
      <c r="S322" s="173" t="s">
        <v>728</v>
      </c>
      <c r="T322" s="188"/>
      <c r="U322" s="184"/>
      <c r="V322" s="185">
        <v>31</v>
      </c>
      <c r="W322" s="189">
        <f>IFERROR(U322*V322,"0")</f>
      </c>
      <c r="X322" s="190"/>
      <c r="Y322" s="191">
        <f>IFERROR((O322/1000)*Masters!$C$3,"0")</f>
      </c>
      <c r="Z322" s="192"/>
      <c r="AA322" s="164">
        <f>IFERROR(VLOOKUP(L322,Masters!G:H,2,0),"0")</f>
      </c>
      <c r="AB322" s="166">
        <f>IFERROR(AA322*N322,"0")</f>
      </c>
      <c r="AC322" s="193"/>
      <c r="AD322" s="190"/>
      <c r="AE322" s="166">
        <f>W322+Y322+AB322+AD322</f>
      </c>
      <c r="AF322" s="192"/>
      <c r="AG322" s="169">
        <f>M322&amp;"-"&amp;F322</f>
      </c>
      <c r="AH322" s="191">
        <f>IFERROR(VLOOKUP(AG322,Masters!N:O,2,0),"0")</f>
      </c>
      <c r="AI322" s="166">
        <f>AH322*N322</f>
      </c>
      <c r="AJ322" s="190"/>
      <c r="AK322" s="170">
        <f>AI322-AE322</f>
      </c>
      <c r="AL322" s="192"/>
      <c r="AM322" s="188"/>
      <c r="AN322" s="171">
        <f>IFERROR(U322/2,"0")</f>
      </c>
    </row>
    <row x14ac:dyDescent="0.25" r="323" customHeight="1" ht="18.75">
      <c r="A323" s="158">
        <f>A322+1</f>
      </c>
      <c r="B323" s="159">
        <v>45838</v>
      </c>
      <c r="C323" s="173" t="s">
        <v>848</v>
      </c>
      <c r="D323" s="159"/>
      <c r="E323" s="173" t="s">
        <v>247</v>
      </c>
      <c r="F323" s="204"/>
      <c r="G323" s="173" t="s">
        <v>248</v>
      </c>
      <c r="H323" s="173"/>
      <c r="I323" s="184">
        <v>909</v>
      </c>
      <c r="J323" s="173"/>
      <c r="K323" s="184"/>
      <c r="L323" s="173"/>
      <c r="M323" s="185">
        <f>IFERROR(VLOOKUP(L323,'Material Master'!B:C,2,0),"")</f>
      </c>
      <c r="N323" s="184"/>
      <c r="O323" s="186">
        <f>IFERROR(M323*N323,"")</f>
      </c>
      <c r="P323" s="173"/>
      <c r="Q323" s="184"/>
      <c r="R323" s="187">
        <v>45809</v>
      </c>
      <c r="S323" s="173" t="s">
        <v>728</v>
      </c>
      <c r="T323" s="188"/>
      <c r="U323" s="184"/>
      <c r="V323" s="185">
        <v>31</v>
      </c>
      <c r="W323" s="189">
        <f>IFERROR(U323*V323,"0")</f>
      </c>
      <c r="X323" s="190"/>
      <c r="Y323" s="191">
        <f>IFERROR((O323/1000)*Masters!$C$3,"0")</f>
      </c>
      <c r="Z323" s="192"/>
      <c r="AA323" s="164">
        <f>IFERROR(VLOOKUP(L323,Masters!G:H,2,0),"0")</f>
      </c>
      <c r="AB323" s="166">
        <f>IFERROR(AA323*N323,"0")</f>
      </c>
      <c r="AC323" s="193"/>
      <c r="AD323" s="190"/>
      <c r="AE323" s="166">
        <f>W323+Y323+AB323+AD323</f>
      </c>
      <c r="AF323" s="192"/>
      <c r="AG323" s="169">
        <f>M323&amp;"-"&amp;F323</f>
      </c>
      <c r="AH323" s="191">
        <f>IFERROR(VLOOKUP(AG323,Masters!N:O,2,0),"0")</f>
      </c>
      <c r="AI323" s="166">
        <f>AH323*N323</f>
      </c>
      <c r="AJ323" s="190"/>
      <c r="AK323" s="170">
        <f>AI323-AE323</f>
      </c>
      <c r="AL323" s="192"/>
      <c r="AM323" s="188"/>
      <c r="AN323" s="171">
        <f>IFERROR(U323/2,"0")</f>
      </c>
    </row>
    <row x14ac:dyDescent="0.25" r="324" customHeight="1" ht="18.75">
      <c r="A324" s="158">
        <f>A323+1</f>
      </c>
      <c r="B324" s="159">
        <v>45839</v>
      </c>
      <c r="C324" s="173" t="s">
        <v>849</v>
      </c>
      <c r="D324" s="159"/>
      <c r="E324" s="173" t="s">
        <v>205</v>
      </c>
      <c r="F324" s="204"/>
      <c r="G324" s="173" t="s">
        <v>214</v>
      </c>
      <c r="H324" s="173"/>
      <c r="I324" s="184">
        <v>909</v>
      </c>
      <c r="J324" s="173"/>
      <c r="K324" s="184"/>
      <c r="L324" s="173"/>
      <c r="M324" s="185">
        <f>IFERROR(VLOOKUP(L324,'Material Master'!B:C,2,0),"")</f>
      </c>
      <c r="N324" s="184"/>
      <c r="O324" s="186">
        <f>IFERROR(M324*N324,"")</f>
      </c>
      <c r="P324" s="173"/>
      <c r="Q324" s="184"/>
      <c r="R324" s="187">
        <v>45809</v>
      </c>
      <c r="S324" s="173" t="s">
        <v>850</v>
      </c>
      <c r="T324" s="188"/>
      <c r="U324" s="184"/>
      <c r="V324" s="185">
        <v>31</v>
      </c>
      <c r="W324" s="189">
        <f>IFERROR(U324*V324,"0")</f>
      </c>
      <c r="X324" s="190"/>
      <c r="Y324" s="191">
        <f>IFERROR((O324/1000)*Masters!$C$3,"0")</f>
      </c>
      <c r="Z324" s="192"/>
      <c r="AA324" s="164">
        <f>IFERROR(VLOOKUP(L324,Masters!G:H,2,0),"0")</f>
      </c>
      <c r="AB324" s="166">
        <f>IFERROR(AA324*N324,"0")</f>
      </c>
      <c r="AC324" s="193"/>
      <c r="AD324" s="190"/>
      <c r="AE324" s="166">
        <f>W324+Y324+AB324+AD324</f>
      </c>
      <c r="AF324" s="192"/>
      <c r="AG324" s="169">
        <f>M324&amp;"-"&amp;F324</f>
      </c>
      <c r="AH324" s="191">
        <f>IFERROR(VLOOKUP(AG324,Masters!N:O,2,0),"0")</f>
      </c>
      <c r="AI324" s="166">
        <f>AH324*N324</f>
      </c>
      <c r="AJ324" s="190"/>
      <c r="AK324" s="170">
        <f>AI324-AE324</f>
      </c>
      <c r="AL324" s="192"/>
      <c r="AM324" s="188"/>
      <c r="AN324" s="171">
        <f>IFERROR(U324/2,"0")</f>
      </c>
    </row>
    <row x14ac:dyDescent="0.25" r="325" customHeight="1" ht="18.75">
      <c r="A325" s="158">
        <f>A324+1</f>
      </c>
      <c r="B325" s="159">
        <v>45839</v>
      </c>
      <c r="C325" s="173" t="s">
        <v>851</v>
      </c>
      <c r="D325" s="159"/>
      <c r="E325" s="173" t="s">
        <v>139</v>
      </c>
      <c r="F325" s="204"/>
      <c r="G325" s="173" t="s">
        <v>140</v>
      </c>
      <c r="H325" s="173"/>
      <c r="I325" s="184">
        <v>2515</v>
      </c>
      <c r="J325" s="173"/>
      <c r="K325" s="184"/>
      <c r="L325" s="173"/>
      <c r="M325" s="185">
        <f>IFERROR(VLOOKUP(L325,'Material Master'!B:C,2,0),"")</f>
      </c>
      <c r="N325" s="184"/>
      <c r="O325" s="186">
        <f>IFERROR(M325*N325,"")</f>
      </c>
      <c r="P325" s="173"/>
      <c r="Q325" s="184"/>
      <c r="R325" s="187">
        <v>45809</v>
      </c>
      <c r="S325" s="173" t="s">
        <v>839</v>
      </c>
      <c r="T325" s="188"/>
      <c r="U325" s="184"/>
      <c r="V325" s="185">
        <v>31</v>
      </c>
      <c r="W325" s="189">
        <f>IFERROR(U325*V325,"0")</f>
      </c>
      <c r="X325" s="190"/>
      <c r="Y325" s="191">
        <f>IFERROR((O325/1000)*Masters!$C$3,"0")</f>
      </c>
      <c r="Z325" s="192"/>
      <c r="AA325" s="164">
        <f>IFERROR(VLOOKUP(L325,Masters!G:H,2,0),"0")</f>
      </c>
      <c r="AB325" s="166">
        <f>IFERROR(AA325*N325,"0")</f>
      </c>
      <c r="AC325" s="193"/>
      <c r="AD325" s="190"/>
      <c r="AE325" s="166">
        <f>W325+Y325+AB325+AD325</f>
      </c>
      <c r="AF325" s="192"/>
      <c r="AG325" s="169">
        <f>M325&amp;"-"&amp;F325</f>
      </c>
      <c r="AH325" s="191">
        <f>IFERROR(VLOOKUP(AG325,Masters!N:O,2,0),"0")</f>
      </c>
      <c r="AI325" s="166">
        <f>AH325*N325</f>
      </c>
      <c r="AJ325" s="190"/>
      <c r="AK325" s="170">
        <f>AI325-AE325</f>
      </c>
      <c r="AL325" s="192"/>
      <c r="AM325" s="188"/>
      <c r="AN325" s="171">
        <f>IFERROR(U325/2,"0")</f>
      </c>
    </row>
    <row x14ac:dyDescent="0.25" r="326" customHeight="1" ht="18.75">
      <c r="A326" s="158">
        <f>A325+1</f>
      </c>
      <c r="B326" s="159">
        <v>45839</v>
      </c>
      <c r="C326" s="198" t="s">
        <v>852</v>
      </c>
      <c r="D326" s="159">
        <v>45842</v>
      </c>
      <c r="E326" s="198" t="s">
        <v>139</v>
      </c>
      <c r="F326" s="160" t="s">
        <v>32</v>
      </c>
      <c r="G326" s="147" t="s">
        <v>209</v>
      </c>
      <c r="H326" s="198" t="s">
        <v>305</v>
      </c>
      <c r="I326" s="158">
        <v>1109</v>
      </c>
      <c r="J326" s="147" t="s">
        <v>301</v>
      </c>
      <c r="K326" s="199">
        <v>296</v>
      </c>
      <c r="L326" s="198" t="s">
        <v>10</v>
      </c>
      <c r="M326" s="161">
        <f>IFERROR(VLOOKUP(L326,'Material Master'!B:C,2,0),"")</f>
      </c>
      <c r="N326" s="199">
        <v>300</v>
      </c>
      <c r="O326" s="162">
        <f>IFERROR(M326*N326,"")</f>
      </c>
      <c r="P326" s="198" t="s">
        <v>402</v>
      </c>
      <c r="Q326" s="158" t="s">
        <v>853</v>
      </c>
      <c r="R326" s="163">
        <v>45809</v>
      </c>
      <c r="S326" s="147"/>
      <c r="T326" s="6"/>
      <c r="U326" s="158">
        <v>327</v>
      </c>
      <c r="V326" s="164">
        <v>31</v>
      </c>
      <c r="W326" s="165">
        <f>IFERROR(U326*V326,"0")</f>
      </c>
      <c r="X326" s="7"/>
      <c r="Y326" s="166">
        <f>IFERROR((O326/1000)*Masters!$C$3,"0")</f>
      </c>
      <c r="Z326" s="195"/>
      <c r="AA326" s="164">
        <f>IFERROR(VLOOKUP(L326,Masters!G:H,2,0),"0")</f>
      </c>
      <c r="AB326" s="166">
        <f>IFERROR(AA326*N326,"0")</f>
      </c>
      <c r="AC326" s="196"/>
      <c r="AD326" s="7"/>
      <c r="AE326" s="166">
        <f>W326+Y326+AB326+AD326</f>
      </c>
      <c r="AF326" s="195"/>
      <c r="AG326" s="169">
        <f>M326&amp;"-"&amp;F326</f>
      </c>
      <c r="AH326" s="166">
        <f>IFERROR(VLOOKUP(AG326,Masters!N:O,2,0),"0")</f>
      </c>
      <c r="AI326" s="166">
        <f>AH326*N326</f>
      </c>
      <c r="AJ326" s="7"/>
      <c r="AK326" s="170">
        <f>AI326-AE326</f>
      </c>
      <c r="AL326" s="195"/>
      <c r="AM326" s="6"/>
      <c r="AN326" s="171">
        <f>IFERROR(U326/2,"0")</f>
      </c>
    </row>
    <row x14ac:dyDescent="0.25" r="327" customHeight="1" ht="18.75">
      <c r="A327" s="158">
        <f>A326+1</f>
      </c>
      <c r="B327" s="159">
        <v>45839</v>
      </c>
      <c r="C327" s="198" t="s">
        <v>854</v>
      </c>
      <c r="D327" s="159">
        <v>45842</v>
      </c>
      <c r="E327" s="198" t="s">
        <v>110</v>
      </c>
      <c r="F327" s="160" t="s">
        <v>231</v>
      </c>
      <c r="G327" s="147" t="s">
        <v>111</v>
      </c>
      <c r="H327" s="198" t="s">
        <v>303</v>
      </c>
      <c r="I327" s="158">
        <v>1109</v>
      </c>
      <c r="J327" s="147" t="s">
        <v>301</v>
      </c>
      <c r="K327" s="199">
        <v>295</v>
      </c>
      <c r="L327" s="198" t="s">
        <v>10</v>
      </c>
      <c r="M327" s="161">
        <f>IFERROR(VLOOKUP(L327,'Material Master'!B:C,2,0),"")</f>
      </c>
      <c r="N327" s="199">
        <v>300</v>
      </c>
      <c r="O327" s="162">
        <f>IFERROR(M327*N327,"")</f>
      </c>
      <c r="P327" s="198" t="s">
        <v>402</v>
      </c>
      <c r="Q327" s="158" t="s">
        <v>855</v>
      </c>
      <c r="R327" s="163">
        <v>45809</v>
      </c>
      <c r="S327" s="147"/>
      <c r="T327" s="6"/>
      <c r="U327" s="158">
        <v>37</v>
      </c>
      <c r="V327" s="164">
        <v>31</v>
      </c>
      <c r="W327" s="165">
        <f>IFERROR(U327*V327,"0")</f>
      </c>
      <c r="X327" s="7"/>
      <c r="Y327" s="166">
        <f>IFERROR((O327/1000)*Masters!$C$3,"0")</f>
      </c>
      <c r="Z327" s="195"/>
      <c r="AA327" s="164">
        <f>IFERROR(VLOOKUP(L327,Masters!G:H,2,0),"0")</f>
      </c>
      <c r="AB327" s="166">
        <f>IFERROR(AA327*N327,"0")</f>
      </c>
      <c r="AC327" s="196"/>
      <c r="AD327" s="7"/>
      <c r="AE327" s="166">
        <f>W327+Y327+AB327+AD327</f>
      </c>
      <c r="AF327" s="195"/>
      <c r="AG327" s="169">
        <f>M327&amp;"-"&amp;F327</f>
      </c>
      <c r="AH327" s="166">
        <f>IFERROR(VLOOKUP(AG327,Masters!N:O,2,0),"0")</f>
      </c>
      <c r="AI327" s="166">
        <f>AH327*N327</f>
      </c>
      <c r="AJ327" s="7"/>
      <c r="AK327" s="170">
        <f>AI327-AE327</f>
      </c>
      <c r="AL327" s="195"/>
      <c r="AM327" s="6"/>
      <c r="AN327" s="171">
        <f>IFERROR(U327/2,"0")</f>
      </c>
    </row>
    <row x14ac:dyDescent="0.25" r="328" customHeight="1" ht="18.75">
      <c r="A328" s="158">
        <f>A327+1</f>
      </c>
      <c r="B328" s="159">
        <v>45839</v>
      </c>
      <c r="C328" s="174" t="s">
        <v>856</v>
      </c>
      <c r="D328" s="159">
        <v>45843</v>
      </c>
      <c r="E328" s="174" t="s">
        <v>134</v>
      </c>
      <c r="F328" s="175" t="s">
        <v>231</v>
      </c>
      <c r="G328" s="174" t="s">
        <v>80</v>
      </c>
      <c r="H328" s="174" t="s">
        <v>302</v>
      </c>
      <c r="I328" s="176">
        <v>1109</v>
      </c>
      <c r="J328" s="174" t="s">
        <v>301</v>
      </c>
      <c r="K328" s="176">
        <v>302</v>
      </c>
      <c r="L328" s="174" t="s">
        <v>10</v>
      </c>
      <c r="M328" s="177">
        <f>IFERROR(VLOOKUP(L328,'Material Master'!B:C,2,0),"")</f>
      </c>
      <c r="N328" s="176">
        <v>300</v>
      </c>
      <c r="O328" s="178">
        <f>IFERROR(M328*N328,"")</f>
      </c>
      <c r="P328" s="174" t="s">
        <v>402</v>
      </c>
      <c r="Q328" s="176" t="s">
        <v>857</v>
      </c>
      <c r="R328" s="179">
        <v>45809</v>
      </c>
      <c r="S328" s="174" t="s">
        <v>490</v>
      </c>
      <c r="T328" s="200"/>
      <c r="U328" s="176">
        <v>160</v>
      </c>
      <c r="V328" s="177">
        <v>31</v>
      </c>
      <c r="W328" s="180">
        <f>IFERROR(U328*V328,"0")</f>
      </c>
      <c r="X328" s="181"/>
      <c r="Y328" s="166">
        <f>IFERROR((O328/1000)*Masters!$C$3,"0")</f>
      </c>
      <c r="Z328" s="201"/>
      <c r="AA328" s="164">
        <f>IFERROR(VLOOKUP(L328,Masters!G:H,2,0),"0")</f>
      </c>
      <c r="AB328" s="166">
        <f>IFERROR(AA328*N328,"0")</f>
      </c>
      <c r="AC328" s="202"/>
      <c r="AD328" s="181"/>
      <c r="AE328" s="166">
        <f>W328+Y328+AB328+AD328</f>
      </c>
      <c r="AF328" s="201"/>
      <c r="AG328" s="169">
        <f>M328&amp;"-"&amp;F328</f>
      </c>
      <c r="AH328" s="166">
        <f>IFERROR(VLOOKUP(AG328,Masters!N:O,2,0),"0")</f>
      </c>
      <c r="AI328" s="166">
        <f>AH328*N328</f>
      </c>
      <c r="AJ328" s="181"/>
      <c r="AK328" s="170">
        <f>AI328-AE328</f>
      </c>
      <c r="AL328" s="201"/>
      <c r="AM328" s="200"/>
      <c r="AN328" s="171">
        <f>IFERROR(U328/2,"0")</f>
      </c>
    </row>
    <row x14ac:dyDescent="0.25" r="329" customHeight="1" ht="18.75">
      <c r="A329" s="158">
        <f>A328+1</f>
      </c>
      <c r="B329" s="159">
        <v>45839</v>
      </c>
      <c r="C329" s="198" t="s">
        <v>858</v>
      </c>
      <c r="D329" s="159">
        <v>45839</v>
      </c>
      <c r="E329" s="198" t="s">
        <v>134</v>
      </c>
      <c r="F329" s="160" t="s">
        <v>231</v>
      </c>
      <c r="G329" s="147" t="s">
        <v>115</v>
      </c>
      <c r="H329" s="198" t="s">
        <v>304</v>
      </c>
      <c r="I329" s="158">
        <v>1109</v>
      </c>
      <c r="J329" s="147" t="s">
        <v>301</v>
      </c>
      <c r="K329" s="199">
        <v>291</v>
      </c>
      <c r="L329" s="198" t="s">
        <v>10</v>
      </c>
      <c r="M329" s="161">
        <f>IFERROR(VLOOKUP(L329,'Material Master'!B:C,2,0),"")</f>
      </c>
      <c r="N329" s="199">
        <v>300</v>
      </c>
      <c r="O329" s="162">
        <f>IFERROR(M329*N329,"")</f>
      </c>
      <c r="P329" s="198" t="s">
        <v>402</v>
      </c>
      <c r="Q329" s="158" t="s">
        <v>859</v>
      </c>
      <c r="R329" s="163">
        <v>45809</v>
      </c>
      <c r="S329" s="203" t="s">
        <v>783</v>
      </c>
      <c r="T329" s="6"/>
      <c r="U329" s="158">
        <v>229</v>
      </c>
      <c r="V329" s="164">
        <v>31</v>
      </c>
      <c r="W329" s="165">
        <f>IFERROR(U329*V329,"0")</f>
      </c>
      <c r="X329" s="7"/>
      <c r="Y329" s="166">
        <f>IFERROR((O329/1000)*Masters!$C$3,"0")</f>
      </c>
      <c r="Z329" s="195"/>
      <c r="AA329" s="164">
        <f>IFERROR(VLOOKUP(L329,Masters!G:H,2,0),"0")</f>
      </c>
      <c r="AB329" s="166">
        <f>IFERROR(AA329*N329,"0")</f>
      </c>
      <c r="AC329" s="196"/>
      <c r="AD329" s="7"/>
      <c r="AE329" s="166">
        <f>W329+Y329+AB329+AD329</f>
      </c>
      <c r="AF329" s="195"/>
      <c r="AG329" s="169">
        <f>M329&amp;"-"&amp;F329</f>
      </c>
      <c r="AH329" s="166">
        <f>IFERROR(VLOOKUP(AG329,Masters!N:O,2,0),"0")</f>
      </c>
      <c r="AI329" s="166">
        <f>AH329*N329</f>
      </c>
      <c r="AJ329" s="7"/>
      <c r="AK329" s="170">
        <f>AI329-AE329</f>
      </c>
      <c r="AL329" s="195"/>
      <c r="AM329" s="6"/>
      <c r="AN329" s="171">
        <f>IFERROR(U329/2,"0")</f>
      </c>
    </row>
    <row x14ac:dyDescent="0.25" r="330" customHeight="1" ht="18.75">
      <c r="A330" s="158">
        <f>A329+1</f>
      </c>
      <c r="B330" s="159">
        <v>45839</v>
      </c>
      <c r="C330" s="198" t="s">
        <v>860</v>
      </c>
      <c r="D330" s="159">
        <v>45850</v>
      </c>
      <c r="E330" s="198" t="s">
        <v>110</v>
      </c>
      <c r="F330" s="160" t="s">
        <v>231</v>
      </c>
      <c r="G330" s="147" t="s">
        <v>111</v>
      </c>
      <c r="H330" s="198" t="s">
        <v>302</v>
      </c>
      <c r="I330" s="158">
        <v>1109</v>
      </c>
      <c r="J330" s="147" t="s">
        <v>301</v>
      </c>
      <c r="K330" s="199">
        <v>316</v>
      </c>
      <c r="L330" s="198" t="s">
        <v>10</v>
      </c>
      <c r="M330" s="161">
        <f>IFERROR(VLOOKUP(L330,'Material Master'!B:C,2,0),"")</f>
      </c>
      <c r="N330" s="199">
        <v>300</v>
      </c>
      <c r="O330" s="162">
        <f>IFERROR(M330*N330,"")</f>
      </c>
      <c r="P330" s="198" t="s">
        <v>402</v>
      </c>
      <c r="Q330" s="158" t="s">
        <v>861</v>
      </c>
      <c r="R330" s="163">
        <v>45809</v>
      </c>
      <c r="S330" s="147"/>
      <c r="T330" s="6"/>
      <c r="U330" s="158">
        <v>35</v>
      </c>
      <c r="V330" s="164">
        <v>31</v>
      </c>
      <c r="W330" s="165">
        <f>IFERROR(U330*V330,"0")</f>
      </c>
      <c r="X330" s="7"/>
      <c r="Y330" s="166">
        <f>IFERROR((O330/1000)*Masters!$C$3,"0")</f>
      </c>
      <c r="Z330" s="195"/>
      <c r="AA330" s="164">
        <f>IFERROR(VLOOKUP(L330,Masters!G:H,2,0),"0")</f>
      </c>
      <c r="AB330" s="166">
        <f>IFERROR(AA330*N330,"0")</f>
      </c>
      <c r="AC330" s="196"/>
      <c r="AD330" s="7"/>
      <c r="AE330" s="166">
        <f>W330+Y330+AB330+AD330</f>
      </c>
      <c r="AF330" s="195"/>
      <c r="AG330" s="169">
        <f>M330&amp;"-"&amp;F330</f>
      </c>
      <c r="AH330" s="166">
        <f>IFERROR(VLOOKUP(AG330,Masters!N:O,2,0),"0")</f>
      </c>
      <c r="AI330" s="166">
        <f>AH330*N330</f>
      </c>
      <c r="AJ330" s="7"/>
      <c r="AK330" s="170">
        <f>AI330-AE330</f>
      </c>
      <c r="AL330" s="195"/>
      <c r="AM330" s="6"/>
      <c r="AN330" s="171">
        <f>IFERROR(U330/2,"0")</f>
      </c>
    </row>
    <row x14ac:dyDescent="0.25" r="331" customHeight="1" ht="18.75">
      <c r="A331" s="158">
        <f>A330+1</f>
      </c>
      <c r="B331" s="159">
        <v>45839</v>
      </c>
      <c r="C331" s="206" t="s">
        <v>862</v>
      </c>
      <c r="D331" s="159">
        <v>45842</v>
      </c>
      <c r="E331" s="206" t="s">
        <v>257</v>
      </c>
      <c r="F331" s="207" t="s">
        <v>231</v>
      </c>
      <c r="G331" s="206" t="s">
        <v>203</v>
      </c>
      <c r="H331" s="206" t="s">
        <v>302</v>
      </c>
      <c r="I331" s="208">
        <v>1109</v>
      </c>
      <c r="J331" s="206" t="s">
        <v>301</v>
      </c>
      <c r="K331" s="208">
        <v>300</v>
      </c>
      <c r="L331" s="206" t="s">
        <v>10</v>
      </c>
      <c r="M331" s="209">
        <f>IFERROR(VLOOKUP(L331,'Material Master'!B:C,2,0),"")</f>
      </c>
      <c r="N331" s="208">
        <v>300</v>
      </c>
      <c r="O331" s="210">
        <f>IFERROR(M331*N331,"")</f>
      </c>
      <c r="P331" s="206" t="s">
        <v>402</v>
      </c>
      <c r="Q331" s="208" t="s">
        <v>863</v>
      </c>
      <c r="R331" s="211">
        <v>45809</v>
      </c>
      <c r="S331" s="206"/>
      <c r="T331" s="212"/>
      <c r="U331" s="208">
        <v>113</v>
      </c>
      <c r="V331" s="209">
        <v>31</v>
      </c>
      <c r="W331" s="213">
        <f>IFERROR(U331*V331,"0")</f>
      </c>
      <c r="X331" s="214"/>
      <c r="Y331" s="166">
        <f>IFERROR((O331/1000)*Masters!$C$3,"0")</f>
      </c>
      <c r="Z331" s="215"/>
      <c r="AA331" s="164">
        <f>IFERROR(VLOOKUP(L331,Masters!G:H,2,0),"0")</f>
      </c>
      <c r="AB331" s="166">
        <f>IFERROR(AA331*N331,"0")</f>
      </c>
      <c r="AC331" s="216"/>
      <c r="AD331" s="214"/>
      <c r="AE331" s="166">
        <f>W331+Y331+AB331+AD331</f>
      </c>
      <c r="AF331" s="215"/>
      <c r="AG331" s="169">
        <f>M331&amp;"-"&amp;F331</f>
      </c>
      <c r="AH331" s="166">
        <f>IFERROR(VLOOKUP(AG331,Masters!N:O,2,0),"0")</f>
      </c>
      <c r="AI331" s="166">
        <f>AH331*N331</f>
      </c>
      <c r="AJ331" s="214"/>
      <c r="AK331" s="170">
        <f>AI331-AE331</f>
      </c>
      <c r="AL331" s="215"/>
      <c r="AM331" s="212"/>
      <c r="AN331" s="171">
        <f>IFERROR(U331/2,"0")</f>
      </c>
    </row>
    <row x14ac:dyDescent="0.25" r="332" customHeight="1" ht="18.75">
      <c r="A332" s="158">
        <f>A331+1</f>
      </c>
      <c r="B332" s="159">
        <v>45839</v>
      </c>
      <c r="C332" s="198" t="s">
        <v>864</v>
      </c>
      <c r="D332" s="159">
        <v>45842</v>
      </c>
      <c r="E332" s="198" t="s">
        <v>120</v>
      </c>
      <c r="F332" s="160" t="s">
        <v>32</v>
      </c>
      <c r="G332" s="147" t="s">
        <v>155</v>
      </c>
      <c r="H332" s="198" t="s">
        <v>304</v>
      </c>
      <c r="I332" s="158">
        <v>909</v>
      </c>
      <c r="J332" s="147" t="s">
        <v>301</v>
      </c>
      <c r="K332" s="199">
        <v>298</v>
      </c>
      <c r="L332" s="198" t="s">
        <v>10</v>
      </c>
      <c r="M332" s="161">
        <f>IFERROR(VLOOKUP(L332,'Material Master'!B:C,2,0),"")</f>
      </c>
      <c r="N332" s="199">
        <v>200</v>
      </c>
      <c r="O332" s="162">
        <f>IFERROR(M332*N332,"")</f>
      </c>
      <c r="P332" s="198" t="s">
        <v>402</v>
      </c>
      <c r="Q332" s="158" t="s">
        <v>865</v>
      </c>
      <c r="R332" s="163">
        <v>45809</v>
      </c>
      <c r="S332" s="147"/>
      <c r="T332" s="6"/>
      <c r="U332" s="158">
        <v>308</v>
      </c>
      <c r="V332" s="164">
        <v>31</v>
      </c>
      <c r="W332" s="165">
        <f>IFERROR(U332*V332,"0")</f>
      </c>
      <c r="X332" s="7"/>
      <c r="Y332" s="166">
        <f>IFERROR((O332/1000)*Masters!$C$3,"0")</f>
      </c>
      <c r="Z332" s="195"/>
      <c r="AA332" s="164">
        <f>IFERROR(VLOOKUP(L332,Masters!G:H,2,0),"0")</f>
      </c>
      <c r="AB332" s="166">
        <f>IFERROR(AA332*N332,"0")</f>
      </c>
      <c r="AC332" s="196"/>
      <c r="AD332" s="7"/>
      <c r="AE332" s="166">
        <f>W332+Y332+AB332+AD332</f>
      </c>
      <c r="AF332" s="195"/>
      <c r="AG332" s="169">
        <f>M332&amp;"-"&amp;F332</f>
      </c>
      <c r="AH332" s="166">
        <f>IFERROR(VLOOKUP(AG332,Masters!N:O,2,0),"0")</f>
      </c>
      <c r="AI332" s="166">
        <f>AH332*N332</f>
      </c>
      <c r="AJ332" s="7"/>
      <c r="AK332" s="170">
        <f>AI332-AE332</f>
      </c>
      <c r="AL332" s="195"/>
      <c r="AM332" s="6"/>
      <c r="AN332" s="171">
        <f>IFERROR(U332/2,"0")</f>
      </c>
    </row>
    <row x14ac:dyDescent="0.25" r="333" customHeight="1" ht="18.75">
      <c r="A333" s="158">
        <f>A332+1</f>
      </c>
      <c r="B333" s="159">
        <v>45839</v>
      </c>
      <c r="C333" s="198" t="s">
        <v>866</v>
      </c>
      <c r="D333" s="159">
        <v>45841</v>
      </c>
      <c r="E333" s="198" t="s">
        <v>120</v>
      </c>
      <c r="F333" s="160" t="s">
        <v>231</v>
      </c>
      <c r="G333" s="147" t="s">
        <v>156</v>
      </c>
      <c r="H333" s="198" t="s">
        <v>305</v>
      </c>
      <c r="I333" s="158">
        <v>1109</v>
      </c>
      <c r="J333" s="147" t="s">
        <v>301</v>
      </c>
      <c r="K333" s="199">
        <v>294</v>
      </c>
      <c r="L333" s="198" t="s">
        <v>10</v>
      </c>
      <c r="M333" s="161">
        <f>IFERROR(VLOOKUP(L333,'Material Master'!B:C,2,0),"")</f>
      </c>
      <c r="N333" s="199">
        <v>300</v>
      </c>
      <c r="O333" s="162">
        <f>IFERROR(M333*N333,"")</f>
      </c>
      <c r="P333" s="198" t="s">
        <v>402</v>
      </c>
      <c r="Q333" s="158" t="s">
        <v>867</v>
      </c>
      <c r="R333" s="163">
        <v>45809</v>
      </c>
      <c r="S333" s="147"/>
      <c r="T333" s="6"/>
      <c r="U333" s="158">
        <v>193</v>
      </c>
      <c r="V333" s="164">
        <v>31</v>
      </c>
      <c r="W333" s="165">
        <f>IFERROR(U333*V333,"0")</f>
      </c>
      <c r="X333" s="7"/>
      <c r="Y333" s="166">
        <f>IFERROR((O333/1000)*Masters!$C$3,"0")</f>
      </c>
      <c r="Z333" s="195"/>
      <c r="AA333" s="164">
        <f>IFERROR(VLOOKUP(L333,Masters!G:H,2,0),"0")</f>
      </c>
      <c r="AB333" s="166">
        <f>IFERROR(AA333*N333,"0")</f>
      </c>
      <c r="AC333" s="196"/>
      <c r="AD333" s="7"/>
      <c r="AE333" s="166">
        <f>W333+Y333+AB333+AD333</f>
      </c>
      <c r="AF333" s="195"/>
      <c r="AG333" s="169">
        <f>M333&amp;"-"&amp;F333</f>
      </c>
      <c r="AH333" s="166">
        <f>IFERROR(VLOOKUP(AG333,Masters!N:O,2,0),"0")</f>
      </c>
      <c r="AI333" s="166">
        <f>AH333*N333</f>
      </c>
      <c r="AJ333" s="7"/>
      <c r="AK333" s="170">
        <f>AI333-AE333</f>
      </c>
      <c r="AL333" s="195"/>
      <c r="AM333" s="6"/>
      <c r="AN333" s="171">
        <f>IFERROR(U333/2,"0")</f>
      </c>
    </row>
    <row x14ac:dyDescent="0.25" r="334" customHeight="1" ht="18.75">
      <c r="A334" s="158">
        <f>A333+1</f>
      </c>
      <c r="B334" s="159">
        <v>45839</v>
      </c>
      <c r="C334" s="198" t="s">
        <v>868</v>
      </c>
      <c r="D334" s="159">
        <v>45847</v>
      </c>
      <c r="E334" s="198" t="s">
        <v>120</v>
      </c>
      <c r="F334" s="160" t="s">
        <v>231</v>
      </c>
      <c r="G334" s="147" t="s">
        <v>115</v>
      </c>
      <c r="H334" s="198" t="s">
        <v>304</v>
      </c>
      <c r="I334" s="158">
        <v>1109</v>
      </c>
      <c r="J334" s="147" t="s">
        <v>301</v>
      </c>
      <c r="K334" s="199">
        <v>310</v>
      </c>
      <c r="L334" s="198" t="s">
        <v>10</v>
      </c>
      <c r="M334" s="161">
        <f>IFERROR(VLOOKUP(L334,'Material Master'!B:C,2,0),"")</f>
      </c>
      <c r="N334" s="199">
        <v>300</v>
      </c>
      <c r="O334" s="162">
        <f>IFERROR(M334*N334,"")</f>
      </c>
      <c r="P334" s="198" t="s">
        <v>402</v>
      </c>
      <c r="Q334" s="158" t="s">
        <v>869</v>
      </c>
      <c r="R334" s="163">
        <v>45809</v>
      </c>
      <c r="S334" s="147"/>
      <c r="T334" s="6"/>
      <c r="U334" s="158">
        <v>243</v>
      </c>
      <c r="V334" s="164">
        <v>31</v>
      </c>
      <c r="W334" s="165">
        <f>IFERROR(U334*V334,"0")</f>
      </c>
      <c r="X334" s="7"/>
      <c r="Y334" s="166">
        <f>IFERROR((O334/1000)*Masters!$C$3,"0")</f>
      </c>
      <c r="Z334" s="195"/>
      <c r="AA334" s="164">
        <f>IFERROR(VLOOKUP(L334,Masters!G:H,2,0),"0")</f>
      </c>
      <c r="AB334" s="166">
        <f>IFERROR(AA334*N334,"0")</f>
      </c>
      <c r="AC334" s="196"/>
      <c r="AD334" s="7"/>
      <c r="AE334" s="166">
        <f>W334+Y334+AB334+AD334</f>
      </c>
      <c r="AF334" s="195"/>
      <c r="AG334" s="169">
        <f>M334&amp;"-"&amp;F334</f>
      </c>
      <c r="AH334" s="166">
        <f>IFERROR(VLOOKUP(AG334,Masters!N:O,2,0),"0")</f>
      </c>
      <c r="AI334" s="166">
        <f>AH334*N334</f>
      </c>
      <c r="AJ334" s="7"/>
      <c r="AK334" s="170">
        <f>AI334-AE334</f>
      </c>
      <c r="AL334" s="195"/>
      <c r="AM334" s="6"/>
      <c r="AN334" s="171">
        <f>IFERROR(U334/2,"0")</f>
      </c>
    </row>
    <row x14ac:dyDescent="0.25" r="335" customHeight="1" ht="18.75">
      <c r="A335" s="158">
        <f>A334+1</f>
      </c>
      <c r="B335" s="159">
        <v>45841</v>
      </c>
      <c r="C335" s="198" t="s">
        <v>870</v>
      </c>
      <c r="D335" s="159">
        <v>45843</v>
      </c>
      <c r="E335" s="198" t="s">
        <v>75</v>
      </c>
      <c r="F335" s="160" t="s">
        <v>231</v>
      </c>
      <c r="G335" s="147" t="s">
        <v>111</v>
      </c>
      <c r="H335" s="198" t="s">
        <v>303</v>
      </c>
      <c r="I335" s="158">
        <v>709</v>
      </c>
      <c r="J335" s="147" t="s">
        <v>301</v>
      </c>
      <c r="K335" s="199">
        <v>299</v>
      </c>
      <c r="L335" s="198" t="s">
        <v>10</v>
      </c>
      <c r="M335" s="161">
        <f>IFERROR(VLOOKUP(L335,'Material Master'!B:C,2,0),"")</f>
      </c>
      <c r="N335" s="199">
        <v>100</v>
      </c>
      <c r="O335" s="162">
        <f>IFERROR(M335*N335,"")</f>
      </c>
      <c r="P335" s="198" t="s">
        <v>402</v>
      </c>
      <c r="Q335" s="158" t="s">
        <v>871</v>
      </c>
      <c r="R335" s="163">
        <v>45839</v>
      </c>
      <c r="S335" s="147"/>
      <c r="T335" s="6"/>
      <c r="U335" s="158">
        <v>86</v>
      </c>
      <c r="V335" s="164">
        <v>31</v>
      </c>
      <c r="W335" s="165">
        <f>IFERROR(U335*V335,"0")</f>
      </c>
      <c r="X335" s="7"/>
      <c r="Y335" s="166">
        <f>IFERROR((O335/1000)*Masters!$C$3,"0")</f>
      </c>
      <c r="Z335" s="195"/>
      <c r="AA335" s="164">
        <f>IFERROR(VLOOKUP(L335,Masters!G:H,2,0),"0")</f>
      </c>
      <c r="AB335" s="166">
        <f>IFERROR(AA335*N335,"0")</f>
      </c>
      <c r="AC335" s="196"/>
      <c r="AD335" s="7"/>
      <c r="AE335" s="166">
        <f>W335+Y335+AB335+AD335</f>
      </c>
      <c r="AF335" s="195"/>
      <c r="AG335" s="169">
        <f>M335&amp;"-"&amp;F335</f>
      </c>
      <c r="AH335" s="166">
        <f>IFERROR(VLOOKUP(AG335,Masters!N:O,2,0),"0")</f>
      </c>
      <c r="AI335" s="166">
        <f>AH335*N335</f>
      </c>
      <c r="AJ335" s="7"/>
      <c r="AK335" s="170">
        <f>AI335-AE335</f>
      </c>
      <c r="AL335" s="195"/>
      <c r="AM335" s="6"/>
      <c r="AN335" s="171">
        <f>IFERROR(U335/2,"0")</f>
      </c>
    </row>
    <row x14ac:dyDescent="0.25" r="336" customHeight="1" ht="18.75">
      <c r="A336" s="158">
        <f>A335+1</f>
      </c>
      <c r="B336" s="159">
        <v>45841</v>
      </c>
      <c r="C336" s="198" t="s">
        <v>872</v>
      </c>
      <c r="D336" s="159">
        <v>45842</v>
      </c>
      <c r="E336" s="198" t="s">
        <v>95</v>
      </c>
      <c r="F336" s="160" t="s">
        <v>231</v>
      </c>
      <c r="G336" s="147" t="s">
        <v>658</v>
      </c>
      <c r="H336" s="198" t="s">
        <v>302</v>
      </c>
      <c r="I336" s="158">
        <v>1109</v>
      </c>
      <c r="J336" s="147" t="s">
        <v>301</v>
      </c>
      <c r="K336" s="199">
        <v>297</v>
      </c>
      <c r="L336" s="198" t="s">
        <v>15</v>
      </c>
      <c r="M336" s="161">
        <f>IFERROR(VLOOKUP(L336,'Material Master'!B:C,2,0),"")</f>
      </c>
      <c r="N336" s="199">
        <v>30</v>
      </c>
      <c r="O336" s="162">
        <f>IFERROR(M336*N336,"")</f>
      </c>
      <c r="P336" s="198" t="s">
        <v>402</v>
      </c>
      <c r="Q336" s="158" t="s">
        <v>873</v>
      </c>
      <c r="R336" s="163">
        <v>45839</v>
      </c>
      <c r="S336" s="147"/>
      <c r="T336" s="6"/>
      <c r="U336" s="158">
        <v>160</v>
      </c>
      <c r="V336" s="164">
        <v>31</v>
      </c>
      <c r="W336" s="165">
        <f>IFERROR(U336*V336,"0")</f>
      </c>
      <c r="X336" s="7"/>
      <c r="Y336" s="166">
        <f>IFERROR((O336/1000)*Masters!$C$3,"0")</f>
      </c>
      <c r="Z336" s="195"/>
      <c r="AA336" s="164">
        <f>IFERROR(VLOOKUP(L336,Masters!G:H,2,0),"0")</f>
      </c>
      <c r="AB336" s="166">
        <f>IFERROR(AA336*N336,"0")</f>
      </c>
      <c r="AC336" s="196"/>
      <c r="AD336" s="7"/>
      <c r="AE336" s="166">
        <f>W336+Y336+AB336+AD336</f>
      </c>
      <c r="AF336" s="195"/>
      <c r="AG336" s="169">
        <f>M336&amp;"-"&amp;F336</f>
      </c>
      <c r="AH336" s="166">
        <f>IFERROR(VLOOKUP(AG336,Masters!N:O,2,0),"0")</f>
      </c>
      <c r="AI336" s="166">
        <f>AH336*N336</f>
      </c>
      <c r="AJ336" s="7"/>
      <c r="AK336" s="170">
        <f>AI336-AE336</f>
      </c>
      <c r="AL336" s="195"/>
      <c r="AM336" s="6"/>
      <c r="AN336" s="171">
        <f>IFERROR(U336/2,"0")</f>
      </c>
    </row>
    <row x14ac:dyDescent="0.25" r="337" customHeight="1" ht="18.75">
      <c r="A337" s="158">
        <f>A336+1</f>
      </c>
      <c r="B337" s="159">
        <v>45841</v>
      </c>
      <c r="C337" s="173" t="s">
        <v>874</v>
      </c>
      <c r="D337" s="159"/>
      <c r="E337" s="173" t="s">
        <v>168</v>
      </c>
      <c r="F337" s="204"/>
      <c r="G337" s="173" t="s">
        <v>170</v>
      </c>
      <c r="H337" s="173"/>
      <c r="I337" s="184">
        <v>909</v>
      </c>
      <c r="J337" s="173"/>
      <c r="K337" s="184"/>
      <c r="L337" s="173"/>
      <c r="M337" s="185">
        <f>IFERROR(VLOOKUP(L337,'Material Master'!B:C,2,0),"")</f>
      </c>
      <c r="N337" s="184"/>
      <c r="O337" s="186">
        <f>IFERROR(M337*N337,"")</f>
      </c>
      <c r="P337" s="173"/>
      <c r="Q337" s="184"/>
      <c r="R337" s="187"/>
      <c r="S337" s="173" t="s">
        <v>728</v>
      </c>
      <c r="T337" s="188"/>
      <c r="U337" s="184"/>
      <c r="V337" s="185">
        <v>31</v>
      </c>
      <c r="W337" s="189">
        <f>IFERROR(U337*V337,"0")</f>
      </c>
      <c r="X337" s="190"/>
      <c r="Y337" s="191">
        <f>IFERROR((O337/1000)*Masters!$C$3,"0")</f>
      </c>
      <c r="Z337" s="192"/>
      <c r="AA337" s="164">
        <f>IFERROR(VLOOKUP(L337,Masters!G:H,2,0),"0")</f>
      </c>
      <c r="AB337" s="166">
        <f>IFERROR(AA337*N337,"0")</f>
      </c>
      <c r="AC337" s="193"/>
      <c r="AD337" s="190"/>
      <c r="AE337" s="166">
        <f>W337+Y337+AB337+AD337</f>
      </c>
      <c r="AF337" s="192"/>
      <c r="AG337" s="169">
        <f>M337&amp;"-"&amp;F337</f>
      </c>
      <c r="AH337" s="191">
        <f>IFERROR(VLOOKUP(AG337,Masters!N:O,2,0),"0")</f>
      </c>
      <c r="AI337" s="166">
        <f>AH337*N337</f>
      </c>
      <c r="AJ337" s="190"/>
      <c r="AK337" s="170">
        <f>AI337-AE337</f>
      </c>
      <c r="AL337" s="192"/>
      <c r="AM337" s="188"/>
      <c r="AN337" s="171">
        <f>IFERROR(U337/2,"0")</f>
      </c>
    </row>
    <row x14ac:dyDescent="0.25" r="338" customHeight="1" ht="18.75">
      <c r="A338" s="158">
        <f>A337+1</f>
      </c>
      <c r="B338" s="159">
        <v>45841</v>
      </c>
      <c r="C338" s="173" t="s">
        <v>874</v>
      </c>
      <c r="D338" s="159"/>
      <c r="E338" s="173" t="s">
        <v>237</v>
      </c>
      <c r="F338" s="204"/>
      <c r="G338" s="173" t="s">
        <v>238</v>
      </c>
      <c r="H338" s="173"/>
      <c r="I338" s="184">
        <v>909</v>
      </c>
      <c r="J338" s="173"/>
      <c r="K338" s="184"/>
      <c r="L338" s="173"/>
      <c r="M338" s="185">
        <f>IFERROR(VLOOKUP(L338,'Material Master'!B:C,2,0),"")</f>
      </c>
      <c r="N338" s="184"/>
      <c r="O338" s="186">
        <f>IFERROR(M338*N338,"")</f>
      </c>
      <c r="P338" s="173"/>
      <c r="Q338" s="184"/>
      <c r="R338" s="187"/>
      <c r="S338" s="173" t="s">
        <v>728</v>
      </c>
      <c r="T338" s="188"/>
      <c r="U338" s="184"/>
      <c r="V338" s="185">
        <v>31</v>
      </c>
      <c r="W338" s="189">
        <f>IFERROR(U338*V338,"0")</f>
      </c>
      <c r="X338" s="190"/>
      <c r="Y338" s="191">
        <f>IFERROR((O338/1000)*Masters!$C$3,"0")</f>
      </c>
      <c r="Z338" s="192"/>
      <c r="AA338" s="164">
        <f>IFERROR(VLOOKUP(L338,Masters!G:H,2,0),"0")</f>
      </c>
      <c r="AB338" s="166">
        <f>IFERROR(AA338*N338,"0")</f>
      </c>
      <c r="AC338" s="193"/>
      <c r="AD338" s="190"/>
      <c r="AE338" s="166">
        <f>W338+Y338+AB338+AD338</f>
      </c>
      <c r="AF338" s="192"/>
      <c r="AG338" s="169">
        <f>M338&amp;"-"&amp;F338</f>
      </c>
      <c r="AH338" s="191">
        <f>IFERROR(VLOOKUP(AG338,Masters!N:O,2,0),"0")</f>
      </c>
      <c r="AI338" s="166">
        <f>AH338*N338</f>
      </c>
      <c r="AJ338" s="190"/>
      <c r="AK338" s="170">
        <f>AI338-AE338</f>
      </c>
      <c r="AL338" s="192"/>
      <c r="AM338" s="188"/>
      <c r="AN338" s="171">
        <f>IFERROR(U338/2,"0")</f>
      </c>
    </row>
    <row x14ac:dyDescent="0.25" r="339" customHeight="1" ht="18.75">
      <c r="A339" s="158">
        <f>A338+1</f>
      </c>
      <c r="B339" s="159">
        <v>45842</v>
      </c>
      <c r="C339" s="217" t="s">
        <v>875</v>
      </c>
      <c r="D339" s="159">
        <v>45845</v>
      </c>
      <c r="E339" s="217" t="s">
        <v>79</v>
      </c>
      <c r="F339" s="218" t="s">
        <v>32</v>
      </c>
      <c r="G339" s="217" t="s">
        <v>155</v>
      </c>
      <c r="H339" s="217" t="s">
        <v>305</v>
      </c>
      <c r="I339" s="219">
        <v>1109</v>
      </c>
      <c r="J339" s="217" t="s">
        <v>301</v>
      </c>
      <c r="K339" s="219">
        <v>304</v>
      </c>
      <c r="L339" s="217" t="s">
        <v>15</v>
      </c>
      <c r="M339" s="220">
        <f>IFERROR(VLOOKUP(L339,'Material Master'!B:C,2,0),"")</f>
      </c>
      <c r="N339" s="219">
        <v>30</v>
      </c>
      <c r="O339" s="221">
        <f>IFERROR(M339*N339,"")</f>
      </c>
      <c r="P339" s="217" t="s">
        <v>402</v>
      </c>
      <c r="Q339" s="219" t="s">
        <v>876</v>
      </c>
      <c r="R339" s="163">
        <v>45839</v>
      </c>
      <c r="S339" s="217"/>
      <c r="T339" s="222"/>
      <c r="U339" s="219">
        <v>250</v>
      </c>
      <c r="V339" s="220">
        <v>31</v>
      </c>
      <c r="W339" s="223">
        <f>IFERROR(U339*V339,"0")</f>
      </c>
      <c r="X339" s="224"/>
      <c r="Y339" s="166">
        <f>IFERROR((O339/1000)*Masters!$C$3,"0")</f>
      </c>
      <c r="Z339" s="225"/>
      <c r="AA339" s="164">
        <f>IFERROR(VLOOKUP(L339,Masters!G:H,2,0),"0")</f>
      </c>
      <c r="AB339" s="166">
        <f>IFERROR(AA339*N339,"0")</f>
      </c>
      <c r="AC339" s="226"/>
      <c r="AD339" s="224"/>
      <c r="AE339" s="166">
        <f>W339+Y339+AB339+AD339</f>
      </c>
      <c r="AF339" s="225"/>
      <c r="AG339" s="169">
        <f>M339&amp;"-"&amp;F339</f>
      </c>
      <c r="AH339" s="166">
        <f>IFERROR(VLOOKUP(AG339,Masters!N:O,2,0),"0")</f>
      </c>
      <c r="AI339" s="166">
        <f>AH339*N339</f>
      </c>
      <c r="AJ339" s="224"/>
      <c r="AK339" s="170">
        <f>AI339-AE339</f>
      </c>
      <c r="AL339" s="225"/>
      <c r="AM339" s="222"/>
      <c r="AN339" s="171">
        <f>IFERROR(U339/2,"0")</f>
      </c>
    </row>
    <row x14ac:dyDescent="0.25" r="340" customHeight="1" ht="18.75">
      <c r="A340" s="158">
        <f>A339+1</f>
      </c>
      <c r="B340" s="159">
        <v>45842</v>
      </c>
      <c r="C340" s="198" t="s">
        <v>877</v>
      </c>
      <c r="D340" s="159">
        <v>45844</v>
      </c>
      <c r="E340" s="198" t="s">
        <v>79</v>
      </c>
      <c r="F340" s="160" t="s">
        <v>231</v>
      </c>
      <c r="G340" s="147" t="s">
        <v>878</v>
      </c>
      <c r="H340" s="198" t="s">
        <v>304</v>
      </c>
      <c r="I340" s="158">
        <v>1109</v>
      </c>
      <c r="J340" s="147" t="s">
        <v>301</v>
      </c>
      <c r="K340" s="199">
        <v>303</v>
      </c>
      <c r="L340" s="198" t="s">
        <v>15</v>
      </c>
      <c r="M340" s="161">
        <f>IFERROR(VLOOKUP(L340,'Material Master'!B:C,2,0),"")</f>
      </c>
      <c r="N340" s="199">
        <v>30</v>
      </c>
      <c r="O340" s="162">
        <f>IFERROR(M340*N340,"")</f>
      </c>
      <c r="P340" s="198" t="s">
        <v>402</v>
      </c>
      <c r="Q340" s="158" t="s">
        <v>879</v>
      </c>
      <c r="R340" s="163">
        <v>45839</v>
      </c>
      <c r="S340" s="147"/>
      <c r="T340" s="6"/>
      <c r="U340" s="158">
        <v>229</v>
      </c>
      <c r="V340" s="164">
        <v>31</v>
      </c>
      <c r="W340" s="165">
        <f>IFERROR(U340*V340,"0")</f>
      </c>
      <c r="X340" s="7"/>
      <c r="Y340" s="166">
        <f>IFERROR((O340/1000)*Masters!$C$3,"0")</f>
      </c>
      <c r="Z340" s="195"/>
      <c r="AA340" s="164">
        <f>IFERROR(VLOOKUP(L340,Masters!G:H,2,0),"0")</f>
      </c>
      <c r="AB340" s="166">
        <f>IFERROR(AA340*N340,"0")</f>
      </c>
      <c r="AC340" s="196"/>
      <c r="AD340" s="7"/>
      <c r="AE340" s="166">
        <f>W340+Y340+AB340+AD340</f>
      </c>
      <c r="AF340" s="195"/>
      <c r="AG340" s="169">
        <f>M340&amp;"-"&amp;F340</f>
      </c>
      <c r="AH340" s="166">
        <f>IFERROR(VLOOKUP(AG340,Masters!N:O,2,0),"0")</f>
      </c>
      <c r="AI340" s="166">
        <f>AH340*N340</f>
      </c>
      <c r="AJ340" s="7"/>
      <c r="AK340" s="170">
        <f>AI340-AE340</f>
      </c>
      <c r="AL340" s="195"/>
      <c r="AM340" s="6"/>
      <c r="AN340" s="171">
        <f>IFERROR(U340/2,"0")</f>
      </c>
    </row>
    <row x14ac:dyDescent="0.25" r="341" customHeight="1" ht="18.75">
      <c r="A341" s="158">
        <f>A340+1</f>
      </c>
      <c r="B341" s="159">
        <v>45842</v>
      </c>
      <c r="C341" s="203" t="s">
        <v>880</v>
      </c>
      <c r="D341" s="159"/>
      <c r="E341" s="203" t="s">
        <v>79</v>
      </c>
      <c r="F341" s="227"/>
      <c r="G341" s="203" t="s">
        <v>155</v>
      </c>
      <c r="H341" s="203"/>
      <c r="I341" s="228">
        <v>1109</v>
      </c>
      <c r="J341" s="203"/>
      <c r="K341" s="228"/>
      <c r="L341" s="203"/>
      <c r="M341" s="229"/>
      <c r="N341" s="228"/>
      <c r="O341" s="230">
        <f>IFERROR(M341*N341,"")</f>
      </c>
      <c r="P341" s="203"/>
      <c r="Q341" s="228"/>
      <c r="R341" s="231"/>
      <c r="S341" s="203" t="s">
        <v>881</v>
      </c>
      <c r="T341" s="232"/>
      <c r="U341" s="228"/>
      <c r="V341" s="229">
        <v>31</v>
      </c>
      <c r="W341" s="233">
        <f>IFERROR(U341*V341,"0")</f>
      </c>
      <c r="X341" s="234"/>
      <c r="Y341" s="166">
        <f>IFERROR((O341/1000)*Masters!$C$3,"0")</f>
      </c>
      <c r="Z341" s="235"/>
      <c r="AA341" s="164">
        <f>IFERROR(VLOOKUP(L341,Masters!G:H,2,0),"0")</f>
      </c>
      <c r="AB341" s="166">
        <f>IFERROR(AA341*N341,"0")</f>
      </c>
      <c r="AC341" s="236"/>
      <c r="AD341" s="234"/>
      <c r="AE341" s="166">
        <f>W341+Y341+AB341+AD341</f>
      </c>
      <c r="AF341" s="235"/>
      <c r="AG341" s="169">
        <f>M341&amp;"-"&amp;F341</f>
      </c>
      <c r="AH341" s="191">
        <f>IFERROR(VLOOKUP(AG341,Masters!N:O,2,0),"0")</f>
      </c>
      <c r="AI341" s="166">
        <f>AH341*N341</f>
      </c>
      <c r="AJ341" s="234"/>
      <c r="AK341" s="170">
        <f>AI341-AE341</f>
      </c>
      <c r="AL341" s="235"/>
      <c r="AM341" s="232"/>
      <c r="AN341" s="171">
        <f>IFERROR(U341/2,"0")</f>
      </c>
    </row>
    <row x14ac:dyDescent="0.25" r="342" customHeight="1" ht="18.75">
      <c r="A342" s="158">
        <f>A341+1</f>
      </c>
      <c r="B342" s="159">
        <v>45843</v>
      </c>
      <c r="C342" s="198" t="s">
        <v>882</v>
      </c>
      <c r="D342" s="159">
        <v>45843</v>
      </c>
      <c r="E342" s="198" t="s">
        <v>102</v>
      </c>
      <c r="F342" s="160" t="s">
        <v>32</v>
      </c>
      <c r="G342" s="147" t="s">
        <v>361</v>
      </c>
      <c r="H342" s="198" t="s">
        <v>305</v>
      </c>
      <c r="I342" s="158">
        <v>1109</v>
      </c>
      <c r="J342" s="147" t="s">
        <v>301</v>
      </c>
      <c r="K342" s="199">
        <v>301</v>
      </c>
      <c r="L342" s="198" t="s">
        <v>10</v>
      </c>
      <c r="M342" s="161">
        <f>IFERROR(VLOOKUP(L342,'Material Master'!B:C,2,0),"")</f>
      </c>
      <c r="N342" s="199">
        <v>300</v>
      </c>
      <c r="O342" s="162">
        <f>IFERROR(M342*N342,"")</f>
      </c>
      <c r="P342" s="198" t="s">
        <v>402</v>
      </c>
      <c r="Q342" s="158" t="s">
        <v>883</v>
      </c>
      <c r="R342" s="163">
        <v>45839</v>
      </c>
      <c r="S342" s="147"/>
      <c r="T342" s="6"/>
      <c r="U342" s="158">
        <v>249</v>
      </c>
      <c r="V342" s="164">
        <v>31</v>
      </c>
      <c r="W342" s="165">
        <f>IFERROR(U342*V342,"0")</f>
      </c>
      <c r="X342" s="7"/>
      <c r="Y342" s="166">
        <f>IFERROR((O342/1000)*Masters!$C$3,"0")</f>
      </c>
      <c r="Z342" s="195"/>
      <c r="AA342" s="164">
        <f>IFERROR(VLOOKUP(L342,Masters!G:H,2,0),"0")</f>
      </c>
      <c r="AB342" s="166">
        <f>IFERROR(AA342*N342,"0")</f>
      </c>
      <c r="AC342" s="196"/>
      <c r="AD342" s="7"/>
      <c r="AE342" s="166">
        <f>W342+Y342+AB342+AD342</f>
      </c>
      <c r="AF342" s="195"/>
      <c r="AG342" s="169">
        <f>M342&amp;"-"&amp;F342</f>
      </c>
      <c r="AH342" s="166">
        <f>IFERROR(VLOOKUP(AG342,Masters!N:O,2,0),"0")</f>
      </c>
      <c r="AI342" s="166">
        <f>AH342*N342</f>
      </c>
      <c r="AJ342" s="7"/>
      <c r="AK342" s="170">
        <f>AI342-AE342</f>
      </c>
      <c r="AL342" s="195"/>
      <c r="AM342" s="6"/>
      <c r="AN342" s="171">
        <f>IFERROR(U342/2,"0")</f>
      </c>
    </row>
    <row x14ac:dyDescent="0.25" r="343" customHeight="1" ht="18.75">
      <c r="A343" s="158">
        <f>A342+1</f>
      </c>
      <c r="B343" s="159">
        <v>45843</v>
      </c>
      <c r="C343" s="203" t="s">
        <v>884</v>
      </c>
      <c r="D343" s="159"/>
      <c r="E343" s="203" t="s">
        <v>210</v>
      </c>
      <c r="F343" s="227"/>
      <c r="G343" s="203" t="s">
        <v>117</v>
      </c>
      <c r="H343" s="203"/>
      <c r="I343" s="228">
        <v>909</v>
      </c>
      <c r="J343" s="203"/>
      <c r="K343" s="228"/>
      <c r="L343" s="203"/>
      <c r="M343" s="229">
        <f>IFERROR(VLOOKUP(L343,'Material Master'!B:C,2,0),"")</f>
      </c>
      <c r="N343" s="228"/>
      <c r="O343" s="230">
        <f>IFERROR(M343*N343,"")</f>
      </c>
      <c r="P343" s="203"/>
      <c r="Q343" s="228"/>
      <c r="R343" s="231"/>
      <c r="S343" s="203" t="s">
        <v>885</v>
      </c>
      <c r="T343" s="232"/>
      <c r="U343" s="228"/>
      <c r="V343" s="229">
        <v>31</v>
      </c>
      <c r="W343" s="233">
        <f>IFERROR(U343*V343,"0")</f>
      </c>
      <c r="X343" s="234"/>
      <c r="Y343" s="191">
        <f>IFERROR((O343/1000)*Masters!$C$3,"0")</f>
      </c>
      <c r="Z343" s="235"/>
      <c r="AA343" s="164">
        <f>IFERROR(VLOOKUP(L343,Masters!G:H,2,0),"0")</f>
      </c>
      <c r="AB343" s="166">
        <f>IFERROR(AA343*N343,"0")</f>
      </c>
      <c r="AC343" s="236"/>
      <c r="AD343" s="234"/>
      <c r="AE343" s="166">
        <f>W343+Y343+AB343+AD343</f>
      </c>
      <c r="AF343" s="235"/>
      <c r="AG343" s="169">
        <f>M343&amp;"-"&amp;F343</f>
      </c>
      <c r="AH343" s="191">
        <f>IFERROR(VLOOKUP(AG343,Masters!N:O,2,0),"0")</f>
      </c>
      <c r="AI343" s="166">
        <f>AH343*N343</f>
      </c>
      <c r="AJ343" s="234"/>
      <c r="AK343" s="170">
        <f>AI343-AE343</f>
      </c>
      <c r="AL343" s="235"/>
      <c r="AM343" s="232"/>
      <c r="AN343" s="171">
        <f>IFERROR(U343/2,"0")</f>
      </c>
    </row>
    <row x14ac:dyDescent="0.25" r="344" customHeight="1" ht="18.75">
      <c r="A344" s="158">
        <f>A343+1</f>
      </c>
      <c r="B344" s="159">
        <v>45845</v>
      </c>
      <c r="C344" s="198" t="s">
        <v>886</v>
      </c>
      <c r="D344" s="159">
        <v>45845</v>
      </c>
      <c r="E344" s="198" t="s">
        <v>79</v>
      </c>
      <c r="F344" s="160" t="s">
        <v>231</v>
      </c>
      <c r="G344" s="147" t="s">
        <v>878</v>
      </c>
      <c r="H344" s="198" t="s">
        <v>303</v>
      </c>
      <c r="I344" s="158">
        <v>1109</v>
      </c>
      <c r="J344" s="147" t="s">
        <v>301</v>
      </c>
      <c r="K344" s="199">
        <v>305</v>
      </c>
      <c r="L344" s="198" t="s">
        <v>15</v>
      </c>
      <c r="M344" s="161">
        <f>IFERROR(VLOOKUP(L344,'Material Master'!B:C,2,0),"")</f>
      </c>
      <c r="N344" s="199">
        <v>30</v>
      </c>
      <c r="O344" s="162">
        <f>IFERROR(M344*N344,"")</f>
      </c>
      <c r="P344" s="198" t="s">
        <v>402</v>
      </c>
      <c r="Q344" s="158" t="s">
        <v>887</v>
      </c>
      <c r="R344" s="163">
        <v>45839</v>
      </c>
      <c r="S344" s="147"/>
      <c r="T344" s="6"/>
      <c r="U344" s="158">
        <v>222</v>
      </c>
      <c r="V344" s="164">
        <v>31</v>
      </c>
      <c r="W344" s="165">
        <f>IFERROR(U344*V344,"0")</f>
      </c>
      <c r="X344" s="7"/>
      <c r="Y344" s="166">
        <f>IFERROR((O344/1000)*Masters!$C$3,"0")</f>
      </c>
      <c r="Z344" s="195"/>
      <c r="AA344" s="164">
        <f>IFERROR(VLOOKUP(L344,Masters!G:H,2,0),"0")</f>
      </c>
      <c r="AB344" s="166">
        <f>IFERROR(AA344*N344,"0")</f>
      </c>
      <c r="AC344" s="196"/>
      <c r="AD344" s="7"/>
      <c r="AE344" s="166">
        <f>W344+Y344+AB344+AD344</f>
      </c>
      <c r="AF344" s="195"/>
      <c r="AG344" s="169">
        <f>M344&amp;"-"&amp;F344</f>
      </c>
      <c r="AH344" s="166">
        <f>IFERROR(VLOOKUP(AG344,Masters!N:O,2,0),"0")</f>
      </c>
      <c r="AI344" s="166">
        <f>AH344*N344</f>
      </c>
      <c r="AJ344" s="7"/>
      <c r="AK344" s="170">
        <f>AI344-AE344</f>
      </c>
      <c r="AL344" s="195"/>
      <c r="AM344" s="6"/>
      <c r="AN344" s="171">
        <f>IFERROR(U344/2,"0")</f>
      </c>
    </row>
    <row x14ac:dyDescent="0.25" r="345" customHeight="1" ht="18.75">
      <c r="A345" s="158">
        <f>A344+1</f>
      </c>
      <c r="B345" s="159">
        <v>45845</v>
      </c>
      <c r="C345" s="198" t="s">
        <v>888</v>
      </c>
      <c r="D345" s="159">
        <v>45845</v>
      </c>
      <c r="E345" s="198" t="s">
        <v>79</v>
      </c>
      <c r="F345" s="160" t="s">
        <v>231</v>
      </c>
      <c r="G345" s="147" t="s">
        <v>878</v>
      </c>
      <c r="H345" s="198" t="s">
        <v>302</v>
      </c>
      <c r="I345" s="158">
        <v>1109</v>
      </c>
      <c r="J345" s="147" t="s">
        <v>301</v>
      </c>
      <c r="K345" s="199">
        <v>308</v>
      </c>
      <c r="L345" s="198" t="s">
        <v>15</v>
      </c>
      <c r="M345" s="161">
        <f>IFERROR(VLOOKUP(L345,'Material Master'!B:C,2,0),"")</f>
      </c>
      <c r="N345" s="199">
        <v>30</v>
      </c>
      <c r="O345" s="162">
        <f>IFERROR(M345*N345,"")</f>
      </c>
      <c r="P345" s="198" t="s">
        <v>402</v>
      </c>
      <c r="Q345" s="158" t="s">
        <v>889</v>
      </c>
      <c r="R345" s="163">
        <v>45839</v>
      </c>
      <c r="S345" s="147"/>
      <c r="T345" s="6"/>
      <c r="U345" s="158">
        <v>176</v>
      </c>
      <c r="V345" s="164">
        <v>31</v>
      </c>
      <c r="W345" s="165">
        <f>IFERROR(U345*V345,"0")</f>
      </c>
      <c r="X345" s="7"/>
      <c r="Y345" s="166">
        <f>IFERROR((O345/1000)*Masters!$C$3,"0")</f>
      </c>
      <c r="Z345" s="195"/>
      <c r="AA345" s="164">
        <f>IFERROR(VLOOKUP(L345,Masters!G:H,2,0),"0")</f>
      </c>
      <c r="AB345" s="166">
        <f>IFERROR(AA345*N345,"0")</f>
      </c>
      <c r="AC345" s="196"/>
      <c r="AD345" s="7"/>
      <c r="AE345" s="166">
        <f>W345+Y345+AB345+AD345</f>
      </c>
      <c r="AF345" s="195"/>
      <c r="AG345" s="169">
        <f>M345&amp;"-"&amp;F345</f>
      </c>
      <c r="AH345" s="166">
        <f>IFERROR(VLOOKUP(AG345,Masters!N:O,2,0),"0")</f>
      </c>
      <c r="AI345" s="166">
        <f>AH345*N345</f>
      </c>
      <c r="AJ345" s="7"/>
      <c r="AK345" s="170">
        <f>AI345-AE345</f>
      </c>
      <c r="AL345" s="195"/>
      <c r="AM345" s="6"/>
      <c r="AN345" s="171">
        <f>IFERROR(U345/2,"0")</f>
      </c>
    </row>
    <row x14ac:dyDescent="0.25" r="346" customHeight="1" ht="18.75">
      <c r="A346" s="158">
        <f>A345+1</f>
      </c>
      <c r="B346" s="159">
        <v>45845</v>
      </c>
      <c r="C346" s="198" t="s">
        <v>890</v>
      </c>
      <c r="D346" s="159">
        <v>45845</v>
      </c>
      <c r="E346" s="198" t="s">
        <v>126</v>
      </c>
      <c r="F346" s="160" t="s">
        <v>231</v>
      </c>
      <c r="G346" s="147" t="s">
        <v>197</v>
      </c>
      <c r="H346" s="198" t="s">
        <v>304</v>
      </c>
      <c r="I346" s="158">
        <v>909</v>
      </c>
      <c r="J346" s="147" t="s">
        <v>301</v>
      </c>
      <c r="K346" s="199">
        <v>306</v>
      </c>
      <c r="L346" s="198" t="s">
        <v>10</v>
      </c>
      <c r="M346" s="161">
        <f>IFERROR(VLOOKUP(L346,'Material Master'!B:C,2,0),"")</f>
      </c>
      <c r="N346" s="199">
        <v>100</v>
      </c>
      <c r="O346" s="162">
        <f>IFERROR(M346*N346,"")</f>
      </c>
      <c r="P346" s="198" t="s">
        <v>402</v>
      </c>
      <c r="Q346" s="158" t="s">
        <v>891</v>
      </c>
      <c r="R346" s="163">
        <v>45839</v>
      </c>
      <c r="S346" s="147"/>
      <c r="T346" s="6"/>
      <c r="U346" s="158"/>
      <c r="V346" s="164">
        <v>31</v>
      </c>
      <c r="W346" s="165">
        <f>IFERROR(U346*V346,"0")</f>
      </c>
      <c r="X346" s="7"/>
      <c r="Y346" s="166">
        <f>IFERROR((O346/1000)*Masters!$C$3,"0")</f>
      </c>
      <c r="Z346" s="195"/>
      <c r="AA346" s="164">
        <f>IFERROR(VLOOKUP(L346,Masters!G:H,2,0),"0")</f>
      </c>
      <c r="AB346" s="166">
        <f>IFERROR(AA346*N346,"0")</f>
      </c>
      <c r="AC346" s="196"/>
      <c r="AD346" s="7"/>
      <c r="AE346" s="166">
        <f>W346+Y346+AB346+AD346</f>
      </c>
      <c r="AF346" s="195"/>
      <c r="AG346" s="169">
        <f>M346&amp;"-"&amp;F346</f>
      </c>
      <c r="AH346" s="166">
        <f>IFERROR(VLOOKUP(AG346,Masters!N:O,2,0),"0")</f>
      </c>
      <c r="AI346" s="166">
        <f>AH346*N346</f>
      </c>
      <c r="AJ346" s="7"/>
      <c r="AK346" s="170">
        <f>AI346-AE346</f>
      </c>
      <c r="AL346" s="195"/>
      <c r="AM346" s="6"/>
      <c r="AN346" s="171">
        <f>IFERROR(U346/2,"0")</f>
      </c>
    </row>
    <row x14ac:dyDescent="0.25" r="347" customHeight="1" ht="18.75">
      <c r="A347" s="158">
        <f>A346+1</f>
      </c>
      <c r="B347" s="159">
        <v>45845</v>
      </c>
      <c r="C347" s="198" t="s">
        <v>890</v>
      </c>
      <c r="D347" s="159">
        <v>45845</v>
      </c>
      <c r="E347" s="198" t="s">
        <v>81</v>
      </c>
      <c r="F347" s="160" t="s">
        <v>32</v>
      </c>
      <c r="G347" s="147" t="s">
        <v>532</v>
      </c>
      <c r="H347" s="198" t="s">
        <v>304</v>
      </c>
      <c r="I347" s="158">
        <v>909</v>
      </c>
      <c r="J347" s="147" t="s">
        <v>301</v>
      </c>
      <c r="K347" s="199">
        <v>307</v>
      </c>
      <c r="L347" s="198" t="s">
        <v>10</v>
      </c>
      <c r="M347" s="161">
        <f>IFERROR(VLOOKUP(L347,'Material Master'!B:C,2,0),"")</f>
      </c>
      <c r="N347" s="199">
        <v>100</v>
      </c>
      <c r="O347" s="162">
        <f>IFERROR(M347*N347,"")</f>
      </c>
      <c r="P347" s="198" t="s">
        <v>402</v>
      </c>
      <c r="Q347" s="158" t="s">
        <v>891</v>
      </c>
      <c r="R347" s="163">
        <v>45839</v>
      </c>
      <c r="S347" s="147"/>
      <c r="T347" s="6"/>
      <c r="U347" s="158">
        <v>244</v>
      </c>
      <c r="V347" s="164">
        <v>31</v>
      </c>
      <c r="W347" s="165">
        <f>IFERROR(U347*V347,"0")</f>
      </c>
      <c r="X347" s="7"/>
      <c r="Y347" s="166">
        <f>IFERROR((O347/1000)*Masters!$C$3,"0")</f>
      </c>
      <c r="Z347" s="195"/>
      <c r="AA347" s="164">
        <f>IFERROR(VLOOKUP(L347,Masters!G:H,2,0),"0")</f>
      </c>
      <c r="AB347" s="166">
        <f>IFERROR(AA347*N347,"0")</f>
      </c>
      <c r="AC347" s="196"/>
      <c r="AD347" s="7"/>
      <c r="AE347" s="166">
        <f>W347+Y347+AB347+AD347</f>
      </c>
      <c r="AF347" s="195"/>
      <c r="AG347" s="169">
        <f>M347&amp;"-"&amp;F347</f>
      </c>
      <c r="AH347" s="166">
        <f>IFERROR(VLOOKUP(AG347,Masters!N:O,2,0),"0")</f>
      </c>
      <c r="AI347" s="166">
        <f>AH347*N347</f>
      </c>
      <c r="AJ347" s="7"/>
      <c r="AK347" s="170">
        <f>AI347-AE347</f>
      </c>
      <c r="AL347" s="195"/>
      <c r="AM347" s="6"/>
      <c r="AN347" s="171">
        <f>IFERROR(U347/2,"0")</f>
      </c>
    </row>
    <row x14ac:dyDescent="0.25" r="348" customHeight="1" ht="18.75">
      <c r="A348" s="158">
        <f>A347+1</f>
      </c>
      <c r="B348" s="159">
        <v>45845</v>
      </c>
      <c r="C348" s="203" t="s">
        <v>892</v>
      </c>
      <c r="D348" s="159"/>
      <c r="E348" s="203" t="s">
        <v>75</v>
      </c>
      <c r="F348" s="227"/>
      <c r="G348" s="203" t="s">
        <v>242</v>
      </c>
      <c r="H348" s="203"/>
      <c r="I348" s="228">
        <v>1109</v>
      </c>
      <c r="J348" s="203"/>
      <c r="K348" s="228"/>
      <c r="L348" s="203"/>
      <c r="M348" s="229">
        <f>IFERROR(VLOOKUP(L348,'Material Master'!B:C,2,0),"")</f>
      </c>
      <c r="N348" s="228"/>
      <c r="O348" s="230">
        <f>IFERROR(M348*N348,"")</f>
      </c>
      <c r="P348" s="203"/>
      <c r="Q348" s="228"/>
      <c r="R348" s="231"/>
      <c r="S348" s="203" t="s">
        <v>893</v>
      </c>
      <c r="T348" s="232"/>
      <c r="U348" s="228"/>
      <c r="V348" s="229">
        <v>31</v>
      </c>
      <c r="W348" s="233">
        <f>IFERROR(U348*V348,"0")</f>
      </c>
      <c r="X348" s="234"/>
      <c r="Y348" s="191">
        <f>IFERROR((O348/1000)*Masters!$C$3,"0")</f>
      </c>
      <c r="Z348" s="235"/>
      <c r="AA348" s="164">
        <f>IFERROR(VLOOKUP(L348,Masters!G:H,2,0),"0")</f>
      </c>
      <c r="AB348" s="166">
        <f>IFERROR(AA348*N348,"0")</f>
      </c>
      <c r="AC348" s="236"/>
      <c r="AD348" s="234"/>
      <c r="AE348" s="166">
        <f>W348+Y348+AB348+AD348</f>
      </c>
      <c r="AF348" s="235"/>
      <c r="AG348" s="169">
        <f>M348&amp;"-"&amp;F348</f>
      </c>
      <c r="AH348" s="191">
        <f>IFERROR(VLOOKUP(AG348,Masters!N:O,2,0),"0")</f>
      </c>
      <c r="AI348" s="166">
        <f>AH348*N348</f>
      </c>
      <c r="AJ348" s="234"/>
      <c r="AK348" s="170">
        <f>AI348-AE348</f>
      </c>
      <c r="AL348" s="235"/>
      <c r="AM348" s="232"/>
      <c r="AN348" s="171">
        <f>IFERROR(U348/2,"0")</f>
      </c>
    </row>
    <row x14ac:dyDescent="0.25" r="349" customHeight="1" ht="18.75">
      <c r="A349" s="158">
        <f>A348+1</f>
      </c>
      <c r="B349" s="159">
        <v>45846</v>
      </c>
      <c r="C349" s="198" t="s">
        <v>894</v>
      </c>
      <c r="D349" s="159">
        <v>45847</v>
      </c>
      <c r="E349" s="198" t="s">
        <v>84</v>
      </c>
      <c r="F349" s="160" t="s">
        <v>32</v>
      </c>
      <c r="G349" s="147" t="s">
        <v>530</v>
      </c>
      <c r="H349" s="198" t="s">
        <v>303</v>
      </c>
      <c r="I349" s="158">
        <v>909</v>
      </c>
      <c r="J349" s="147" t="s">
        <v>301</v>
      </c>
      <c r="K349" s="199">
        <v>311</v>
      </c>
      <c r="L349" s="198" t="s">
        <v>10</v>
      </c>
      <c r="M349" s="161">
        <f>IFERROR(VLOOKUP(L349,'Material Master'!B:C,2,0),"")</f>
      </c>
      <c r="N349" s="199">
        <v>200</v>
      </c>
      <c r="O349" s="162">
        <f>IFERROR(M349*N349,"")</f>
      </c>
      <c r="P349" s="198" t="s">
        <v>402</v>
      </c>
      <c r="Q349" s="158" t="s">
        <v>895</v>
      </c>
      <c r="R349" s="163">
        <v>45839</v>
      </c>
      <c r="S349" s="147"/>
      <c r="T349" s="6"/>
      <c r="U349" s="158">
        <v>202</v>
      </c>
      <c r="V349" s="164">
        <v>31</v>
      </c>
      <c r="W349" s="165">
        <f>IFERROR(U349*V349,"0")</f>
      </c>
      <c r="X349" s="7"/>
      <c r="Y349" s="166">
        <f>IFERROR((O349/1000)*Masters!$C$3,"0")</f>
      </c>
      <c r="Z349" s="195"/>
      <c r="AA349" s="164">
        <f>IFERROR(VLOOKUP(L349,Masters!G:H,2,0),"0")</f>
      </c>
      <c r="AB349" s="166">
        <f>IFERROR(AA349*N349,"0")</f>
      </c>
      <c r="AC349" s="196"/>
      <c r="AD349" s="7"/>
      <c r="AE349" s="166">
        <f>W349+Y349+AB349+AD349</f>
      </c>
      <c r="AF349" s="195"/>
      <c r="AG349" s="169">
        <f>M349&amp;"-"&amp;F349</f>
      </c>
      <c r="AH349" s="166">
        <f>IFERROR(VLOOKUP(AG349,Masters!N:O,2,0),"0")</f>
      </c>
      <c r="AI349" s="166">
        <f>AH349*N349</f>
      </c>
      <c r="AJ349" s="7"/>
      <c r="AK349" s="170">
        <f>AI349-AE349</f>
      </c>
      <c r="AL349" s="195"/>
      <c r="AM349" s="6"/>
      <c r="AN349" s="171">
        <f>IFERROR(U349/2,"0")</f>
      </c>
    </row>
    <row x14ac:dyDescent="0.25" r="350" customHeight="1" ht="18.75">
      <c r="A350" s="158">
        <f>A349+1</f>
      </c>
      <c r="B350" s="159">
        <v>45847</v>
      </c>
      <c r="C350" s="198" t="s">
        <v>896</v>
      </c>
      <c r="D350" s="159">
        <v>45848</v>
      </c>
      <c r="E350" s="198" t="s">
        <v>173</v>
      </c>
      <c r="F350" s="160" t="s">
        <v>231</v>
      </c>
      <c r="G350" s="147" t="s">
        <v>230</v>
      </c>
      <c r="H350" s="198" t="s">
        <v>303</v>
      </c>
      <c r="I350" s="158">
        <v>1109</v>
      </c>
      <c r="J350" s="147" t="s">
        <v>301</v>
      </c>
      <c r="K350" s="199">
        <v>312</v>
      </c>
      <c r="L350" s="198" t="s">
        <v>10</v>
      </c>
      <c r="M350" s="161">
        <f>IFERROR(VLOOKUP(L350,'Material Master'!B:C,2,0),"")</f>
      </c>
      <c r="N350" s="199">
        <v>300</v>
      </c>
      <c r="O350" s="162">
        <f>IFERROR(M350*N350,"")</f>
      </c>
      <c r="P350" s="198" t="s">
        <v>402</v>
      </c>
      <c r="Q350" s="158" t="s">
        <v>897</v>
      </c>
      <c r="R350" s="163">
        <v>45839</v>
      </c>
      <c r="S350" s="147"/>
      <c r="T350" s="6"/>
      <c r="U350" s="158">
        <v>69</v>
      </c>
      <c r="V350" s="164">
        <v>31</v>
      </c>
      <c r="W350" s="165">
        <f>IFERROR(U350*V350,"0")</f>
      </c>
      <c r="X350" s="7"/>
      <c r="Y350" s="166">
        <f>IFERROR((O350/1000)*Masters!$C$3,"0")</f>
      </c>
      <c r="Z350" s="195"/>
      <c r="AA350" s="164">
        <f>IFERROR(VLOOKUP(L350,Masters!G:H,2,0),"0")</f>
      </c>
      <c r="AB350" s="166">
        <f>IFERROR(AA350*N350,"0")</f>
      </c>
      <c r="AC350" s="196"/>
      <c r="AD350" s="7"/>
      <c r="AE350" s="166">
        <f>W350+Y350+AB350+AD350</f>
      </c>
      <c r="AF350" s="195"/>
      <c r="AG350" s="169">
        <f>M350&amp;"-"&amp;F350</f>
      </c>
      <c r="AH350" s="166">
        <f>IFERROR(VLOOKUP(AG350,Masters!N:O,2,0),"0")</f>
      </c>
      <c r="AI350" s="166">
        <f>AH350*N350</f>
      </c>
      <c r="AJ350" s="7"/>
      <c r="AK350" s="170">
        <f>AI350-AE350</f>
      </c>
      <c r="AL350" s="195"/>
      <c r="AM350" s="6"/>
      <c r="AN350" s="171">
        <f>IFERROR(U350/2,"0")</f>
      </c>
    </row>
    <row x14ac:dyDescent="0.25" r="351" customHeight="1" ht="18.75">
      <c r="A351" s="228">
        <f>A350+1</f>
      </c>
      <c r="B351" s="237">
        <v>45848</v>
      </c>
      <c r="C351" s="203" t="s">
        <v>898</v>
      </c>
      <c r="D351" s="237"/>
      <c r="E351" s="203" t="s">
        <v>79</v>
      </c>
      <c r="F351" s="227"/>
      <c r="G351" s="203" t="s">
        <v>158</v>
      </c>
      <c r="H351" s="203"/>
      <c r="I351" s="228">
        <v>1109</v>
      </c>
      <c r="J351" s="203"/>
      <c r="K351" s="228"/>
      <c r="L351" s="203"/>
      <c r="M351" s="229">
        <f>IFERROR(VLOOKUP(L351,'Material Master'!B:C,2,0),"")</f>
      </c>
      <c r="N351" s="228"/>
      <c r="O351" s="230">
        <f>IFERROR(M351*N351,"")</f>
      </c>
      <c r="P351" s="203"/>
      <c r="Q351" s="228"/>
      <c r="R351" s="231">
        <v>45839</v>
      </c>
      <c r="S351" s="203" t="s">
        <v>899</v>
      </c>
      <c r="T351" s="232"/>
      <c r="U351" s="228"/>
      <c r="V351" s="229">
        <v>31</v>
      </c>
      <c r="W351" s="233">
        <f>IFERROR(U351*V351,"0")</f>
      </c>
      <c r="X351" s="234"/>
      <c r="Y351" s="238">
        <f>IFERROR((O351/1000)*Masters!$C$3,"0")</f>
      </c>
      <c r="Z351" s="235"/>
      <c r="AA351" s="229">
        <f>IFERROR(VLOOKUP(L351,Masters!G:H,2,0),"0")</f>
      </c>
      <c r="AB351" s="239">
        <f>IFERROR(AA351*N351,"0")</f>
      </c>
      <c r="AC351" s="236"/>
      <c r="AD351" s="234"/>
      <c r="AE351" s="239">
        <f>W351+Y351+AB351+AD351</f>
      </c>
      <c r="AF351" s="235"/>
      <c r="AG351" s="240">
        <f>M351&amp;"-"&amp;F351</f>
      </c>
      <c r="AH351" s="238">
        <f>IFERROR(VLOOKUP(AG351,Masters!N:O,2,0),"0")</f>
      </c>
      <c r="AI351" s="239">
        <f>AH351*N351</f>
      </c>
      <c r="AJ351" s="234"/>
      <c r="AK351" s="239">
        <f>AI351-AE351</f>
      </c>
      <c r="AL351" s="235"/>
      <c r="AM351" s="232"/>
      <c r="AN351" s="241">
        <f>IFERROR(U351/2,"0")</f>
      </c>
    </row>
    <row x14ac:dyDescent="0.25" r="352" customHeight="1" ht="18.75">
      <c r="A352" s="158">
        <f>A351+1</f>
      </c>
      <c r="B352" s="159">
        <v>45848</v>
      </c>
      <c r="C352" s="198" t="s">
        <v>900</v>
      </c>
      <c r="D352" s="159">
        <v>45848</v>
      </c>
      <c r="E352" s="198" t="s">
        <v>79</v>
      </c>
      <c r="F352" s="160" t="s">
        <v>231</v>
      </c>
      <c r="G352" s="147" t="s">
        <v>80</v>
      </c>
      <c r="H352" s="198" t="s">
        <v>305</v>
      </c>
      <c r="I352" s="158">
        <v>1109</v>
      </c>
      <c r="J352" s="147" t="s">
        <v>301</v>
      </c>
      <c r="K352" s="199">
        <v>313</v>
      </c>
      <c r="L352" s="198" t="s">
        <v>15</v>
      </c>
      <c r="M352" s="161">
        <f>IFERROR(VLOOKUP(L352,'Material Master'!B:C,2,0),"")</f>
      </c>
      <c r="N352" s="199">
        <v>30</v>
      </c>
      <c r="O352" s="162">
        <f>IFERROR(M352*N352,"")</f>
      </c>
      <c r="P352" s="198" t="s">
        <v>402</v>
      </c>
      <c r="Q352" s="158" t="s">
        <v>901</v>
      </c>
      <c r="R352" s="163">
        <v>45839</v>
      </c>
      <c r="S352" s="147"/>
      <c r="T352" s="6"/>
      <c r="U352" s="158">
        <v>155</v>
      </c>
      <c r="V352" s="164">
        <v>31</v>
      </c>
      <c r="W352" s="165">
        <f>IFERROR(U352*V352,"0")</f>
      </c>
      <c r="X352" s="7"/>
      <c r="Y352" s="166">
        <f>IFERROR((O352/1000)*Masters!$C$3,"0")</f>
      </c>
      <c r="Z352" s="195"/>
      <c r="AA352" s="164">
        <f>IFERROR(VLOOKUP(L352,Masters!G:H,2,0),"0")</f>
      </c>
      <c r="AB352" s="166">
        <f>IFERROR(AA352*N352,"0")</f>
      </c>
      <c r="AC352" s="196"/>
      <c r="AD352" s="7"/>
      <c r="AE352" s="166">
        <f>W352+Y352+AB352+AD352</f>
      </c>
      <c r="AF352" s="195"/>
      <c r="AG352" s="169">
        <f>M352&amp;"-"&amp;F352</f>
      </c>
      <c r="AH352" s="166">
        <f>IFERROR(VLOOKUP(AG352,Masters!N:O,2,0),"0")</f>
      </c>
      <c r="AI352" s="166">
        <f>AH352*N352</f>
      </c>
      <c r="AJ352" s="7"/>
      <c r="AK352" s="170">
        <f>AI352-AE352</f>
      </c>
      <c r="AL352" s="195"/>
      <c r="AM352" s="6"/>
      <c r="AN352" s="171">
        <f>IFERROR(U352/2,"0")</f>
      </c>
    </row>
    <row x14ac:dyDescent="0.25" r="353" customHeight="1" ht="18.75">
      <c r="A353" s="158">
        <f>A352+1</f>
      </c>
      <c r="B353" s="159">
        <v>45849</v>
      </c>
      <c r="C353" s="198" t="s">
        <v>902</v>
      </c>
      <c r="D353" s="159">
        <v>45849</v>
      </c>
      <c r="E353" s="198" t="s">
        <v>108</v>
      </c>
      <c r="F353" s="160" t="s">
        <v>32</v>
      </c>
      <c r="G353" s="147" t="s">
        <v>530</v>
      </c>
      <c r="H353" s="198" t="s">
        <v>304</v>
      </c>
      <c r="I353" s="158">
        <v>1109</v>
      </c>
      <c r="J353" s="147" t="s">
        <v>301</v>
      </c>
      <c r="K353" s="199">
        <v>314</v>
      </c>
      <c r="L353" s="198" t="s">
        <v>15</v>
      </c>
      <c r="M353" s="161">
        <f>IFERROR(VLOOKUP(L353,'Material Master'!B:C,2,0),"")</f>
      </c>
      <c r="N353" s="199">
        <v>30</v>
      </c>
      <c r="O353" s="162">
        <f>IFERROR(M353*N353,"")</f>
      </c>
      <c r="P353" s="198" t="s">
        <v>402</v>
      </c>
      <c r="Q353" s="158">
        <v>547887</v>
      </c>
      <c r="R353" s="163">
        <v>45839</v>
      </c>
      <c r="S353" s="147"/>
      <c r="T353" s="6"/>
      <c r="U353" s="158">
        <v>182</v>
      </c>
      <c r="V353" s="164">
        <v>31</v>
      </c>
      <c r="W353" s="165">
        <f>IFERROR(U353*V353,"0")</f>
      </c>
      <c r="X353" s="7"/>
      <c r="Y353" s="166">
        <f>IFERROR((O353/1000)*Masters!$C$3,"0")</f>
      </c>
      <c r="Z353" s="195"/>
      <c r="AA353" s="164">
        <f>IFERROR(VLOOKUP(L353,Masters!G:H,2,0),"0")</f>
      </c>
      <c r="AB353" s="166">
        <f>IFERROR(AA353*N353,"0")</f>
      </c>
      <c r="AC353" s="196"/>
      <c r="AD353" s="7"/>
      <c r="AE353" s="166">
        <f>W353+Y353+AB353+AD353</f>
      </c>
      <c r="AF353" s="195"/>
      <c r="AG353" s="169">
        <f>M353&amp;"-"&amp;F353</f>
      </c>
      <c r="AH353" s="166">
        <f>IFERROR(VLOOKUP(AG353,Masters!N:O,2,0),"0")</f>
      </c>
      <c r="AI353" s="166">
        <f>AH353*N353</f>
      </c>
      <c r="AJ353" s="7"/>
      <c r="AK353" s="170">
        <f>AI353-AE353</f>
      </c>
      <c r="AL353" s="195"/>
      <c r="AM353" s="6"/>
      <c r="AN353" s="171">
        <f>IFERROR(U353/2,"0")</f>
      </c>
    </row>
    <row x14ac:dyDescent="0.25" r="354" customHeight="1" ht="18.75">
      <c r="A354" s="158">
        <f>A353+1</f>
      </c>
      <c r="B354" s="159">
        <v>45850</v>
      </c>
      <c r="C354" s="198" t="s">
        <v>903</v>
      </c>
      <c r="D354" s="159">
        <v>45850</v>
      </c>
      <c r="E354" s="198" t="s">
        <v>73</v>
      </c>
      <c r="F354" s="160" t="s">
        <v>231</v>
      </c>
      <c r="G354" s="147" t="s">
        <v>147</v>
      </c>
      <c r="H354" s="198" t="s">
        <v>302</v>
      </c>
      <c r="I354" s="158">
        <v>1109</v>
      </c>
      <c r="J354" s="147" t="s">
        <v>301</v>
      </c>
      <c r="K354" s="199">
        <v>317</v>
      </c>
      <c r="L354" s="198" t="s">
        <v>10</v>
      </c>
      <c r="M354" s="161">
        <f>IFERROR(VLOOKUP(L354,'Material Master'!B:C,2,0),"")</f>
      </c>
      <c r="N354" s="199">
        <v>300</v>
      </c>
      <c r="O354" s="162">
        <f>IFERROR(M354*N354,"")</f>
      </c>
      <c r="P354" s="198" t="s">
        <v>402</v>
      </c>
      <c r="Q354" s="158" t="s">
        <v>904</v>
      </c>
      <c r="R354" s="163">
        <v>45839</v>
      </c>
      <c r="S354" s="147"/>
      <c r="T354" s="6"/>
      <c r="U354" s="158">
        <v>335</v>
      </c>
      <c r="V354" s="164">
        <v>31</v>
      </c>
      <c r="W354" s="165">
        <f>IFERROR(U354*V354,"0")</f>
      </c>
      <c r="X354" s="7"/>
      <c r="Y354" s="166">
        <f>IFERROR((O354/1000)*Masters!$C$3,"0")</f>
      </c>
      <c r="Z354" s="195"/>
      <c r="AA354" s="164">
        <f>IFERROR(VLOOKUP(L354,Masters!G:H,2,0),"0")</f>
      </c>
      <c r="AB354" s="166">
        <f>IFERROR(AA354*N354,"0")</f>
      </c>
      <c r="AC354" s="196"/>
      <c r="AD354" s="7"/>
      <c r="AE354" s="166">
        <f>W354+Y354+AB354+AD354</f>
      </c>
      <c r="AF354" s="195"/>
      <c r="AG354" s="169">
        <f>M354&amp;"-"&amp;F354</f>
      </c>
      <c r="AH354" s="166">
        <f>IFERROR(VLOOKUP(AG354,Masters!N:O,2,0),"0")</f>
      </c>
      <c r="AI354" s="166">
        <f>AH354*N354</f>
      </c>
      <c r="AJ354" s="7"/>
      <c r="AK354" s="170">
        <f>AI354-AE354</f>
      </c>
      <c r="AL354" s="195"/>
      <c r="AM354" s="6"/>
      <c r="AN354" s="171">
        <f>IFERROR(U354/2,"0")</f>
      </c>
    </row>
    <row x14ac:dyDescent="0.25" r="355" customHeight="1" ht="18.75">
      <c r="A355" s="158">
        <f>A354+1</f>
      </c>
      <c r="B355" s="159">
        <v>45850</v>
      </c>
      <c r="C355" s="198" t="s">
        <v>905</v>
      </c>
      <c r="D355" s="159">
        <v>45850</v>
      </c>
      <c r="E355" s="198" t="s">
        <v>73</v>
      </c>
      <c r="F355" s="160" t="s">
        <v>231</v>
      </c>
      <c r="G355" s="147" t="s">
        <v>147</v>
      </c>
      <c r="H355" s="198" t="s">
        <v>304</v>
      </c>
      <c r="I355" s="158">
        <v>909</v>
      </c>
      <c r="J355" s="147" t="s">
        <v>301</v>
      </c>
      <c r="K355" s="199">
        <v>318</v>
      </c>
      <c r="L355" s="198" t="s">
        <v>10</v>
      </c>
      <c r="M355" s="161">
        <f>IFERROR(VLOOKUP(L355,'Material Master'!B:C,2,0),"")</f>
      </c>
      <c r="N355" s="199">
        <v>100</v>
      </c>
      <c r="O355" s="162">
        <f>IFERROR(M355*N355,"")</f>
      </c>
      <c r="P355" s="198" t="s">
        <v>402</v>
      </c>
      <c r="Q355" s="158" t="s">
        <v>906</v>
      </c>
      <c r="R355" s="163">
        <v>45839</v>
      </c>
      <c r="S355" s="147"/>
      <c r="T355" s="6"/>
      <c r="U355" s="158">
        <v>0</v>
      </c>
      <c r="V355" s="164">
        <v>31</v>
      </c>
      <c r="W355" s="165">
        <f>IFERROR(U355*V355,"0")</f>
      </c>
      <c r="X355" s="7"/>
      <c r="Y355" s="166">
        <f>IFERROR((O355/1000)*Masters!$C$3,"0")</f>
      </c>
      <c r="Z355" s="195"/>
      <c r="AA355" s="164">
        <f>IFERROR(VLOOKUP(L355,Masters!G:H,2,0),"0")</f>
      </c>
      <c r="AB355" s="166">
        <f>IFERROR(AA355*N355,"0")</f>
      </c>
      <c r="AC355" s="196"/>
      <c r="AD355" s="7"/>
      <c r="AE355" s="166">
        <f>W355+Y355+AB355+AD355</f>
      </c>
      <c r="AF355" s="195"/>
      <c r="AG355" s="169">
        <f>M355&amp;"-"&amp;F355</f>
      </c>
      <c r="AH355" s="166">
        <f>IFERROR(VLOOKUP(AG355,Masters!N:O,2,0),"0")</f>
      </c>
      <c r="AI355" s="166">
        <f>AH355*N355</f>
      </c>
      <c r="AJ355" s="7"/>
      <c r="AK355" s="170">
        <f>AI355-AE355</f>
      </c>
      <c r="AL355" s="195"/>
      <c r="AM355" s="6"/>
      <c r="AN355" s="171">
        <f>IFERROR(U355/2,"0")</f>
      </c>
    </row>
    <row x14ac:dyDescent="0.25" r="356" customHeight="1" ht="18.75">
      <c r="A356" s="158">
        <f>A355+1</f>
      </c>
      <c r="B356" s="159">
        <v>45850</v>
      </c>
      <c r="C356" s="198" t="s">
        <v>905</v>
      </c>
      <c r="D356" s="159">
        <v>45850</v>
      </c>
      <c r="E356" s="242" t="s">
        <v>258</v>
      </c>
      <c r="F356" s="160" t="s">
        <v>32</v>
      </c>
      <c r="G356" s="147" t="s">
        <v>145</v>
      </c>
      <c r="H356" s="198" t="s">
        <v>304</v>
      </c>
      <c r="I356" s="158">
        <v>909</v>
      </c>
      <c r="J356" s="147" t="s">
        <v>301</v>
      </c>
      <c r="K356" s="199">
        <v>319</v>
      </c>
      <c r="L356" s="198" t="s">
        <v>10</v>
      </c>
      <c r="M356" s="161">
        <f>IFERROR(VLOOKUP(L356,'Material Master'!B:C,2,0),"")</f>
      </c>
      <c r="N356" s="199">
        <v>100</v>
      </c>
      <c r="O356" s="162">
        <f>IFERROR(M356*N356,"")</f>
      </c>
      <c r="P356" s="198" t="s">
        <v>402</v>
      </c>
      <c r="Q356" s="158" t="s">
        <v>906</v>
      </c>
      <c r="R356" s="163">
        <v>45839</v>
      </c>
      <c r="S356" s="147"/>
      <c r="T356" s="6"/>
      <c r="U356" s="158">
        <v>406</v>
      </c>
      <c r="V356" s="164">
        <v>31</v>
      </c>
      <c r="W356" s="165">
        <f>IFERROR(U356*V356,"0")</f>
      </c>
      <c r="X356" s="7"/>
      <c r="Y356" s="166">
        <f>IFERROR((O356/1000)*Masters!$C$3,"0")</f>
      </c>
      <c r="Z356" s="195"/>
      <c r="AA356" s="164">
        <f>IFERROR(VLOOKUP(L356,Masters!G:H,2,0),"0")</f>
      </c>
      <c r="AB356" s="166">
        <f>IFERROR(AA356*N356,"0")</f>
      </c>
      <c r="AC356" s="196"/>
      <c r="AD356" s="7"/>
      <c r="AE356" s="166">
        <f>W356+Y356+AB356+AD356</f>
      </c>
      <c r="AF356" s="195"/>
      <c r="AG356" s="169">
        <f>M356&amp;"-"&amp;F356</f>
      </c>
      <c r="AH356" s="166">
        <f>IFERROR(VLOOKUP(AG356,Masters!N:O,2,0),"0")</f>
      </c>
      <c r="AI356" s="166">
        <f>AH356*N356</f>
      </c>
      <c r="AJ356" s="7"/>
      <c r="AK356" s="170">
        <f>AI356-AE356</f>
      </c>
      <c r="AL356" s="195"/>
      <c r="AM356" s="6"/>
      <c r="AN356" s="171">
        <f>IFERROR(U356/2,"0")</f>
      </c>
    </row>
    <row x14ac:dyDescent="0.25" r="357" customHeight="1" ht="18.75">
      <c r="A357" s="158">
        <f>A356+1</f>
      </c>
      <c r="B357" s="159">
        <v>45852</v>
      </c>
      <c r="C357" s="198" t="s">
        <v>907</v>
      </c>
      <c r="D357" s="159">
        <v>45852</v>
      </c>
      <c r="E357" s="198" t="s">
        <v>108</v>
      </c>
      <c r="F357" s="160" t="s">
        <v>32</v>
      </c>
      <c r="G357" s="147" t="s">
        <v>530</v>
      </c>
      <c r="H357" s="198" t="s">
        <v>303</v>
      </c>
      <c r="I357" s="158">
        <v>1109</v>
      </c>
      <c r="J357" s="147" t="s">
        <v>301</v>
      </c>
      <c r="K357" s="199">
        <v>320</v>
      </c>
      <c r="L357" s="198" t="s">
        <v>15</v>
      </c>
      <c r="M357" s="161">
        <f>IFERROR(VLOOKUP(L357,'Material Master'!B:C,2,0),"")</f>
      </c>
      <c r="N357" s="199">
        <v>30</v>
      </c>
      <c r="O357" s="162">
        <f>IFERROR(M357*N357,"")</f>
      </c>
      <c r="P357" s="198" t="s">
        <v>402</v>
      </c>
      <c r="Q357" s="158" t="s">
        <v>908</v>
      </c>
      <c r="R357" s="163">
        <v>45839</v>
      </c>
      <c r="S357" s="147"/>
      <c r="T357" s="6"/>
      <c r="U357" s="158">
        <v>186</v>
      </c>
      <c r="V357" s="164">
        <v>31</v>
      </c>
      <c r="W357" s="165">
        <f>IFERROR(U357*V357,"0")</f>
      </c>
      <c r="X357" s="7"/>
      <c r="Y357" s="166">
        <f>IFERROR((O357/1000)*Masters!$C$3,"0")</f>
      </c>
      <c r="Z357" s="195"/>
      <c r="AA357" s="164">
        <f>IFERROR(VLOOKUP(L357,Masters!G:H,2,0),"0")</f>
      </c>
      <c r="AB357" s="166">
        <f>IFERROR(AA357*N357,"0")</f>
      </c>
      <c r="AC357" s="196"/>
      <c r="AD357" s="7"/>
      <c r="AE357" s="166">
        <f>W357+Y357+AB357+AD357</f>
      </c>
      <c r="AF357" s="195"/>
      <c r="AG357" s="169">
        <f>M357&amp;"-"&amp;F357</f>
      </c>
      <c r="AH357" s="166">
        <f>IFERROR(VLOOKUP(AG357,Masters!N:O,2,0),"0")</f>
      </c>
      <c r="AI357" s="166">
        <f>AH357*N357</f>
      </c>
      <c r="AJ357" s="7"/>
      <c r="AK357" s="170">
        <f>AI357-AE357</f>
      </c>
      <c r="AL357" s="195"/>
      <c r="AM357" s="6"/>
      <c r="AN357" s="171">
        <f>IFERROR(U357/2,"0")</f>
      </c>
    </row>
    <row x14ac:dyDescent="0.25" r="358" customHeight="1" ht="18.75">
      <c r="A358" s="158">
        <f>A357+1</f>
      </c>
      <c r="B358" s="159">
        <v>45853</v>
      </c>
      <c r="C358" s="198" t="s">
        <v>909</v>
      </c>
      <c r="D358" s="159">
        <v>45853</v>
      </c>
      <c r="E358" s="198" t="s">
        <v>108</v>
      </c>
      <c r="F358" s="160" t="s">
        <v>32</v>
      </c>
      <c r="G358" s="147" t="s">
        <v>530</v>
      </c>
      <c r="H358" s="198" t="s">
        <v>305</v>
      </c>
      <c r="I358" s="158">
        <v>1109</v>
      </c>
      <c r="J358" s="147" t="s">
        <v>301</v>
      </c>
      <c r="K358" s="199">
        <v>321</v>
      </c>
      <c r="L358" s="198" t="s">
        <v>15</v>
      </c>
      <c r="M358" s="161">
        <f>IFERROR(VLOOKUP(L358,'Material Master'!B:C,2,0),"")</f>
      </c>
      <c r="N358" s="199">
        <v>30</v>
      </c>
      <c r="O358" s="162">
        <f>IFERROR(M358*N358,"")</f>
      </c>
      <c r="P358" s="198" t="s">
        <v>402</v>
      </c>
      <c r="Q358" s="158" t="s">
        <v>910</v>
      </c>
      <c r="R358" s="163">
        <v>45839</v>
      </c>
      <c r="S358" s="147"/>
      <c r="T358" s="6"/>
      <c r="U358" s="158">
        <v>181</v>
      </c>
      <c r="V358" s="164">
        <v>31</v>
      </c>
      <c r="W358" s="165">
        <f>IFERROR(U358*V358,"0")</f>
      </c>
      <c r="X358" s="7"/>
      <c r="Y358" s="166">
        <f>IFERROR((O358/1000)*Masters!$C$3,"0")</f>
      </c>
      <c r="Z358" s="195"/>
      <c r="AA358" s="164">
        <f>IFERROR(VLOOKUP(L358,Masters!G:H,2,0),"0")</f>
      </c>
      <c r="AB358" s="166">
        <f>IFERROR(AA358*N358,"0")</f>
      </c>
      <c r="AC358" s="196"/>
      <c r="AD358" s="7"/>
      <c r="AE358" s="166">
        <f>W358+Y358+AB358+AD358</f>
      </c>
      <c r="AF358" s="195"/>
      <c r="AG358" s="169">
        <f>M358&amp;"-"&amp;F358</f>
      </c>
      <c r="AH358" s="166">
        <f>IFERROR(VLOOKUP(AG358,Masters!N:O,2,0),"0")</f>
      </c>
      <c r="AI358" s="166">
        <f>AH358*N358</f>
      </c>
      <c r="AJ358" s="7"/>
      <c r="AK358" s="170">
        <f>AI358-AE358</f>
      </c>
      <c r="AL358" s="195"/>
      <c r="AM358" s="6"/>
      <c r="AN358" s="171">
        <f>IFERROR(U358/2,"0")</f>
      </c>
    </row>
    <row x14ac:dyDescent="0.25" r="359" customHeight="1" ht="18.75">
      <c r="A359" s="158">
        <f>A358+1</f>
      </c>
      <c r="B359" s="159">
        <v>45854</v>
      </c>
      <c r="C359" s="198" t="s">
        <v>911</v>
      </c>
      <c r="D359" s="159">
        <v>45854</v>
      </c>
      <c r="E359" s="198" t="s">
        <v>148</v>
      </c>
      <c r="F359" s="160" t="s">
        <v>32</v>
      </c>
      <c r="G359" s="147" t="s">
        <v>532</v>
      </c>
      <c r="H359" s="198" t="s">
        <v>302</v>
      </c>
      <c r="I359" s="158">
        <v>709</v>
      </c>
      <c r="J359" s="147" t="s">
        <v>301</v>
      </c>
      <c r="K359" s="199">
        <v>322</v>
      </c>
      <c r="L359" s="198" t="s">
        <v>10</v>
      </c>
      <c r="M359" s="161">
        <f>IFERROR(VLOOKUP(L359,'Material Master'!B:C,2,0),"")</f>
      </c>
      <c r="N359" s="199">
        <v>100</v>
      </c>
      <c r="O359" s="162">
        <f>IFERROR(M359*N359,"")</f>
      </c>
      <c r="P359" s="198" t="s">
        <v>402</v>
      </c>
      <c r="Q359" s="158" t="s">
        <v>912</v>
      </c>
      <c r="R359" s="163">
        <v>45839</v>
      </c>
      <c r="S359" s="147"/>
      <c r="T359" s="6"/>
      <c r="U359" s="158">
        <v>232</v>
      </c>
      <c r="V359" s="164">
        <v>31</v>
      </c>
      <c r="W359" s="165">
        <f>IFERROR(U359*V359,"0")</f>
      </c>
      <c r="X359" s="7"/>
      <c r="Y359" s="166">
        <f>IFERROR((O359/1000)*Masters!$C$3,"0")</f>
      </c>
      <c r="Z359" s="195"/>
      <c r="AA359" s="164">
        <f>IFERROR(VLOOKUP(L359,Masters!G:H,2,0),"0")</f>
      </c>
      <c r="AB359" s="166">
        <f>IFERROR(AA359*N359,"0")</f>
      </c>
      <c r="AC359" s="196"/>
      <c r="AD359" s="7"/>
      <c r="AE359" s="166">
        <f>W359+Y359+AB359+AD359</f>
      </c>
      <c r="AF359" s="195"/>
      <c r="AG359" s="169">
        <f>M359&amp;"-"&amp;F359</f>
      </c>
      <c r="AH359" s="166">
        <f>IFERROR(VLOOKUP(AG359,Masters!N:O,2,0),"0")</f>
      </c>
      <c r="AI359" s="166">
        <f>AH359*N359</f>
      </c>
      <c r="AJ359" s="7"/>
      <c r="AK359" s="170">
        <f>AI359-AE359</f>
      </c>
      <c r="AL359" s="195"/>
      <c r="AM359" s="6"/>
      <c r="AN359" s="171">
        <f>IFERROR(U359/2,"0")</f>
      </c>
    </row>
    <row x14ac:dyDescent="0.25" r="360" customHeight="1" ht="18.75">
      <c r="A360" s="158">
        <f>A359+1</f>
      </c>
      <c r="B360" s="159">
        <v>45854</v>
      </c>
      <c r="C360" s="198" t="s">
        <v>913</v>
      </c>
      <c r="D360" s="159">
        <v>45861</v>
      </c>
      <c r="E360" s="198" t="s">
        <v>79</v>
      </c>
      <c r="F360" s="160" t="s">
        <v>32</v>
      </c>
      <c r="G360" s="147" t="s">
        <v>155</v>
      </c>
      <c r="H360" s="198" t="s">
        <v>302</v>
      </c>
      <c r="I360" s="158">
        <v>1109</v>
      </c>
      <c r="J360" s="147" t="s">
        <v>301</v>
      </c>
      <c r="K360" s="199">
        <v>335</v>
      </c>
      <c r="L360" s="198" t="s">
        <v>15</v>
      </c>
      <c r="M360" s="161">
        <f>IFERROR(VLOOKUP(L360,'Material Master'!B:C,2,0),"")</f>
      </c>
      <c r="N360" s="199">
        <v>30</v>
      </c>
      <c r="O360" s="162">
        <f>IFERROR(M360*N360,"")</f>
      </c>
      <c r="P360" s="198" t="s">
        <v>402</v>
      </c>
      <c r="Q360" s="158" t="s">
        <v>914</v>
      </c>
      <c r="R360" s="163">
        <v>45839</v>
      </c>
      <c r="S360" s="173"/>
      <c r="T360" s="6"/>
      <c r="U360" s="158">
        <v>271</v>
      </c>
      <c r="V360" s="164">
        <v>31</v>
      </c>
      <c r="W360" s="165">
        <f>IFERROR(U360*V360,"0")</f>
      </c>
      <c r="X360" s="7"/>
      <c r="Y360" s="166">
        <f>IFERROR((O360/1000)*Masters!$C$3,"0")</f>
      </c>
      <c r="Z360" s="195"/>
      <c r="AA360" s="164">
        <f>IFERROR(VLOOKUP(L360,Masters!G:H,2,0),"0")</f>
      </c>
      <c r="AB360" s="166">
        <f>IFERROR(AA360*N360,"0")</f>
      </c>
      <c r="AC360" s="196"/>
      <c r="AD360" s="7"/>
      <c r="AE360" s="166">
        <f>W360+Y360+AB360+AD360</f>
      </c>
      <c r="AF360" s="195"/>
      <c r="AG360" s="169">
        <f>M360&amp;"-"&amp;F360</f>
      </c>
      <c r="AH360" s="166">
        <f>IFERROR(VLOOKUP(AG360,Masters!N:O,2,0),"0")</f>
      </c>
      <c r="AI360" s="166">
        <f>AH360*N360</f>
      </c>
      <c r="AJ360" s="7"/>
      <c r="AK360" s="170">
        <f>AI360-AE360</f>
      </c>
      <c r="AL360" s="195"/>
      <c r="AM360" s="6"/>
      <c r="AN360" s="171">
        <f>IFERROR(U360/2,"0")</f>
      </c>
    </row>
    <row x14ac:dyDescent="0.25" r="361" customHeight="1" ht="18.75">
      <c r="A361" s="158">
        <f>A360+1</f>
      </c>
      <c r="B361" s="159">
        <v>45854</v>
      </c>
      <c r="C361" s="198" t="s">
        <v>915</v>
      </c>
      <c r="D361" s="159">
        <v>45854</v>
      </c>
      <c r="E361" s="198" t="s">
        <v>212</v>
      </c>
      <c r="F361" s="160" t="s">
        <v>236</v>
      </c>
      <c r="G361" s="147" t="s">
        <v>186</v>
      </c>
      <c r="H361" s="198" t="s">
        <v>304</v>
      </c>
      <c r="I361" s="158">
        <v>1109</v>
      </c>
      <c r="J361" s="147" t="s">
        <v>301</v>
      </c>
      <c r="K361" s="199">
        <v>323</v>
      </c>
      <c r="L361" s="198" t="s">
        <v>10</v>
      </c>
      <c r="M361" s="161">
        <f>IFERROR(VLOOKUP(L361,'Material Master'!B:C,2,0),"")</f>
      </c>
      <c r="N361" s="199">
        <v>300</v>
      </c>
      <c r="O361" s="162">
        <f>IFERROR(M361*N361,"")</f>
      </c>
      <c r="P361" s="198" t="s">
        <v>402</v>
      </c>
      <c r="Q361" s="158" t="s">
        <v>916</v>
      </c>
      <c r="R361" s="163">
        <v>45839</v>
      </c>
      <c r="S361" s="147"/>
      <c r="T361" s="6"/>
      <c r="U361" s="158">
        <v>518</v>
      </c>
      <c r="V361" s="164">
        <v>31</v>
      </c>
      <c r="W361" s="165">
        <f>IFERROR(U361*V361,"0")</f>
      </c>
      <c r="X361" s="7"/>
      <c r="Y361" s="166">
        <f>IFERROR((O361/1000)*Masters!$C$3,"0")</f>
      </c>
      <c r="Z361" s="195"/>
      <c r="AA361" s="164">
        <f>IFERROR(VLOOKUP(L361,Masters!G:H,2,0),"0")</f>
      </c>
      <c r="AB361" s="166">
        <f>IFERROR(AA361*N361,"0")</f>
      </c>
      <c r="AC361" s="196"/>
      <c r="AD361" s="7"/>
      <c r="AE361" s="166">
        <f>W361+Y361+AB361+AD361</f>
      </c>
      <c r="AF361" s="195"/>
      <c r="AG361" s="169">
        <f>M361&amp;"-"&amp;F361</f>
      </c>
      <c r="AH361" s="166">
        <f>IFERROR(VLOOKUP(AG361,Masters!N:O,2,0),"0")</f>
      </c>
      <c r="AI361" s="166">
        <f>AH361*N361</f>
      </c>
      <c r="AJ361" s="7"/>
      <c r="AK361" s="170">
        <f>AI361-AE361</f>
      </c>
      <c r="AL361" s="195"/>
      <c r="AM361" s="6"/>
      <c r="AN361" s="171">
        <f>IFERROR(U361/2,"0")</f>
      </c>
    </row>
    <row x14ac:dyDescent="0.25" r="362" customHeight="1" ht="18.75">
      <c r="A362" s="158">
        <f>A361+1</f>
      </c>
      <c r="B362" s="159">
        <v>45854</v>
      </c>
      <c r="C362" s="198" t="s">
        <v>917</v>
      </c>
      <c r="D362" s="159">
        <v>45855</v>
      </c>
      <c r="E362" s="198" t="s">
        <v>148</v>
      </c>
      <c r="F362" s="160" t="s">
        <v>32</v>
      </c>
      <c r="G362" s="147" t="s">
        <v>532</v>
      </c>
      <c r="H362" s="198" t="s">
        <v>319</v>
      </c>
      <c r="I362" s="158">
        <v>2515</v>
      </c>
      <c r="J362" s="147" t="s">
        <v>306</v>
      </c>
      <c r="K362" s="199">
        <v>325</v>
      </c>
      <c r="L362" s="198" t="s">
        <v>10</v>
      </c>
      <c r="M362" s="161">
        <f>IFERROR(VLOOKUP(L362,'Material Master'!B:C,2,0),"")</f>
      </c>
      <c r="N362" s="199">
        <v>500</v>
      </c>
      <c r="O362" s="162">
        <f>IFERROR(M362*N362,"")</f>
      </c>
      <c r="P362" s="198" t="s">
        <v>402</v>
      </c>
      <c r="Q362" s="158" t="s">
        <v>918</v>
      </c>
      <c r="R362" s="163">
        <v>45839</v>
      </c>
      <c r="S362" s="147" t="s">
        <v>306</v>
      </c>
      <c r="T362" s="6"/>
      <c r="U362" s="158">
        <v>0</v>
      </c>
      <c r="V362" s="164">
        <v>31</v>
      </c>
      <c r="W362" s="165">
        <v>12000</v>
      </c>
      <c r="X362" s="7"/>
      <c r="Y362" s="166">
        <f>IFERROR((O362/1000)*Masters!$C$3,"0")</f>
      </c>
      <c r="Z362" s="195"/>
      <c r="AA362" s="164">
        <f>IFERROR(VLOOKUP(L362,Masters!G:H,2,0),"0")</f>
      </c>
      <c r="AB362" s="166">
        <f>IFERROR(AA362*N362,"0")</f>
      </c>
      <c r="AC362" s="196"/>
      <c r="AD362" s="8">
        <v>3900</v>
      </c>
      <c r="AE362" s="166">
        <f>W362+Y362+AB362+AD362</f>
      </c>
      <c r="AF362" s="195"/>
      <c r="AG362" s="169">
        <f>M362&amp;"-"&amp;F362</f>
      </c>
      <c r="AH362" s="166">
        <f>IFERROR(VLOOKUP(AG362,Masters!N:O,2,0),"0")</f>
      </c>
      <c r="AI362" s="166">
        <f>AH362*N362</f>
      </c>
      <c r="AJ362" s="7"/>
      <c r="AK362" s="170">
        <f>AI362-AE362</f>
      </c>
      <c r="AL362" s="195"/>
      <c r="AM362" s="6"/>
      <c r="AN362" s="171">
        <f>IFERROR(U362/2,"0")</f>
      </c>
    </row>
    <row x14ac:dyDescent="0.25" r="363" customHeight="1" ht="18.75">
      <c r="A363" s="158">
        <f>A362+1</f>
      </c>
      <c r="B363" s="159">
        <v>45855</v>
      </c>
      <c r="C363" s="198" t="s">
        <v>919</v>
      </c>
      <c r="D363" s="159">
        <v>45855</v>
      </c>
      <c r="E363" s="198" t="s">
        <v>81</v>
      </c>
      <c r="F363" s="160" t="s">
        <v>32</v>
      </c>
      <c r="G363" s="147" t="s">
        <v>532</v>
      </c>
      <c r="H363" s="198" t="s">
        <v>303</v>
      </c>
      <c r="I363" s="158">
        <v>909</v>
      </c>
      <c r="J363" s="147" t="s">
        <v>301</v>
      </c>
      <c r="K363" s="199">
        <v>324</v>
      </c>
      <c r="L363" s="198" t="s">
        <v>10</v>
      </c>
      <c r="M363" s="161">
        <f>IFERROR(VLOOKUP(L363,'Material Master'!B:C,2,0),"")</f>
      </c>
      <c r="N363" s="199">
        <v>200</v>
      </c>
      <c r="O363" s="162">
        <f>IFERROR(M363*N363,"")</f>
      </c>
      <c r="P363" s="198" t="s">
        <v>402</v>
      </c>
      <c r="Q363" s="158" t="s">
        <v>920</v>
      </c>
      <c r="R363" s="163">
        <v>45839</v>
      </c>
      <c r="S363" s="147"/>
      <c r="T363" s="6"/>
      <c r="U363" s="158">
        <v>244</v>
      </c>
      <c r="V363" s="164">
        <v>31</v>
      </c>
      <c r="W363" s="165">
        <f>IFERROR(U363*V363,"0")</f>
      </c>
      <c r="X363" s="7"/>
      <c r="Y363" s="166">
        <f>IFERROR((O363/1000)*Masters!$C$3,"0")</f>
      </c>
      <c r="Z363" s="195"/>
      <c r="AA363" s="164">
        <f>IFERROR(VLOOKUP(L363,Masters!G:H,2,0),"0")</f>
      </c>
      <c r="AB363" s="166">
        <f>IFERROR(AA363*N363,"0")</f>
      </c>
      <c r="AC363" s="196"/>
      <c r="AD363" s="7"/>
      <c r="AE363" s="166">
        <f>W363+Y363+AB363+AD363</f>
      </c>
      <c r="AF363" s="195"/>
      <c r="AG363" s="169">
        <f>M363&amp;"-"&amp;F363</f>
      </c>
      <c r="AH363" s="166">
        <f>IFERROR(VLOOKUP(AG363,Masters!N:O,2,0),"0")</f>
      </c>
      <c r="AI363" s="166">
        <f>AH363*N363</f>
      </c>
      <c r="AJ363" s="7"/>
      <c r="AK363" s="170">
        <f>AI363-AE363</f>
      </c>
      <c r="AL363" s="195"/>
      <c r="AM363" s="6"/>
      <c r="AN363" s="171">
        <f>IFERROR(U363/2,"0")</f>
      </c>
    </row>
    <row x14ac:dyDescent="0.25" r="364" customHeight="1" ht="18.75">
      <c r="A364" s="158">
        <f>A363+1</f>
      </c>
      <c r="B364" s="159">
        <v>45855</v>
      </c>
      <c r="C364" s="198" t="s">
        <v>921</v>
      </c>
      <c r="D364" s="159">
        <v>45857</v>
      </c>
      <c r="E364" s="198" t="s">
        <v>144</v>
      </c>
      <c r="F364" s="160" t="s">
        <v>32</v>
      </c>
      <c r="G364" s="147" t="s">
        <v>145</v>
      </c>
      <c r="H364" s="198" t="s">
        <v>305</v>
      </c>
      <c r="I364" s="158">
        <v>1109</v>
      </c>
      <c r="J364" s="147" t="s">
        <v>301</v>
      </c>
      <c r="K364" s="199">
        <v>326</v>
      </c>
      <c r="L364" s="198" t="s">
        <v>10</v>
      </c>
      <c r="M364" s="161">
        <f>IFERROR(VLOOKUP(L364,'Material Master'!B:C,2,0),"")</f>
      </c>
      <c r="N364" s="199">
        <v>300</v>
      </c>
      <c r="O364" s="162">
        <f>IFERROR(M364*N364,"")</f>
      </c>
      <c r="P364" s="198" t="s">
        <v>402</v>
      </c>
      <c r="Q364" s="158" t="s">
        <v>922</v>
      </c>
      <c r="R364" s="163">
        <v>45839</v>
      </c>
      <c r="S364" s="147"/>
      <c r="T364" s="6"/>
      <c r="U364" s="158">
        <v>515</v>
      </c>
      <c r="V364" s="164">
        <v>31</v>
      </c>
      <c r="W364" s="165">
        <f>IFERROR(U364*V364,"0")</f>
      </c>
      <c r="X364" s="7"/>
      <c r="Y364" s="166">
        <f>IFERROR((O364/1000)*Masters!$C$3,"0")</f>
      </c>
      <c r="Z364" s="195"/>
      <c r="AA364" s="164">
        <f>IFERROR(VLOOKUP(L364,Masters!G:H,2,0),"0")</f>
      </c>
      <c r="AB364" s="166">
        <f>IFERROR(AA364*N364,"0")</f>
      </c>
      <c r="AC364" s="196"/>
      <c r="AD364" s="7"/>
      <c r="AE364" s="166">
        <f>W364+Y364+AB364+AD364</f>
      </c>
      <c r="AF364" s="195"/>
      <c r="AG364" s="169">
        <f>M364&amp;"-"&amp;F364</f>
      </c>
      <c r="AH364" s="166">
        <f>IFERROR(VLOOKUP(AG364,Masters!N:O,2,0),"0")</f>
      </c>
      <c r="AI364" s="166">
        <f>AH364*N364</f>
      </c>
      <c r="AJ364" s="7"/>
      <c r="AK364" s="170">
        <f>AI364-AE364</f>
      </c>
      <c r="AL364" s="195"/>
      <c r="AM364" s="6"/>
      <c r="AN364" s="171">
        <f>IFERROR(U364/2,"0")</f>
      </c>
    </row>
    <row x14ac:dyDescent="0.25" r="365" customHeight="1" ht="18.75">
      <c r="A365" s="158">
        <f>A364+1</f>
      </c>
      <c r="B365" s="159">
        <v>45856</v>
      </c>
      <c r="C365" s="198" t="s">
        <v>923</v>
      </c>
      <c r="D365" s="159">
        <v>45862</v>
      </c>
      <c r="E365" s="198" t="s">
        <v>205</v>
      </c>
      <c r="F365" s="160" t="s">
        <v>236</v>
      </c>
      <c r="G365" s="147" t="s">
        <v>170</v>
      </c>
      <c r="H365" s="198" t="s">
        <v>304</v>
      </c>
      <c r="I365" s="158">
        <v>1109</v>
      </c>
      <c r="J365" s="147" t="s">
        <v>301</v>
      </c>
      <c r="K365" s="199">
        <v>340</v>
      </c>
      <c r="L365" s="198" t="s">
        <v>15</v>
      </c>
      <c r="M365" s="161">
        <f>IFERROR(VLOOKUP(L365,'Material Master'!B:C,2,0),"")</f>
      </c>
      <c r="N365" s="199">
        <v>25</v>
      </c>
      <c r="O365" s="162">
        <f>IFERROR(M365*N365,"")</f>
      </c>
      <c r="P365" s="198" t="s">
        <v>402</v>
      </c>
      <c r="Q365" s="158">
        <v>263139</v>
      </c>
      <c r="R365" s="163">
        <v>45839</v>
      </c>
      <c r="S365" s="173"/>
      <c r="T365" s="6"/>
      <c r="U365" s="158">
        <v>646</v>
      </c>
      <c r="V365" s="164">
        <v>31</v>
      </c>
      <c r="W365" s="165">
        <f>IFERROR(U365*V365,"0")</f>
      </c>
      <c r="X365" s="7"/>
      <c r="Y365" s="166">
        <f>IFERROR((O365/1000)*Masters!$C$3,"0")</f>
      </c>
      <c r="Z365" s="195"/>
      <c r="AA365" s="164">
        <f>IFERROR(VLOOKUP(L365,Masters!G:H,2,0),"0")</f>
      </c>
      <c r="AB365" s="166">
        <f>IFERROR(AA365*N365,"0")</f>
      </c>
      <c r="AC365" s="196"/>
      <c r="AD365" s="7"/>
      <c r="AE365" s="166">
        <f>W365+Y365+AB365+AD365</f>
      </c>
      <c r="AF365" s="195"/>
      <c r="AG365" s="169">
        <f>M365&amp;"-"&amp;F365</f>
      </c>
      <c r="AH365" s="166">
        <f>IFERROR(VLOOKUP(AG365,Masters!N:O,2,0),"0")</f>
      </c>
      <c r="AI365" s="166">
        <f>AH365*N365</f>
      </c>
      <c r="AJ365" s="7"/>
      <c r="AK365" s="170">
        <f>AI365-AE365</f>
      </c>
      <c r="AL365" s="195"/>
      <c r="AM365" s="6"/>
      <c r="AN365" s="171">
        <f>IFERROR(U365/2,"0")</f>
      </c>
    </row>
    <row x14ac:dyDescent="0.25" r="366" customHeight="1" ht="18.75">
      <c r="A366" s="158">
        <f>A365+1</f>
      </c>
      <c r="B366" s="159">
        <v>45856</v>
      </c>
      <c r="C366" s="198" t="s">
        <v>924</v>
      </c>
      <c r="D366" s="159">
        <v>45863</v>
      </c>
      <c r="E366" s="198" t="s">
        <v>205</v>
      </c>
      <c r="F366" s="160" t="s">
        <v>236</v>
      </c>
      <c r="G366" s="147" t="s">
        <v>170</v>
      </c>
      <c r="H366" s="198" t="s">
        <v>303</v>
      </c>
      <c r="I366" s="158">
        <v>1109</v>
      </c>
      <c r="J366" s="147" t="s">
        <v>301</v>
      </c>
      <c r="K366" s="199">
        <v>341</v>
      </c>
      <c r="L366" s="198" t="s">
        <v>15</v>
      </c>
      <c r="M366" s="161">
        <f>IFERROR(VLOOKUP(L366,'Material Master'!B:C,2,0),"")</f>
      </c>
      <c r="N366" s="199">
        <v>25</v>
      </c>
      <c r="O366" s="162">
        <f>IFERROR(M366*N366,"")</f>
      </c>
      <c r="P366" s="198" t="s">
        <v>402</v>
      </c>
      <c r="Q366" s="158" t="s">
        <v>925</v>
      </c>
      <c r="R366" s="163">
        <v>45839</v>
      </c>
      <c r="S366" s="173"/>
      <c r="T366" s="6"/>
      <c r="U366" s="158">
        <v>624</v>
      </c>
      <c r="V366" s="164">
        <v>31</v>
      </c>
      <c r="W366" s="165">
        <f>IFERROR(U366*V366,"0")</f>
      </c>
      <c r="X366" s="7"/>
      <c r="Y366" s="166">
        <f>IFERROR((O366/1000)*Masters!$C$3,"0")</f>
      </c>
      <c r="Z366" s="195"/>
      <c r="AA366" s="164">
        <f>IFERROR(VLOOKUP(L366,Masters!G:H,2,0),"0")</f>
      </c>
      <c r="AB366" s="166">
        <f>IFERROR(AA366*N366,"0")</f>
      </c>
      <c r="AC366" s="196"/>
      <c r="AD366" s="7"/>
      <c r="AE366" s="166">
        <f>W366+Y366+AB366+AD366</f>
      </c>
      <c r="AF366" s="195"/>
      <c r="AG366" s="169">
        <f>M366&amp;"-"&amp;F366</f>
      </c>
      <c r="AH366" s="166">
        <f>IFERROR(VLOOKUP(AG366,Masters!N:O,2,0),"0")</f>
      </c>
      <c r="AI366" s="166">
        <f>AH366*N366</f>
      </c>
      <c r="AJ366" s="7"/>
      <c r="AK366" s="170">
        <f>AI366-AE366</f>
      </c>
      <c r="AL366" s="195"/>
      <c r="AM366" s="6"/>
      <c r="AN366" s="171">
        <f>IFERROR(U366/2,"0")</f>
      </c>
    </row>
    <row x14ac:dyDescent="0.25" r="367" customHeight="1" ht="18.75">
      <c r="A367" s="158">
        <f>A366+1</f>
      </c>
      <c r="B367" s="159">
        <v>45857</v>
      </c>
      <c r="C367" s="198" t="s">
        <v>926</v>
      </c>
      <c r="D367" s="159">
        <v>45857</v>
      </c>
      <c r="E367" s="198" t="s">
        <v>229</v>
      </c>
      <c r="F367" s="160" t="s">
        <v>231</v>
      </c>
      <c r="G367" s="147" t="s">
        <v>493</v>
      </c>
      <c r="H367" s="198" t="s">
        <v>304</v>
      </c>
      <c r="I367" s="158">
        <v>709</v>
      </c>
      <c r="J367" s="147" t="s">
        <v>301</v>
      </c>
      <c r="K367" s="199">
        <v>328</v>
      </c>
      <c r="L367" s="198" t="s">
        <v>10</v>
      </c>
      <c r="M367" s="161">
        <f>IFERROR(VLOOKUP(L367,'Material Master'!B:C,2,0),"")</f>
      </c>
      <c r="N367" s="199">
        <v>100</v>
      </c>
      <c r="O367" s="162">
        <f>IFERROR(M367*N367,"")</f>
      </c>
      <c r="P367" s="198" t="s">
        <v>402</v>
      </c>
      <c r="Q367" s="158">
        <v>286366</v>
      </c>
      <c r="R367" s="163">
        <v>45839</v>
      </c>
      <c r="S367" s="147"/>
      <c r="T367" s="6"/>
      <c r="U367" s="158">
        <v>83</v>
      </c>
      <c r="V367" s="164">
        <v>31</v>
      </c>
      <c r="W367" s="165">
        <f>IFERROR(U367*V367,"0")</f>
      </c>
      <c r="X367" s="7"/>
      <c r="Y367" s="166">
        <f>IFERROR((O367/1000)*Masters!$C$3,"0")</f>
      </c>
      <c r="Z367" s="195"/>
      <c r="AA367" s="164">
        <f>IFERROR(VLOOKUP(L367,Masters!G:H,2,0),"0")</f>
      </c>
      <c r="AB367" s="166">
        <f>IFERROR(AA367*N367,"0")</f>
      </c>
      <c r="AC367" s="196"/>
      <c r="AD367" s="7"/>
      <c r="AE367" s="166">
        <f>W367+Y367+AB367+AD367</f>
      </c>
      <c r="AF367" s="195"/>
      <c r="AG367" s="169">
        <f>M367&amp;"-"&amp;F367</f>
      </c>
      <c r="AH367" s="166">
        <f>IFERROR(VLOOKUP(AG367,Masters!N:O,2,0),"0")</f>
      </c>
      <c r="AI367" s="166">
        <f>AH367*N367</f>
      </c>
      <c r="AJ367" s="7"/>
      <c r="AK367" s="170">
        <f>AI367-AE367</f>
      </c>
      <c r="AL367" s="195"/>
      <c r="AM367" s="6"/>
      <c r="AN367" s="171">
        <f>IFERROR(U367/2,"0")</f>
      </c>
    </row>
    <row x14ac:dyDescent="0.25" r="368" customHeight="1" ht="18.75">
      <c r="A368" s="158">
        <f>A367+1</f>
      </c>
      <c r="B368" s="159">
        <v>45857</v>
      </c>
      <c r="C368" s="198" t="s">
        <v>927</v>
      </c>
      <c r="D368" s="159">
        <v>45857</v>
      </c>
      <c r="E368" s="198" t="s">
        <v>257</v>
      </c>
      <c r="F368" s="160" t="s">
        <v>32</v>
      </c>
      <c r="G368" s="147" t="s">
        <v>224</v>
      </c>
      <c r="H368" s="198" t="s">
        <v>302</v>
      </c>
      <c r="I368" s="158">
        <v>1109</v>
      </c>
      <c r="J368" s="147" t="s">
        <v>301</v>
      </c>
      <c r="K368" s="199">
        <v>327</v>
      </c>
      <c r="L368" s="198" t="s">
        <v>10</v>
      </c>
      <c r="M368" s="161">
        <f>IFERROR(VLOOKUP(L368,'Material Master'!B:C,2,0),"")</f>
      </c>
      <c r="N368" s="199">
        <v>300</v>
      </c>
      <c r="O368" s="162">
        <f>IFERROR(M368*N368,"")</f>
      </c>
      <c r="P368" s="198" t="s">
        <v>402</v>
      </c>
      <c r="Q368" s="158" t="s">
        <v>928</v>
      </c>
      <c r="R368" s="163">
        <v>45839</v>
      </c>
      <c r="S368" s="147"/>
      <c r="T368" s="6"/>
      <c r="U368" s="158">
        <v>351</v>
      </c>
      <c r="V368" s="164">
        <v>31</v>
      </c>
      <c r="W368" s="165">
        <f>IFERROR(U368*V368,"0")</f>
      </c>
      <c r="X368" s="7"/>
      <c r="Y368" s="166">
        <f>IFERROR((O368/1000)*Masters!$C$3,"0")</f>
      </c>
      <c r="Z368" s="195"/>
      <c r="AA368" s="164">
        <f>IFERROR(VLOOKUP(L368,Masters!G:H,2,0),"0")</f>
      </c>
      <c r="AB368" s="166">
        <f>IFERROR(AA368*N368,"0")</f>
      </c>
      <c r="AC368" s="196"/>
      <c r="AD368" s="7"/>
      <c r="AE368" s="166">
        <f>W368+Y368+AB368+AD368</f>
      </c>
      <c r="AF368" s="195"/>
      <c r="AG368" s="169">
        <f>M368&amp;"-"&amp;F368</f>
      </c>
      <c r="AH368" s="166">
        <f>IFERROR(VLOOKUP(AG368,Masters!N:O,2,0),"0")</f>
      </c>
      <c r="AI368" s="166">
        <f>AH368*N368</f>
      </c>
      <c r="AJ368" s="7"/>
      <c r="AK368" s="170">
        <f>AI368-AE368</f>
      </c>
      <c r="AL368" s="195"/>
      <c r="AM368" s="6"/>
      <c r="AN368" s="171">
        <f>IFERROR(U368/2,"0")</f>
      </c>
    </row>
    <row x14ac:dyDescent="0.25" r="369" customHeight="1" ht="18.75">
      <c r="A369" s="158">
        <f>A368+1</f>
      </c>
      <c r="B369" s="159">
        <v>45859</v>
      </c>
      <c r="C369" s="203" t="s">
        <v>929</v>
      </c>
      <c r="D369" s="159"/>
      <c r="E369" s="203" t="s">
        <v>205</v>
      </c>
      <c r="F369" s="227"/>
      <c r="G369" s="203" t="s">
        <v>214</v>
      </c>
      <c r="H369" s="203"/>
      <c r="I369" s="228">
        <v>1109</v>
      </c>
      <c r="J369" s="203"/>
      <c r="K369" s="228"/>
      <c r="L369" s="203"/>
      <c r="M369" s="229">
        <f>IFERROR(VLOOKUP(L369,'Material Master'!B:C,2,0),"")</f>
      </c>
      <c r="N369" s="228"/>
      <c r="O369" s="230">
        <f>IFERROR(M369*N369,"")</f>
      </c>
      <c r="P369" s="203"/>
      <c r="Q369" s="228"/>
      <c r="R369" s="231">
        <v>45839</v>
      </c>
      <c r="S369" s="203" t="s">
        <v>930</v>
      </c>
      <c r="T369" s="232"/>
      <c r="U369" s="228"/>
      <c r="V369" s="229">
        <v>31</v>
      </c>
      <c r="W369" s="233">
        <f>IFERROR(U369*V369,"0")</f>
      </c>
      <c r="X369" s="234"/>
      <c r="Y369" s="191">
        <f>IFERROR((O369/1000)*Masters!$C$3,"0")</f>
      </c>
      <c r="Z369" s="235"/>
      <c r="AA369" s="164">
        <f>IFERROR(VLOOKUP(L369,Masters!G:H,2,0),"0")</f>
      </c>
      <c r="AB369" s="166">
        <f>IFERROR(AA369*N369,"0")</f>
      </c>
      <c r="AC369" s="236"/>
      <c r="AD369" s="234"/>
      <c r="AE369" s="166">
        <f>W369+Y369+AB369+AD369</f>
      </c>
      <c r="AF369" s="235"/>
      <c r="AG369" s="169">
        <f>M369&amp;"-"&amp;F369</f>
      </c>
      <c r="AH369" s="191">
        <f>IFERROR(VLOOKUP(AG369,Masters!N:O,2,0),"0")</f>
      </c>
      <c r="AI369" s="166">
        <f>AH369*N369</f>
      </c>
      <c r="AJ369" s="234"/>
      <c r="AK369" s="170">
        <f>AI369-AE369</f>
      </c>
      <c r="AL369" s="235"/>
      <c r="AM369" s="232"/>
      <c r="AN369" s="171">
        <f>IFERROR(U369/2,"0")</f>
      </c>
    </row>
    <row x14ac:dyDescent="0.25" r="370" customHeight="1" ht="18.75">
      <c r="A370" s="158">
        <f>A369+1</f>
      </c>
      <c r="B370" s="159">
        <v>45859</v>
      </c>
      <c r="C370" s="203" t="s">
        <v>931</v>
      </c>
      <c r="D370" s="159"/>
      <c r="E370" s="203" t="s">
        <v>237</v>
      </c>
      <c r="F370" s="227"/>
      <c r="G370" s="203" t="s">
        <v>238</v>
      </c>
      <c r="H370" s="203"/>
      <c r="I370" s="228">
        <v>709</v>
      </c>
      <c r="J370" s="203"/>
      <c r="K370" s="228"/>
      <c r="L370" s="203"/>
      <c r="M370" s="229">
        <f>IFERROR(VLOOKUP(L370,'Material Master'!B:C,2,0),"")</f>
      </c>
      <c r="N370" s="228"/>
      <c r="O370" s="230">
        <f>IFERROR(M370*N370,"")</f>
      </c>
      <c r="P370" s="203"/>
      <c r="Q370" s="228"/>
      <c r="R370" s="231">
        <v>45839</v>
      </c>
      <c r="S370" s="203" t="s">
        <v>728</v>
      </c>
      <c r="T370" s="232"/>
      <c r="U370" s="228"/>
      <c r="V370" s="229">
        <v>31</v>
      </c>
      <c r="W370" s="233">
        <f>IFERROR(U370*V370,"0")</f>
      </c>
      <c r="X370" s="234"/>
      <c r="Y370" s="191">
        <f>IFERROR((O370/1000)*Masters!$C$3,"0")</f>
      </c>
      <c r="Z370" s="235"/>
      <c r="AA370" s="164">
        <f>IFERROR(VLOOKUP(L370,Masters!G:H,2,0),"0")</f>
      </c>
      <c r="AB370" s="166">
        <f>IFERROR(AA370*N370,"0")</f>
      </c>
      <c r="AC370" s="236"/>
      <c r="AD370" s="234"/>
      <c r="AE370" s="166">
        <f>W370+Y370+AB370+AD370</f>
      </c>
      <c r="AF370" s="235"/>
      <c r="AG370" s="169">
        <f>M370&amp;"-"&amp;F370</f>
      </c>
      <c r="AH370" s="191">
        <f>IFERROR(VLOOKUP(AG370,Masters!N:O,2,0),"0")</f>
      </c>
      <c r="AI370" s="166">
        <f>AH370*N370</f>
      </c>
      <c r="AJ370" s="234"/>
      <c r="AK370" s="170">
        <f>AI370-AE370</f>
      </c>
      <c r="AL370" s="235"/>
      <c r="AM370" s="232"/>
      <c r="AN370" s="171">
        <f>IFERROR(U370/2,"0")</f>
      </c>
    </row>
    <row x14ac:dyDescent="0.25" r="371" customHeight="1" ht="18.75">
      <c r="A371" s="158">
        <f>A370+1</f>
      </c>
      <c r="B371" s="159">
        <v>45859</v>
      </c>
      <c r="C371" s="198" t="s">
        <v>932</v>
      </c>
      <c r="D371" s="159">
        <v>45859</v>
      </c>
      <c r="E371" s="198" t="s">
        <v>84</v>
      </c>
      <c r="F371" s="160" t="s">
        <v>231</v>
      </c>
      <c r="G371" s="147" t="s">
        <v>123</v>
      </c>
      <c r="H371" s="198" t="s">
        <v>302</v>
      </c>
      <c r="I371" s="158">
        <v>909</v>
      </c>
      <c r="J371" s="147" t="s">
        <v>301</v>
      </c>
      <c r="K371" s="199">
        <v>329</v>
      </c>
      <c r="L371" s="198" t="s">
        <v>10</v>
      </c>
      <c r="M371" s="161">
        <f>IFERROR(VLOOKUP(L371,'Material Master'!B:C,2,0),"")</f>
      </c>
      <c r="N371" s="199">
        <v>200</v>
      </c>
      <c r="O371" s="162">
        <f>IFERROR(M371*N371,"")</f>
      </c>
      <c r="P371" s="198" t="s">
        <v>402</v>
      </c>
      <c r="Q371" s="158" t="s">
        <v>933</v>
      </c>
      <c r="R371" s="163">
        <v>45839</v>
      </c>
      <c r="S371" s="147"/>
      <c r="T371" s="6"/>
      <c r="U371" s="158">
        <v>116</v>
      </c>
      <c r="V371" s="164">
        <v>31</v>
      </c>
      <c r="W371" s="165">
        <f>IFERROR(U371*V371,"0")</f>
      </c>
      <c r="X371" s="7"/>
      <c r="Y371" s="166">
        <f>IFERROR((O371/1000)*Masters!$C$3,"0")</f>
      </c>
      <c r="Z371" s="195"/>
      <c r="AA371" s="164">
        <f>IFERROR(VLOOKUP(L371,Masters!G:H,2,0),"0")</f>
      </c>
      <c r="AB371" s="166">
        <f>IFERROR(AA371*N371,"0")</f>
      </c>
      <c r="AC371" s="196"/>
      <c r="AD371" s="7"/>
      <c r="AE371" s="166">
        <f>W371+Y371+AB371+AD371</f>
      </c>
      <c r="AF371" s="195"/>
      <c r="AG371" s="169">
        <f>M371&amp;"-"&amp;F371</f>
      </c>
      <c r="AH371" s="166">
        <f>IFERROR(VLOOKUP(AG371,Masters!N:O,2,0),"0")</f>
      </c>
      <c r="AI371" s="166">
        <f>AH371*N371</f>
      </c>
      <c r="AJ371" s="7"/>
      <c r="AK371" s="170">
        <f>AI371-AE371</f>
      </c>
      <c r="AL371" s="195"/>
      <c r="AM371" s="6"/>
      <c r="AN371" s="171">
        <f>IFERROR(U371/2,"0")</f>
      </c>
    </row>
    <row x14ac:dyDescent="0.25" r="372" customHeight="1" ht="18.75">
      <c r="A372" s="158">
        <f>A371+1</f>
      </c>
      <c r="B372" s="159">
        <v>45859</v>
      </c>
      <c r="C372" s="198" t="s">
        <v>934</v>
      </c>
      <c r="D372" s="159">
        <v>45859</v>
      </c>
      <c r="E372" s="198" t="s">
        <v>190</v>
      </c>
      <c r="F372" s="160" t="s">
        <v>236</v>
      </c>
      <c r="G372" s="147" t="s">
        <v>191</v>
      </c>
      <c r="H372" s="198" t="s">
        <v>304</v>
      </c>
      <c r="I372" s="158">
        <v>1109</v>
      </c>
      <c r="J372" s="147" t="s">
        <v>301</v>
      </c>
      <c r="K372" s="199">
        <v>330</v>
      </c>
      <c r="L372" s="198" t="s">
        <v>10</v>
      </c>
      <c r="M372" s="161">
        <f>IFERROR(VLOOKUP(L372,'Material Master'!B:C,2,0),"")</f>
      </c>
      <c r="N372" s="199">
        <v>300</v>
      </c>
      <c r="O372" s="162">
        <f>IFERROR(M372*N372,"")</f>
      </c>
      <c r="P372" s="198" t="s">
        <v>402</v>
      </c>
      <c r="Q372" s="158" t="s">
        <v>935</v>
      </c>
      <c r="R372" s="163">
        <v>45839</v>
      </c>
      <c r="S372" s="147"/>
      <c r="T372" s="6"/>
      <c r="U372" s="158">
        <v>605</v>
      </c>
      <c r="V372" s="164">
        <v>31</v>
      </c>
      <c r="W372" s="165">
        <f>IFERROR(U372*V372,"0")</f>
      </c>
      <c r="X372" s="7"/>
      <c r="Y372" s="166">
        <f>IFERROR((O372/1000)*Masters!$C$3,"0")</f>
      </c>
      <c r="Z372" s="195"/>
      <c r="AA372" s="164">
        <f>IFERROR(VLOOKUP(L372,Masters!G:H,2,0),"0")</f>
      </c>
      <c r="AB372" s="166">
        <f>IFERROR(AA372*N372,"0")</f>
      </c>
      <c r="AC372" s="196"/>
      <c r="AD372" s="7"/>
      <c r="AE372" s="166">
        <f>W372+Y372+AB372+AD372</f>
      </c>
      <c r="AF372" s="195"/>
      <c r="AG372" s="169">
        <f>M372&amp;"-"&amp;F372</f>
      </c>
      <c r="AH372" s="166">
        <f>IFERROR(VLOOKUP(AG372,Masters!N:O,2,0),"0")</f>
      </c>
      <c r="AI372" s="166">
        <f>AH372*N372</f>
      </c>
      <c r="AJ372" s="7"/>
      <c r="AK372" s="170">
        <f>AI372-AE372</f>
      </c>
      <c r="AL372" s="195"/>
      <c r="AM372" s="6"/>
      <c r="AN372" s="171">
        <f>IFERROR(U372/2,"0")</f>
      </c>
    </row>
    <row x14ac:dyDescent="0.25" r="373" customHeight="1" ht="18.75">
      <c r="A373" s="158">
        <f>A372+1</f>
      </c>
      <c r="B373" s="159">
        <v>45859</v>
      </c>
      <c r="C373" s="198" t="s">
        <v>936</v>
      </c>
      <c r="D373" s="159">
        <v>45860</v>
      </c>
      <c r="E373" s="198" t="s">
        <v>160</v>
      </c>
      <c r="F373" s="160" t="s">
        <v>32</v>
      </c>
      <c r="G373" s="147" t="s">
        <v>161</v>
      </c>
      <c r="H373" s="198" t="s">
        <v>303</v>
      </c>
      <c r="I373" s="158">
        <v>1109</v>
      </c>
      <c r="J373" s="147" t="s">
        <v>301</v>
      </c>
      <c r="K373" s="199">
        <v>331</v>
      </c>
      <c r="L373" s="198" t="s">
        <v>10</v>
      </c>
      <c r="M373" s="161">
        <f>IFERROR(VLOOKUP(L373,'Material Master'!B:C,2,0),"")</f>
      </c>
      <c r="N373" s="199">
        <v>300</v>
      </c>
      <c r="O373" s="162">
        <f>IFERROR(M373*N373,"")</f>
      </c>
      <c r="P373" s="198" t="s">
        <v>402</v>
      </c>
      <c r="Q373" s="158" t="s">
        <v>937</v>
      </c>
      <c r="R373" s="163">
        <v>45839</v>
      </c>
      <c r="S373" s="147"/>
      <c r="T373" s="6"/>
      <c r="U373" s="158">
        <v>369</v>
      </c>
      <c r="V373" s="164">
        <v>31</v>
      </c>
      <c r="W373" s="165">
        <f>IFERROR(U373*V373,"0")</f>
      </c>
      <c r="X373" s="7"/>
      <c r="Y373" s="166">
        <f>IFERROR((O373/1000)*Masters!$C$3,"0")</f>
      </c>
      <c r="Z373" s="195"/>
      <c r="AA373" s="164">
        <f>IFERROR(VLOOKUP(L373,Masters!G:H,2,0),"0")</f>
      </c>
      <c r="AB373" s="166">
        <f>IFERROR(AA373*N373,"0")</f>
      </c>
      <c r="AC373" s="196"/>
      <c r="AD373" s="7"/>
      <c r="AE373" s="166">
        <f>W373+Y373+AB373+AD373</f>
      </c>
      <c r="AF373" s="195"/>
      <c r="AG373" s="169">
        <f>M373&amp;"-"&amp;F373</f>
      </c>
      <c r="AH373" s="166">
        <f>IFERROR(VLOOKUP(AG373,Masters!N:O,2,0),"0")</f>
      </c>
      <c r="AI373" s="166">
        <f>AH373*N373</f>
      </c>
      <c r="AJ373" s="7"/>
      <c r="AK373" s="170">
        <f>AI373-AE373</f>
      </c>
      <c r="AL373" s="195"/>
      <c r="AM373" s="6"/>
      <c r="AN373" s="171">
        <f>IFERROR(U373/2,"0")</f>
      </c>
    </row>
    <row x14ac:dyDescent="0.25" r="374" customHeight="1" ht="18.75">
      <c r="A374" s="158">
        <f>A373+1</f>
      </c>
      <c r="B374" s="159">
        <v>45860</v>
      </c>
      <c r="C374" s="203" t="s">
        <v>938</v>
      </c>
      <c r="D374" s="159"/>
      <c r="E374" s="203" t="s">
        <v>939</v>
      </c>
      <c r="F374" s="227"/>
      <c r="G374" s="203" t="s">
        <v>216</v>
      </c>
      <c r="H374" s="203"/>
      <c r="I374" s="228">
        <v>407</v>
      </c>
      <c r="J374" s="203"/>
      <c r="K374" s="228"/>
      <c r="L374" s="203"/>
      <c r="M374" s="229">
        <f>IFERROR(VLOOKUP(L374,'Material Master'!B:C,2,0),"")</f>
      </c>
      <c r="N374" s="228"/>
      <c r="O374" s="230">
        <f>IFERROR(M374*N374,"")</f>
      </c>
      <c r="P374" s="203"/>
      <c r="Q374" s="228"/>
      <c r="R374" s="231">
        <v>45839</v>
      </c>
      <c r="S374" s="203" t="s">
        <v>940</v>
      </c>
      <c r="T374" s="232"/>
      <c r="U374" s="228"/>
      <c r="V374" s="229">
        <v>31</v>
      </c>
      <c r="W374" s="233">
        <f>IFERROR(U374*V374,"0")</f>
      </c>
      <c r="X374" s="234"/>
      <c r="Y374" s="191">
        <f>IFERROR((O374/1000)*Masters!$C$3,"0")</f>
      </c>
      <c r="Z374" s="235"/>
      <c r="AA374" s="164">
        <f>IFERROR(VLOOKUP(L374,Masters!G:H,2,0),"0")</f>
      </c>
      <c r="AB374" s="166">
        <f>IFERROR(AA374*N374,"0")</f>
      </c>
      <c r="AC374" s="236"/>
      <c r="AD374" s="234"/>
      <c r="AE374" s="166">
        <f>W374+Y374+AB374+AD374</f>
      </c>
      <c r="AF374" s="235"/>
      <c r="AG374" s="169">
        <f>M374&amp;"-"&amp;F374</f>
      </c>
      <c r="AH374" s="191">
        <f>IFERROR(VLOOKUP(AG374,Masters!N:O,2,0),"0")</f>
      </c>
      <c r="AI374" s="166">
        <f>AH374*N374</f>
      </c>
      <c r="AJ374" s="234"/>
      <c r="AK374" s="170">
        <f>AI374-AE374</f>
      </c>
      <c r="AL374" s="235"/>
      <c r="AM374" s="232"/>
      <c r="AN374" s="171">
        <f>IFERROR(U374/2,"0")</f>
      </c>
    </row>
    <row x14ac:dyDescent="0.25" r="375" customHeight="1" ht="18.75">
      <c r="A375" s="158">
        <f>A374+1</f>
      </c>
      <c r="B375" s="159">
        <v>45860</v>
      </c>
      <c r="C375" s="203" t="s">
        <v>941</v>
      </c>
      <c r="D375" s="159"/>
      <c r="E375" s="203" t="s">
        <v>79</v>
      </c>
      <c r="F375" s="227"/>
      <c r="G375" s="203" t="s">
        <v>167</v>
      </c>
      <c r="H375" s="203"/>
      <c r="I375" s="228">
        <v>1109</v>
      </c>
      <c r="J375" s="203"/>
      <c r="K375" s="228"/>
      <c r="L375" s="203"/>
      <c r="M375" s="229">
        <f>IFERROR(VLOOKUP(L375,'Material Master'!B:C,2,0),"")</f>
      </c>
      <c r="N375" s="228"/>
      <c r="O375" s="230">
        <f>IFERROR(M375*N375,"")</f>
      </c>
      <c r="P375" s="203"/>
      <c r="Q375" s="228"/>
      <c r="R375" s="231">
        <v>45839</v>
      </c>
      <c r="S375" s="203" t="s">
        <v>942</v>
      </c>
      <c r="T375" s="232"/>
      <c r="U375" s="228"/>
      <c r="V375" s="229">
        <v>31</v>
      </c>
      <c r="W375" s="233">
        <f>IFERROR(U375*V375,"0")</f>
      </c>
      <c r="X375" s="234"/>
      <c r="Y375" s="191">
        <f>IFERROR((O375/1000)*Masters!$C$3,"0")</f>
      </c>
      <c r="Z375" s="235"/>
      <c r="AA375" s="164">
        <f>IFERROR(VLOOKUP(L375,Masters!G:H,2,0),"0")</f>
      </c>
      <c r="AB375" s="166">
        <f>IFERROR(AA375*N375,"0")</f>
      </c>
      <c r="AC375" s="236"/>
      <c r="AD375" s="234"/>
      <c r="AE375" s="166">
        <f>W375+Y375+AB375+AD375</f>
      </c>
      <c r="AF375" s="235"/>
      <c r="AG375" s="169">
        <f>M375&amp;"-"&amp;F375</f>
      </c>
      <c r="AH375" s="191">
        <f>IFERROR(VLOOKUP(AG375,Masters!N:O,2,0),"0")</f>
      </c>
      <c r="AI375" s="166">
        <f>AH375*N375</f>
      </c>
      <c r="AJ375" s="234"/>
      <c r="AK375" s="170">
        <f>AI375-AE375</f>
      </c>
      <c r="AL375" s="235"/>
      <c r="AM375" s="232"/>
      <c r="AN375" s="171">
        <f>IFERROR(U375/2,"0")</f>
      </c>
    </row>
    <row x14ac:dyDescent="0.25" r="376" customHeight="1" ht="18.75">
      <c r="A376" s="158">
        <f>A375+1</f>
      </c>
      <c r="B376" s="159">
        <v>45860</v>
      </c>
      <c r="C376" s="198" t="s">
        <v>943</v>
      </c>
      <c r="D376" s="159">
        <v>45860</v>
      </c>
      <c r="E376" s="198" t="s">
        <v>122</v>
      </c>
      <c r="F376" s="160" t="s">
        <v>231</v>
      </c>
      <c r="G376" s="147" t="s">
        <v>123</v>
      </c>
      <c r="H376" s="198" t="s">
        <v>305</v>
      </c>
      <c r="I376" s="158">
        <v>1109</v>
      </c>
      <c r="J376" s="147" t="s">
        <v>301</v>
      </c>
      <c r="K376" s="199">
        <v>332</v>
      </c>
      <c r="L376" s="198" t="s">
        <v>10</v>
      </c>
      <c r="M376" s="161">
        <f>IFERROR(VLOOKUP(L376,'Material Master'!B:C,2,0),"")</f>
      </c>
      <c r="N376" s="199">
        <v>300</v>
      </c>
      <c r="O376" s="162">
        <f>IFERROR(M376*N376,"")</f>
      </c>
      <c r="P376" s="198" t="s">
        <v>402</v>
      </c>
      <c r="Q376" s="158" t="s">
        <v>944</v>
      </c>
      <c r="R376" s="163">
        <v>45839</v>
      </c>
      <c r="S376" s="147"/>
      <c r="T376" s="6"/>
      <c r="U376" s="158">
        <v>116</v>
      </c>
      <c r="V376" s="164">
        <v>31</v>
      </c>
      <c r="W376" s="165">
        <f>IFERROR(U376*V376,"0")</f>
      </c>
      <c r="X376" s="7"/>
      <c r="Y376" s="166">
        <f>IFERROR((O376/1000)*Masters!$C$3,"0")</f>
      </c>
      <c r="Z376" s="195"/>
      <c r="AA376" s="164">
        <f>IFERROR(VLOOKUP(L376,Masters!G:H,2,0),"0")</f>
      </c>
      <c r="AB376" s="166">
        <f>IFERROR(AA376*N376,"0")</f>
      </c>
      <c r="AC376" s="196"/>
      <c r="AD376" s="7"/>
      <c r="AE376" s="166">
        <f>W376+Y376+AB376+AD376</f>
      </c>
      <c r="AF376" s="195"/>
      <c r="AG376" s="169">
        <f>M376&amp;"-"&amp;F376</f>
      </c>
      <c r="AH376" s="166">
        <f>IFERROR(VLOOKUP(AG376,Masters!N:O,2,0),"0")</f>
      </c>
      <c r="AI376" s="166">
        <f>AH376*N376</f>
      </c>
      <c r="AJ376" s="7"/>
      <c r="AK376" s="170">
        <f>AI376-AE376</f>
      </c>
      <c r="AL376" s="195"/>
      <c r="AM376" s="6"/>
      <c r="AN376" s="171">
        <f>IFERROR(U376/2,"0")</f>
      </c>
    </row>
    <row x14ac:dyDescent="0.25" r="377" customHeight="1" ht="18.75">
      <c r="A377" s="158">
        <f>A376+1</f>
      </c>
      <c r="B377" s="159">
        <v>45860</v>
      </c>
      <c r="C377" s="198" t="s">
        <v>945</v>
      </c>
      <c r="D377" s="159">
        <v>45860</v>
      </c>
      <c r="E377" s="198" t="s">
        <v>173</v>
      </c>
      <c r="F377" s="160" t="s">
        <v>231</v>
      </c>
      <c r="G377" s="147" t="s">
        <v>230</v>
      </c>
      <c r="H377" s="198" t="s">
        <v>302</v>
      </c>
      <c r="I377" s="158">
        <v>1109</v>
      </c>
      <c r="J377" s="147" t="s">
        <v>301</v>
      </c>
      <c r="K377" s="199">
        <v>333</v>
      </c>
      <c r="L377" s="198" t="s">
        <v>10</v>
      </c>
      <c r="M377" s="161">
        <f>IFERROR(VLOOKUP(L377,'Material Master'!B:C,2,0),"")</f>
      </c>
      <c r="N377" s="199">
        <v>300</v>
      </c>
      <c r="O377" s="162">
        <f>IFERROR(M377*N377,"")</f>
      </c>
      <c r="P377" s="198" t="s">
        <v>402</v>
      </c>
      <c r="Q377" s="158" t="s">
        <v>946</v>
      </c>
      <c r="R377" s="163">
        <v>45839</v>
      </c>
      <c r="S377" s="147"/>
      <c r="T377" s="6"/>
      <c r="U377" s="158">
        <v>62</v>
      </c>
      <c r="V377" s="164">
        <v>31</v>
      </c>
      <c r="W377" s="165">
        <f>IFERROR(U377*V377,"0")</f>
      </c>
      <c r="X377" s="7"/>
      <c r="Y377" s="166">
        <f>IFERROR((O377/1000)*Masters!$C$3,"0")</f>
      </c>
      <c r="Z377" s="195"/>
      <c r="AA377" s="164">
        <f>IFERROR(VLOOKUP(L377,Masters!G:H,2,0),"0")</f>
      </c>
      <c r="AB377" s="166">
        <f>IFERROR(AA377*N377,"0")</f>
      </c>
      <c r="AC377" s="196"/>
      <c r="AD377" s="7"/>
      <c r="AE377" s="166">
        <f>W377+Y377+AB377+AD377</f>
      </c>
      <c r="AF377" s="195"/>
      <c r="AG377" s="169">
        <f>M377&amp;"-"&amp;F377</f>
      </c>
      <c r="AH377" s="166">
        <f>IFERROR(VLOOKUP(AG377,Masters!N:O,2,0),"0")</f>
      </c>
      <c r="AI377" s="166">
        <f>AH377*N377</f>
      </c>
      <c r="AJ377" s="7"/>
      <c r="AK377" s="170">
        <f>AI377-AE377</f>
      </c>
      <c r="AL377" s="195"/>
      <c r="AM377" s="6"/>
      <c r="AN377" s="171">
        <f>IFERROR(U377/2,"0")</f>
      </c>
    </row>
    <row x14ac:dyDescent="0.25" r="378" customHeight="1" ht="18.75">
      <c r="A378" s="158">
        <f>A377+1</f>
      </c>
      <c r="B378" s="159">
        <v>45860</v>
      </c>
      <c r="C378" s="198" t="s">
        <v>947</v>
      </c>
      <c r="D378" s="159">
        <v>45862</v>
      </c>
      <c r="E378" s="198" t="s">
        <v>93</v>
      </c>
      <c r="F378" s="160" t="s">
        <v>231</v>
      </c>
      <c r="G378" s="147" t="s">
        <v>80</v>
      </c>
      <c r="H378" s="198" t="s">
        <v>305</v>
      </c>
      <c r="I378" s="158">
        <v>1109</v>
      </c>
      <c r="J378" s="147" t="s">
        <v>301</v>
      </c>
      <c r="K378" s="199">
        <v>339</v>
      </c>
      <c r="L378" s="198" t="s">
        <v>10</v>
      </c>
      <c r="M378" s="161">
        <f>IFERROR(VLOOKUP(L378,'Material Master'!B:C,2,0),"")</f>
      </c>
      <c r="N378" s="199">
        <v>300</v>
      </c>
      <c r="O378" s="162">
        <f>IFERROR(M378*N378,"")</f>
      </c>
      <c r="P378" s="198" t="s">
        <v>402</v>
      </c>
      <c r="Q378" s="158">
        <v>72029</v>
      </c>
      <c r="R378" s="163">
        <v>45839</v>
      </c>
      <c r="S378" s="147"/>
      <c r="T378" s="6"/>
      <c r="U378" s="158">
        <v>150</v>
      </c>
      <c r="V378" s="164">
        <v>31</v>
      </c>
      <c r="W378" s="165">
        <f>IFERROR(U378*V378,"0")</f>
      </c>
      <c r="X378" s="7"/>
      <c r="Y378" s="166">
        <f>IFERROR((O378/1000)*Masters!$C$3,"0")</f>
      </c>
      <c r="Z378" s="195"/>
      <c r="AA378" s="164">
        <f>IFERROR(VLOOKUP(L378,Masters!G:H,2,0),"0")</f>
      </c>
      <c r="AB378" s="166">
        <f>IFERROR(AA378*N378,"0")</f>
      </c>
      <c r="AC378" s="196"/>
      <c r="AD378" s="7"/>
      <c r="AE378" s="166">
        <f>W378+Y378+AB378+AD378</f>
      </c>
      <c r="AF378" s="195"/>
      <c r="AG378" s="169">
        <f>M378&amp;"-"&amp;F378</f>
      </c>
      <c r="AH378" s="166">
        <f>IFERROR(VLOOKUP(AG378,Masters!N:O,2,0),"0")</f>
      </c>
      <c r="AI378" s="166">
        <f>AH378*N378</f>
      </c>
      <c r="AJ378" s="7"/>
      <c r="AK378" s="170">
        <f>AI378-AE378</f>
      </c>
      <c r="AL378" s="195"/>
      <c r="AM378" s="6"/>
      <c r="AN378" s="171">
        <f>IFERROR(U378/2,"0")</f>
      </c>
    </row>
    <row x14ac:dyDescent="0.25" r="379" customHeight="1" ht="18.75">
      <c r="A379" s="158">
        <f>A378+1</f>
      </c>
      <c r="B379" s="159">
        <v>45860</v>
      </c>
      <c r="C379" s="198" t="s">
        <v>948</v>
      </c>
      <c r="D379" s="159">
        <v>45861</v>
      </c>
      <c r="E379" s="198" t="s">
        <v>134</v>
      </c>
      <c r="F379" s="160" t="s">
        <v>231</v>
      </c>
      <c r="G379" s="147" t="s">
        <v>230</v>
      </c>
      <c r="H379" s="198" t="s">
        <v>304</v>
      </c>
      <c r="I379" s="158">
        <v>1109</v>
      </c>
      <c r="J379" s="147" t="s">
        <v>301</v>
      </c>
      <c r="K379" s="199">
        <v>334</v>
      </c>
      <c r="L379" s="198" t="s">
        <v>10</v>
      </c>
      <c r="M379" s="161">
        <f>IFERROR(VLOOKUP(L379,'Material Master'!B:C,2,0),"")</f>
      </c>
      <c r="N379" s="199">
        <v>300</v>
      </c>
      <c r="O379" s="162">
        <f>IFERROR(M379*N379,"")</f>
      </c>
      <c r="P379" s="198" t="s">
        <v>402</v>
      </c>
      <c r="Q379" s="158" t="s">
        <v>949</v>
      </c>
      <c r="R379" s="163">
        <v>45839</v>
      </c>
      <c r="S379" s="147"/>
      <c r="T379" s="6"/>
      <c r="U379" s="158">
        <v>57</v>
      </c>
      <c r="V379" s="164">
        <v>31</v>
      </c>
      <c r="W379" s="165">
        <f>IFERROR(U379*V379,"0")</f>
      </c>
      <c r="X379" s="7"/>
      <c r="Y379" s="166">
        <f>IFERROR((O379/1000)*Masters!$C$3,"0")</f>
      </c>
      <c r="Z379" s="195"/>
      <c r="AA379" s="164">
        <f>IFERROR(VLOOKUP(L379,Masters!G:H,2,0),"0")</f>
      </c>
      <c r="AB379" s="166">
        <f>IFERROR(AA379*N379,"0")</f>
      </c>
      <c r="AC379" s="196"/>
      <c r="AD379" s="7"/>
      <c r="AE379" s="166">
        <f>W379+Y379+AB379+AD379</f>
      </c>
      <c r="AF379" s="195"/>
      <c r="AG379" s="169">
        <f>M379&amp;"-"&amp;F379</f>
      </c>
      <c r="AH379" s="166">
        <f>IFERROR(VLOOKUP(AG379,Masters!N:O,2,0),"0")</f>
      </c>
      <c r="AI379" s="166">
        <f>AH379*N379</f>
      </c>
      <c r="AJ379" s="7"/>
      <c r="AK379" s="170">
        <f>AI379-AE379</f>
      </c>
      <c r="AL379" s="195"/>
      <c r="AM379" s="6"/>
      <c r="AN379" s="171">
        <f>IFERROR(U379/2,"0")</f>
      </c>
    </row>
    <row x14ac:dyDescent="0.25" r="380" customHeight="1" ht="18.75">
      <c r="A380" s="158">
        <f>A379+1</f>
      </c>
      <c r="B380" s="159">
        <v>45861</v>
      </c>
      <c r="C380" s="198" t="s">
        <v>950</v>
      </c>
      <c r="D380" s="159">
        <v>45861</v>
      </c>
      <c r="E380" s="198" t="s">
        <v>108</v>
      </c>
      <c r="F380" s="160" t="s">
        <v>32</v>
      </c>
      <c r="G380" s="147" t="s">
        <v>530</v>
      </c>
      <c r="H380" s="198" t="s">
        <v>305</v>
      </c>
      <c r="I380" s="158">
        <v>1109</v>
      </c>
      <c r="J380" s="147" t="s">
        <v>301</v>
      </c>
      <c r="K380" s="199">
        <v>336</v>
      </c>
      <c r="L380" s="198" t="s">
        <v>15</v>
      </c>
      <c r="M380" s="161">
        <f>IFERROR(VLOOKUP(L380,'Material Master'!B:C,2,0),"")</f>
      </c>
      <c r="N380" s="199">
        <v>30</v>
      </c>
      <c r="O380" s="162">
        <f>IFERROR(M380*N380,"")</f>
      </c>
      <c r="P380" s="198" t="s">
        <v>402</v>
      </c>
      <c r="Q380" s="158" t="s">
        <v>951</v>
      </c>
      <c r="R380" s="163">
        <v>45839</v>
      </c>
      <c r="S380" s="147"/>
      <c r="T380" s="6"/>
      <c r="U380" s="158">
        <v>234</v>
      </c>
      <c r="V380" s="164">
        <v>31</v>
      </c>
      <c r="W380" s="165">
        <f>IFERROR(U380*V380,"0")</f>
      </c>
      <c r="X380" s="7"/>
      <c r="Y380" s="166">
        <f>IFERROR((O380/1000)*Masters!$C$3,"0")</f>
      </c>
      <c r="Z380" s="195"/>
      <c r="AA380" s="164">
        <f>IFERROR(VLOOKUP(L380,Masters!G:H,2,0),"0")</f>
      </c>
      <c r="AB380" s="166">
        <f>IFERROR(AA380*N380,"0")</f>
      </c>
      <c r="AC380" s="196"/>
      <c r="AD380" s="7"/>
      <c r="AE380" s="166">
        <f>W380+Y380+AB380+AD380</f>
      </c>
      <c r="AF380" s="195"/>
      <c r="AG380" s="169">
        <f>M380&amp;"-"&amp;F380</f>
      </c>
      <c r="AH380" s="166">
        <f>IFERROR(VLOOKUP(AG380,Masters!N:O,2,0),"0")</f>
      </c>
      <c r="AI380" s="166">
        <f>AH380*N380</f>
      </c>
      <c r="AJ380" s="7"/>
      <c r="AK380" s="170">
        <f>AI380-AE380</f>
      </c>
      <c r="AL380" s="195"/>
      <c r="AM380" s="6"/>
      <c r="AN380" s="171">
        <f>IFERROR(U380/2,"0")</f>
      </c>
    </row>
    <row x14ac:dyDescent="0.25" r="381" customHeight="1" ht="18.75">
      <c r="A381" s="158">
        <f>A380+1</f>
      </c>
      <c r="B381" s="159">
        <v>45861</v>
      </c>
      <c r="C381" s="174" t="s">
        <v>952</v>
      </c>
      <c r="D381" s="159">
        <v>45861</v>
      </c>
      <c r="E381" s="174" t="s">
        <v>108</v>
      </c>
      <c r="F381" s="175" t="s">
        <v>32</v>
      </c>
      <c r="G381" s="174" t="s">
        <v>530</v>
      </c>
      <c r="H381" s="174" t="s">
        <v>304</v>
      </c>
      <c r="I381" s="176">
        <v>1109</v>
      </c>
      <c r="J381" s="174" t="s">
        <v>301</v>
      </c>
      <c r="K381" s="176">
        <v>337</v>
      </c>
      <c r="L381" s="174" t="s">
        <v>15</v>
      </c>
      <c r="M381" s="177">
        <f>IFERROR(VLOOKUP(L381,'Material Master'!B:C,2,0),"")</f>
      </c>
      <c r="N381" s="176">
        <v>30</v>
      </c>
      <c r="O381" s="178">
        <f>IFERROR(M381*N381,"")</f>
      </c>
      <c r="P381" s="174" t="s">
        <v>402</v>
      </c>
      <c r="Q381" s="176" t="s">
        <v>953</v>
      </c>
      <c r="R381" s="179">
        <v>45839</v>
      </c>
      <c r="S381" s="174" t="s">
        <v>490</v>
      </c>
      <c r="T381" s="200"/>
      <c r="U381" s="176">
        <v>240</v>
      </c>
      <c r="V381" s="177">
        <v>31</v>
      </c>
      <c r="W381" s="180">
        <f>IFERROR(U381*V381,"0")</f>
      </c>
      <c r="X381" s="181"/>
      <c r="Y381" s="166">
        <f>IFERROR((O381/1000)*Masters!$C$3,"0")</f>
      </c>
      <c r="Z381" s="201"/>
      <c r="AA381" s="164">
        <f>IFERROR(VLOOKUP(L381,Masters!G:H,2,0),"0")</f>
      </c>
      <c r="AB381" s="166">
        <f>IFERROR(AA381*N381,"0")</f>
      </c>
      <c r="AC381" s="202"/>
      <c r="AD381" s="181"/>
      <c r="AE381" s="166">
        <f>W381+Y381+AB381+AD381</f>
      </c>
      <c r="AF381" s="201"/>
      <c r="AG381" s="169">
        <f>M381&amp;"-"&amp;F381</f>
      </c>
      <c r="AH381" s="166">
        <f>IFERROR(VLOOKUP(AG381,Masters!N:O,2,0),"0")</f>
      </c>
      <c r="AI381" s="166">
        <f>AH381*N381</f>
      </c>
      <c r="AJ381" s="181"/>
      <c r="AK381" s="170">
        <f>AI381-AE381</f>
      </c>
      <c r="AL381" s="201"/>
      <c r="AM381" s="200"/>
      <c r="AN381" s="171">
        <f>IFERROR(U381/2,"0")</f>
      </c>
    </row>
    <row x14ac:dyDescent="0.25" r="382" customHeight="1" ht="18.75">
      <c r="A382" s="158">
        <f>A381+1</f>
      </c>
      <c r="B382" s="159">
        <v>45861</v>
      </c>
      <c r="C382" s="198" t="s">
        <v>954</v>
      </c>
      <c r="D382" s="159">
        <v>45862</v>
      </c>
      <c r="E382" s="198" t="s">
        <v>108</v>
      </c>
      <c r="F382" s="160" t="s">
        <v>32</v>
      </c>
      <c r="G382" s="147" t="s">
        <v>530</v>
      </c>
      <c r="H382" s="198" t="s">
        <v>303</v>
      </c>
      <c r="I382" s="158">
        <v>1109</v>
      </c>
      <c r="J382" s="147" t="s">
        <v>301</v>
      </c>
      <c r="K382" s="199">
        <v>338</v>
      </c>
      <c r="L382" s="198" t="s">
        <v>15</v>
      </c>
      <c r="M382" s="161">
        <f>IFERROR(VLOOKUP(L382,'Material Master'!B:C,2,0),"")</f>
      </c>
      <c r="N382" s="199">
        <v>30</v>
      </c>
      <c r="O382" s="162">
        <f>IFERROR(M382*N382,"")</f>
      </c>
      <c r="P382" s="198" t="s">
        <v>402</v>
      </c>
      <c r="Q382" s="158" t="s">
        <v>955</v>
      </c>
      <c r="R382" s="163">
        <v>45839</v>
      </c>
      <c r="S382" s="147"/>
      <c r="T382" s="6"/>
      <c r="U382" s="158">
        <v>182</v>
      </c>
      <c r="V382" s="164">
        <v>31</v>
      </c>
      <c r="W382" s="165">
        <f>IFERROR(U382*V382,"0")</f>
      </c>
      <c r="X382" s="7"/>
      <c r="Y382" s="166">
        <f>IFERROR((O382/1000)*Masters!$C$3,"0")</f>
      </c>
      <c r="Z382" s="195"/>
      <c r="AA382" s="164">
        <f>IFERROR(VLOOKUP(L382,Masters!G:H,2,0),"0")</f>
      </c>
      <c r="AB382" s="166">
        <f>IFERROR(AA382*N382,"0")</f>
      </c>
      <c r="AC382" s="196"/>
      <c r="AD382" s="7"/>
      <c r="AE382" s="166">
        <f>W382+Y382+AB382+AD382</f>
      </c>
      <c r="AF382" s="195"/>
      <c r="AG382" s="169">
        <f>M382&amp;"-"&amp;F382</f>
      </c>
      <c r="AH382" s="166">
        <f>IFERROR(VLOOKUP(AG382,Masters!N:O,2,0),"0")</f>
      </c>
      <c r="AI382" s="166">
        <f>AH382*N382</f>
      </c>
      <c r="AJ382" s="7"/>
      <c r="AK382" s="170">
        <f>AI382-AE382</f>
      </c>
      <c r="AL382" s="195"/>
      <c r="AM382" s="6"/>
      <c r="AN382" s="171">
        <f>IFERROR(U382/2,"0")</f>
      </c>
    </row>
    <row x14ac:dyDescent="0.25" r="383" customHeight="1" ht="18.75">
      <c r="A383" s="158">
        <f>A382+1</f>
      </c>
      <c r="B383" s="159">
        <v>45861</v>
      </c>
      <c r="C383" s="203" t="s">
        <v>956</v>
      </c>
      <c r="D383" s="159"/>
      <c r="E383" s="203" t="s">
        <v>108</v>
      </c>
      <c r="F383" s="227"/>
      <c r="G383" s="203" t="s">
        <v>530</v>
      </c>
      <c r="H383" s="203"/>
      <c r="I383" s="228">
        <v>1109</v>
      </c>
      <c r="J383" s="203"/>
      <c r="K383" s="228"/>
      <c r="L383" s="203"/>
      <c r="M383" s="229">
        <f>IFERROR(VLOOKUP(L383,'Material Master'!B:C,2,0),"")</f>
      </c>
      <c r="N383" s="228"/>
      <c r="O383" s="230">
        <f>IFERROR(M383*N383,"")</f>
      </c>
      <c r="P383" s="203"/>
      <c r="Q383" s="228"/>
      <c r="R383" s="231">
        <v>45839</v>
      </c>
      <c r="S383" s="203" t="s">
        <v>942</v>
      </c>
      <c r="T383" s="232"/>
      <c r="U383" s="228"/>
      <c r="V383" s="229">
        <v>31</v>
      </c>
      <c r="W383" s="233">
        <f>IFERROR(U383*V383,"0")</f>
      </c>
      <c r="X383" s="234"/>
      <c r="Y383" s="191">
        <f>IFERROR((O383/1000)*Masters!$C$3,"0")</f>
      </c>
      <c r="Z383" s="235"/>
      <c r="AA383" s="164">
        <f>IFERROR(VLOOKUP(L383,Masters!G:H,2,0),"0")</f>
      </c>
      <c r="AB383" s="166">
        <f>IFERROR(AA383*N383,"0")</f>
      </c>
      <c r="AC383" s="236"/>
      <c r="AD383" s="234"/>
      <c r="AE383" s="166">
        <f>W383+Y383+AB383+AD383</f>
      </c>
      <c r="AF383" s="235"/>
      <c r="AG383" s="169">
        <f>M383&amp;"-"&amp;F383</f>
      </c>
      <c r="AH383" s="191">
        <f>IFERROR(VLOOKUP(AG383,Masters!N:O,2,0),"0")</f>
      </c>
      <c r="AI383" s="166">
        <f>AH383*N383</f>
      </c>
      <c r="AJ383" s="234"/>
      <c r="AK383" s="170">
        <f>AI383-AE383</f>
      </c>
      <c r="AL383" s="235"/>
      <c r="AM383" s="232"/>
      <c r="AN383" s="171">
        <f>IFERROR(U383/2,"0")</f>
      </c>
    </row>
    <row x14ac:dyDescent="0.25" r="384" customHeight="1" ht="18.75">
      <c r="A384" s="158">
        <f>A383+1</f>
      </c>
      <c r="B384" s="159">
        <v>45861</v>
      </c>
      <c r="C384" s="203" t="s">
        <v>957</v>
      </c>
      <c r="D384" s="159"/>
      <c r="E384" s="203" t="s">
        <v>148</v>
      </c>
      <c r="F384" s="227"/>
      <c r="G384" s="203" t="s">
        <v>532</v>
      </c>
      <c r="H384" s="203"/>
      <c r="I384" s="228">
        <v>1109</v>
      </c>
      <c r="J384" s="203"/>
      <c r="K384" s="228"/>
      <c r="L384" s="203"/>
      <c r="M384" s="229">
        <f>IFERROR(VLOOKUP(L384,'Material Master'!B:C,2,0),"")</f>
      </c>
      <c r="N384" s="228"/>
      <c r="O384" s="230">
        <f>IFERROR(M384*N384,"")</f>
      </c>
      <c r="P384" s="203"/>
      <c r="Q384" s="228"/>
      <c r="R384" s="231">
        <v>45839</v>
      </c>
      <c r="S384" s="203" t="s">
        <v>958</v>
      </c>
      <c r="T384" s="232"/>
      <c r="U384" s="228"/>
      <c r="V384" s="229">
        <v>31</v>
      </c>
      <c r="W384" s="233">
        <f>IFERROR(U384*V384,"0")</f>
      </c>
      <c r="X384" s="234"/>
      <c r="Y384" s="191">
        <f>IFERROR((O384/1000)*Masters!$C$3,"0")</f>
      </c>
      <c r="Z384" s="235"/>
      <c r="AA384" s="164">
        <f>IFERROR(VLOOKUP(L384,Masters!G:H,2,0),"0")</f>
      </c>
      <c r="AB384" s="166">
        <f>IFERROR(AA384*N384,"0")</f>
      </c>
      <c r="AC384" s="236"/>
      <c r="AD384" s="234"/>
      <c r="AE384" s="166">
        <f>W384+Y384+AB384+AD384</f>
      </c>
      <c r="AF384" s="235"/>
      <c r="AG384" s="169">
        <f>M384&amp;"-"&amp;F384</f>
      </c>
      <c r="AH384" s="191">
        <f>IFERROR(VLOOKUP(AG384,Masters!N:O,2,0),"0")</f>
      </c>
      <c r="AI384" s="166">
        <f>AH384*N384</f>
      </c>
      <c r="AJ384" s="234"/>
      <c r="AK384" s="170">
        <f>AI384-AE384</f>
      </c>
      <c r="AL384" s="235"/>
      <c r="AM384" s="232"/>
      <c r="AN384" s="171">
        <f>IFERROR(U384/2,"0")</f>
      </c>
    </row>
    <row x14ac:dyDescent="0.25" r="385" customHeight="1" ht="18.75">
      <c r="A385" s="158">
        <f>A384+1</f>
      </c>
      <c r="B385" s="159">
        <v>45862</v>
      </c>
      <c r="C385" s="203" t="s">
        <v>959</v>
      </c>
      <c r="D385" s="159"/>
      <c r="E385" s="203" t="s">
        <v>75</v>
      </c>
      <c r="F385" s="227"/>
      <c r="G385" s="203" t="s">
        <v>147</v>
      </c>
      <c r="H385" s="203"/>
      <c r="I385" s="228">
        <v>1109</v>
      </c>
      <c r="J385" s="203"/>
      <c r="K385" s="228"/>
      <c r="L385" s="203"/>
      <c r="M385" s="229">
        <f>IFERROR(VLOOKUP(L385,'Material Master'!B:C,2,0),"")</f>
      </c>
      <c r="N385" s="228"/>
      <c r="O385" s="230">
        <f>IFERROR(M385*N385,"")</f>
      </c>
      <c r="P385" s="203"/>
      <c r="Q385" s="228"/>
      <c r="R385" s="231">
        <v>45839</v>
      </c>
      <c r="S385" s="203" t="s">
        <v>958</v>
      </c>
      <c r="T385" s="232"/>
      <c r="U385" s="228"/>
      <c r="V385" s="229">
        <v>31</v>
      </c>
      <c r="W385" s="233">
        <f>IFERROR(U385*V385,"0")</f>
      </c>
      <c r="X385" s="234"/>
      <c r="Y385" s="191">
        <f>IFERROR((O385/1000)*Masters!$C$3,"0")</f>
      </c>
      <c r="Z385" s="235"/>
      <c r="AA385" s="164">
        <f>IFERROR(VLOOKUP(L385,Masters!G:H,2,0),"0")</f>
      </c>
      <c r="AB385" s="166">
        <f>IFERROR(AA385*N385,"0")</f>
      </c>
      <c r="AC385" s="236"/>
      <c r="AD385" s="234"/>
      <c r="AE385" s="166">
        <f>W385+Y385+AB385+AD385</f>
      </c>
      <c r="AF385" s="235"/>
      <c r="AG385" s="169">
        <f>M385&amp;"-"&amp;F385</f>
      </c>
      <c r="AH385" s="191">
        <f>IFERROR(VLOOKUP(AG385,Masters!N:O,2,0),"0")</f>
      </c>
      <c r="AI385" s="166">
        <f>AH385*N385</f>
      </c>
      <c r="AJ385" s="234"/>
      <c r="AK385" s="170">
        <f>AI385-AE385</f>
      </c>
      <c r="AL385" s="235"/>
      <c r="AM385" s="232"/>
      <c r="AN385" s="171">
        <f>IFERROR(U385/2,"0")</f>
      </c>
    </row>
    <row x14ac:dyDescent="0.25" r="386" customHeight="1" ht="18.75">
      <c r="A386" s="158">
        <f>A385+1</f>
      </c>
      <c r="B386" s="159">
        <v>45862</v>
      </c>
      <c r="C386" s="203" t="s">
        <v>960</v>
      </c>
      <c r="D386" s="159"/>
      <c r="E386" s="203" t="s">
        <v>84</v>
      </c>
      <c r="F386" s="227"/>
      <c r="G386" s="203" t="s">
        <v>530</v>
      </c>
      <c r="H386" s="203"/>
      <c r="I386" s="228">
        <v>909</v>
      </c>
      <c r="J386" s="203"/>
      <c r="K386" s="228"/>
      <c r="L386" s="203"/>
      <c r="M386" s="229">
        <f>IFERROR(VLOOKUP(L386,'Material Master'!B:C,2,0),"")</f>
      </c>
      <c r="N386" s="228"/>
      <c r="O386" s="230">
        <f>IFERROR(M386*N386,"")</f>
      </c>
      <c r="P386" s="203"/>
      <c r="Q386" s="228"/>
      <c r="R386" s="231">
        <v>45839</v>
      </c>
      <c r="S386" s="203" t="s">
        <v>961</v>
      </c>
      <c r="T386" s="232"/>
      <c r="U386" s="228"/>
      <c r="V386" s="229">
        <v>31</v>
      </c>
      <c r="W386" s="233">
        <f>IFERROR(U386*V386,"0")</f>
      </c>
      <c r="X386" s="234"/>
      <c r="Y386" s="191">
        <f>IFERROR((O386/1000)*Masters!$C$3,"0")</f>
      </c>
      <c r="Z386" s="235"/>
      <c r="AA386" s="164">
        <f>IFERROR(VLOOKUP(L386,Masters!G:H,2,0),"0")</f>
      </c>
      <c r="AB386" s="166">
        <f>IFERROR(AA386*N386,"0")</f>
      </c>
      <c r="AC386" s="236"/>
      <c r="AD386" s="234"/>
      <c r="AE386" s="166">
        <f>W386+Y386+AB386+AD386</f>
      </c>
      <c r="AF386" s="235"/>
      <c r="AG386" s="169">
        <f>M386&amp;"-"&amp;F386</f>
      </c>
      <c r="AH386" s="191">
        <f>IFERROR(VLOOKUP(AG386,Masters!N:O,2,0),"0")</f>
      </c>
      <c r="AI386" s="166">
        <f>AH386*N386</f>
      </c>
      <c r="AJ386" s="234"/>
      <c r="AK386" s="170">
        <f>AI386-AE386</f>
      </c>
      <c r="AL386" s="235"/>
      <c r="AM386" s="232"/>
      <c r="AN386" s="171">
        <f>IFERROR(U386/2,"0")</f>
      </c>
    </row>
    <row x14ac:dyDescent="0.25" r="387" customHeight="1" ht="18.75">
      <c r="A387" s="158">
        <f>A386+1</f>
      </c>
      <c r="B387" s="159">
        <v>45863</v>
      </c>
      <c r="C387" s="198" t="s">
        <v>962</v>
      </c>
      <c r="D387" s="159">
        <v>45863</v>
      </c>
      <c r="E387" s="198" t="s">
        <v>79</v>
      </c>
      <c r="F387" s="160" t="s">
        <v>32</v>
      </c>
      <c r="G387" s="147" t="s">
        <v>158</v>
      </c>
      <c r="H387" s="198" t="s">
        <v>305</v>
      </c>
      <c r="I387" s="158">
        <v>1109</v>
      </c>
      <c r="J387" s="147" t="s">
        <v>301</v>
      </c>
      <c r="K387" s="199">
        <v>342</v>
      </c>
      <c r="L387" s="198" t="s">
        <v>15</v>
      </c>
      <c r="M387" s="161">
        <f>IFERROR(VLOOKUP(L387,'Material Master'!B:C,2,0),"")</f>
      </c>
      <c r="N387" s="199">
        <v>30</v>
      </c>
      <c r="O387" s="162">
        <f>IFERROR(M387*N387,"")</f>
      </c>
      <c r="P387" s="198" t="s">
        <v>402</v>
      </c>
      <c r="Q387" s="158" t="s">
        <v>963</v>
      </c>
      <c r="R387" s="163">
        <v>45839</v>
      </c>
      <c r="S387" s="203"/>
      <c r="T387" s="6"/>
      <c r="U387" s="158">
        <v>412</v>
      </c>
      <c r="V387" s="164">
        <v>31</v>
      </c>
      <c r="W387" s="165">
        <f>IFERROR(U387*V387,"0")</f>
      </c>
      <c r="X387" s="7"/>
      <c r="Y387" s="166">
        <f>IFERROR((O387/1000)*Masters!$C$3,"0")</f>
      </c>
      <c r="Z387" s="195"/>
      <c r="AA387" s="164">
        <f>IFERROR(VLOOKUP(L387,Masters!G:H,2,0),"0")</f>
      </c>
      <c r="AB387" s="166">
        <f>IFERROR(AA387*N387,"0")</f>
      </c>
      <c r="AC387" s="196"/>
      <c r="AD387" s="7"/>
      <c r="AE387" s="166">
        <f>W387+Y387+AB387+AD387</f>
      </c>
      <c r="AF387" s="195"/>
      <c r="AG387" s="169">
        <f>M387&amp;"-"&amp;F387</f>
      </c>
      <c r="AH387" s="166">
        <f>IFERROR(VLOOKUP(AG387,Masters!N:O,2,0),"0")</f>
      </c>
      <c r="AI387" s="166">
        <f>AH387*N387</f>
      </c>
      <c r="AJ387" s="7"/>
      <c r="AK387" s="170">
        <f>AI387-AE387</f>
      </c>
      <c r="AL387" s="195"/>
      <c r="AM387" s="6"/>
      <c r="AN387" s="171">
        <f>IFERROR(U387/2,"0")</f>
      </c>
    </row>
    <row x14ac:dyDescent="0.25" r="388" customHeight="1" ht="18.75">
      <c r="A388" s="158">
        <f>A387+1</f>
      </c>
      <c r="B388" s="159">
        <v>45863</v>
      </c>
      <c r="C388" s="198" t="s">
        <v>964</v>
      </c>
      <c r="D388" s="159">
        <v>45866</v>
      </c>
      <c r="E388" s="198" t="s">
        <v>79</v>
      </c>
      <c r="F388" s="160" t="s">
        <v>32</v>
      </c>
      <c r="G388" s="147" t="s">
        <v>158</v>
      </c>
      <c r="H388" s="198" t="s">
        <v>304</v>
      </c>
      <c r="I388" s="158">
        <v>1109</v>
      </c>
      <c r="J388" s="147" t="s">
        <v>301</v>
      </c>
      <c r="K388" s="199">
        <v>348</v>
      </c>
      <c r="L388" s="198" t="s">
        <v>15</v>
      </c>
      <c r="M388" s="161">
        <f>IFERROR(VLOOKUP(L388,'Material Master'!B:C,2,0),"")</f>
      </c>
      <c r="N388" s="199">
        <v>30</v>
      </c>
      <c r="O388" s="162">
        <f>IFERROR(M388*N388,"")</f>
      </c>
      <c r="P388" s="198" t="s">
        <v>402</v>
      </c>
      <c r="Q388" s="158" t="s">
        <v>965</v>
      </c>
      <c r="R388" s="163">
        <v>45839</v>
      </c>
      <c r="S388" s="203"/>
      <c r="T388" s="6"/>
      <c r="U388" s="158">
        <v>426</v>
      </c>
      <c r="V388" s="164">
        <v>31</v>
      </c>
      <c r="W388" s="165">
        <f>IFERROR(U388*V388,"0")</f>
      </c>
      <c r="X388" s="7"/>
      <c r="Y388" s="166">
        <f>IFERROR((O388/1000)*Masters!$C$3,"0")</f>
      </c>
      <c r="Z388" s="195"/>
      <c r="AA388" s="164">
        <f>IFERROR(VLOOKUP(L388,Masters!G:H,2,0),"0")</f>
      </c>
      <c r="AB388" s="166">
        <f>IFERROR(AA388*N388,"0")</f>
      </c>
      <c r="AC388" s="196"/>
      <c r="AD388" s="7"/>
      <c r="AE388" s="166">
        <f>W388+Y388+AB388+AD388</f>
      </c>
      <c r="AF388" s="195"/>
      <c r="AG388" s="169">
        <f>M388&amp;"-"&amp;F388</f>
      </c>
      <c r="AH388" s="166">
        <f>IFERROR(VLOOKUP(AG388,Masters!N:O,2,0),"0")</f>
      </c>
      <c r="AI388" s="166">
        <f>AH388*N388</f>
      </c>
      <c r="AJ388" s="7"/>
      <c r="AK388" s="170">
        <f>AI388-AE388</f>
      </c>
      <c r="AL388" s="195"/>
      <c r="AM388" s="6"/>
      <c r="AN388" s="171">
        <f>IFERROR(U388/2,"0")</f>
      </c>
    </row>
    <row x14ac:dyDescent="0.25" r="389" customHeight="1" ht="18.75">
      <c r="A389" s="158">
        <f>A388+1</f>
      </c>
      <c r="B389" s="159">
        <v>45863</v>
      </c>
      <c r="C389" s="198" t="s">
        <v>966</v>
      </c>
      <c r="D389" s="159">
        <v>45863</v>
      </c>
      <c r="E389" s="198" t="s">
        <v>126</v>
      </c>
      <c r="F389" s="160" t="s">
        <v>231</v>
      </c>
      <c r="G389" s="147" t="s">
        <v>197</v>
      </c>
      <c r="H389" s="198" t="s">
        <v>304</v>
      </c>
      <c r="I389" s="158">
        <v>909</v>
      </c>
      <c r="J389" s="147" t="s">
        <v>301</v>
      </c>
      <c r="K389" s="199">
        <v>343</v>
      </c>
      <c r="L389" s="198" t="s">
        <v>10</v>
      </c>
      <c r="M389" s="161">
        <f>IFERROR(VLOOKUP(L389,'Material Master'!B:C,2,0),"")</f>
      </c>
      <c r="N389" s="199">
        <v>200</v>
      </c>
      <c r="O389" s="162">
        <f>IFERROR(M389*N389,"")</f>
      </c>
      <c r="P389" s="198" t="s">
        <v>402</v>
      </c>
      <c r="Q389" s="158" t="s">
        <v>967</v>
      </c>
      <c r="R389" s="163">
        <v>45839</v>
      </c>
      <c r="S389" s="147"/>
      <c r="T389" s="6"/>
      <c r="U389" s="158">
        <v>230</v>
      </c>
      <c r="V389" s="164">
        <v>31</v>
      </c>
      <c r="W389" s="165">
        <f>IFERROR(U389*V389,"0")</f>
      </c>
      <c r="X389" s="7"/>
      <c r="Y389" s="166">
        <f>IFERROR((O389/1000)*Masters!$C$3,"0")</f>
      </c>
      <c r="Z389" s="195"/>
      <c r="AA389" s="164">
        <f>IFERROR(VLOOKUP(L389,Masters!G:H,2,0),"0")</f>
      </c>
      <c r="AB389" s="166">
        <f>IFERROR(AA389*N389,"0")</f>
      </c>
      <c r="AC389" s="196"/>
      <c r="AD389" s="7"/>
      <c r="AE389" s="166">
        <f>W389+Y389+AB389+AD389</f>
      </c>
      <c r="AF389" s="195"/>
      <c r="AG389" s="169">
        <f>M389&amp;"-"&amp;F389</f>
      </c>
      <c r="AH389" s="166">
        <f>IFERROR(VLOOKUP(AG389,Masters!N:O,2,0),"0")</f>
      </c>
      <c r="AI389" s="166">
        <f>AH389*N389</f>
      </c>
      <c r="AJ389" s="7"/>
      <c r="AK389" s="170">
        <f>AI389-AE389</f>
      </c>
      <c r="AL389" s="195"/>
      <c r="AM389" s="6"/>
      <c r="AN389" s="171">
        <f>IFERROR(U389/2,"0")</f>
      </c>
    </row>
    <row x14ac:dyDescent="0.25" r="390" customHeight="1" ht="18.75">
      <c r="A390" s="158">
        <f>A389+1</f>
      </c>
      <c r="B390" s="159">
        <v>45864</v>
      </c>
      <c r="C390" s="198" t="s">
        <v>968</v>
      </c>
      <c r="D390" s="159">
        <v>45865</v>
      </c>
      <c r="E390" s="198" t="s">
        <v>148</v>
      </c>
      <c r="F390" s="160" t="s">
        <v>32</v>
      </c>
      <c r="G390" s="147" t="s">
        <v>532</v>
      </c>
      <c r="H390" s="198" t="s">
        <v>319</v>
      </c>
      <c r="I390" s="158">
        <v>2515</v>
      </c>
      <c r="J390" s="147" t="s">
        <v>301</v>
      </c>
      <c r="K390" s="199">
        <v>345</v>
      </c>
      <c r="L390" s="198" t="s">
        <v>10</v>
      </c>
      <c r="M390" s="161">
        <f>IFERROR(VLOOKUP(L390,'Material Master'!B:C,2,0),"")</f>
      </c>
      <c r="N390" s="199">
        <v>600</v>
      </c>
      <c r="O390" s="162">
        <f>IFERROR(M390*N390,"")</f>
      </c>
      <c r="P390" s="198" t="s">
        <v>402</v>
      </c>
      <c r="Q390" s="158" t="s">
        <v>969</v>
      </c>
      <c r="R390" s="163">
        <v>45839</v>
      </c>
      <c r="S390" s="147" t="s">
        <v>306</v>
      </c>
      <c r="T390" s="6"/>
      <c r="U390" s="158">
        <v>0</v>
      </c>
      <c r="V390" s="164">
        <v>31</v>
      </c>
      <c r="W390" s="165">
        <v>12500</v>
      </c>
      <c r="X390" s="7"/>
      <c r="Y390" s="166">
        <f>IFERROR((O390/1000)*Masters!$C$3,"0")</f>
      </c>
      <c r="Z390" s="195"/>
      <c r="AA390" s="164">
        <f>IFERROR(VLOOKUP(L390,Masters!G:H,2,0),"0")</f>
      </c>
      <c r="AB390" s="166">
        <f>IFERROR(AA390*N390,"0")</f>
      </c>
      <c r="AC390" s="196"/>
      <c r="AD390" s="8">
        <v>3900</v>
      </c>
      <c r="AE390" s="166">
        <f>W390+Y390+AB390+AD390</f>
      </c>
      <c r="AF390" s="195"/>
      <c r="AG390" s="169">
        <f>M390&amp;"-"&amp;F390</f>
      </c>
      <c r="AH390" s="166">
        <f>IFERROR(VLOOKUP(AG390,Masters!N:O,2,0),"0")</f>
      </c>
      <c r="AI390" s="166">
        <f>AH390*N390</f>
      </c>
      <c r="AJ390" s="7"/>
      <c r="AK390" s="170">
        <f>AI390-AE390</f>
      </c>
      <c r="AL390" s="195"/>
      <c r="AM390" s="6"/>
      <c r="AN390" s="171">
        <f>IFERROR(U390/2,"0")</f>
      </c>
    </row>
    <row x14ac:dyDescent="0.25" r="391" customHeight="1" ht="18.75">
      <c r="A391" s="158">
        <f>A390+1</f>
      </c>
      <c r="B391" s="159">
        <v>45864</v>
      </c>
      <c r="C391" s="198" t="s">
        <v>970</v>
      </c>
      <c r="D391" s="159">
        <v>45864</v>
      </c>
      <c r="E391" s="198" t="s">
        <v>75</v>
      </c>
      <c r="F391" s="160" t="s">
        <v>231</v>
      </c>
      <c r="G391" s="147" t="s">
        <v>242</v>
      </c>
      <c r="H391" s="198" t="s">
        <v>302</v>
      </c>
      <c r="I391" s="158">
        <v>1109</v>
      </c>
      <c r="J391" s="147" t="s">
        <v>301</v>
      </c>
      <c r="K391" s="199">
        <v>344</v>
      </c>
      <c r="L391" s="198" t="s">
        <v>10</v>
      </c>
      <c r="M391" s="161">
        <f>IFERROR(VLOOKUP(L391,'Material Master'!B:C,2,0),"")</f>
      </c>
      <c r="N391" s="199">
        <v>300</v>
      </c>
      <c r="O391" s="162">
        <f>IFERROR(M391*N391,"")</f>
      </c>
      <c r="P391" s="198" t="s">
        <v>402</v>
      </c>
      <c r="Q391" s="158">
        <v>514569</v>
      </c>
      <c r="R391" s="163">
        <v>45839</v>
      </c>
      <c r="S391" s="147"/>
      <c r="T391" s="6"/>
      <c r="U391" s="158">
        <v>179</v>
      </c>
      <c r="V391" s="164">
        <v>31</v>
      </c>
      <c r="W391" s="165">
        <f>IFERROR(U391*V391,"0")</f>
      </c>
      <c r="X391" s="7"/>
      <c r="Y391" s="166">
        <f>IFERROR((O391/1000)*Masters!$C$3,"0")</f>
      </c>
      <c r="Z391" s="195"/>
      <c r="AA391" s="164">
        <f>IFERROR(VLOOKUP(L391,Masters!G:H,2,0),"0")</f>
      </c>
      <c r="AB391" s="166">
        <f>IFERROR(AA391*N391,"0")</f>
      </c>
      <c r="AC391" s="196"/>
      <c r="AD391" s="7"/>
      <c r="AE391" s="166">
        <f>W391+Y391+AB391+AD391</f>
      </c>
      <c r="AF391" s="195"/>
      <c r="AG391" s="169">
        <f>M391&amp;"-"&amp;F391</f>
      </c>
      <c r="AH391" s="166">
        <f>IFERROR(VLOOKUP(AG391,Masters!N:O,2,0),"0")</f>
      </c>
      <c r="AI391" s="166">
        <f>AH391*N391</f>
      </c>
      <c r="AJ391" s="7"/>
      <c r="AK391" s="170">
        <f>AI391-AE391</f>
      </c>
      <c r="AL391" s="195"/>
      <c r="AM391" s="6"/>
      <c r="AN391" s="171">
        <f>IFERROR(U391/2,"0")</f>
      </c>
    </row>
    <row x14ac:dyDescent="0.25" r="392" customHeight="1" ht="18.75">
      <c r="A392" s="158">
        <f>A391+1</f>
      </c>
      <c r="B392" s="159">
        <v>45865</v>
      </c>
      <c r="C392" s="198" t="s">
        <v>971</v>
      </c>
      <c r="D392" s="159">
        <v>45865</v>
      </c>
      <c r="E392" s="198" t="s">
        <v>196</v>
      </c>
      <c r="F392" s="160" t="s">
        <v>231</v>
      </c>
      <c r="G392" s="147" t="s">
        <v>197</v>
      </c>
      <c r="H392" s="198" t="s">
        <v>304</v>
      </c>
      <c r="I392" s="158">
        <v>1109</v>
      </c>
      <c r="J392" s="147" t="s">
        <v>301</v>
      </c>
      <c r="K392" s="199">
        <v>346</v>
      </c>
      <c r="L392" s="198" t="s">
        <v>10</v>
      </c>
      <c r="M392" s="161">
        <f>IFERROR(VLOOKUP(L392,'Material Master'!B:C,2,0),"")</f>
      </c>
      <c r="N392" s="199">
        <v>300</v>
      </c>
      <c r="O392" s="162">
        <f>IFERROR(M392*N392,"")</f>
      </c>
      <c r="P392" s="198" t="s">
        <v>402</v>
      </c>
      <c r="Q392" s="158" t="s">
        <v>972</v>
      </c>
      <c r="R392" s="163">
        <v>45839</v>
      </c>
      <c r="S392" s="147"/>
      <c r="T392" s="6"/>
      <c r="U392" s="158">
        <v>207</v>
      </c>
      <c r="V392" s="164">
        <v>31</v>
      </c>
      <c r="W392" s="165">
        <f>IFERROR(U392*V392,"0")</f>
      </c>
      <c r="X392" s="7"/>
      <c r="Y392" s="166">
        <f>IFERROR((O392/1000)*Masters!$C$3,"0")</f>
      </c>
      <c r="Z392" s="195"/>
      <c r="AA392" s="164">
        <f>IFERROR(VLOOKUP(L392,Masters!G:H,2,0),"0")</f>
      </c>
      <c r="AB392" s="166">
        <f>IFERROR(AA392*N392,"0")</f>
      </c>
      <c r="AC392" s="196"/>
      <c r="AD392" s="7"/>
      <c r="AE392" s="166">
        <f>W392+Y392+AB392+AD392</f>
      </c>
      <c r="AF392" s="195"/>
      <c r="AG392" s="169">
        <f>M392&amp;"-"&amp;F392</f>
      </c>
      <c r="AH392" s="166">
        <f>IFERROR(VLOOKUP(AG392,Masters!N:O,2,0),"0")</f>
      </c>
      <c r="AI392" s="166">
        <f>AH392*N392</f>
      </c>
      <c r="AJ392" s="7"/>
      <c r="AK392" s="170">
        <f>AI392-AE392</f>
      </c>
      <c r="AL392" s="195"/>
      <c r="AM392" s="6"/>
      <c r="AN392" s="171">
        <f>IFERROR(U392/2,"0")</f>
      </c>
    </row>
    <row x14ac:dyDescent="0.25" r="393" customHeight="1" ht="18.75">
      <c r="A393" s="158">
        <f>A392+1</f>
      </c>
      <c r="B393" s="159">
        <v>45865</v>
      </c>
      <c r="C393" s="198" t="s">
        <v>973</v>
      </c>
      <c r="D393" s="159">
        <v>45865</v>
      </c>
      <c r="E393" s="198" t="s">
        <v>196</v>
      </c>
      <c r="F393" s="160" t="s">
        <v>231</v>
      </c>
      <c r="G393" s="147" t="s">
        <v>151</v>
      </c>
      <c r="H393" s="198" t="s">
        <v>302</v>
      </c>
      <c r="I393" s="158">
        <v>1109</v>
      </c>
      <c r="J393" s="147" t="s">
        <v>301</v>
      </c>
      <c r="K393" s="199">
        <v>347</v>
      </c>
      <c r="L393" s="198" t="s">
        <v>10</v>
      </c>
      <c r="M393" s="161">
        <f>IFERROR(VLOOKUP(L393,'Material Master'!B:C,2,0),"")</f>
      </c>
      <c r="N393" s="199">
        <v>300</v>
      </c>
      <c r="O393" s="162">
        <f>IFERROR(M393*N393,"")</f>
      </c>
      <c r="P393" s="198" t="s">
        <v>402</v>
      </c>
      <c r="Q393" s="158" t="s">
        <v>974</v>
      </c>
      <c r="R393" s="163">
        <v>45839</v>
      </c>
      <c r="S393" s="147"/>
      <c r="T393" s="6"/>
      <c r="U393" s="158">
        <v>230</v>
      </c>
      <c r="V393" s="164">
        <v>31</v>
      </c>
      <c r="W393" s="165">
        <f>IFERROR(U393*V393,"0")</f>
      </c>
      <c r="X393" s="7"/>
      <c r="Y393" s="166">
        <f>IFERROR((O393/1000)*Masters!$C$3,"0")</f>
      </c>
      <c r="Z393" s="195"/>
      <c r="AA393" s="164">
        <f>IFERROR(VLOOKUP(L393,Masters!G:H,2,0),"0")</f>
      </c>
      <c r="AB393" s="166">
        <f>IFERROR(AA393*N393,"0")</f>
      </c>
      <c r="AC393" s="196"/>
      <c r="AD393" s="7"/>
      <c r="AE393" s="166">
        <f>W393+Y393+AB393+AD393</f>
      </c>
      <c r="AF393" s="195"/>
      <c r="AG393" s="169">
        <f>M393&amp;"-"&amp;F393</f>
      </c>
      <c r="AH393" s="166">
        <f>IFERROR(VLOOKUP(AG393,Masters!N:O,2,0),"0")</f>
      </c>
      <c r="AI393" s="166">
        <f>AH393*N393</f>
      </c>
      <c r="AJ393" s="7"/>
      <c r="AK393" s="170">
        <f>AI393-AE393</f>
      </c>
      <c r="AL393" s="195"/>
      <c r="AM393" s="6"/>
      <c r="AN393" s="171">
        <f>IFERROR(U393/2,"0")</f>
      </c>
    </row>
    <row x14ac:dyDescent="0.25" r="394" customHeight="1" ht="18.75">
      <c r="A394" s="158">
        <f>A393+1</f>
      </c>
      <c r="B394" s="159">
        <v>45866</v>
      </c>
      <c r="C394" s="198" t="s">
        <v>975</v>
      </c>
      <c r="D394" s="159">
        <v>45866</v>
      </c>
      <c r="E394" s="198" t="s">
        <v>243</v>
      </c>
      <c r="F394" s="160" t="s">
        <v>231</v>
      </c>
      <c r="G394" s="147" t="s">
        <v>123</v>
      </c>
      <c r="H394" s="198" t="s">
        <v>302</v>
      </c>
      <c r="I394" s="158">
        <v>1109</v>
      </c>
      <c r="J394" s="147" t="s">
        <v>301</v>
      </c>
      <c r="K394" s="199">
        <v>349</v>
      </c>
      <c r="L394" s="198" t="s">
        <v>10</v>
      </c>
      <c r="M394" s="161">
        <f>IFERROR(VLOOKUP(L394,'Material Master'!B:C,2,0),"")</f>
      </c>
      <c r="N394" s="199">
        <v>300</v>
      </c>
      <c r="O394" s="162">
        <f>IFERROR(M394*N394,"")</f>
      </c>
      <c r="P394" s="198" t="s">
        <v>402</v>
      </c>
      <c r="Q394" s="158" t="s">
        <v>976</v>
      </c>
      <c r="R394" s="163">
        <v>45839</v>
      </c>
      <c r="S394" s="147"/>
      <c r="T394" s="6"/>
      <c r="U394" s="158">
        <v>128</v>
      </c>
      <c r="V394" s="164">
        <v>31</v>
      </c>
      <c r="W394" s="165">
        <f>IFERROR(U394*V394,"0")</f>
      </c>
      <c r="X394" s="7"/>
      <c r="Y394" s="166">
        <f>IFERROR((O394/1000)*Masters!$C$3,"0")</f>
      </c>
      <c r="Z394" s="195"/>
      <c r="AA394" s="164">
        <f>IFERROR(VLOOKUP(L394,Masters!G:H,2,0),"0")</f>
      </c>
      <c r="AB394" s="166">
        <f>IFERROR(AA394*N394,"0")</f>
      </c>
      <c r="AC394" s="196"/>
      <c r="AD394" s="7"/>
      <c r="AE394" s="166">
        <f>W394+Y394+AB394+AD394</f>
      </c>
      <c r="AF394" s="195"/>
      <c r="AG394" s="169">
        <f>M394&amp;"-"&amp;F394</f>
      </c>
      <c r="AH394" s="166">
        <f>IFERROR(VLOOKUP(AG394,Masters!N:O,2,0),"0")</f>
      </c>
      <c r="AI394" s="166">
        <f>AH394*N394</f>
      </c>
      <c r="AJ394" s="7"/>
      <c r="AK394" s="170">
        <f>AI394-AE394</f>
      </c>
      <c r="AL394" s="195"/>
      <c r="AM394" s="6"/>
      <c r="AN394" s="171">
        <f>IFERROR(U394/2,"0")</f>
      </c>
    </row>
    <row x14ac:dyDescent="0.25" r="395" customHeight="1" ht="18.75">
      <c r="A395" s="158">
        <f>A394+1</f>
      </c>
      <c r="B395" s="159">
        <v>45866</v>
      </c>
      <c r="C395" s="198" t="s">
        <v>977</v>
      </c>
      <c r="D395" s="159">
        <v>45867</v>
      </c>
      <c r="E395" s="198" t="s">
        <v>196</v>
      </c>
      <c r="F395" s="160" t="s">
        <v>231</v>
      </c>
      <c r="G395" s="147" t="s">
        <v>197</v>
      </c>
      <c r="H395" s="198" t="s">
        <v>305</v>
      </c>
      <c r="I395" s="158">
        <v>1109</v>
      </c>
      <c r="J395" s="147" t="s">
        <v>301</v>
      </c>
      <c r="K395" s="199">
        <v>351</v>
      </c>
      <c r="L395" s="198" t="s">
        <v>10</v>
      </c>
      <c r="M395" s="161">
        <f>IFERROR(VLOOKUP(L395,'Material Master'!B:C,2,0),"")</f>
      </c>
      <c r="N395" s="199">
        <v>300</v>
      </c>
      <c r="O395" s="162">
        <f>IFERROR(M395*N395,"")</f>
      </c>
      <c r="P395" s="198" t="s">
        <v>402</v>
      </c>
      <c r="Q395" s="158" t="s">
        <v>978</v>
      </c>
      <c r="R395" s="163">
        <v>45839</v>
      </c>
      <c r="S395" s="147"/>
      <c r="T395" s="6"/>
      <c r="U395" s="158">
        <v>215</v>
      </c>
      <c r="V395" s="164">
        <v>31</v>
      </c>
      <c r="W395" s="165">
        <f>IFERROR(U395*V395,"0")</f>
      </c>
      <c r="X395" s="7"/>
      <c r="Y395" s="166">
        <f>IFERROR((O395/1000)*Masters!$C$3,"0")</f>
      </c>
      <c r="Z395" s="195"/>
      <c r="AA395" s="164">
        <f>IFERROR(VLOOKUP(L395,Masters!G:H,2,0),"0")</f>
      </c>
      <c r="AB395" s="166">
        <f>IFERROR(AA395*N395,"0")</f>
      </c>
      <c r="AC395" s="196"/>
      <c r="AD395" s="7"/>
      <c r="AE395" s="166">
        <f>W395+Y395+AB395+AD395</f>
      </c>
      <c r="AF395" s="195"/>
      <c r="AG395" s="169">
        <f>M395&amp;"-"&amp;F395</f>
      </c>
      <c r="AH395" s="166">
        <f>IFERROR(VLOOKUP(AG395,Masters!N:O,2,0),"0")</f>
      </c>
      <c r="AI395" s="166">
        <f>AH395*N395</f>
      </c>
      <c r="AJ395" s="7"/>
      <c r="AK395" s="170">
        <f>AI395-AE395</f>
      </c>
      <c r="AL395" s="195"/>
      <c r="AM395" s="6"/>
      <c r="AN395" s="171">
        <f>IFERROR(U395/2,"0")</f>
      </c>
    </row>
    <row x14ac:dyDescent="0.25" r="396" customHeight="1" ht="18.75">
      <c r="A396" s="158">
        <f>A395+1</f>
      </c>
      <c r="B396" s="159">
        <v>45866</v>
      </c>
      <c r="C396" s="198" t="s">
        <v>979</v>
      </c>
      <c r="D396" s="159">
        <v>45867</v>
      </c>
      <c r="E396" s="198" t="s">
        <v>148</v>
      </c>
      <c r="F396" s="160" t="s">
        <v>32</v>
      </c>
      <c r="G396" s="147" t="s">
        <v>532</v>
      </c>
      <c r="H396" s="198" t="s">
        <v>302</v>
      </c>
      <c r="I396" s="158">
        <v>1109</v>
      </c>
      <c r="J396" s="147" t="s">
        <v>301</v>
      </c>
      <c r="K396" s="199">
        <v>350</v>
      </c>
      <c r="L396" s="198" t="s">
        <v>10</v>
      </c>
      <c r="M396" s="161">
        <f>IFERROR(VLOOKUP(L396,'Material Master'!B:C,2,0),"")</f>
      </c>
      <c r="N396" s="199">
        <v>300</v>
      </c>
      <c r="O396" s="162">
        <f>IFERROR(M396*N396,"")</f>
      </c>
      <c r="P396" s="198" t="s">
        <v>402</v>
      </c>
      <c r="Q396" s="158" t="s">
        <v>980</v>
      </c>
      <c r="R396" s="163">
        <v>45839</v>
      </c>
      <c r="S396" s="147"/>
      <c r="T396" s="6"/>
      <c r="U396" s="158">
        <v>213</v>
      </c>
      <c r="V396" s="164">
        <v>31</v>
      </c>
      <c r="W396" s="165">
        <f>IFERROR(U396*V396,"0")</f>
      </c>
      <c r="X396" s="7"/>
      <c r="Y396" s="166">
        <f>IFERROR((O396/1000)*Masters!$C$3,"0")</f>
      </c>
      <c r="Z396" s="195"/>
      <c r="AA396" s="164">
        <f>IFERROR(VLOOKUP(L396,Masters!G:H,2,0),"0")</f>
      </c>
      <c r="AB396" s="166">
        <f>IFERROR(AA396*N396,"0")</f>
      </c>
      <c r="AC396" s="196"/>
      <c r="AD396" s="7"/>
      <c r="AE396" s="166">
        <f>W396+Y396+AB396+AD396</f>
      </c>
      <c r="AF396" s="195"/>
      <c r="AG396" s="169">
        <f>M396&amp;"-"&amp;F396</f>
      </c>
      <c r="AH396" s="166">
        <f>IFERROR(VLOOKUP(AG396,Masters!N:O,2,0),"0")</f>
      </c>
      <c r="AI396" s="166">
        <f>AH396*N396</f>
      </c>
      <c r="AJ396" s="7"/>
      <c r="AK396" s="170">
        <f>AI396-AE396</f>
      </c>
      <c r="AL396" s="195"/>
      <c r="AM396" s="6"/>
      <c r="AN396" s="171">
        <f>IFERROR(U396/2,"0")</f>
      </c>
    </row>
    <row x14ac:dyDescent="0.25" r="397" customHeight="1" ht="18.75">
      <c r="A397" s="158">
        <f>A396+1</f>
      </c>
      <c r="B397" s="159">
        <v>45867</v>
      </c>
      <c r="C397" s="198" t="s">
        <v>981</v>
      </c>
      <c r="D397" s="159">
        <v>45868</v>
      </c>
      <c r="E397" s="198" t="s">
        <v>148</v>
      </c>
      <c r="F397" s="160" t="s">
        <v>32</v>
      </c>
      <c r="G397" s="147" t="s">
        <v>532</v>
      </c>
      <c r="H397" s="198" t="s">
        <v>319</v>
      </c>
      <c r="I397" s="158">
        <v>2515</v>
      </c>
      <c r="J397" s="147" t="s">
        <v>306</v>
      </c>
      <c r="K397" s="199">
        <v>352</v>
      </c>
      <c r="L397" s="198" t="s">
        <v>10</v>
      </c>
      <c r="M397" s="161">
        <f>IFERROR(VLOOKUP(L397,'Material Master'!B:C,2,0),"")</f>
      </c>
      <c r="N397" s="199">
        <v>600</v>
      </c>
      <c r="O397" s="162">
        <f>IFERROR(M397*N397,"")</f>
      </c>
      <c r="P397" s="198" t="s">
        <v>402</v>
      </c>
      <c r="Q397" s="158" t="s">
        <v>982</v>
      </c>
      <c r="R397" s="163">
        <v>45839</v>
      </c>
      <c r="S397" s="147" t="s">
        <v>306</v>
      </c>
      <c r="T397" s="6"/>
      <c r="U397" s="158">
        <v>0</v>
      </c>
      <c r="V397" s="164">
        <v>31</v>
      </c>
      <c r="W397" s="165">
        <v>12500</v>
      </c>
      <c r="X397" s="7"/>
      <c r="Y397" s="166">
        <f>IFERROR((O397/1000)*Masters!$C$3,"0")</f>
      </c>
      <c r="Z397" s="195"/>
      <c r="AA397" s="164">
        <f>IFERROR(VLOOKUP(L397,Masters!G:H,2,0),"0")</f>
      </c>
      <c r="AB397" s="166">
        <f>IFERROR(AA397*N397,"0")</f>
      </c>
      <c r="AC397" s="196"/>
      <c r="AD397" s="8">
        <v>3900</v>
      </c>
      <c r="AE397" s="166">
        <f>W397+Y397+AB397+AD397</f>
      </c>
      <c r="AF397" s="195"/>
      <c r="AG397" s="169">
        <f>M397&amp;"-"&amp;F397</f>
      </c>
      <c r="AH397" s="166">
        <f>IFERROR(VLOOKUP(AG397,Masters!N:O,2,0),"0")</f>
      </c>
      <c r="AI397" s="166">
        <f>AH397*N397</f>
      </c>
      <c r="AJ397" s="7"/>
      <c r="AK397" s="170">
        <f>AI397-AE397</f>
      </c>
      <c r="AL397" s="195"/>
      <c r="AM397" s="6"/>
      <c r="AN397" s="171">
        <f>IFERROR(U397/2,"0")</f>
      </c>
    </row>
    <row x14ac:dyDescent="0.25" r="398" customHeight="1" ht="18.75">
      <c r="A398" s="158">
        <f>A397+1</f>
      </c>
      <c r="B398" s="159">
        <v>45867</v>
      </c>
      <c r="C398" s="198" t="s">
        <v>983</v>
      </c>
      <c r="D398" s="159">
        <v>45869</v>
      </c>
      <c r="E398" s="198" t="s">
        <v>148</v>
      </c>
      <c r="F398" s="160" t="s">
        <v>32</v>
      </c>
      <c r="G398" s="147" t="s">
        <v>532</v>
      </c>
      <c r="H398" s="198" t="s">
        <v>320</v>
      </c>
      <c r="I398" s="158">
        <v>2515</v>
      </c>
      <c r="J398" s="147" t="s">
        <v>306</v>
      </c>
      <c r="K398" s="199">
        <v>358</v>
      </c>
      <c r="L398" s="198" t="s">
        <v>10</v>
      </c>
      <c r="M398" s="161">
        <f>IFERROR(VLOOKUP(L398,'Material Master'!B:C,2,0),"")</f>
      </c>
      <c r="N398" s="199">
        <v>600</v>
      </c>
      <c r="O398" s="162">
        <f>IFERROR(M398*N398,"")</f>
      </c>
      <c r="P398" s="198" t="s">
        <v>402</v>
      </c>
      <c r="Q398" s="158">
        <v>39057</v>
      </c>
      <c r="R398" s="163">
        <v>45839</v>
      </c>
      <c r="S398" s="147" t="s">
        <v>306</v>
      </c>
      <c r="T398" s="6"/>
      <c r="U398" s="158">
        <v>0</v>
      </c>
      <c r="V398" s="164">
        <v>31</v>
      </c>
      <c r="W398" s="165">
        <v>12500</v>
      </c>
      <c r="X398" s="7"/>
      <c r="Y398" s="166">
        <f>IFERROR((O398/1000)*Masters!$C$3,"0")</f>
      </c>
      <c r="Z398" s="195"/>
      <c r="AA398" s="164">
        <f>IFERROR(VLOOKUP(L398,Masters!G:H,2,0),"0")</f>
      </c>
      <c r="AB398" s="166">
        <f>IFERROR(AA398*N398,"0")</f>
      </c>
      <c r="AC398" s="196"/>
      <c r="AD398" s="8">
        <v>3900</v>
      </c>
      <c r="AE398" s="166">
        <f>W398+Y398+AB398+AD398</f>
      </c>
      <c r="AF398" s="195"/>
      <c r="AG398" s="169">
        <f>M398&amp;"-"&amp;F398</f>
      </c>
      <c r="AH398" s="166">
        <f>IFERROR(VLOOKUP(AG398,Masters!N:O,2,0),"0")</f>
      </c>
      <c r="AI398" s="166">
        <f>AH398*N398</f>
      </c>
      <c r="AJ398" s="7"/>
      <c r="AK398" s="170">
        <f>AI398-AE398</f>
      </c>
      <c r="AL398" s="195"/>
      <c r="AM398" s="6"/>
      <c r="AN398" s="171">
        <f>IFERROR(U398/2,"0")</f>
      </c>
    </row>
    <row x14ac:dyDescent="0.25" r="399" customHeight="1" ht="18.75">
      <c r="A399" s="228">
        <f>A398+1</f>
      </c>
      <c r="B399" s="237">
        <v>45868</v>
      </c>
      <c r="C399" s="203" t="s">
        <v>984</v>
      </c>
      <c r="D399" s="237"/>
      <c r="E399" s="203" t="s">
        <v>247</v>
      </c>
      <c r="F399" s="227"/>
      <c r="G399" s="203" t="s">
        <v>248</v>
      </c>
      <c r="H399" s="203"/>
      <c r="I399" s="228">
        <v>709</v>
      </c>
      <c r="J399" s="203"/>
      <c r="K399" s="228"/>
      <c r="L399" s="203"/>
      <c r="M399" s="229">
        <f>IFERROR(VLOOKUP(L399,'Material Master'!B:C,2,0),"")</f>
      </c>
      <c r="N399" s="228"/>
      <c r="O399" s="230">
        <f>IFERROR(M399*N399,"")</f>
      </c>
      <c r="P399" s="203"/>
      <c r="Q399" s="228"/>
      <c r="R399" s="231">
        <v>45839</v>
      </c>
      <c r="S399" s="203" t="s">
        <v>985</v>
      </c>
      <c r="T399" s="232"/>
      <c r="U399" s="228"/>
      <c r="V399" s="229">
        <v>31</v>
      </c>
      <c r="W399" s="233">
        <f>IFERROR(U399*V399,"0")</f>
      </c>
      <c r="X399" s="234"/>
      <c r="Y399" s="238">
        <f>IFERROR((O399/1000)*Masters!$C$3,"0")</f>
      </c>
      <c r="Z399" s="235"/>
      <c r="AA399" s="229">
        <f>IFERROR(VLOOKUP(L399,Masters!G:H,2,0),"0")</f>
      </c>
      <c r="AB399" s="239">
        <f>IFERROR(AA399*N399,"0")</f>
      </c>
      <c r="AC399" s="236"/>
      <c r="AD399" s="234"/>
      <c r="AE399" s="239">
        <f>W399+Y399+AB399+AD399</f>
      </c>
      <c r="AF399" s="235"/>
      <c r="AG399" s="240">
        <f>M399&amp;"-"&amp;F399</f>
      </c>
      <c r="AH399" s="238">
        <f>IFERROR(VLOOKUP(AG399,Masters!N:O,2,0),"0")</f>
      </c>
      <c r="AI399" s="239">
        <f>AH399*N399</f>
      </c>
      <c r="AJ399" s="234"/>
      <c r="AK399" s="239">
        <f>AI399-AE399</f>
      </c>
      <c r="AL399" s="235"/>
      <c r="AM399" s="232"/>
      <c r="AN399" s="241">
        <f>IFERROR(U399/2,"0")</f>
      </c>
    </row>
    <row x14ac:dyDescent="0.25" r="400" customHeight="1" ht="18.75">
      <c r="A400" s="158">
        <f>A399+1</f>
      </c>
      <c r="B400" s="159">
        <v>45868</v>
      </c>
      <c r="C400" s="198" t="s">
        <v>986</v>
      </c>
      <c r="D400" s="159">
        <v>45868</v>
      </c>
      <c r="E400" s="198" t="s">
        <v>229</v>
      </c>
      <c r="F400" s="160" t="s">
        <v>231</v>
      </c>
      <c r="G400" s="147" t="s">
        <v>493</v>
      </c>
      <c r="H400" s="198" t="s">
        <v>304</v>
      </c>
      <c r="I400" s="158">
        <v>1109</v>
      </c>
      <c r="J400" s="147" t="s">
        <v>301</v>
      </c>
      <c r="K400" s="199">
        <v>353</v>
      </c>
      <c r="L400" s="198" t="s">
        <v>10</v>
      </c>
      <c r="M400" s="161">
        <f>IFERROR(VLOOKUP(L400,'Material Master'!B:C,2,0),"")</f>
      </c>
      <c r="N400" s="199">
        <v>200</v>
      </c>
      <c r="O400" s="162">
        <f>IFERROR(M400*N400,"")</f>
      </c>
      <c r="P400" s="198" t="s">
        <v>402</v>
      </c>
      <c r="Q400" s="158" t="s">
        <v>987</v>
      </c>
      <c r="R400" s="163">
        <v>45839</v>
      </c>
      <c r="S400" s="147"/>
      <c r="T400" s="6"/>
      <c r="U400" s="158">
        <v>0</v>
      </c>
      <c r="V400" s="164">
        <v>31</v>
      </c>
      <c r="W400" s="165">
        <f>IFERROR(U400*V400,"0")</f>
      </c>
      <c r="X400" s="7"/>
      <c r="Y400" s="166">
        <f>IFERROR((O400/1000)*Masters!$C$3,"0")</f>
      </c>
      <c r="Z400" s="195"/>
      <c r="AA400" s="164">
        <f>IFERROR(VLOOKUP(L400,Masters!G:H,2,0),"0")</f>
      </c>
      <c r="AB400" s="166">
        <f>IFERROR(AA400*N400,"0")</f>
      </c>
      <c r="AC400" s="196"/>
      <c r="AD400" s="7"/>
      <c r="AE400" s="166">
        <f>W400+Y400+AB400+AD400</f>
      </c>
      <c r="AF400" s="195"/>
      <c r="AG400" s="169">
        <f>M400&amp;"-"&amp;F400</f>
      </c>
      <c r="AH400" s="166">
        <f>IFERROR(VLOOKUP(AG400,Masters!N:O,2,0),"0")</f>
      </c>
      <c r="AI400" s="166">
        <f>AH400*N400</f>
      </c>
      <c r="AJ400" s="7"/>
      <c r="AK400" s="170">
        <f>AI400-AE400</f>
      </c>
      <c r="AL400" s="195"/>
      <c r="AM400" s="6"/>
      <c r="AN400" s="171">
        <f>IFERROR(U400/2,"0")</f>
      </c>
    </row>
    <row x14ac:dyDescent="0.25" r="401" customHeight="1" ht="18.75">
      <c r="A401" s="158">
        <f>A400+1</f>
      </c>
      <c r="B401" s="159">
        <v>45868</v>
      </c>
      <c r="C401" s="198" t="s">
        <v>986</v>
      </c>
      <c r="D401" s="159">
        <v>45868</v>
      </c>
      <c r="E401" s="198" t="s">
        <v>69</v>
      </c>
      <c r="F401" s="160" t="s">
        <v>231</v>
      </c>
      <c r="G401" s="147" t="s">
        <v>230</v>
      </c>
      <c r="H401" s="198" t="s">
        <v>304</v>
      </c>
      <c r="I401" s="158">
        <v>1109</v>
      </c>
      <c r="J401" s="147" t="s">
        <v>301</v>
      </c>
      <c r="K401" s="199">
        <v>354</v>
      </c>
      <c r="L401" s="198" t="s">
        <v>15</v>
      </c>
      <c r="M401" s="161">
        <f>IFERROR(VLOOKUP(L401,'Material Master'!B:C,2,0),"")</f>
      </c>
      <c r="N401" s="199">
        <v>10</v>
      </c>
      <c r="O401" s="162">
        <f>IFERROR(M401*N401,"")</f>
      </c>
      <c r="P401" s="198" t="s">
        <v>402</v>
      </c>
      <c r="Q401" s="158" t="s">
        <v>987</v>
      </c>
      <c r="R401" s="163">
        <v>45839</v>
      </c>
      <c r="S401" s="147"/>
      <c r="T401" s="6"/>
      <c r="U401" s="158">
        <v>79</v>
      </c>
      <c r="V401" s="164">
        <v>31</v>
      </c>
      <c r="W401" s="165">
        <f>IFERROR(U401*V401,"0")</f>
      </c>
      <c r="X401" s="7"/>
      <c r="Y401" s="166">
        <f>IFERROR((O401/1000)*Masters!$C$3,"0")</f>
      </c>
      <c r="Z401" s="195"/>
      <c r="AA401" s="164">
        <f>IFERROR(VLOOKUP(L401,Masters!G:H,2,0),"0")</f>
      </c>
      <c r="AB401" s="166">
        <f>IFERROR(AA401*N401,"0")</f>
      </c>
      <c r="AC401" s="196"/>
      <c r="AD401" s="7"/>
      <c r="AE401" s="166">
        <f>W401+Y401+AB401+AD401</f>
      </c>
      <c r="AF401" s="195"/>
      <c r="AG401" s="169">
        <f>M401&amp;"-"&amp;F401</f>
      </c>
      <c r="AH401" s="166">
        <f>IFERROR(VLOOKUP(AG401,Masters!N:O,2,0),"0")</f>
      </c>
      <c r="AI401" s="166">
        <f>AH401*N401</f>
      </c>
      <c r="AJ401" s="7"/>
      <c r="AK401" s="170">
        <f>AI401-AE401</f>
      </c>
      <c r="AL401" s="195"/>
      <c r="AM401" s="6"/>
      <c r="AN401" s="171">
        <f>IFERROR(U401/2,"0")</f>
      </c>
    </row>
    <row x14ac:dyDescent="0.25" r="402" customHeight="1" ht="18.75">
      <c r="A402" s="158">
        <f>A401+1</f>
      </c>
      <c r="B402" s="159">
        <v>45868</v>
      </c>
      <c r="C402" s="198" t="s">
        <v>988</v>
      </c>
      <c r="D402" s="159">
        <v>45868</v>
      </c>
      <c r="E402" s="198" t="s">
        <v>116</v>
      </c>
      <c r="F402" s="160" t="s">
        <v>32</v>
      </c>
      <c r="G402" s="147" t="s">
        <v>117</v>
      </c>
      <c r="H402" s="198" t="s">
        <v>303</v>
      </c>
      <c r="I402" s="158">
        <v>1109</v>
      </c>
      <c r="J402" s="147" t="s">
        <v>301</v>
      </c>
      <c r="K402" s="199">
        <v>355</v>
      </c>
      <c r="L402" s="198" t="s">
        <v>10</v>
      </c>
      <c r="M402" s="161">
        <f>IFERROR(VLOOKUP(L402,'Material Master'!B:C,2,0),"")</f>
      </c>
      <c r="N402" s="199">
        <v>300</v>
      </c>
      <c r="O402" s="162">
        <f>IFERROR(M402*N402,"")</f>
      </c>
      <c r="P402" s="198" t="s">
        <v>402</v>
      </c>
      <c r="Q402" s="158" t="s">
        <v>989</v>
      </c>
      <c r="R402" s="163">
        <v>45839</v>
      </c>
      <c r="S402" s="147"/>
      <c r="T402" s="6"/>
      <c r="U402" s="158">
        <v>364</v>
      </c>
      <c r="V402" s="164">
        <v>31</v>
      </c>
      <c r="W402" s="165">
        <f>IFERROR(U402*V402,"0")</f>
      </c>
      <c r="X402" s="7"/>
      <c r="Y402" s="166">
        <f>IFERROR((O402/1000)*Masters!$C$3,"0")</f>
      </c>
      <c r="Z402" s="195"/>
      <c r="AA402" s="164">
        <f>IFERROR(VLOOKUP(L402,Masters!G:H,2,0),"0")</f>
      </c>
      <c r="AB402" s="166">
        <f>IFERROR(AA402*N402,"0")</f>
      </c>
      <c r="AC402" s="196"/>
      <c r="AD402" s="7"/>
      <c r="AE402" s="166">
        <f>W402+Y402+AB402+AD402</f>
      </c>
      <c r="AF402" s="195"/>
      <c r="AG402" s="169">
        <f>M402&amp;"-"&amp;F402</f>
      </c>
      <c r="AH402" s="166">
        <f>IFERROR(VLOOKUP(AG402,Masters!N:O,2,0),"0")</f>
      </c>
      <c r="AI402" s="166">
        <f>AH402*N402</f>
      </c>
      <c r="AJ402" s="7"/>
      <c r="AK402" s="170">
        <f>AI402-AE402</f>
      </c>
      <c r="AL402" s="195"/>
      <c r="AM402" s="6"/>
      <c r="AN402" s="171">
        <f>IFERROR(U402/2,"0")</f>
      </c>
    </row>
    <row x14ac:dyDescent="0.25" r="403" customHeight="1" ht="18.75">
      <c r="A403" s="158">
        <f>A402+1</f>
      </c>
      <c r="B403" s="159">
        <v>45868</v>
      </c>
      <c r="C403" s="198" t="s">
        <v>990</v>
      </c>
      <c r="D403" s="159">
        <v>45869</v>
      </c>
      <c r="E403" s="198" t="s">
        <v>79</v>
      </c>
      <c r="F403" s="160" t="s">
        <v>231</v>
      </c>
      <c r="G403" s="147" t="s">
        <v>658</v>
      </c>
      <c r="H403" s="198" t="s">
        <v>305</v>
      </c>
      <c r="I403" s="158">
        <v>1109</v>
      </c>
      <c r="J403" s="147" t="s">
        <v>301</v>
      </c>
      <c r="K403" s="199">
        <v>357</v>
      </c>
      <c r="L403" s="198" t="s">
        <v>15</v>
      </c>
      <c r="M403" s="161">
        <f>IFERROR(VLOOKUP(L403,'Material Master'!B:C,2,0),"")</f>
      </c>
      <c r="N403" s="199">
        <v>30</v>
      </c>
      <c r="O403" s="162">
        <f>IFERROR(M403*N403,"")</f>
      </c>
      <c r="P403" s="198" t="s">
        <v>402</v>
      </c>
      <c r="Q403" s="158" t="s">
        <v>991</v>
      </c>
      <c r="R403" s="163">
        <v>45839</v>
      </c>
      <c r="S403" s="147"/>
      <c r="T403" s="6"/>
      <c r="U403" s="158">
        <v>151</v>
      </c>
      <c r="V403" s="164">
        <v>31</v>
      </c>
      <c r="W403" s="165">
        <f>IFERROR(U403*V403,"0")</f>
      </c>
      <c r="X403" s="7"/>
      <c r="Y403" s="166">
        <f>IFERROR((O403/1000)*Masters!$C$3,"0")</f>
      </c>
      <c r="Z403" s="195"/>
      <c r="AA403" s="164">
        <f>IFERROR(VLOOKUP(L403,Masters!G:H,2,0),"0")</f>
      </c>
      <c r="AB403" s="166">
        <f>IFERROR(AA403*N403,"0")</f>
      </c>
      <c r="AC403" s="196"/>
      <c r="AD403" s="7"/>
      <c r="AE403" s="166">
        <f>W403+Y403+AB403+AD403</f>
      </c>
      <c r="AF403" s="195"/>
      <c r="AG403" s="169">
        <f>M403&amp;"-"&amp;F403</f>
      </c>
      <c r="AH403" s="166">
        <f>IFERROR(VLOOKUP(AG403,Masters!N:O,2,0),"0")</f>
      </c>
      <c r="AI403" s="166">
        <f>AH403*N403</f>
      </c>
      <c r="AJ403" s="7"/>
      <c r="AK403" s="170">
        <f>AI403-AE403</f>
      </c>
      <c r="AL403" s="195"/>
      <c r="AM403" s="6"/>
      <c r="AN403" s="171">
        <f>IFERROR(U403/2,"0")</f>
      </c>
    </row>
    <row x14ac:dyDescent="0.25" r="404" customHeight="1" ht="18.75">
      <c r="A404" s="158">
        <f>A403+1</f>
      </c>
      <c r="B404" s="159">
        <v>45868</v>
      </c>
      <c r="C404" s="198" t="s">
        <v>992</v>
      </c>
      <c r="D404" s="159">
        <v>45869</v>
      </c>
      <c r="E404" s="198" t="s">
        <v>95</v>
      </c>
      <c r="F404" s="160" t="s">
        <v>231</v>
      </c>
      <c r="G404" s="147" t="s">
        <v>80</v>
      </c>
      <c r="H404" s="198" t="s">
        <v>302</v>
      </c>
      <c r="I404" s="158">
        <v>1109</v>
      </c>
      <c r="J404" s="147" t="s">
        <v>301</v>
      </c>
      <c r="K404" s="199">
        <v>356</v>
      </c>
      <c r="L404" s="198" t="s">
        <v>15</v>
      </c>
      <c r="M404" s="161">
        <f>IFERROR(VLOOKUP(L404,'Material Master'!B:C,2,0),"")</f>
      </c>
      <c r="N404" s="199">
        <v>30</v>
      </c>
      <c r="O404" s="162">
        <f>IFERROR(M404*N404,"")</f>
      </c>
      <c r="P404" s="198" t="s">
        <v>402</v>
      </c>
      <c r="Q404" s="158" t="s">
        <v>993</v>
      </c>
      <c r="R404" s="163">
        <v>45839</v>
      </c>
      <c r="S404" s="147"/>
      <c r="T404" s="6"/>
      <c r="U404" s="158">
        <v>149</v>
      </c>
      <c r="V404" s="164">
        <v>31</v>
      </c>
      <c r="W404" s="165">
        <f>IFERROR(U404*V404,"0")</f>
      </c>
      <c r="X404" s="7"/>
      <c r="Y404" s="166">
        <f>IFERROR((O404/1000)*Masters!$C$3,"0")</f>
      </c>
      <c r="Z404" s="195"/>
      <c r="AA404" s="164">
        <f>IFERROR(VLOOKUP(L404,Masters!G:H,2,0),"0")</f>
      </c>
      <c r="AB404" s="166">
        <f>IFERROR(AA404*N404,"0")</f>
      </c>
      <c r="AC404" s="196"/>
      <c r="AD404" s="7"/>
      <c r="AE404" s="166">
        <f>W404+Y404+AB404+AD404</f>
      </c>
      <c r="AF404" s="195"/>
      <c r="AG404" s="169">
        <f>M404&amp;"-"&amp;F404</f>
      </c>
      <c r="AH404" s="166">
        <f>IFERROR(VLOOKUP(AG404,Masters!N:O,2,0),"0")</f>
      </c>
      <c r="AI404" s="166">
        <f>AH404*N404</f>
      </c>
      <c r="AJ404" s="7"/>
      <c r="AK404" s="170">
        <f>AI404-AE404</f>
      </c>
      <c r="AL404" s="195"/>
      <c r="AM404" s="6"/>
      <c r="AN404" s="171">
        <f>IFERROR(U404/2,"0")</f>
      </c>
    </row>
    <row x14ac:dyDescent="0.25" r="405" customHeight="1" ht="18.75">
      <c r="A405" s="228">
        <f>A404+1</f>
      </c>
      <c r="B405" s="237">
        <v>45868</v>
      </c>
      <c r="C405" s="203" t="s">
        <v>994</v>
      </c>
      <c r="D405" s="237"/>
      <c r="E405" s="203" t="s">
        <v>79</v>
      </c>
      <c r="F405" s="227"/>
      <c r="G405" s="203" t="s">
        <v>158</v>
      </c>
      <c r="H405" s="203"/>
      <c r="I405" s="228">
        <v>1109</v>
      </c>
      <c r="J405" s="203"/>
      <c r="K405" s="228"/>
      <c r="L405" s="203"/>
      <c r="M405" s="229">
        <f>IFERROR(VLOOKUP(L405,'Material Master'!B:C,2,0),"")</f>
      </c>
      <c r="N405" s="228"/>
      <c r="O405" s="230">
        <f>IFERROR(M405*N405,"")</f>
      </c>
      <c r="P405" s="203"/>
      <c r="Q405" s="228"/>
      <c r="R405" s="231">
        <v>45839</v>
      </c>
      <c r="S405" s="203" t="s">
        <v>942</v>
      </c>
      <c r="T405" s="232"/>
      <c r="U405" s="228"/>
      <c r="V405" s="229">
        <v>31</v>
      </c>
      <c r="W405" s="233">
        <f>IFERROR(U405*V405,"0")</f>
      </c>
      <c r="X405" s="234"/>
      <c r="Y405" s="238">
        <f>IFERROR((O405/1000)*Masters!$C$3,"0")</f>
      </c>
      <c r="Z405" s="235"/>
      <c r="AA405" s="229">
        <f>IFERROR(VLOOKUP(L405,Masters!G:H,2,0),"0")</f>
      </c>
      <c r="AB405" s="239">
        <f>IFERROR(AA405*N405,"0")</f>
      </c>
      <c r="AC405" s="236"/>
      <c r="AD405" s="234"/>
      <c r="AE405" s="239">
        <f>W405+Y405+AB405+AD405</f>
      </c>
      <c r="AF405" s="235"/>
      <c r="AG405" s="240">
        <f>M405&amp;"-"&amp;F405</f>
      </c>
      <c r="AH405" s="238">
        <f>IFERROR(VLOOKUP(AG405,Masters!N:O,2,0),"0")</f>
      </c>
      <c r="AI405" s="239">
        <f>AH405*N405</f>
      </c>
      <c r="AJ405" s="234"/>
      <c r="AK405" s="239">
        <f>AI405-AE405</f>
      </c>
      <c r="AL405" s="235"/>
      <c r="AM405" s="232"/>
      <c r="AN405" s="241">
        <f>IFERROR(U405/2,"0")</f>
      </c>
    </row>
    <row x14ac:dyDescent="0.25" r="406" customHeight="1" ht="18.75">
      <c r="A406" s="158">
        <f>A405+1</f>
      </c>
      <c r="B406" s="159">
        <v>45868</v>
      </c>
      <c r="C406" s="198" t="s">
        <v>995</v>
      </c>
      <c r="D406" s="159">
        <v>45870</v>
      </c>
      <c r="E406" s="198" t="s">
        <v>148</v>
      </c>
      <c r="F406" s="160" t="s">
        <v>32</v>
      </c>
      <c r="G406" s="147" t="s">
        <v>532</v>
      </c>
      <c r="H406" s="198" t="s">
        <v>319</v>
      </c>
      <c r="I406" s="158">
        <v>2515</v>
      </c>
      <c r="J406" s="147" t="s">
        <v>306</v>
      </c>
      <c r="K406" s="199">
        <v>361</v>
      </c>
      <c r="L406" s="198" t="s">
        <v>10</v>
      </c>
      <c r="M406" s="161">
        <f>IFERROR(VLOOKUP(L406,'Material Master'!B:C,2,0),"")</f>
      </c>
      <c r="N406" s="199">
        <v>600</v>
      </c>
      <c r="O406" s="162">
        <f>IFERROR(M406*N406,"")</f>
      </c>
      <c r="P406" s="198" t="s">
        <v>402</v>
      </c>
      <c r="Q406" s="158" t="s">
        <v>996</v>
      </c>
      <c r="R406" s="163">
        <v>45839</v>
      </c>
      <c r="S406" s="147" t="s">
        <v>306</v>
      </c>
      <c r="T406" s="6"/>
      <c r="U406" s="158">
        <v>0</v>
      </c>
      <c r="V406" s="164">
        <v>31</v>
      </c>
      <c r="W406" s="165">
        <v>12500</v>
      </c>
      <c r="X406" s="7"/>
      <c r="Y406" s="166">
        <f>IFERROR((O406/1000)*Masters!$C$3,"0")</f>
      </c>
      <c r="Z406" s="195"/>
      <c r="AA406" s="164">
        <f>IFERROR(VLOOKUP(L406,Masters!G:H,2,0),"0")</f>
      </c>
      <c r="AB406" s="166">
        <f>IFERROR(AA406*N406,"0")</f>
      </c>
      <c r="AC406" s="196"/>
      <c r="AD406" s="8">
        <v>3900</v>
      </c>
      <c r="AE406" s="166">
        <f>W406+Y406+AB406+AD406</f>
      </c>
      <c r="AF406" s="195"/>
      <c r="AG406" s="169">
        <f>M406&amp;"-"&amp;F406</f>
      </c>
      <c r="AH406" s="166">
        <f>IFERROR(VLOOKUP(AG406,Masters!N:O,2,0),"0")</f>
      </c>
      <c r="AI406" s="166">
        <f>AH406*N406</f>
      </c>
      <c r="AJ406" s="7"/>
      <c r="AK406" s="170">
        <f>AI406-AE406</f>
      </c>
      <c r="AL406" s="195"/>
      <c r="AM406" s="6"/>
      <c r="AN406" s="171">
        <f>IFERROR(U406/2,"0")</f>
      </c>
    </row>
    <row x14ac:dyDescent="0.25" r="407" customHeight="1" ht="18.75">
      <c r="A407" s="158">
        <f>A406+1</f>
      </c>
      <c r="B407" s="159">
        <v>45868</v>
      </c>
      <c r="C407" s="198" t="s">
        <v>997</v>
      </c>
      <c r="D407" s="159">
        <v>45870</v>
      </c>
      <c r="E407" s="198" t="s">
        <v>160</v>
      </c>
      <c r="F407" s="160" t="s">
        <v>32</v>
      </c>
      <c r="G407" s="147" t="s">
        <v>161</v>
      </c>
      <c r="H407" s="198" t="s">
        <v>321</v>
      </c>
      <c r="I407" s="158">
        <v>1109</v>
      </c>
      <c r="J407" s="147" t="s">
        <v>306</v>
      </c>
      <c r="K407" s="199">
        <v>360</v>
      </c>
      <c r="L407" s="198" t="s">
        <v>10</v>
      </c>
      <c r="M407" s="161">
        <f>IFERROR(VLOOKUP(L407,'Material Master'!B:C,2,0),"")</f>
      </c>
      <c r="N407" s="199">
        <v>300</v>
      </c>
      <c r="O407" s="162">
        <f>IFERROR(M407*N407,"")</f>
      </c>
      <c r="P407" s="198" t="s">
        <v>402</v>
      </c>
      <c r="Q407" s="158" t="s">
        <v>998</v>
      </c>
      <c r="R407" s="163">
        <v>45839</v>
      </c>
      <c r="S407" s="147" t="s">
        <v>306</v>
      </c>
      <c r="T407" s="6"/>
      <c r="U407" s="158">
        <v>0</v>
      </c>
      <c r="V407" s="164">
        <v>31</v>
      </c>
      <c r="W407" s="165">
        <v>8500</v>
      </c>
      <c r="X407" s="7"/>
      <c r="Y407" s="166">
        <f>IFERROR((O407/1000)*Masters!$C$3,"0")</f>
      </c>
      <c r="Z407" s="195"/>
      <c r="AA407" s="164">
        <f>IFERROR(VLOOKUP(L407,Masters!G:H,2,0),"0")</f>
      </c>
      <c r="AB407" s="166">
        <f>IFERROR(AA407*N407,"0")</f>
      </c>
      <c r="AC407" s="196"/>
      <c r="AD407" s="7"/>
      <c r="AE407" s="166">
        <f>W407+Y407+AB407+AD407</f>
      </c>
      <c r="AF407" s="195"/>
      <c r="AG407" s="169">
        <f>M407&amp;"-"&amp;F407</f>
      </c>
      <c r="AH407" s="166">
        <f>IFERROR(VLOOKUP(AG407,Masters!N:O,2,0),"0")</f>
      </c>
      <c r="AI407" s="166">
        <f>AH407*N407</f>
      </c>
      <c r="AJ407" s="7"/>
      <c r="AK407" s="170">
        <f>AI407-AE407</f>
      </c>
      <c r="AL407" s="195"/>
      <c r="AM407" s="6"/>
      <c r="AN407" s="171">
        <f>IFERROR(U407/2,"0")</f>
      </c>
    </row>
    <row x14ac:dyDescent="0.25" r="408" customHeight="1" ht="18.75">
      <c r="A408" s="158">
        <v>407</v>
      </c>
      <c r="B408" s="159">
        <v>45869</v>
      </c>
      <c r="C408" s="198" t="s">
        <v>999</v>
      </c>
      <c r="D408" s="159">
        <v>45871</v>
      </c>
      <c r="E408" s="198" t="s">
        <v>148</v>
      </c>
      <c r="F408" s="160" t="s">
        <v>32</v>
      </c>
      <c r="G408" s="147" t="s">
        <v>532</v>
      </c>
      <c r="H408" s="198" t="s">
        <v>323</v>
      </c>
      <c r="I408" s="158">
        <v>1109</v>
      </c>
      <c r="J408" s="147" t="s">
        <v>306</v>
      </c>
      <c r="K408" s="199">
        <v>362</v>
      </c>
      <c r="L408" s="198" t="s">
        <v>10</v>
      </c>
      <c r="M408" s="161">
        <f>IFERROR(VLOOKUP(L408,'Material Master'!B:C,2,0),"")</f>
      </c>
      <c r="N408" s="199">
        <v>300</v>
      </c>
      <c r="O408" s="162">
        <f>IFERROR(M408*N408,"")</f>
      </c>
      <c r="P408" s="198" t="s">
        <v>402</v>
      </c>
      <c r="Q408" s="158" t="s">
        <v>1000</v>
      </c>
      <c r="R408" s="163">
        <v>45839</v>
      </c>
      <c r="S408" s="147" t="s">
        <v>306</v>
      </c>
      <c r="T408" s="6"/>
      <c r="U408" s="158">
        <v>0</v>
      </c>
      <c r="V408" s="164">
        <v>31</v>
      </c>
      <c r="W408" s="165">
        <v>9000</v>
      </c>
      <c r="X408" s="7"/>
      <c r="Y408" s="166">
        <f>IFERROR((O408/1000)*Masters!$C$3,"0")</f>
      </c>
      <c r="Z408" s="195"/>
      <c r="AA408" s="164">
        <f>IFERROR(VLOOKUP(L408,Masters!G:H,2,0),"0")</f>
      </c>
      <c r="AB408" s="166">
        <f>IFERROR(AA408*N408,"0")</f>
      </c>
      <c r="AC408" s="196"/>
      <c r="AD408" s="7"/>
      <c r="AE408" s="166">
        <f>W408+Y408+AB408+AD408</f>
      </c>
      <c r="AF408" s="195"/>
      <c r="AG408" s="169">
        <f>M408&amp;"-"&amp;F408</f>
      </c>
      <c r="AH408" s="166">
        <f>IFERROR(VLOOKUP(AG408,Masters!N:O,2,0),"0")</f>
      </c>
      <c r="AI408" s="166">
        <f>AH408*N408</f>
      </c>
      <c r="AJ408" s="7"/>
      <c r="AK408" s="170">
        <f>AI408-AE408</f>
      </c>
      <c r="AL408" s="195"/>
      <c r="AM408" s="6"/>
      <c r="AN408" s="171">
        <f>IFERROR(U408/2,"0")</f>
      </c>
    </row>
    <row x14ac:dyDescent="0.25" r="409" customHeight="1" ht="18.75">
      <c r="A409" s="158">
        <f>A408+1</f>
      </c>
      <c r="B409" s="159">
        <v>45870</v>
      </c>
      <c r="C409" s="198" t="s">
        <v>1001</v>
      </c>
      <c r="D409" s="159">
        <v>45873</v>
      </c>
      <c r="E409" s="198" t="s">
        <v>104</v>
      </c>
      <c r="F409" s="160" t="s">
        <v>32</v>
      </c>
      <c r="G409" s="147" t="s">
        <v>361</v>
      </c>
      <c r="H409" s="198" t="s">
        <v>302</v>
      </c>
      <c r="I409" s="158">
        <v>709</v>
      </c>
      <c r="J409" s="147" t="s">
        <v>301</v>
      </c>
      <c r="K409" s="199">
        <v>363</v>
      </c>
      <c r="L409" s="198" t="s">
        <v>10</v>
      </c>
      <c r="M409" s="161">
        <f>IFERROR(VLOOKUP(L409,'Material Master'!B:C,2,0),"")</f>
      </c>
      <c r="N409" s="199">
        <v>100</v>
      </c>
      <c r="O409" s="162">
        <f>IFERROR(M409*N409,"")</f>
      </c>
      <c r="P409" s="198" t="s">
        <v>402</v>
      </c>
      <c r="Q409" s="158" t="s">
        <v>1002</v>
      </c>
      <c r="R409" s="163">
        <v>45839</v>
      </c>
      <c r="S409" s="147"/>
      <c r="T409" s="6"/>
      <c r="U409" s="158">
        <v>256</v>
      </c>
      <c r="V409" s="164">
        <v>31</v>
      </c>
      <c r="W409" s="165">
        <f>IFERROR(U409*V409,"0")</f>
      </c>
      <c r="X409" s="7"/>
      <c r="Y409" s="166">
        <f>IFERROR((O409/1000)*Masters!$C$3,"0")</f>
      </c>
      <c r="Z409" s="195"/>
      <c r="AA409" s="164">
        <f>IFERROR(VLOOKUP(L409,Masters!G:H,2,0),"0")</f>
      </c>
      <c r="AB409" s="166">
        <f>IFERROR(AA409*N409,"0")</f>
      </c>
      <c r="AC409" s="196"/>
      <c r="AD409" s="7"/>
      <c r="AE409" s="166">
        <f>W409+Y409+AB409+AD409</f>
      </c>
      <c r="AF409" s="195"/>
      <c r="AG409" s="169">
        <f>M409&amp;"-"&amp;F409</f>
      </c>
      <c r="AH409" s="166">
        <f>IFERROR(VLOOKUP(AG409,Masters!N:O,2,0),"0")</f>
      </c>
      <c r="AI409" s="166">
        <f>AH409*N409</f>
      </c>
      <c r="AJ409" s="7"/>
      <c r="AK409" s="170">
        <f>AI409-AE409</f>
      </c>
      <c r="AL409" s="195"/>
      <c r="AM409" s="6"/>
      <c r="AN409" s="171">
        <f>IFERROR(U409/2,"0")</f>
      </c>
    </row>
    <row x14ac:dyDescent="0.25" r="410" customHeight="1" ht="18.75">
      <c r="A410" s="158">
        <f>A409+1</f>
      </c>
      <c r="B410" s="159">
        <v>45870</v>
      </c>
      <c r="C410" s="198" t="s">
        <v>1003</v>
      </c>
      <c r="D410" s="159">
        <v>45870</v>
      </c>
      <c r="E410" s="198" t="s">
        <v>262</v>
      </c>
      <c r="F410" s="160" t="s">
        <v>236</v>
      </c>
      <c r="G410" s="147" t="s">
        <v>1004</v>
      </c>
      <c r="H410" s="198" t="s">
        <v>322</v>
      </c>
      <c r="I410" s="158">
        <v>1109</v>
      </c>
      <c r="J410" s="147" t="s">
        <v>306</v>
      </c>
      <c r="K410" s="199">
        <v>359</v>
      </c>
      <c r="L410" s="198" t="s">
        <v>15</v>
      </c>
      <c r="M410" s="161">
        <f>IFERROR(VLOOKUP(L410,'Material Master'!B:C,2,0),"")</f>
      </c>
      <c r="N410" s="199">
        <v>24</v>
      </c>
      <c r="O410" s="162">
        <f>IFERROR(M410*N410,"")</f>
      </c>
      <c r="P410" s="198" t="s">
        <v>402</v>
      </c>
      <c r="Q410" s="158" t="s">
        <v>1005</v>
      </c>
      <c r="R410" s="163">
        <v>45839</v>
      </c>
      <c r="S410" s="147" t="s">
        <v>306</v>
      </c>
      <c r="T410" s="6"/>
      <c r="U410" s="158">
        <v>0</v>
      </c>
      <c r="V410" s="164">
        <v>31</v>
      </c>
      <c r="W410" s="165">
        <v>14000</v>
      </c>
      <c r="X410" s="7"/>
      <c r="Y410" s="166">
        <f>IFERROR((O410/1000)*Masters!$C$3,"0")</f>
      </c>
      <c r="Z410" s="195"/>
      <c r="AA410" s="164">
        <f>IFERROR(VLOOKUP(L410,Masters!G:H,2,0),"0")</f>
      </c>
      <c r="AB410" s="166">
        <f>IFERROR(AA410*N410,"0")</f>
      </c>
      <c r="AC410" s="196"/>
      <c r="AD410" s="7"/>
      <c r="AE410" s="166">
        <f>W410+Y410+AB410+AD410</f>
      </c>
      <c r="AF410" s="195"/>
      <c r="AG410" s="169">
        <f>M410&amp;"-"&amp;F410</f>
      </c>
      <c r="AH410" s="166">
        <f>IFERROR(VLOOKUP(AG410,Masters!N:O,2,0),"0")</f>
      </c>
      <c r="AI410" s="166">
        <f>AH410*N410</f>
      </c>
      <c r="AJ410" s="7"/>
      <c r="AK410" s="170">
        <f>AI410-AE410</f>
      </c>
      <c r="AL410" s="195"/>
      <c r="AM410" s="6"/>
      <c r="AN410" s="171">
        <f>IFERROR(U410/2,"0")</f>
      </c>
    </row>
    <row x14ac:dyDescent="0.25" r="411" customHeight="1" ht="18.75">
      <c r="A411" s="158">
        <f>A410+1</f>
      </c>
      <c r="B411" s="159">
        <v>45870</v>
      </c>
      <c r="C411" s="198" t="s">
        <v>1006</v>
      </c>
      <c r="D411" s="159">
        <v>45880</v>
      </c>
      <c r="E411" s="198" t="s">
        <v>1007</v>
      </c>
      <c r="F411" s="160" t="s">
        <v>231</v>
      </c>
      <c r="G411" s="147" t="s">
        <v>261</v>
      </c>
      <c r="H411" s="198" t="s">
        <v>304</v>
      </c>
      <c r="I411" s="158">
        <v>1109</v>
      </c>
      <c r="J411" s="147" t="s">
        <v>301</v>
      </c>
      <c r="K411" s="199">
        <v>373</v>
      </c>
      <c r="L411" s="198" t="s">
        <v>10</v>
      </c>
      <c r="M411" s="161">
        <f>IFERROR(VLOOKUP(L411,'Material Master'!B:C,2,0),"")</f>
      </c>
      <c r="N411" s="199">
        <v>300</v>
      </c>
      <c r="O411" s="162">
        <f>IFERROR(M411*N411,"")</f>
      </c>
      <c r="P411" s="198" t="s">
        <v>402</v>
      </c>
      <c r="Q411" s="158" t="s">
        <v>1008</v>
      </c>
      <c r="R411" s="163">
        <v>45839</v>
      </c>
      <c r="S411" s="147"/>
      <c r="T411" s="6"/>
      <c r="U411" s="158">
        <v>76</v>
      </c>
      <c r="V411" s="164">
        <v>31</v>
      </c>
      <c r="W411" s="165">
        <f>IFERROR(U411*V411,"0")</f>
      </c>
      <c r="X411" s="7"/>
      <c r="Y411" s="166">
        <f>IFERROR((O411/1000)*Masters!$C$3,"0")</f>
      </c>
      <c r="Z411" s="195"/>
      <c r="AA411" s="164">
        <f>IFERROR(VLOOKUP(L411,Masters!G:H,2,0),"0")</f>
      </c>
      <c r="AB411" s="166">
        <f>IFERROR(AA411*N411,"0")</f>
      </c>
      <c r="AC411" s="196"/>
      <c r="AD411" s="7"/>
      <c r="AE411" s="166">
        <f>W411+Y411+AB411+AD411</f>
      </c>
      <c r="AF411" s="195"/>
      <c r="AG411" s="169">
        <f>M411&amp;"-"&amp;F411</f>
      </c>
      <c r="AH411" s="166">
        <f>IFERROR(VLOOKUP(AG411,Masters!N:O,2,0),"0")</f>
      </c>
      <c r="AI411" s="166">
        <f>AH411*N411</f>
      </c>
      <c r="AJ411" s="7"/>
      <c r="AK411" s="170">
        <f>AI411-AE411</f>
      </c>
      <c r="AL411" s="195"/>
      <c r="AM411" s="6"/>
      <c r="AN411" s="171">
        <f>IFERROR(U411/2,"0")</f>
      </c>
    </row>
    <row x14ac:dyDescent="0.25" r="412" customHeight="1" ht="18.75">
      <c r="A412" s="158">
        <f>A411+1</f>
      </c>
      <c r="B412" s="159">
        <v>45873</v>
      </c>
      <c r="C412" s="198" t="s">
        <v>1009</v>
      </c>
      <c r="D412" s="159">
        <v>45873</v>
      </c>
      <c r="E412" s="198" t="s">
        <v>264</v>
      </c>
      <c r="F412" s="160" t="s">
        <v>231</v>
      </c>
      <c r="G412" s="147" t="s">
        <v>80</v>
      </c>
      <c r="H412" s="198" t="s">
        <v>304</v>
      </c>
      <c r="I412" s="158">
        <v>1109</v>
      </c>
      <c r="J412" s="147" t="s">
        <v>301</v>
      </c>
      <c r="K412" s="199">
        <v>364</v>
      </c>
      <c r="L412" s="198" t="s">
        <v>10</v>
      </c>
      <c r="M412" s="161">
        <f>IFERROR(VLOOKUP(L412,'Material Master'!B:C,2,0),"")</f>
      </c>
      <c r="N412" s="199">
        <v>100</v>
      </c>
      <c r="O412" s="162">
        <f>IFERROR(M412*N412,"")</f>
      </c>
      <c r="P412" s="198" t="s">
        <v>402</v>
      </c>
      <c r="Q412" s="158" t="s">
        <v>1010</v>
      </c>
      <c r="R412" s="163">
        <v>45870</v>
      </c>
      <c r="S412" s="147"/>
      <c r="T412" s="6"/>
      <c r="U412" s="158">
        <v>0</v>
      </c>
      <c r="V412" s="164">
        <v>31</v>
      </c>
      <c r="W412" s="165">
        <f>IFERROR(U412*V412,"0")</f>
      </c>
      <c r="X412" s="7"/>
      <c r="Y412" s="166">
        <f>IFERROR((O412/1000)*Masters!$C$3,"0")</f>
      </c>
      <c r="Z412" s="195"/>
      <c r="AA412" s="164">
        <f>IFERROR(VLOOKUP(L412,Masters!G:H,2,0),"0")</f>
      </c>
      <c r="AB412" s="166">
        <f>IFERROR(AA412*N412,"0")</f>
      </c>
      <c r="AC412" s="196"/>
      <c r="AD412" s="7"/>
      <c r="AE412" s="166">
        <f>W412+Y412+AB412+AD412</f>
      </c>
      <c r="AF412" s="195"/>
      <c r="AG412" s="169">
        <f>M412&amp;"-"&amp;F412</f>
      </c>
      <c r="AH412" s="166">
        <f>IFERROR(VLOOKUP(AG412,Masters!N:O,2,0),"0")</f>
      </c>
      <c r="AI412" s="166">
        <f>AH412*N412</f>
      </c>
      <c r="AJ412" s="7"/>
      <c r="AK412" s="170">
        <f>AI412-AE412</f>
      </c>
      <c r="AL412" s="195"/>
      <c r="AM412" s="6"/>
      <c r="AN412" s="171">
        <f>IFERROR(U412/2,"0")</f>
      </c>
    </row>
    <row x14ac:dyDescent="0.25" r="413" customHeight="1" ht="18.75">
      <c r="A413" s="158">
        <f>A412+1</f>
      </c>
      <c r="B413" s="159">
        <v>45873</v>
      </c>
      <c r="C413" s="198" t="s">
        <v>1009</v>
      </c>
      <c r="D413" s="159">
        <v>45873</v>
      </c>
      <c r="E413" s="198" t="s">
        <v>181</v>
      </c>
      <c r="F413" s="160" t="s">
        <v>231</v>
      </c>
      <c r="G413" s="147" t="s">
        <v>182</v>
      </c>
      <c r="H413" s="198" t="s">
        <v>304</v>
      </c>
      <c r="I413" s="158">
        <v>1109</v>
      </c>
      <c r="J413" s="147" t="s">
        <v>301</v>
      </c>
      <c r="K413" s="199">
        <v>365</v>
      </c>
      <c r="L413" s="198" t="s">
        <v>10</v>
      </c>
      <c r="M413" s="161">
        <f>IFERROR(VLOOKUP(L413,'Material Master'!B:C,2,0),"")</f>
      </c>
      <c r="N413" s="199">
        <v>100</v>
      </c>
      <c r="O413" s="162">
        <f>IFERROR(M413*N413,"")</f>
      </c>
      <c r="P413" s="198" t="s">
        <v>402</v>
      </c>
      <c r="Q413" s="158" t="s">
        <v>1010</v>
      </c>
      <c r="R413" s="163">
        <v>45870</v>
      </c>
      <c r="S413" s="147"/>
      <c r="T413" s="6"/>
      <c r="U413" s="158">
        <v>0</v>
      </c>
      <c r="V413" s="164">
        <v>31</v>
      </c>
      <c r="W413" s="165">
        <f>IFERROR(U413*V413,"0")</f>
      </c>
      <c r="X413" s="7"/>
      <c r="Y413" s="166">
        <f>IFERROR((O413/1000)*Masters!$C$3,"0")</f>
      </c>
      <c r="Z413" s="195"/>
      <c r="AA413" s="164">
        <f>IFERROR(VLOOKUP(L413,Masters!G:H,2,0),"0")</f>
      </c>
      <c r="AB413" s="166">
        <f>IFERROR(AA413*N413,"0")</f>
      </c>
      <c r="AC413" s="196"/>
      <c r="AD413" s="7"/>
      <c r="AE413" s="166">
        <f>W413+Y413+AB413+AD413</f>
      </c>
      <c r="AF413" s="195"/>
      <c r="AG413" s="169">
        <f>M413&amp;"-"&amp;F413</f>
      </c>
      <c r="AH413" s="166">
        <f>IFERROR(VLOOKUP(AG413,Masters!N:O,2,0),"0")</f>
      </c>
      <c r="AI413" s="166">
        <f>AH413*N413</f>
      </c>
      <c r="AJ413" s="7"/>
      <c r="AK413" s="170">
        <f>AI413-AE413</f>
      </c>
      <c r="AL413" s="195"/>
      <c r="AM413" s="6"/>
      <c r="AN413" s="171">
        <f>IFERROR(U413/2,"0")</f>
      </c>
    </row>
    <row x14ac:dyDescent="0.25" r="414" customHeight="1" ht="18.75">
      <c r="A414" s="158">
        <f>A413+1</f>
      </c>
      <c r="B414" s="159">
        <v>45873</v>
      </c>
      <c r="C414" s="198" t="s">
        <v>1009</v>
      </c>
      <c r="D414" s="159">
        <v>45873</v>
      </c>
      <c r="E414" s="198" t="s">
        <v>265</v>
      </c>
      <c r="F414" s="160" t="s">
        <v>32</v>
      </c>
      <c r="G414" s="147" t="s">
        <v>266</v>
      </c>
      <c r="H414" s="198" t="s">
        <v>304</v>
      </c>
      <c r="I414" s="158">
        <v>1109</v>
      </c>
      <c r="J414" s="147" t="s">
        <v>301</v>
      </c>
      <c r="K414" s="199">
        <v>366</v>
      </c>
      <c r="L414" s="198" t="s">
        <v>10</v>
      </c>
      <c r="M414" s="161">
        <f>IFERROR(VLOOKUP(L414,'Material Master'!B:C,2,0),"")</f>
      </c>
      <c r="N414" s="199">
        <v>100</v>
      </c>
      <c r="O414" s="162">
        <f>IFERROR(M414*N414,"")</f>
      </c>
      <c r="P414" s="198" t="s">
        <v>402</v>
      </c>
      <c r="Q414" s="158" t="s">
        <v>1010</v>
      </c>
      <c r="R414" s="163">
        <v>45870</v>
      </c>
      <c r="S414" s="147"/>
      <c r="T414" s="6"/>
      <c r="U414" s="158">
        <v>487</v>
      </c>
      <c r="V414" s="164">
        <v>31</v>
      </c>
      <c r="W414" s="165">
        <f>IFERROR(U414*V414,"0")</f>
      </c>
      <c r="X414" s="7"/>
      <c r="Y414" s="166">
        <f>IFERROR((O414/1000)*Masters!$C$3,"0")</f>
      </c>
      <c r="Z414" s="195"/>
      <c r="AA414" s="164">
        <f>IFERROR(VLOOKUP(L414,Masters!G:H,2,0),"0")</f>
      </c>
      <c r="AB414" s="166">
        <f>IFERROR(AA414*N414,"0")</f>
      </c>
      <c r="AC414" s="196"/>
      <c r="AD414" s="7"/>
      <c r="AE414" s="166">
        <f>W414+Y414+AB414+AD414</f>
      </c>
      <c r="AF414" s="195"/>
      <c r="AG414" s="169">
        <f>M414&amp;"-"&amp;F414</f>
      </c>
      <c r="AH414" s="166">
        <f>IFERROR(VLOOKUP(AG414,Masters!N:O,2,0),"0")</f>
      </c>
      <c r="AI414" s="166">
        <f>AH414*N414</f>
      </c>
      <c r="AJ414" s="7"/>
      <c r="AK414" s="170">
        <f>AI414-AE414</f>
      </c>
      <c r="AL414" s="195"/>
      <c r="AM414" s="6"/>
      <c r="AN414" s="171">
        <f>IFERROR(U414/2,"0")</f>
      </c>
    </row>
    <row x14ac:dyDescent="0.25" r="415" customHeight="1" ht="18.75">
      <c r="A415" s="158">
        <f>A414+1</f>
      </c>
      <c r="B415" s="159">
        <v>45873</v>
      </c>
      <c r="C415" s="198" t="s">
        <v>1011</v>
      </c>
      <c r="D415" s="159">
        <v>45874</v>
      </c>
      <c r="E415" s="198" t="s">
        <v>1012</v>
      </c>
      <c r="F415" s="160" t="s">
        <v>231</v>
      </c>
      <c r="G415" s="147" t="s">
        <v>180</v>
      </c>
      <c r="H415" s="198" t="s">
        <v>305</v>
      </c>
      <c r="I415" s="158">
        <v>1109</v>
      </c>
      <c r="J415" s="147" t="s">
        <v>301</v>
      </c>
      <c r="K415" s="199">
        <v>367</v>
      </c>
      <c r="L415" s="198" t="s">
        <v>10</v>
      </c>
      <c r="M415" s="161">
        <f>IFERROR(VLOOKUP(L415,'Material Master'!B:C,2,0),"")</f>
      </c>
      <c r="N415" s="199">
        <v>300</v>
      </c>
      <c r="O415" s="162">
        <f>IFERROR(M415*N415,"")</f>
      </c>
      <c r="P415" s="198" t="s">
        <v>402</v>
      </c>
      <c r="Q415" s="158" t="s">
        <v>1013</v>
      </c>
      <c r="R415" s="163">
        <v>45870</v>
      </c>
      <c r="S415" s="147"/>
      <c r="T415" s="6"/>
      <c r="U415" s="158">
        <v>56</v>
      </c>
      <c r="V415" s="164">
        <v>31</v>
      </c>
      <c r="W415" s="165">
        <f>IFERROR(U415*V415,"0")</f>
      </c>
      <c r="X415" s="7"/>
      <c r="Y415" s="166">
        <f>IFERROR((O415/1000)*Masters!$C$3,"0")</f>
      </c>
      <c r="Z415" s="195"/>
      <c r="AA415" s="164">
        <f>IFERROR(VLOOKUP(L415,Masters!G:H,2,0),"0")</f>
      </c>
      <c r="AB415" s="166">
        <f>IFERROR(AA415*N415,"0")</f>
      </c>
      <c r="AC415" s="196"/>
      <c r="AD415" s="7"/>
      <c r="AE415" s="166">
        <f>W415+Y415+AB415+AD415</f>
      </c>
      <c r="AF415" s="195"/>
      <c r="AG415" s="169">
        <f>M415&amp;"-"&amp;F415</f>
      </c>
      <c r="AH415" s="166">
        <f>IFERROR(VLOOKUP(AG415,Masters!N:O,2,0),"0")</f>
      </c>
      <c r="AI415" s="166">
        <f>AH415*N415</f>
      </c>
      <c r="AJ415" s="7"/>
      <c r="AK415" s="170">
        <f>AI415-AE415</f>
      </c>
      <c r="AL415" s="195"/>
      <c r="AM415" s="6"/>
      <c r="AN415" s="171">
        <f>IFERROR(U415/2,"0")</f>
      </c>
    </row>
    <row x14ac:dyDescent="0.25" r="416" customHeight="1" ht="18.75">
      <c r="A416" s="158">
        <f>A415+1</f>
      </c>
      <c r="B416" s="159">
        <v>45874</v>
      </c>
      <c r="C416" s="198" t="s">
        <v>1014</v>
      </c>
      <c r="D416" s="159">
        <v>45874</v>
      </c>
      <c r="E416" s="198" t="s">
        <v>84</v>
      </c>
      <c r="F416" s="160" t="s">
        <v>231</v>
      </c>
      <c r="G416" s="147" t="s">
        <v>123</v>
      </c>
      <c r="H416" s="198" t="s">
        <v>303</v>
      </c>
      <c r="I416" s="158">
        <v>909</v>
      </c>
      <c r="J416" s="147" t="s">
        <v>301</v>
      </c>
      <c r="K416" s="199">
        <v>368</v>
      </c>
      <c r="L416" s="198" t="s">
        <v>10</v>
      </c>
      <c r="M416" s="161">
        <f>IFERROR(VLOOKUP(L416,'Material Master'!B:C,2,0),"")</f>
      </c>
      <c r="N416" s="199">
        <v>200</v>
      </c>
      <c r="O416" s="162">
        <f>IFERROR(M416*N416,"")</f>
      </c>
      <c r="P416" s="198" t="s">
        <v>402</v>
      </c>
      <c r="Q416" s="158" t="s">
        <v>1015</v>
      </c>
      <c r="R416" s="163">
        <v>45870</v>
      </c>
      <c r="S416" s="147"/>
      <c r="T416" s="6"/>
      <c r="U416" s="158">
        <v>110</v>
      </c>
      <c r="V416" s="164">
        <v>31</v>
      </c>
      <c r="W416" s="165">
        <f>IFERROR(U416*V416,"0")</f>
      </c>
      <c r="X416" s="7"/>
      <c r="Y416" s="166">
        <f>IFERROR((O416/1000)*Masters!$C$3,"0")</f>
      </c>
      <c r="Z416" s="195"/>
      <c r="AA416" s="164">
        <f>IFERROR(VLOOKUP(L416,Masters!G:H,2,0),"0")</f>
      </c>
      <c r="AB416" s="166">
        <f>IFERROR(AA416*N416,"0")</f>
      </c>
      <c r="AC416" s="196"/>
      <c r="AD416" s="7"/>
      <c r="AE416" s="166">
        <f>W416+Y416+AB416+AD416</f>
      </c>
      <c r="AF416" s="195"/>
      <c r="AG416" s="169">
        <f>M416&amp;"-"&amp;F416</f>
      </c>
      <c r="AH416" s="166">
        <f>IFERROR(VLOOKUP(AG416,Masters!N:O,2,0),"0")</f>
      </c>
      <c r="AI416" s="166">
        <f>AH416*N416</f>
      </c>
      <c r="AJ416" s="7"/>
      <c r="AK416" s="170">
        <f>AI416-AE416</f>
      </c>
      <c r="AL416" s="195"/>
      <c r="AM416" s="6"/>
      <c r="AN416" s="171">
        <f>IFERROR(U416/2,"0")</f>
      </c>
    </row>
    <row x14ac:dyDescent="0.25" r="417" customHeight="1" ht="18.75">
      <c r="A417" s="158">
        <f>A416+1</f>
      </c>
      <c r="B417" s="159">
        <v>45874</v>
      </c>
      <c r="C417" s="198" t="s">
        <v>1016</v>
      </c>
      <c r="D417" s="159">
        <v>45874</v>
      </c>
      <c r="E417" s="198" t="s">
        <v>126</v>
      </c>
      <c r="F417" s="160" t="s">
        <v>231</v>
      </c>
      <c r="G417" s="147" t="s">
        <v>151</v>
      </c>
      <c r="H417" s="198" t="s">
        <v>302</v>
      </c>
      <c r="I417" s="158">
        <v>709</v>
      </c>
      <c r="J417" s="147" t="s">
        <v>301</v>
      </c>
      <c r="K417" s="199">
        <v>369</v>
      </c>
      <c r="L417" s="198" t="s">
        <v>10</v>
      </c>
      <c r="M417" s="161">
        <f>IFERROR(VLOOKUP(L417,'Material Master'!B:C,2,0),"")</f>
      </c>
      <c r="N417" s="199">
        <v>100</v>
      </c>
      <c r="O417" s="162">
        <f>IFERROR(M417*N417,"")</f>
      </c>
      <c r="P417" s="198" t="s">
        <v>402</v>
      </c>
      <c r="Q417" s="158" t="s">
        <v>1017</v>
      </c>
      <c r="R417" s="163">
        <v>45870</v>
      </c>
      <c r="S417" s="147"/>
      <c r="T417" s="6"/>
      <c r="U417" s="158">
        <v>232</v>
      </c>
      <c r="V417" s="164">
        <v>31</v>
      </c>
      <c r="W417" s="165">
        <f>IFERROR(U417*V417,"0")</f>
      </c>
      <c r="X417" s="7"/>
      <c r="Y417" s="166">
        <f>IFERROR((O417/1000)*Masters!$C$3,"0")</f>
      </c>
      <c r="Z417" s="195"/>
      <c r="AA417" s="164">
        <f>IFERROR(VLOOKUP(L417,Masters!G:H,2,0),"0")</f>
      </c>
      <c r="AB417" s="166">
        <f>IFERROR(AA417*N417,"0")</f>
      </c>
      <c r="AC417" s="196"/>
      <c r="AD417" s="7"/>
      <c r="AE417" s="166">
        <f>W417+Y417+AB417+AD417</f>
      </c>
      <c r="AF417" s="195"/>
      <c r="AG417" s="169">
        <f>M417&amp;"-"&amp;F417</f>
      </c>
      <c r="AH417" s="166">
        <f>IFERROR(VLOOKUP(AG417,Masters!N:O,2,0),"0")</f>
      </c>
      <c r="AI417" s="166">
        <f>AH417*N417</f>
      </c>
      <c r="AJ417" s="7"/>
      <c r="AK417" s="170">
        <f>AI417-AE417</f>
      </c>
      <c r="AL417" s="195"/>
      <c r="AM417" s="6"/>
      <c r="AN417" s="171">
        <f>IFERROR(U417/2,"0")</f>
      </c>
    </row>
    <row x14ac:dyDescent="0.25" r="418" customHeight="1" ht="18.75">
      <c r="A418" s="158">
        <f>A417+1</f>
      </c>
      <c r="B418" s="159">
        <v>45874</v>
      </c>
      <c r="C418" s="198" t="s">
        <v>1018</v>
      </c>
      <c r="D418" s="159">
        <v>45875</v>
      </c>
      <c r="E418" s="198" t="s">
        <v>264</v>
      </c>
      <c r="F418" s="160" t="s">
        <v>231</v>
      </c>
      <c r="G418" s="147" t="s">
        <v>80</v>
      </c>
      <c r="H418" s="198" t="s">
        <v>305</v>
      </c>
      <c r="I418" s="158">
        <v>709</v>
      </c>
      <c r="J418" s="147" t="s">
        <v>301</v>
      </c>
      <c r="K418" s="199">
        <v>370</v>
      </c>
      <c r="L418" s="198" t="s">
        <v>10</v>
      </c>
      <c r="M418" s="161">
        <f>IFERROR(VLOOKUP(L418,'Material Master'!B:C,2,0),"")</f>
      </c>
      <c r="N418" s="199">
        <v>100</v>
      </c>
      <c r="O418" s="162">
        <f>IFERROR(M418*N418,"")</f>
      </c>
      <c r="P418" s="198" t="s">
        <v>402</v>
      </c>
      <c r="Q418" s="158" t="s">
        <v>1019</v>
      </c>
      <c r="R418" s="163">
        <v>45870</v>
      </c>
      <c r="S418" s="147"/>
      <c r="T418" s="6"/>
      <c r="U418" s="158">
        <v>154</v>
      </c>
      <c r="V418" s="164">
        <v>31</v>
      </c>
      <c r="W418" s="165">
        <f>IFERROR(U418*V418,"0")</f>
      </c>
      <c r="X418" s="7"/>
      <c r="Y418" s="166">
        <f>IFERROR((O418/1000)*Masters!$C$3,"0")</f>
      </c>
      <c r="Z418" s="195"/>
      <c r="AA418" s="164">
        <f>IFERROR(VLOOKUP(L418,Masters!G:H,2,0),"0")</f>
      </c>
      <c r="AB418" s="166">
        <f>IFERROR(AA418*N418,"0")</f>
      </c>
      <c r="AC418" s="196"/>
      <c r="AD418" s="7"/>
      <c r="AE418" s="166">
        <f>W418+Y418+AB418+AD418</f>
      </c>
      <c r="AF418" s="195"/>
      <c r="AG418" s="169">
        <f>M418&amp;"-"&amp;F418</f>
      </c>
      <c r="AH418" s="166">
        <f>IFERROR(VLOOKUP(AG418,Masters!N:O,2,0),"0")</f>
      </c>
      <c r="AI418" s="166">
        <f>AH418*N418</f>
      </c>
      <c r="AJ418" s="7"/>
      <c r="AK418" s="170">
        <f>AI418-AE418</f>
      </c>
      <c r="AL418" s="195"/>
      <c r="AM418" s="6"/>
      <c r="AN418" s="171">
        <f>IFERROR(U418/2,"0")</f>
      </c>
    </row>
    <row x14ac:dyDescent="0.25" r="419" customHeight="1" ht="18.75">
      <c r="A419" s="158">
        <f>A418+1</f>
      </c>
      <c r="B419" s="159">
        <v>45876</v>
      </c>
      <c r="C419" s="198" t="s">
        <v>1020</v>
      </c>
      <c r="D419" s="159">
        <v>45876</v>
      </c>
      <c r="E419" s="198" t="s">
        <v>134</v>
      </c>
      <c r="F419" s="160" t="s">
        <v>231</v>
      </c>
      <c r="G419" s="147" t="s">
        <v>230</v>
      </c>
      <c r="H419" s="198" t="s">
        <v>303</v>
      </c>
      <c r="I419" s="158">
        <v>1109</v>
      </c>
      <c r="J419" s="147" t="s">
        <v>301</v>
      </c>
      <c r="K419" s="199">
        <v>371</v>
      </c>
      <c r="L419" s="198" t="s">
        <v>10</v>
      </c>
      <c r="M419" s="161">
        <f>IFERROR(VLOOKUP(L419,'Material Master'!B:C,2,0),"")</f>
      </c>
      <c r="N419" s="199">
        <v>300</v>
      </c>
      <c r="O419" s="162">
        <f>IFERROR(M419*N419,"")</f>
      </c>
      <c r="P419" s="198" t="s">
        <v>402</v>
      </c>
      <c r="Q419" s="158" t="s">
        <v>1021</v>
      </c>
      <c r="R419" s="163">
        <v>45870</v>
      </c>
      <c r="S419" s="147"/>
      <c r="T419" s="6"/>
      <c r="U419" s="158">
        <v>68</v>
      </c>
      <c r="V419" s="164">
        <v>31</v>
      </c>
      <c r="W419" s="165">
        <f>IFERROR(U419*V419,"0")</f>
      </c>
      <c r="X419" s="7"/>
      <c r="Y419" s="166">
        <f>IFERROR((O419/1000)*Masters!$C$3,"0")</f>
      </c>
      <c r="Z419" s="195"/>
      <c r="AA419" s="164">
        <f>IFERROR(VLOOKUP(L419,Masters!G:H,2,0),"0")</f>
      </c>
      <c r="AB419" s="166">
        <f>IFERROR(AA419*N419,"0")</f>
      </c>
      <c r="AC419" s="196"/>
      <c r="AD419" s="7"/>
      <c r="AE419" s="166">
        <f>W419+Y419+AB419+AD419</f>
      </c>
      <c r="AF419" s="195"/>
      <c r="AG419" s="169">
        <f>M419&amp;"-"&amp;F419</f>
      </c>
      <c r="AH419" s="166">
        <f>IFERROR(VLOOKUP(AG419,Masters!N:O,2,0),"0")</f>
      </c>
      <c r="AI419" s="166">
        <f>AH419*N419</f>
      </c>
      <c r="AJ419" s="7"/>
      <c r="AK419" s="170">
        <f>AI419-AE419</f>
      </c>
      <c r="AL419" s="195"/>
      <c r="AM419" s="6"/>
      <c r="AN419" s="171">
        <f>IFERROR(U419/2,"0")</f>
      </c>
    </row>
    <row x14ac:dyDescent="0.25" r="420" customHeight="1" ht="18.75">
      <c r="A420" s="158">
        <f>A419+1</f>
      </c>
      <c r="B420" s="159">
        <v>45877</v>
      </c>
      <c r="C420" s="198" t="s">
        <v>1022</v>
      </c>
      <c r="D420" s="159">
        <v>45877</v>
      </c>
      <c r="E420" s="198" t="s">
        <v>108</v>
      </c>
      <c r="F420" s="160" t="s">
        <v>231</v>
      </c>
      <c r="G420" s="147" t="s">
        <v>230</v>
      </c>
      <c r="H420" s="198" t="s">
        <v>302</v>
      </c>
      <c r="I420" s="158">
        <v>1109</v>
      </c>
      <c r="J420" s="147" t="s">
        <v>301</v>
      </c>
      <c r="K420" s="199">
        <v>372</v>
      </c>
      <c r="L420" s="198" t="s">
        <v>10</v>
      </c>
      <c r="M420" s="161">
        <f>IFERROR(VLOOKUP(L420,'Material Master'!B:C,2,0),"")</f>
      </c>
      <c r="N420" s="199">
        <v>300</v>
      </c>
      <c r="O420" s="162">
        <f>IFERROR(M420*N420,"")</f>
      </c>
      <c r="P420" s="198" t="s">
        <v>402</v>
      </c>
      <c r="Q420" s="158" t="s">
        <v>1023</v>
      </c>
      <c r="R420" s="163">
        <v>45870</v>
      </c>
      <c r="S420" s="147"/>
      <c r="T420" s="6"/>
      <c r="U420" s="158">
        <v>88</v>
      </c>
      <c r="V420" s="164">
        <v>31</v>
      </c>
      <c r="W420" s="165">
        <f>IFERROR(U420*V420,"0")</f>
      </c>
      <c r="X420" s="7"/>
      <c r="Y420" s="166">
        <f>IFERROR((O420/1000)*Masters!$C$3,"0")</f>
      </c>
      <c r="Z420" s="195"/>
      <c r="AA420" s="164">
        <f>IFERROR(VLOOKUP(L420,Masters!G:H,2,0),"0")</f>
      </c>
      <c r="AB420" s="166">
        <f>IFERROR(AA420*N420,"0")</f>
      </c>
      <c r="AC420" s="196"/>
      <c r="AD420" s="7"/>
      <c r="AE420" s="166">
        <f>W420+Y420+AB420+AD420</f>
      </c>
      <c r="AF420" s="195"/>
      <c r="AG420" s="169">
        <f>M420&amp;"-"&amp;F420</f>
      </c>
      <c r="AH420" s="166">
        <f>IFERROR(VLOOKUP(AG420,Masters!N:O,2,0),"0")</f>
      </c>
      <c r="AI420" s="166">
        <f>AH420*N420</f>
      </c>
      <c r="AJ420" s="7"/>
      <c r="AK420" s="170">
        <f>AI420-AE420</f>
      </c>
      <c r="AL420" s="195"/>
      <c r="AM420" s="6"/>
      <c r="AN420" s="171">
        <f>IFERROR(U420/2,"0")</f>
      </c>
    </row>
    <row x14ac:dyDescent="0.25" r="421" customHeight="1" ht="18.75">
      <c r="A421" s="158">
        <f>A420+1</f>
      </c>
      <c r="B421" s="159">
        <v>45880</v>
      </c>
      <c r="C421" s="198" t="s">
        <v>1024</v>
      </c>
      <c r="D421" s="159">
        <v>45880</v>
      </c>
      <c r="E421" s="198" t="s">
        <v>267</v>
      </c>
      <c r="F421" s="160" t="s">
        <v>32</v>
      </c>
      <c r="G421" s="147" t="s">
        <v>155</v>
      </c>
      <c r="H421" s="198" t="s">
        <v>304</v>
      </c>
      <c r="I421" s="158">
        <v>909</v>
      </c>
      <c r="J421" s="147" t="s">
        <v>301</v>
      </c>
      <c r="K421" s="199">
        <v>374</v>
      </c>
      <c r="L421" s="198" t="s">
        <v>10</v>
      </c>
      <c r="M421" s="161">
        <f>IFERROR(VLOOKUP(L421,'Material Master'!B:C,2,0),"")</f>
      </c>
      <c r="N421" s="199">
        <v>100</v>
      </c>
      <c r="O421" s="162">
        <f>IFERROR(M421*N421,"")</f>
      </c>
      <c r="P421" s="198" t="s">
        <v>402</v>
      </c>
      <c r="Q421" s="158" t="s">
        <v>1025</v>
      </c>
      <c r="R421" s="163">
        <v>45870</v>
      </c>
      <c r="S421" s="147"/>
      <c r="T421" s="6"/>
      <c r="U421" s="158">
        <v>0</v>
      </c>
      <c r="V421" s="164">
        <v>31</v>
      </c>
      <c r="W421" s="165">
        <f>IFERROR(U421*V421,"0")</f>
      </c>
      <c r="X421" s="7"/>
      <c r="Y421" s="166">
        <f>IFERROR((O421/1000)*Masters!$C$3,"0")</f>
      </c>
      <c r="Z421" s="195"/>
      <c r="AA421" s="164">
        <f>IFERROR(VLOOKUP(L421,Masters!G:H,2,0),"0")</f>
      </c>
      <c r="AB421" s="166">
        <f>IFERROR(AA421*N421,"0")</f>
      </c>
      <c r="AC421" s="196"/>
      <c r="AD421" s="7"/>
      <c r="AE421" s="166">
        <f>W421+Y421+AB421+AD421</f>
      </c>
      <c r="AF421" s="195"/>
      <c r="AG421" s="169">
        <f>M421&amp;"-"&amp;F421</f>
      </c>
      <c r="AH421" s="166">
        <f>IFERROR(VLOOKUP(AG421,Masters!N:O,2,0),"0")</f>
      </c>
      <c r="AI421" s="166">
        <f>AH421*N421</f>
      </c>
      <c r="AJ421" s="7"/>
      <c r="AK421" s="170">
        <f>AI421-AE421</f>
      </c>
      <c r="AL421" s="195"/>
      <c r="AM421" s="6"/>
      <c r="AN421" s="171">
        <f>IFERROR(U421/2,"0")</f>
      </c>
    </row>
    <row x14ac:dyDescent="0.25" r="422" customHeight="1" ht="18.75">
      <c r="A422" s="158">
        <f>A421+1</f>
      </c>
      <c r="B422" s="159">
        <v>45880</v>
      </c>
      <c r="C422" s="198" t="s">
        <v>1024</v>
      </c>
      <c r="D422" s="159">
        <v>45880</v>
      </c>
      <c r="E422" s="198" t="s">
        <v>134</v>
      </c>
      <c r="F422" s="160" t="s">
        <v>32</v>
      </c>
      <c r="G422" s="147" t="s">
        <v>115</v>
      </c>
      <c r="H422" s="198" t="s">
        <v>304</v>
      </c>
      <c r="I422" s="158">
        <v>909</v>
      </c>
      <c r="J422" s="147" t="s">
        <v>301</v>
      </c>
      <c r="K422" s="199">
        <v>375</v>
      </c>
      <c r="L422" s="198" t="s">
        <v>10</v>
      </c>
      <c r="M422" s="161">
        <f>IFERROR(VLOOKUP(L422,'Material Master'!B:C,2,0),"")</f>
      </c>
      <c r="N422" s="199">
        <v>100</v>
      </c>
      <c r="O422" s="162">
        <f>IFERROR(M422*N422,"")</f>
      </c>
      <c r="P422" s="198" t="s">
        <v>402</v>
      </c>
      <c r="Q422" s="158" t="s">
        <v>1025</v>
      </c>
      <c r="R422" s="163">
        <v>45870</v>
      </c>
      <c r="S422" s="147"/>
      <c r="T422" s="6"/>
      <c r="U422" s="158">
        <v>322</v>
      </c>
      <c r="V422" s="164">
        <v>31</v>
      </c>
      <c r="W422" s="165">
        <f>IFERROR(U422*V422,"0")</f>
      </c>
      <c r="X422" s="7"/>
      <c r="Y422" s="166">
        <f>IFERROR((O422/1000)*Masters!$C$3,"0")</f>
      </c>
      <c r="Z422" s="195"/>
      <c r="AA422" s="164">
        <f>IFERROR(VLOOKUP(L422,Masters!G:H,2,0),"0")</f>
      </c>
      <c r="AB422" s="166">
        <f>IFERROR(AA422*N422,"0")</f>
      </c>
      <c r="AC422" s="196"/>
      <c r="AD422" s="7"/>
      <c r="AE422" s="166">
        <f>W422+Y422+AB422+AD422</f>
      </c>
      <c r="AF422" s="195"/>
      <c r="AG422" s="169">
        <f>M422&amp;"-"&amp;F422</f>
      </c>
      <c r="AH422" s="166">
        <f>IFERROR(VLOOKUP(AG422,Masters!N:O,2,0),"0")</f>
      </c>
      <c r="AI422" s="166">
        <f>AH422*N422</f>
      </c>
      <c r="AJ422" s="7"/>
      <c r="AK422" s="170">
        <f>AI422-AE422</f>
      </c>
      <c r="AL422" s="195"/>
      <c r="AM422" s="6"/>
      <c r="AN422" s="171">
        <f>IFERROR(U422/2,"0")</f>
      </c>
    </row>
    <row x14ac:dyDescent="0.25" r="423" customHeight="1" ht="18.75">
      <c r="A423" s="158">
        <f>A422+1</f>
      </c>
      <c r="B423" s="159">
        <v>45880</v>
      </c>
      <c r="C423" s="198" t="s">
        <v>1026</v>
      </c>
      <c r="D423" s="159">
        <v>45880</v>
      </c>
      <c r="E423" s="198" t="s">
        <v>245</v>
      </c>
      <c r="F423" s="160" t="s">
        <v>32</v>
      </c>
      <c r="G423" s="147" t="s">
        <v>246</v>
      </c>
      <c r="H423" s="198" t="s">
        <v>302</v>
      </c>
      <c r="I423" s="158">
        <v>709</v>
      </c>
      <c r="J423" s="147" t="s">
        <v>301</v>
      </c>
      <c r="K423" s="199">
        <v>376</v>
      </c>
      <c r="L423" s="198" t="s">
        <v>10</v>
      </c>
      <c r="M423" s="161">
        <f>IFERROR(VLOOKUP(L423,'Material Master'!B:C,2,0),"")</f>
      </c>
      <c r="N423" s="199">
        <v>100</v>
      </c>
      <c r="O423" s="162">
        <f>IFERROR(M423*N423,"")</f>
      </c>
      <c r="P423" s="198" t="s">
        <v>402</v>
      </c>
      <c r="Q423" s="158" t="s">
        <v>1027</v>
      </c>
      <c r="R423" s="163">
        <v>45870</v>
      </c>
      <c r="S423" s="147"/>
      <c r="T423" s="6"/>
      <c r="U423" s="158">
        <v>373</v>
      </c>
      <c r="V423" s="164">
        <v>31</v>
      </c>
      <c r="W423" s="165">
        <f>IFERROR(U423*V423,"0")</f>
      </c>
      <c r="X423" s="7"/>
      <c r="Y423" s="166">
        <f>IFERROR((O423/1000)*Masters!$C$3,"0")</f>
      </c>
      <c r="Z423" s="195"/>
      <c r="AA423" s="164">
        <f>IFERROR(VLOOKUP(L423,Masters!G:H,2,0),"0")</f>
      </c>
      <c r="AB423" s="166">
        <f>IFERROR(AA423*N423,"0")</f>
      </c>
      <c r="AC423" s="196"/>
      <c r="AD423" s="7"/>
      <c r="AE423" s="166">
        <f>W423+Y423+AB423+AD423</f>
      </c>
      <c r="AF423" s="195"/>
      <c r="AG423" s="169">
        <f>M423&amp;"-"&amp;F423</f>
      </c>
      <c r="AH423" s="166">
        <f>IFERROR(VLOOKUP(AG423,Masters!N:O,2,0),"0")</f>
      </c>
      <c r="AI423" s="166">
        <f>AH423*N423</f>
      </c>
      <c r="AJ423" s="7"/>
      <c r="AK423" s="170">
        <f>AI423-AE423</f>
      </c>
      <c r="AL423" s="195"/>
      <c r="AM423" s="6"/>
      <c r="AN423" s="171">
        <f>IFERROR(U423/2,"0")</f>
      </c>
    </row>
    <row x14ac:dyDescent="0.25" r="424" customHeight="1" ht="18.75">
      <c r="A424" s="158">
        <f>A423+1</f>
      </c>
      <c r="B424" s="159">
        <v>45881</v>
      </c>
      <c r="C424" s="198" t="s">
        <v>1028</v>
      </c>
      <c r="D424" s="159">
        <v>45882</v>
      </c>
      <c r="E424" s="198" t="s">
        <v>134</v>
      </c>
      <c r="F424" s="160" t="s">
        <v>32</v>
      </c>
      <c r="G424" s="147" t="s">
        <v>115</v>
      </c>
      <c r="H424" s="198" t="s">
        <v>303</v>
      </c>
      <c r="I424" s="158">
        <v>909</v>
      </c>
      <c r="J424" s="147" t="s">
        <v>301</v>
      </c>
      <c r="K424" s="199">
        <v>377</v>
      </c>
      <c r="L424" s="198" t="s">
        <v>10</v>
      </c>
      <c r="M424" s="161">
        <f>IFERROR(VLOOKUP(L424,'Material Master'!B:C,2,0),"")</f>
      </c>
      <c r="N424" s="199">
        <v>100</v>
      </c>
      <c r="O424" s="162">
        <f>IFERROR(M424*N424,"")</f>
      </c>
      <c r="P424" s="198" t="s">
        <v>402</v>
      </c>
      <c r="Q424" s="158" t="s">
        <v>1029</v>
      </c>
      <c r="R424" s="163">
        <v>45870</v>
      </c>
      <c r="S424" s="147"/>
      <c r="T424" s="6"/>
      <c r="U424" s="158">
        <v>0</v>
      </c>
      <c r="V424" s="164">
        <v>31</v>
      </c>
      <c r="W424" s="165">
        <f>IFERROR(U424*V424,"0")</f>
      </c>
      <c r="X424" s="7"/>
      <c r="Y424" s="166">
        <f>IFERROR((O424/1000)*Masters!$C$3,"0")</f>
      </c>
      <c r="Z424" s="195"/>
      <c r="AA424" s="164">
        <f>IFERROR(VLOOKUP(L424,Masters!G:H,2,0),"0")</f>
      </c>
      <c r="AB424" s="166">
        <f>IFERROR(AA424*N424,"0")</f>
      </c>
      <c r="AC424" s="196"/>
      <c r="AD424" s="7"/>
      <c r="AE424" s="166">
        <f>W424+Y424+AB424+AD424</f>
      </c>
      <c r="AF424" s="195"/>
      <c r="AG424" s="169">
        <f>M424&amp;"-"&amp;F424</f>
      </c>
      <c r="AH424" s="166">
        <f>IFERROR(VLOOKUP(AG424,Masters!N:O,2,0),"0")</f>
      </c>
      <c r="AI424" s="166">
        <f>AH424*N424</f>
      </c>
      <c r="AJ424" s="7"/>
      <c r="AK424" s="170">
        <f>AI424-AE424</f>
      </c>
      <c r="AL424" s="195"/>
      <c r="AM424" s="6"/>
      <c r="AN424" s="171">
        <f>IFERROR(U424/2,"0")</f>
      </c>
    </row>
    <row x14ac:dyDescent="0.25" r="425" customHeight="1" ht="18.75">
      <c r="A425" s="158">
        <f>A424+1</f>
      </c>
      <c r="B425" s="159">
        <v>45881</v>
      </c>
      <c r="C425" s="198" t="s">
        <v>1028</v>
      </c>
      <c r="D425" s="159">
        <v>45882</v>
      </c>
      <c r="E425" s="198" t="s">
        <v>205</v>
      </c>
      <c r="F425" s="160" t="s">
        <v>32</v>
      </c>
      <c r="G425" s="147" t="s">
        <v>214</v>
      </c>
      <c r="H425" s="198" t="s">
        <v>303</v>
      </c>
      <c r="I425" s="158">
        <v>909</v>
      </c>
      <c r="J425" s="147" t="s">
        <v>301</v>
      </c>
      <c r="K425" s="199">
        <v>378</v>
      </c>
      <c r="L425" s="198" t="s">
        <v>10</v>
      </c>
      <c r="M425" s="161">
        <f>IFERROR(VLOOKUP(L425,'Material Master'!B:C,2,0),"")</f>
      </c>
      <c r="N425" s="199">
        <v>100</v>
      </c>
      <c r="O425" s="162">
        <f>IFERROR(M425*N425,"")</f>
      </c>
      <c r="P425" s="198" t="s">
        <v>402</v>
      </c>
      <c r="Q425" s="158" t="s">
        <v>1029</v>
      </c>
      <c r="R425" s="163">
        <v>45870</v>
      </c>
      <c r="S425" s="147"/>
      <c r="T425" s="6"/>
      <c r="U425" s="158">
        <v>458</v>
      </c>
      <c r="V425" s="164">
        <v>31</v>
      </c>
      <c r="W425" s="165">
        <f>IFERROR(U425*V425,"0")</f>
      </c>
      <c r="X425" s="7"/>
      <c r="Y425" s="166">
        <f>IFERROR((O425/1000)*Masters!$C$3,"0")</f>
      </c>
      <c r="Z425" s="195"/>
      <c r="AA425" s="164">
        <f>IFERROR(VLOOKUP(L425,Masters!G:H,2,0),"0")</f>
      </c>
      <c r="AB425" s="166">
        <f>IFERROR(AA425*N425,"0")</f>
      </c>
      <c r="AC425" s="196"/>
      <c r="AD425" s="7"/>
      <c r="AE425" s="166">
        <f>W425+Y425+AB425+AD425</f>
      </c>
      <c r="AF425" s="195"/>
      <c r="AG425" s="169">
        <f>M425&amp;"-"&amp;F425</f>
      </c>
      <c r="AH425" s="166">
        <f>IFERROR(VLOOKUP(AG425,Masters!N:O,2,0),"0")</f>
      </c>
      <c r="AI425" s="166">
        <f>AH425*N425</f>
      </c>
      <c r="AJ425" s="7"/>
      <c r="AK425" s="170">
        <f>AI425-AE425</f>
      </c>
      <c r="AL425" s="195"/>
      <c r="AM425" s="6"/>
      <c r="AN425" s="171">
        <f>IFERROR(U425/2,"0")</f>
      </c>
    </row>
    <row x14ac:dyDescent="0.25" r="426" customHeight="1" ht="18.75">
      <c r="A426" s="158">
        <f>A425+1</f>
      </c>
      <c r="B426" s="159">
        <v>45882</v>
      </c>
      <c r="C426" s="198" t="s">
        <v>1030</v>
      </c>
      <c r="D426" s="159">
        <v>45882</v>
      </c>
      <c r="E426" s="198" t="s">
        <v>152</v>
      </c>
      <c r="F426" s="160" t="s">
        <v>236</v>
      </c>
      <c r="G426" s="147" t="s">
        <v>153</v>
      </c>
      <c r="H426" s="198" t="s">
        <v>305</v>
      </c>
      <c r="I426" s="158">
        <v>909</v>
      </c>
      <c r="J426" s="147" t="s">
        <v>301</v>
      </c>
      <c r="K426" s="199">
        <v>379</v>
      </c>
      <c r="L426" s="198" t="s">
        <v>10</v>
      </c>
      <c r="M426" s="161">
        <f>IFERROR(VLOOKUP(L426,'Material Master'!B:C,2,0),"")</f>
      </c>
      <c r="N426" s="199">
        <v>200</v>
      </c>
      <c r="O426" s="162">
        <f>IFERROR(M426*N426,"")</f>
      </c>
      <c r="P426" s="198" t="s">
        <v>402</v>
      </c>
      <c r="Q426" s="158" t="s">
        <v>1031</v>
      </c>
      <c r="R426" s="163">
        <v>45870</v>
      </c>
      <c r="S426" s="147"/>
      <c r="T426" s="6"/>
      <c r="U426" s="158">
        <v>534</v>
      </c>
      <c r="V426" s="164">
        <v>31</v>
      </c>
      <c r="W426" s="165">
        <f>IFERROR(U426*V426,"0")</f>
      </c>
      <c r="X426" s="7"/>
      <c r="Y426" s="166">
        <f>IFERROR((O426/1000)*Masters!$C$3,"0")</f>
      </c>
      <c r="Z426" s="195"/>
      <c r="AA426" s="164">
        <f>IFERROR(VLOOKUP(L426,Masters!G:H,2,0),"0")</f>
      </c>
      <c r="AB426" s="166">
        <f>IFERROR(AA426*N426,"0")</f>
      </c>
      <c r="AC426" s="196"/>
      <c r="AD426" s="7"/>
      <c r="AE426" s="166">
        <f>W426+Y426+AB426+AD426</f>
      </c>
      <c r="AF426" s="195"/>
      <c r="AG426" s="169">
        <f>M426&amp;"-"&amp;F426</f>
      </c>
      <c r="AH426" s="166">
        <f>IFERROR(VLOOKUP(AG426,Masters!N:O,2,0),"0")</f>
      </c>
      <c r="AI426" s="166">
        <f>AH426*N426</f>
      </c>
      <c r="AJ426" s="7"/>
      <c r="AK426" s="170">
        <f>AI426-AE426</f>
      </c>
      <c r="AL426" s="195"/>
      <c r="AM426" s="6"/>
      <c r="AN426" s="171">
        <f>IFERROR(U426/2,"0")</f>
      </c>
    </row>
    <row x14ac:dyDescent="0.25" r="427" customHeight="1" ht="18.75">
      <c r="A427" s="158">
        <f>A426+1</f>
      </c>
      <c r="B427" s="159">
        <v>45882</v>
      </c>
      <c r="C427" s="198" t="s">
        <v>1032</v>
      </c>
      <c r="D427" s="159">
        <v>45882</v>
      </c>
      <c r="E427" s="198" t="s">
        <v>75</v>
      </c>
      <c r="F427" s="160" t="s">
        <v>231</v>
      </c>
      <c r="G427" s="147" t="s">
        <v>147</v>
      </c>
      <c r="H427" s="198" t="s">
        <v>302</v>
      </c>
      <c r="I427" s="158">
        <v>1109</v>
      </c>
      <c r="J427" s="147" t="s">
        <v>301</v>
      </c>
      <c r="K427" s="199">
        <v>380</v>
      </c>
      <c r="L427" s="198" t="s">
        <v>10</v>
      </c>
      <c r="M427" s="161">
        <f>IFERROR(VLOOKUP(L427,'Material Master'!B:C,2,0),"")</f>
      </c>
      <c r="N427" s="199">
        <v>300</v>
      </c>
      <c r="O427" s="162">
        <f>IFERROR(M427*N427,"")</f>
      </c>
      <c r="P427" s="198" t="s">
        <v>402</v>
      </c>
      <c r="Q427" s="158" t="s">
        <v>1033</v>
      </c>
      <c r="R427" s="163">
        <v>45870</v>
      </c>
      <c r="S427" s="147"/>
      <c r="T427" s="6"/>
      <c r="U427" s="158">
        <v>303</v>
      </c>
      <c r="V427" s="164">
        <v>31</v>
      </c>
      <c r="W427" s="165">
        <f>IFERROR(U427*V427,"0")</f>
      </c>
      <c r="X427" s="7"/>
      <c r="Y427" s="166">
        <f>IFERROR((O427/1000)*Masters!$C$3,"0")</f>
      </c>
      <c r="Z427" s="195"/>
      <c r="AA427" s="164">
        <f>IFERROR(VLOOKUP(L427,Masters!G:H,2,0),"0")</f>
      </c>
      <c r="AB427" s="166">
        <f>IFERROR(AA427*N427,"0")</f>
      </c>
      <c r="AC427" s="196"/>
      <c r="AD427" s="7"/>
      <c r="AE427" s="166">
        <f>W427+Y427+AB427+AD427</f>
      </c>
      <c r="AF427" s="195"/>
      <c r="AG427" s="169">
        <f>M427&amp;"-"&amp;F427</f>
      </c>
      <c r="AH427" s="166">
        <f>IFERROR(VLOOKUP(AG427,Masters!N:O,2,0),"0")</f>
      </c>
      <c r="AI427" s="166">
        <f>AH427*N427</f>
      </c>
      <c r="AJ427" s="7"/>
      <c r="AK427" s="170">
        <f>AI427-AE427</f>
      </c>
      <c r="AL427" s="195"/>
      <c r="AM427" s="6"/>
      <c r="AN427" s="171">
        <f>IFERROR(U427/2,"0")</f>
      </c>
    </row>
    <row x14ac:dyDescent="0.25" r="428" customHeight="1" ht="18.75">
      <c r="A428" s="158">
        <f>A427+1</f>
      </c>
      <c r="B428" s="159">
        <v>45882</v>
      </c>
      <c r="C428" s="198" t="s">
        <v>1034</v>
      </c>
      <c r="D428" s="159">
        <v>45883</v>
      </c>
      <c r="E428" s="198" t="s">
        <v>79</v>
      </c>
      <c r="F428" s="160" t="s">
        <v>231</v>
      </c>
      <c r="G428" s="147" t="s">
        <v>80</v>
      </c>
      <c r="H428" s="198" t="s">
        <v>304</v>
      </c>
      <c r="I428" s="158">
        <v>1109</v>
      </c>
      <c r="J428" s="147" t="s">
        <v>301</v>
      </c>
      <c r="K428" s="199">
        <v>381</v>
      </c>
      <c r="L428" s="198" t="s">
        <v>15</v>
      </c>
      <c r="M428" s="161">
        <f>IFERROR(VLOOKUP(L428,'Material Master'!B:C,2,0),"")</f>
      </c>
      <c r="N428" s="199">
        <v>30</v>
      </c>
      <c r="O428" s="162">
        <f>IFERROR(M428*N428,"")</f>
      </c>
      <c r="P428" s="198" t="s">
        <v>402</v>
      </c>
      <c r="Q428" s="158" t="s">
        <v>1035</v>
      </c>
      <c r="R428" s="163">
        <v>45870</v>
      </c>
      <c r="S428" s="147"/>
      <c r="T428" s="6"/>
      <c r="U428" s="158">
        <v>168</v>
      </c>
      <c r="V428" s="164">
        <v>31</v>
      </c>
      <c r="W428" s="165">
        <f>IFERROR(U428*V428,"0")</f>
      </c>
      <c r="X428" s="7"/>
      <c r="Y428" s="166">
        <f>IFERROR((O428/1000)*Masters!$C$3,"0")</f>
      </c>
      <c r="Z428" s="195"/>
      <c r="AA428" s="164">
        <f>IFERROR(VLOOKUP(L428,Masters!G:H,2,0),"0")</f>
      </c>
      <c r="AB428" s="166">
        <f>IFERROR(AA428*N428,"0")</f>
      </c>
      <c r="AC428" s="196"/>
      <c r="AD428" s="7"/>
      <c r="AE428" s="166">
        <f>W428+Y428+AB428+AD428</f>
      </c>
      <c r="AF428" s="195"/>
      <c r="AG428" s="169">
        <f>M428&amp;"-"&amp;F428</f>
      </c>
      <c r="AH428" s="166">
        <f>IFERROR(VLOOKUP(AG428,Masters!N:O,2,0),"0")</f>
      </c>
      <c r="AI428" s="166">
        <f>AH428*N428</f>
      </c>
      <c r="AJ428" s="7"/>
      <c r="AK428" s="170">
        <f>AI428-AE428</f>
      </c>
      <c r="AL428" s="195"/>
      <c r="AM428" s="6"/>
      <c r="AN428" s="171">
        <f>IFERROR(U428/2,"0")</f>
      </c>
    </row>
    <row x14ac:dyDescent="0.25" r="429" customHeight="1" ht="18.75">
      <c r="A429" s="228">
        <f>A428+1</f>
      </c>
      <c r="B429" s="237">
        <v>45882</v>
      </c>
      <c r="C429" s="203" t="s">
        <v>1036</v>
      </c>
      <c r="D429" s="237"/>
      <c r="E429" s="203" t="s">
        <v>79</v>
      </c>
      <c r="F429" s="227"/>
      <c r="G429" s="203" t="s">
        <v>158</v>
      </c>
      <c r="H429" s="203"/>
      <c r="I429" s="228">
        <v>1109</v>
      </c>
      <c r="J429" s="203"/>
      <c r="K429" s="228"/>
      <c r="L429" s="203"/>
      <c r="M429" s="229">
        <f>IFERROR(VLOOKUP(L429,'Material Master'!B:C,2,0),"")</f>
      </c>
      <c r="N429" s="228"/>
      <c r="O429" s="230">
        <f>IFERROR(M429*N429,"")</f>
      </c>
      <c r="P429" s="203"/>
      <c r="Q429" s="228"/>
      <c r="R429" s="231">
        <v>45870</v>
      </c>
      <c r="S429" s="203" t="s">
        <v>942</v>
      </c>
      <c r="T429" s="232"/>
      <c r="U429" s="228"/>
      <c r="V429" s="229">
        <v>31</v>
      </c>
      <c r="W429" s="233">
        <f>IFERROR(U429*V429,"0")</f>
      </c>
      <c r="X429" s="234"/>
      <c r="Y429" s="238">
        <f>IFERROR((O429/1000)*Masters!$C$3,"0")</f>
      </c>
      <c r="Z429" s="235"/>
      <c r="AA429" s="229">
        <f>IFERROR(VLOOKUP(L429,Masters!G:H,2,0),"0")</f>
      </c>
      <c r="AB429" s="239">
        <f>IFERROR(AA429*N429,"0")</f>
      </c>
      <c r="AC429" s="236"/>
      <c r="AD429" s="234"/>
      <c r="AE429" s="239">
        <f>W429+Y429+AB429+AD429</f>
      </c>
      <c r="AF429" s="235"/>
      <c r="AG429" s="240">
        <f>M429&amp;"-"&amp;F429</f>
      </c>
      <c r="AH429" s="238">
        <f>IFERROR(VLOOKUP(AG429,Masters!N:O,2,0),"0")</f>
      </c>
      <c r="AI429" s="239">
        <f>AH429*N429</f>
      </c>
      <c r="AJ429" s="234"/>
      <c r="AK429" s="239">
        <f>AI429-AE429</f>
      </c>
      <c r="AL429" s="235"/>
      <c r="AM429" s="232"/>
      <c r="AN429" s="241">
        <f>IFERROR(U429/2,"0")</f>
      </c>
    </row>
    <row x14ac:dyDescent="0.25" r="430" customHeight="1" ht="18.75">
      <c r="A430" s="158">
        <f>A429+1</f>
      </c>
      <c r="B430" s="159">
        <v>45885</v>
      </c>
      <c r="C430" s="198" t="s">
        <v>1037</v>
      </c>
      <c r="D430" s="159">
        <v>45885</v>
      </c>
      <c r="E430" s="198" t="s">
        <v>268</v>
      </c>
      <c r="F430" s="160" t="s">
        <v>231</v>
      </c>
      <c r="G430" s="147" t="s">
        <v>115</v>
      </c>
      <c r="H430" s="198" t="s">
        <v>303</v>
      </c>
      <c r="I430" s="158">
        <v>709</v>
      </c>
      <c r="J430" s="147" t="s">
        <v>301</v>
      </c>
      <c r="K430" s="199">
        <v>382</v>
      </c>
      <c r="L430" s="198" t="s">
        <v>10</v>
      </c>
      <c r="M430" s="161">
        <f>IFERROR(VLOOKUP(L430,'Material Master'!B:C,2,0),"")</f>
      </c>
      <c r="N430" s="199">
        <v>100</v>
      </c>
      <c r="O430" s="162">
        <f>IFERROR(M430*N430,"")</f>
      </c>
      <c r="P430" s="198" t="s">
        <v>402</v>
      </c>
      <c r="Q430" s="158" t="s">
        <v>1038</v>
      </c>
      <c r="R430" s="163">
        <v>45870</v>
      </c>
      <c r="S430" s="147"/>
      <c r="T430" s="6"/>
      <c r="U430" s="158">
        <v>260</v>
      </c>
      <c r="V430" s="164">
        <v>31</v>
      </c>
      <c r="W430" s="165">
        <f>IFERROR(U430*V430,"0")</f>
      </c>
      <c r="X430" s="7"/>
      <c r="Y430" s="166">
        <f>IFERROR((O430/1000)*Masters!$C$3,"0")</f>
      </c>
      <c r="Z430" s="195"/>
      <c r="AA430" s="164">
        <f>IFERROR(VLOOKUP(L430,Masters!G:H,2,0),"0")</f>
      </c>
      <c r="AB430" s="166">
        <f>IFERROR(AA430*N430,"0")</f>
      </c>
      <c r="AC430" s="196"/>
      <c r="AD430" s="7"/>
      <c r="AE430" s="166">
        <f>W430+Y430+AB430+AD430</f>
      </c>
      <c r="AF430" s="195"/>
      <c r="AG430" s="169">
        <f>M430&amp;"-"&amp;F430</f>
      </c>
      <c r="AH430" s="166">
        <f>IFERROR(VLOOKUP(AG430,Masters!N:O,2,0),"0")</f>
      </c>
      <c r="AI430" s="166">
        <f>AH430*N430</f>
      </c>
      <c r="AJ430" s="7"/>
      <c r="AK430" s="170">
        <f>AI430-AE430</f>
      </c>
      <c r="AL430" s="195"/>
      <c r="AM430" s="6"/>
      <c r="AN430" s="171">
        <f>IFERROR(U430/2,"0")</f>
      </c>
    </row>
    <row x14ac:dyDescent="0.25" r="431" customHeight="1" ht="18.75">
      <c r="A431" s="158">
        <f>A430+1</f>
      </c>
      <c r="B431" s="159">
        <v>45887</v>
      </c>
      <c r="C431" s="198" t="s">
        <v>1037</v>
      </c>
      <c r="D431" s="159">
        <v>45887</v>
      </c>
      <c r="E431" s="198" t="s">
        <v>205</v>
      </c>
      <c r="F431" s="160" t="s">
        <v>32</v>
      </c>
      <c r="G431" s="147" t="s">
        <v>214</v>
      </c>
      <c r="H431" s="198" t="s">
        <v>304</v>
      </c>
      <c r="I431" s="158">
        <v>1109</v>
      </c>
      <c r="J431" s="147" t="s">
        <v>301</v>
      </c>
      <c r="K431" s="199">
        <v>383</v>
      </c>
      <c r="L431" s="198" t="s">
        <v>10</v>
      </c>
      <c r="M431" s="161">
        <f>IFERROR(VLOOKUP(L431,'Material Master'!B:C,2,0),"")</f>
      </c>
      <c r="N431" s="199">
        <v>300</v>
      </c>
      <c r="O431" s="162">
        <f>IFERROR(M431*N431,"")</f>
      </c>
      <c r="P431" s="198" t="s">
        <v>402</v>
      </c>
      <c r="Q431" s="158" t="s">
        <v>1039</v>
      </c>
      <c r="R431" s="163">
        <v>45870</v>
      </c>
      <c r="S431" s="147"/>
      <c r="T431" s="6"/>
      <c r="U431" s="158">
        <v>399</v>
      </c>
      <c r="V431" s="164">
        <v>31</v>
      </c>
      <c r="W431" s="165">
        <f>IFERROR(U431*V431,"0")</f>
      </c>
      <c r="X431" s="7"/>
      <c r="Y431" s="166">
        <f>IFERROR((O431/1000)*Masters!$C$3,"0")</f>
      </c>
      <c r="Z431" s="195"/>
      <c r="AA431" s="164">
        <f>IFERROR(VLOOKUP(L431,Masters!G:H,2,0),"0")</f>
      </c>
      <c r="AB431" s="166">
        <f>IFERROR(AA431*N431,"0")</f>
      </c>
      <c r="AC431" s="196"/>
      <c r="AD431" s="7"/>
      <c r="AE431" s="166">
        <f>W431+Y431+AB431+AD431</f>
      </c>
      <c r="AF431" s="195"/>
      <c r="AG431" s="169">
        <f>M431&amp;"-"&amp;F431</f>
      </c>
      <c r="AH431" s="166">
        <f>IFERROR(VLOOKUP(AG431,Masters!N:O,2,0),"0")</f>
      </c>
      <c r="AI431" s="166">
        <f>AH431*N431</f>
      </c>
      <c r="AJ431" s="7"/>
      <c r="AK431" s="170">
        <f>AI431-AE431</f>
      </c>
      <c r="AL431" s="195"/>
      <c r="AM431" s="6"/>
      <c r="AN431" s="171">
        <f>IFERROR(U431/2,"0")</f>
      </c>
    </row>
    <row x14ac:dyDescent="0.25" r="432" customHeight="1" ht="18.75">
      <c r="A432" s="158">
        <f>A431+1</f>
      </c>
      <c r="B432" s="159">
        <v>45889</v>
      </c>
      <c r="C432" s="198" t="s">
        <v>1040</v>
      </c>
      <c r="D432" s="159">
        <v>45889</v>
      </c>
      <c r="E432" s="198" t="s">
        <v>190</v>
      </c>
      <c r="F432" s="160" t="s">
        <v>236</v>
      </c>
      <c r="G432" s="147" t="s">
        <v>191</v>
      </c>
      <c r="H432" s="198" t="s">
        <v>302</v>
      </c>
      <c r="I432" s="158">
        <v>1109</v>
      </c>
      <c r="J432" s="147" t="s">
        <v>301</v>
      </c>
      <c r="K432" s="199">
        <v>384</v>
      </c>
      <c r="L432" s="198" t="s">
        <v>10</v>
      </c>
      <c r="M432" s="161">
        <f>IFERROR(VLOOKUP(L432,'Material Master'!B:C,2,0),"")</f>
      </c>
      <c r="N432" s="199">
        <v>300</v>
      </c>
      <c r="O432" s="162">
        <f>IFERROR(M432*N432,"")</f>
      </c>
      <c r="P432" s="198" t="s">
        <v>402</v>
      </c>
      <c r="Q432" s="158" t="s">
        <v>1041</v>
      </c>
      <c r="R432" s="163">
        <v>45870</v>
      </c>
      <c r="S432" s="147"/>
      <c r="T432" s="6"/>
      <c r="U432" s="158">
        <v>639</v>
      </c>
      <c r="V432" s="164">
        <v>31</v>
      </c>
      <c r="W432" s="165">
        <f>IFERROR(U432*V432,"0")</f>
      </c>
      <c r="X432" s="7"/>
      <c r="Y432" s="166">
        <f>IFERROR((O432/1000)*Masters!$C$3,"0")</f>
      </c>
      <c r="Z432" s="195"/>
      <c r="AA432" s="164">
        <f>IFERROR(VLOOKUP(L432,Masters!G:H,2,0),"0")</f>
      </c>
      <c r="AB432" s="166">
        <f>IFERROR(AA432*N432,"0")</f>
      </c>
      <c r="AC432" s="196"/>
      <c r="AD432" s="7"/>
      <c r="AE432" s="166">
        <f>W432+Y432+AB432+AD432</f>
      </c>
      <c r="AF432" s="195"/>
      <c r="AG432" s="169">
        <f>M432&amp;"-"&amp;F432</f>
      </c>
      <c r="AH432" s="166">
        <f>IFERROR(VLOOKUP(AG432,Masters!N:O,2,0),"0")</f>
      </c>
      <c r="AI432" s="166">
        <f>AH432*N432</f>
      </c>
      <c r="AJ432" s="7"/>
      <c r="AK432" s="170">
        <f>AI432-AE432</f>
      </c>
      <c r="AL432" s="195"/>
      <c r="AM432" s="6"/>
      <c r="AN432" s="171">
        <f>IFERROR(U432/2,"0")</f>
      </c>
    </row>
    <row x14ac:dyDescent="0.25" r="433" customHeight="1" ht="18.75">
      <c r="A433" s="158">
        <f>A432+1</f>
      </c>
      <c r="B433" s="159">
        <v>45889</v>
      </c>
      <c r="C433" s="198" t="s">
        <v>1042</v>
      </c>
      <c r="D433" s="159">
        <v>45890</v>
      </c>
      <c r="E433" s="198" t="s">
        <v>168</v>
      </c>
      <c r="F433" s="160" t="s">
        <v>236</v>
      </c>
      <c r="G433" s="147" t="s">
        <v>1043</v>
      </c>
      <c r="H433" s="198" t="s">
        <v>305</v>
      </c>
      <c r="I433" s="158">
        <v>909</v>
      </c>
      <c r="J433" s="147" t="s">
        <v>301</v>
      </c>
      <c r="K433" s="199">
        <v>385</v>
      </c>
      <c r="L433" s="198" t="s">
        <v>10</v>
      </c>
      <c r="M433" s="161">
        <f>IFERROR(VLOOKUP(L433,'Material Master'!B:C,2,0),"")</f>
      </c>
      <c r="N433" s="199">
        <v>100</v>
      </c>
      <c r="O433" s="162">
        <f>IFERROR(M433*N433,"")</f>
      </c>
      <c r="P433" s="198" t="s">
        <v>402</v>
      </c>
      <c r="Q433" s="158" t="s">
        <v>1044</v>
      </c>
      <c r="R433" s="163">
        <v>45870</v>
      </c>
      <c r="S433" s="147"/>
      <c r="T433" s="6"/>
      <c r="U433" s="158"/>
      <c r="V433" s="164">
        <v>31</v>
      </c>
      <c r="W433" s="165">
        <f>IFERROR(U433*V433,"0")</f>
      </c>
      <c r="X433" s="7"/>
      <c r="Y433" s="166">
        <f>IFERROR((O433/1000)*Masters!$C$3,"0")</f>
      </c>
      <c r="Z433" s="195"/>
      <c r="AA433" s="164">
        <f>IFERROR(VLOOKUP(L433,Masters!G:H,2,0),"0")</f>
      </c>
      <c r="AB433" s="166">
        <f>IFERROR(AA433*N433,"0")</f>
      </c>
      <c r="AC433" s="196"/>
      <c r="AD433" s="7"/>
      <c r="AE433" s="166">
        <f>W433+Y433+AB433+AD433</f>
      </c>
      <c r="AF433" s="195"/>
      <c r="AG433" s="169">
        <f>M433&amp;"-"&amp;F433</f>
      </c>
      <c r="AH433" s="166">
        <f>IFERROR(VLOOKUP(AG433,Masters!N:O,2,0),"0")</f>
      </c>
      <c r="AI433" s="166">
        <f>AH433*N433</f>
      </c>
      <c r="AJ433" s="7"/>
      <c r="AK433" s="170">
        <f>AI433-AE433</f>
      </c>
      <c r="AL433" s="195"/>
      <c r="AM433" s="6"/>
      <c r="AN433" s="171">
        <f>IFERROR(U433/2,"0")</f>
      </c>
    </row>
    <row x14ac:dyDescent="0.25" r="434" customHeight="1" ht="18.75">
      <c r="A434" s="158">
        <f>A433+1</f>
      </c>
      <c r="B434" s="159">
        <v>45889</v>
      </c>
      <c r="C434" s="198" t="s">
        <v>1042</v>
      </c>
      <c r="D434" s="159">
        <v>45890</v>
      </c>
      <c r="E434" s="198" t="s">
        <v>1045</v>
      </c>
      <c r="F434" s="160" t="s">
        <v>32</v>
      </c>
      <c r="G434" s="147" t="s">
        <v>270</v>
      </c>
      <c r="H434" s="198" t="s">
        <v>304</v>
      </c>
      <c r="I434" s="158">
        <v>909</v>
      </c>
      <c r="J434" s="147" t="s">
        <v>301</v>
      </c>
      <c r="K434" s="199">
        <v>386</v>
      </c>
      <c r="L434" s="198" t="s">
        <v>10</v>
      </c>
      <c r="M434" s="161">
        <f>IFERROR(VLOOKUP(L434,'Material Master'!B:C,2,0),"")</f>
      </c>
      <c r="N434" s="199">
        <v>100</v>
      </c>
      <c r="O434" s="162">
        <f>IFERROR(M434*N434,"")</f>
      </c>
      <c r="P434" s="198" t="s">
        <v>402</v>
      </c>
      <c r="Q434" s="158" t="s">
        <v>1044</v>
      </c>
      <c r="R434" s="163">
        <v>45870</v>
      </c>
      <c r="S434" s="147"/>
      <c r="T434" s="6"/>
      <c r="U434" s="158">
        <v>671</v>
      </c>
      <c r="V434" s="164">
        <v>31</v>
      </c>
      <c r="W434" s="165">
        <f>IFERROR(U434*V434,"0")</f>
      </c>
      <c r="X434" s="7"/>
      <c r="Y434" s="166">
        <f>IFERROR((O434/1000)*Masters!$C$3,"0")</f>
      </c>
      <c r="Z434" s="195"/>
      <c r="AA434" s="164">
        <f>IFERROR(VLOOKUP(L434,Masters!G:H,2,0),"0")</f>
      </c>
      <c r="AB434" s="166">
        <f>IFERROR(AA434*N434,"0")</f>
      </c>
      <c r="AC434" s="196"/>
      <c r="AD434" s="7"/>
      <c r="AE434" s="166">
        <f>W434+Y434+AB434+AD434</f>
      </c>
      <c r="AF434" s="195"/>
      <c r="AG434" s="169">
        <f>M434&amp;"-"&amp;F434</f>
      </c>
      <c r="AH434" s="166">
        <f>IFERROR(VLOOKUP(AG434,Masters!N:O,2,0),"0")</f>
      </c>
      <c r="AI434" s="166">
        <f>AH434*N434</f>
      </c>
      <c r="AJ434" s="7"/>
      <c r="AK434" s="170">
        <f>AI434-AE434</f>
      </c>
      <c r="AL434" s="195"/>
      <c r="AM434" s="6"/>
      <c r="AN434" s="171">
        <f>IFERROR(U434/2,"0")</f>
      </c>
    </row>
    <row x14ac:dyDescent="0.25" r="435" customHeight="1" ht="18.75">
      <c r="A435" s="158">
        <f>A434+1</f>
      </c>
      <c r="B435" s="159">
        <v>45889</v>
      </c>
      <c r="C435" s="198" t="s">
        <v>1046</v>
      </c>
      <c r="D435" s="159">
        <v>45890</v>
      </c>
      <c r="E435" s="147" t="s">
        <v>1047</v>
      </c>
      <c r="F435" s="160" t="s">
        <v>231</v>
      </c>
      <c r="G435" s="147" t="s">
        <v>272</v>
      </c>
      <c r="H435" s="198" t="s">
        <v>304</v>
      </c>
      <c r="I435" s="158">
        <v>1109</v>
      </c>
      <c r="J435" s="147" t="s">
        <v>301</v>
      </c>
      <c r="K435" s="199">
        <v>387</v>
      </c>
      <c r="L435" s="198" t="s">
        <v>10</v>
      </c>
      <c r="M435" s="161">
        <f>IFERROR(VLOOKUP(L435,'Material Master'!B:C,2,0),"")</f>
      </c>
      <c r="N435" s="199">
        <v>300</v>
      </c>
      <c r="O435" s="162">
        <f>IFERROR(M435*N435,"")</f>
      </c>
      <c r="P435" s="198" t="s">
        <v>402</v>
      </c>
      <c r="Q435" s="158" t="s">
        <v>1048</v>
      </c>
      <c r="R435" s="163">
        <v>45870</v>
      </c>
      <c r="S435" s="147"/>
      <c r="T435" s="6"/>
      <c r="U435" s="158">
        <v>146</v>
      </c>
      <c r="V435" s="164">
        <v>31</v>
      </c>
      <c r="W435" s="165">
        <f>IFERROR(U435*V435,"0")</f>
      </c>
      <c r="X435" s="7"/>
      <c r="Y435" s="166">
        <f>IFERROR((O435/1000)*Masters!$C$3,"0")</f>
      </c>
      <c r="Z435" s="195"/>
      <c r="AA435" s="164">
        <f>IFERROR(VLOOKUP(L435,Masters!G:H,2,0),"0")</f>
      </c>
      <c r="AB435" s="166">
        <f>IFERROR(AA435*N435,"0")</f>
      </c>
      <c r="AC435" s="196"/>
      <c r="AD435" s="7"/>
      <c r="AE435" s="166">
        <f>W435+Y435+AB435+AD435</f>
      </c>
      <c r="AF435" s="195"/>
      <c r="AG435" s="169">
        <f>M435&amp;"-"&amp;F435</f>
      </c>
      <c r="AH435" s="166">
        <f>IFERROR(VLOOKUP(AG435,Masters!N:O,2,0),"0")</f>
      </c>
      <c r="AI435" s="166">
        <f>AH435*N435</f>
      </c>
      <c r="AJ435" s="7"/>
      <c r="AK435" s="170">
        <f>AI435-AE435</f>
      </c>
      <c r="AL435" s="195"/>
      <c r="AM435" s="6"/>
      <c r="AN435" s="171">
        <f>IFERROR(U435/2,"0")</f>
      </c>
    </row>
    <row x14ac:dyDescent="0.25" r="436" customHeight="1" ht="18.75">
      <c r="A436" s="228">
        <f>A435+1</f>
      </c>
      <c r="B436" s="237">
        <v>45889</v>
      </c>
      <c r="C436" s="203" t="s">
        <v>1049</v>
      </c>
      <c r="D436" s="237"/>
      <c r="E436" s="203" t="s">
        <v>168</v>
      </c>
      <c r="F436" s="227"/>
      <c r="G436" s="203" t="s">
        <v>273</v>
      </c>
      <c r="H436" s="203"/>
      <c r="I436" s="228">
        <v>1109</v>
      </c>
      <c r="J436" s="203"/>
      <c r="K436" s="228"/>
      <c r="L436" s="203"/>
      <c r="M436" s="229">
        <f>IFERROR(VLOOKUP(L436,'Material Master'!B:C,2,0),"")</f>
      </c>
      <c r="N436" s="228"/>
      <c r="O436" s="230">
        <f>IFERROR(M436*N436,"")</f>
      </c>
      <c r="P436" s="203"/>
      <c r="Q436" s="228"/>
      <c r="R436" s="231">
        <v>45870</v>
      </c>
      <c r="S436" s="203" t="s">
        <v>638</v>
      </c>
      <c r="T436" s="232"/>
      <c r="U436" s="228"/>
      <c r="V436" s="229">
        <v>31</v>
      </c>
      <c r="W436" s="233">
        <f>IFERROR(U436*V436,"0")</f>
      </c>
      <c r="X436" s="234"/>
      <c r="Y436" s="238">
        <f>IFERROR((O436/1000)*Masters!$C$3,"0")</f>
      </c>
      <c r="Z436" s="235"/>
      <c r="AA436" s="229">
        <f>IFERROR(VLOOKUP(L436,Masters!G:H,2,0),"0")</f>
      </c>
      <c r="AB436" s="239">
        <f>IFERROR(AA436*N436,"0")</f>
      </c>
      <c r="AC436" s="236"/>
      <c r="AD436" s="234"/>
      <c r="AE436" s="239">
        <f>W436+Y436+AB436+AD436</f>
      </c>
      <c r="AF436" s="235"/>
      <c r="AG436" s="240">
        <f>M436&amp;"-"&amp;F436</f>
      </c>
      <c r="AH436" s="238">
        <f>IFERROR(VLOOKUP(AG436,Masters!N:O,2,0),"0")</f>
      </c>
      <c r="AI436" s="239">
        <f>AH436*N436</f>
      </c>
      <c r="AJ436" s="234"/>
      <c r="AK436" s="239">
        <f>AI436-AE436</f>
      </c>
      <c r="AL436" s="235"/>
      <c r="AM436" s="232"/>
      <c r="AN436" s="241">
        <f>IFERROR(U436/2,"0")</f>
      </c>
    </row>
    <row x14ac:dyDescent="0.25" r="437" customHeight="1" ht="18.75">
      <c r="A437" s="158">
        <f>A436+1</f>
      </c>
      <c r="B437" s="159">
        <v>45890</v>
      </c>
      <c r="C437" s="198" t="s">
        <v>1050</v>
      </c>
      <c r="D437" s="159">
        <v>45890</v>
      </c>
      <c r="E437" s="198" t="s">
        <v>79</v>
      </c>
      <c r="F437" s="160" t="s">
        <v>231</v>
      </c>
      <c r="G437" s="147" t="s">
        <v>80</v>
      </c>
      <c r="H437" s="198" t="s">
        <v>303</v>
      </c>
      <c r="I437" s="158">
        <v>1109</v>
      </c>
      <c r="J437" s="147" t="s">
        <v>301</v>
      </c>
      <c r="K437" s="199">
        <v>388</v>
      </c>
      <c r="L437" s="198" t="s">
        <v>15</v>
      </c>
      <c r="M437" s="161">
        <f>IFERROR(VLOOKUP(L437,'Material Master'!B:C,2,0),"")</f>
      </c>
      <c r="N437" s="199">
        <v>30</v>
      </c>
      <c r="O437" s="162">
        <f>IFERROR(M437*N437,"")</f>
      </c>
      <c r="P437" s="198" t="s">
        <v>402</v>
      </c>
      <c r="Q437" s="158" t="s">
        <v>1051</v>
      </c>
      <c r="R437" s="163">
        <v>45870</v>
      </c>
      <c r="S437" s="147"/>
      <c r="T437" s="6"/>
      <c r="U437" s="158">
        <v>167</v>
      </c>
      <c r="V437" s="164">
        <v>31</v>
      </c>
      <c r="W437" s="165">
        <f>IFERROR(U437*V437,"0")</f>
      </c>
      <c r="X437" s="7"/>
      <c r="Y437" s="166">
        <f>IFERROR((O437/1000)*Masters!$C$3,"0")</f>
      </c>
      <c r="Z437" s="195"/>
      <c r="AA437" s="164">
        <f>IFERROR(VLOOKUP(L437,Masters!G:H,2,0),"0")</f>
      </c>
      <c r="AB437" s="166">
        <f>IFERROR(AA437*N437,"0")</f>
      </c>
      <c r="AC437" s="196"/>
      <c r="AD437" s="7"/>
      <c r="AE437" s="166">
        <f>W437+Y437+AB437+AD437</f>
      </c>
      <c r="AF437" s="195"/>
      <c r="AG437" s="169">
        <f>M437&amp;"-"&amp;F437</f>
      </c>
      <c r="AH437" s="166">
        <f>IFERROR(VLOOKUP(AG437,Masters!N:O,2,0),"0")</f>
      </c>
      <c r="AI437" s="166">
        <f>AH437*N437</f>
      </c>
      <c r="AJ437" s="7"/>
      <c r="AK437" s="170">
        <f>AI437-AE437</f>
      </c>
      <c r="AL437" s="195"/>
      <c r="AM437" s="6"/>
      <c r="AN437" s="171">
        <f>IFERROR(U437/2,"0")</f>
      </c>
    </row>
    <row x14ac:dyDescent="0.25" r="438" customHeight="1" ht="18.75">
      <c r="A438" s="158">
        <f>A437+1</f>
      </c>
      <c r="B438" s="159">
        <v>45890</v>
      </c>
      <c r="C438" s="198" t="s">
        <v>1052</v>
      </c>
      <c r="D438" s="159">
        <v>45891</v>
      </c>
      <c r="E438" s="198" t="s">
        <v>79</v>
      </c>
      <c r="F438" s="160" t="s">
        <v>231</v>
      </c>
      <c r="G438" s="147" t="s">
        <v>80</v>
      </c>
      <c r="H438" s="198" t="s">
        <v>304</v>
      </c>
      <c r="I438" s="158">
        <v>1109</v>
      </c>
      <c r="J438" s="147" t="s">
        <v>301</v>
      </c>
      <c r="K438" s="199">
        <v>389</v>
      </c>
      <c r="L438" s="198" t="s">
        <v>15</v>
      </c>
      <c r="M438" s="161">
        <f>IFERROR(VLOOKUP(L438,'Material Master'!B:C,2,0),"")</f>
      </c>
      <c r="N438" s="199">
        <v>30</v>
      </c>
      <c r="O438" s="162">
        <f>IFERROR(M438*N438,"")</f>
      </c>
      <c r="P438" s="198" t="s">
        <v>402</v>
      </c>
      <c r="Q438" s="158" t="s">
        <v>1053</v>
      </c>
      <c r="R438" s="163">
        <v>45870</v>
      </c>
      <c r="S438" s="147"/>
      <c r="T438" s="6"/>
      <c r="U438" s="158">
        <v>151</v>
      </c>
      <c r="V438" s="164">
        <v>31</v>
      </c>
      <c r="W438" s="165">
        <f>IFERROR(U438*V438,"0")</f>
      </c>
      <c r="X438" s="7"/>
      <c r="Y438" s="166">
        <f>IFERROR((O438/1000)*Masters!$C$3,"0")</f>
      </c>
      <c r="Z438" s="195"/>
      <c r="AA438" s="164">
        <f>IFERROR(VLOOKUP(L438,Masters!G:H,2,0),"0")</f>
      </c>
      <c r="AB438" s="166">
        <f>IFERROR(AA438*N438,"0")</f>
      </c>
      <c r="AC438" s="196"/>
      <c r="AD438" s="7"/>
      <c r="AE438" s="166">
        <f>W438+Y438+AB438+AD438</f>
      </c>
      <c r="AF438" s="195"/>
      <c r="AG438" s="169">
        <f>M438&amp;"-"&amp;F438</f>
      </c>
      <c r="AH438" s="166">
        <f>IFERROR(VLOOKUP(AG438,Masters!N:O,2,0),"0")</f>
      </c>
      <c r="AI438" s="166">
        <f>AH438*N438</f>
      </c>
      <c r="AJ438" s="7"/>
      <c r="AK438" s="170">
        <f>AI438-AE438</f>
      </c>
      <c r="AL438" s="195"/>
      <c r="AM438" s="6"/>
      <c r="AN438" s="171">
        <f>IFERROR(U438/2,"0")</f>
      </c>
    </row>
    <row x14ac:dyDescent="0.25" r="439" customHeight="1" ht="18.75">
      <c r="A439" s="158">
        <f>A438+1</f>
      </c>
      <c r="B439" s="159">
        <v>45890</v>
      </c>
      <c r="C439" s="198" t="s">
        <v>1054</v>
      </c>
      <c r="D439" s="159">
        <v>45891</v>
      </c>
      <c r="E439" s="198" t="s">
        <v>75</v>
      </c>
      <c r="F439" s="160" t="s">
        <v>231</v>
      </c>
      <c r="G439" s="147" t="s">
        <v>242</v>
      </c>
      <c r="H439" s="198" t="s">
        <v>302</v>
      </c>
      <c r="I439" s="158">
        <v>1109</v>
      </c>
      <c r="J439" s="147" t="s">
        <v>301</v>
      </c>
      <c r="K439" s="199">
        <v>390</v>
      </c>
      <c r="L439" s="198" t="s">
        <v>10</v>
      </c>
      <c r="M439" s="161">
        <f>IFERROR(VLOOKUP(L439,'Material Master'!B:C,2,0),"")</f>
      </c>
      <c r="N439" s="199">
        <v>300</v>
      </c>
      <c r="O439" s="162">
        <f>IFERROR(M439*N439,"")</f>
      </c>
      <c r="P439" s="198" t="s">
        <v>402</v>
      </c>
      <c r="Q439" s="158" t="s">
        <v>1055</v>
      </c>
      <c r="R439" s="163">
        <v>45870</v>
      </c>
      <c r="S439" s="147"/>
      <c r="T439" s="6"/>
      <c r="U439" s="158">
        <v>176</v>
      </c>
      <c r="V439" s="164">
        <v>31</v>
      </c>
      <c r="W439" s="165">
        <f>IFERROR(U439*V439,"0")</f>
      </c>
      <c r="X439" s="7"/>
      <c r="Y439" s="166">
        <f>IFERROR((O439/1000)*Masters!$C$3,"0")</f>
      </c>
      <c r="Z439" s="195"/>
      <c r="AA439" s="164">
        <f>IFERROR(VLOOKUP(L439,Masters!G:H,2,0),"0")</f>
      </c>
      <c r="AB439" s="166">
        <f>IFERROR(AA439*N439,"0")</f>
      </c>
      <c r="AC439" s="196"/>
      <c r="AD439" s="7"/>
      <c r="AE439" s="166">
        <f>W439+Y439+AB439+AD439</f>
      </c>
      <c r="AF439" s="195"/>
      <c r="AG439" s="169">
        <f>M439&amp;"-"&amp;F439</f>
      </c>
      <c r="AH439" s="166">
        <f>IFERROR(VLOOKUP(AG439,Masters!N:O,2,0),"0")</f>
      </c>
      <c r="AI439" s="166">
        <f>AH439*N439</f>
      </c>
      <c r="AJ439" s="7"/>
      <c r="AK439" s="170">
        <f>AI439-AE439</f>
      </c>
      <c r="AL439" s="195"/>
      <c r="AM439" s="6"/>
      <c r="AN439" s="171">
        <f>IFERROR(U439/2,"0")</f>
      </c>
    </row>
    <row x14ac:dyDescent="0.25" r="440" customHeight="1" ht="18.75">
      <c r="A440" s="158">
        <f>A439+1</f>
      </c>
      <c r="B440" s="159">
        <v>45891</v>
      </c>
      <c r="C440" s="198" t="s">
        <v>1056</v>
      </c>
      <c r="D440" s="159">
        <v>45891</v>
      </c>
      <c r="E440" s="198" t="s">
        <v>95</v>
      </c>
      <c r="F440" s="160" t="s">
        <v>231</v>
      </c>
      <c r="G440" s="147" t="s">
        <v>658</v>
      </c>
      <c r="H440" s="198" t="s">
        <v>303</v>
      </c>
      <c r="I440" s="158">
        <v>1109</v>
      </c>
      <c r="J440" s="147" t="s">
        <v>301</v>
      </c>
      <c r="K440" s="199">
        <v>391</v>
      </c>
      <c r="L440" s="198" t="s">
        <v>15</v>
      </c>
      <c r="M440" s="161">
        <f>IFERROR(VLOOKUP(L440,'Material Master'!B:C,2,0),"")</f>
      </c>
      <c r="N440" s="199">
        <v>30</v>
      </c>
      <c r="O440" s="162">
        <f>IFERROR(M440*N440,"")</f>
      </c>
      <c r="P440" s="198" t="s">
        <v>402</v>
      </c>
      <c r="Q440" s="158" t="s">
        <v>1057</v>
      </c>
      <c r="R440" s="163">
        <v>45870</v>
      </c>
      <c r="S440" s="147"/>
      <c r="T440" s="6"/>
      <c r="U440" s="158">
        <v>147</v>
      </c>
      <c r="V440" s="164">
        <v>31</v>
      </c>
      <c r="W440" s="165">
        <f>IFERROR(U440*V440,"0")</f>
      </c>
      <c r="X440" s="7"/>
      <c r="Y440" s="166">
        <f>IFERROR((O440/1000)*Masters!$C$3,"0")</f>
      </c>
      <c r="Z440" s="195"/>
      <c r="AA440" s="164">
        <f>IFERROR(VLOOKUP(L440,Masters!G:H,2,0),"0")</f>
      </c>
      <c r="AB440" s="166">
        <f>IFERROR(AA440*N440,"0")</f>
      </c>
      <c r="AC440" s="196"/>
      <c r="AD440" s="7"/>
      <c r="AE440" s="166">
        <f>W440+Y440+AB440+AD440</f>
      </c>
      <c r="AF440" s="195"/>
      <c r="AG440" s="169">
        <f>M440&amp;"-"&amp;F440</f>
      </c>
      <c r="AH440" s="166">
        <f>IFERROR(VLOOKUP(AG440,Masters!N:O,2,0),"0")</f>
      </c>
      <c r="AI440" s="166">
        <f>AH440*N440</f>
      </c>
      <c r="AJ440" s="7"/>
      <c r="AK440" s="170">
        <f>AI440-AE440</f>
      </c>
      <c r="AL440" s="195"/>
      <c r="AM440" s="6"/>
      <c r="AN440" s="171">
        <f>IFERROR(U440/2,"0")</f>
      </c>
    </row>
    <row x14ac:dyDescent="0.25" r="441" customHeight="1" ht="18.75">
      <c r="A441" s="158">
        <f>A440+1</f>
      </c>
      <c r="B441" s="159">
        <v>45892</v>
      </c>
      <c r="C441" s="198" t="s">
        <v>1058</v>
      </c>
      <c r="D441" s="159">
        <v>45892</v>
      </c>
      <c r="E441" s="198" t="s">
        <v>135</v>
      </c>
      <c r="F441" s="160" t="s">
        <v>32</v>
      </c>
      <c r="G441" s="147" t="s">
        <v>1059</v>
      </c>
      <c r="H441" s="198" t="s">
        <v>303</v>
      </c>
      <c r="I441" s="158">
        <v>1109</v>
      </c>
      <c r="J441" s="147" t="s">
        <v>301</v>
      </c>
      <c r="K441" s="199">
        <v>393</v>
      </c>
      <c r="L441" s="198" t="s">
        <v>15</v>
      </c>
      <c r="M441" s="161">
        <f>IFERROR(VLOOKUP(L441,'Material Master'!B:C,2,0),"")</f>
      </c>
      <c r="N441" s="199">
        <v>30</v>
      </c>
      <c r="O441" s="162">
        <f>IFERROR(M441*N441,"")</f>
      </c>
      <c r="P441" s="198" t="s">
        <v>402</v>
      </c>
      <c r="Q441" s="158" t="s">
        <v>1060</v>
      </c>
      <c r="R441" s="163">
        <v>45870</v>
      </c>
      <c r="S441" s="147"/>
      <c r="T441" s="6"/>
      <c r="U441" s="158">
        <v>328</v>
      </c>
      <c r="V441" s="164">
        <v>31</v>
      </c>
      <c r="W441" s="165">
        <f>IFERROR(U441*V441,"0")</f>
      </c>
      <c r="X441" s="7"/>
      <c r="Y441" s="166">
        <f>IFERROR((O441/1000)*Masters!$C$3,"0")</f>
      </c>
      <c r="Z441" s="195"/>
      <c r="AA441" s="164">
        <f>IFERROR(VLOOKUP(L441,Masters!G:H,2,0),"0")</f>
      </c>
      <c r="AB441" s="166">
        <f>IFERROR(AA441*N441,"0")</f>
      </c>
      <c r="AC441" s="196"/>
      <c r="AD441" s="7"/>
      <c r="AE441" s="166">
        <f>W441+Y441+AB441+AD441</f>
      </c>
      <c r="AF441" s="195"/>
      <c r="AG441" s="169">
        <f>M441&amp;"-"&amp;F441</f>
      </c>
      <c r="AH441" s="166">
        <f>IFERROR(VLOOKUP(AG441,Masters!N:O,2,0),"0")</f>
      </c>
      <c r="AI441" s="166">
        <f>AH441*N441</f>
      </c>
      <c r="AJ441" s="7"/>
      <c r="AK441" s="170">
        <f>AI441-AE441</f>
      </c>
      <c r="AL441" s="195"/>
      <c r="AM441" s="6"/>
      <c r="AN441" s="171">
        <f>IFERROR(U441/2,"0")</f>
      </c>
    </row>
    <row x14ac:dyDescent="0.25" r="442" customHeight="1" ht="18.75">
      <c r="A442" s="158">
        <f>A441+1</f>
      </c>
      <c r="B442" s="159">
        <v>45892</v>
      </c>
      <c r="C442" s="198" t="s">
        <v>1061</v>
      </c>
      <c r="D442" s="159">
        <v>45892</v>
      </c>
      <c r="E442" s="198" t="s">
        <v>148</v>
      </c>
      <c r="F442" s="160" t="s">
        <v>32</v>
      </c>
      <c r="G442" s="147" t="s">
        <v>149</v>
      </c>
      <c r="H442" s="198" t="s">
        <v>305</v>
      </c>
      <c r="I442" s="158">
        <v>1109</v>
      </c>
      <c r="J442" s="147" t="s">
        <v>301</v>
      </c>
      <c r="K442" s="199">
        <v>392</v>
      </c>
      <c r="L442" s="198" t="s">
        <v>10</v>
      </c>
      <c r="M442" s="161">
        <f>IFERROR(VLOOKUP(L442,'Material Master'!B:C,2,0),"")</f>
      </c>
      <c r="N442" s="199">
        <v>300</v>
      </c>
      <c r="O442" s="162">
        <f>IFERROR(M442*N442,"")</f>
      </c>
      <c r="P442" s="198" t="s">
        <v>402</v>
      </c>
      <c r="Q442" s="158">
        <v>350998</v>
      </c>
      <c r="R442" s="163">
        <v>45870</v>
      </c>
      <c r="S442" s="147"/>
      <c r="T442" s="6"/>
      <c r="U442" s="158">
        <v>329</v>
      </c>
      <c r="V442" s="164">
        <v>31</v>
      </c>
      <c r="W442" s="165">
        <f>IFERROR(U442*V442,"0")</f>
      </c>
      <c r="X442" s="7"/>
      <c r="Y442" s="166">
        <f>IFERROR((O442/1000)*Masters!$C$3,"0")</f>
      </c>
      <c r="Z442" s="195"/>
      <c r="AA442" s="164">
        <f>IFERROR(VLOOKUP(L442,Masters!G:H,2,0),"0")</f>
      </c>
      <c r="AB442" s="166">
        <f>IFERROR(AA442*N442,"0")</f>
      </c>
      <c r="AC442" s="196"/>
      <c r="AD442" s="7"/>
      <c r="AE442" s="166">
        <f>W442+Y442+AB442+AD442</f>
      </c>
      <c r="AF442" s="195"/>
      <c r="AG442" s="169">
        <f>M442&amp;"-"&amp;F442</f>
      </c>
      <c r="AH442" s="166">
        <f>IFERROR(VLOOKUP(AG442,Masters!N:O,2,0),"0")</f>
      </c>
      <c r="AI442" s="166">
        <f>AH442*N442</f>
      </c>
      <c r="AJ442" s="7"/>
      <c r="AK442" s="170">
        <f>AI442-AE442</f>
      </c>
      <c r="AL442" s="195"/>
      <c r="AM442" s="6"/>
      <c r="AN442" s="171">
        <f>IFERROR(U442/2,"0")</f>
      </c>
    </row>
    <row x14ac:dyDescent="0.25" r="443" customHeight="1" ht="18.75">
      <c r="A443" s="158">
        <f>A442+1</f>
      </c>
      <c r="B443" s="159">
        <v>45892</v>
      </c>
      <c r="C443" s="198" t="s">
        <v>1062</v>
      </c>
      <c r="D443" s="159">
        <v>45892</v>
      </c>
      <c r="E443" s="198" t="s">
        <v>275</v>
      </c>
      <c r="F443" s="160" t="s">
        <v>32</v>
      </c>
      <c r="G443" s="147" t="s">
        <v>276</v>
      </c>
      <c r="H443" s="198" t="s">
        <v>302</v>
      </c>
      <c r="I443" s="158">
        <v>709</v>
      </c>
      <c r="J443" s="147" t="s">
        <v>301</v>
      </c>
      <c r="K443" s="199">
        <v>394</v>
      </c>
      <c r="L443" s="198" t="s">
        <v>10</v>
      </c>
      <c r="M443" s="161">
        <f>IFERROR(VLOOKUP(L443,'Material Master'!B:C,2,0),"")</f>
      </c>
      <c r="N443" s="199">
        <v>100</v>
      </c>
      <c r="O443" s="162">
        <f>IFERROR(M443*N443,"")</f>
      </c>
      <c r="P443" s="198" t="s">
        <v>402</v>
      </c>
      <c r="Q443" s="158" t="s">
        <v>1063</v>
      </c>
      <c r="R443" s="163">
        <v>45870</v>
      </c>
      <c r="S443" s="147"/>
      <c r="T443" s="6"/>
      <c r="U443" s="158">
        <v>470</v>
      </c>
      <c r="V443" s="164">
        <v>31</v>
      </c>
      <c r="W443" s="165">
        <f>IFERROR(U443*V443,"0")</f>
      </c>
      <c r="X443" s="7"/>
      <c r="Y443" s="166">
        <f>IFERROR((O443/1000)*Masters!$C$3,"0")</f>
      </c>
      <c r="Z443" s="195"/>
      <c r="AA443" s="164">
        <f>IFERROR(VLOOKUP(L443,Masters!G:H,2,0),"0")</f>
      </c>
      <c r="AB443" s="166">
        <f>IFERROR(AA443*N443,"0")</f>
      </c>
      <c r="AC443" s="196"/>
      <c r="AD443" s="7"/>
      <c r="AE443" s="166">
        <f>W443+Y443+AB443+AD443</f>
      </c>
      <c r="AF443" s="195"/>
      <c r="AG443" s="169">
        <f>M443&amp;"-"&amp;F443</f>
      </c>
      <c r="AH443" s="166">
        <f>IFERROR(VLOOKUP(AG443,Masters!N:O,2,0),"0")</f>
      </c>
      <c r="AI443" s="166">
        <f>AH443*N443</f>
      </c>
      <c r="AJ443" s="7"/>
      <c r="AK443" s="170">
        <f>AI443-AE443</f>
      </c>
      <c r="AL443" s="195"/>
      <c r="AM443" s="6"/>
      <c r="AN443" s="171">
        <f>IFERROR(U443/2,"0")</f>
      </c>
    </row>
    <row x14ac:dyDescent="0.25" r="444" customHeight="1" ht="18.75">
      <c r="A444" s="158">
        <f>A443+1</f>
      </c>
      <c r="B444" s="159">
        <v>45894</v>
      </c>
      <c r="C444" s="198" t="s">
        <v>1064</v>
      </c>
      <c r="D444" s="159">
        <v>45894</v>
      </c>
      <c r="E444" s="198" t="s">
        <v>1065</v>
      </c>
      <c r="F444" s="160" t="s">
        <v>32</v>
      </c>
      <c r="G444" s="147" t="s">
        <v>278</v>
      </c>
      <c r="H444" s="198" t="s">
        <v>303</v>
      </c>
      <c r="I444" s="158">
        <v>1109</v>
      </c>
      <c r="J444" s="147" t="s">
        <v>301</v>
      </c>
      <c r="K444" s="199">
        <v>395</v>
      </c>
      <c r="L444" s="198" t="s">
        <v>10</v>
      </c>
      <c r="M444" s="161">
        <f>IFERROR(VLOOKUP(L444,'Material Master'!B:C,2,0),"")</f>
      </c>
      <c r="N444" s="199">
        <v>300</v>
      </c>
      <c r="O444" s="162">
        <f>IFERROR(M444*N444,"")</f>
      </c>
      <c r="P444" s="198" t="s">
        <v>402</v>
      </c>
      <c r="Q444" s="158" t="s">
        <v>1066</v>
      </c>
      <c r="R444" s="163">
        <v>45870</v>
      </c>
      <c r="S444" s="147"/>
      <c r="T444" s="6"/>
      <c r="U444" s="158">
        <v>428</v>
      </c>
      <c r="V444" s="164">
        <v>31</v>
      </c>
      <c r="W444" s="165">
        <f>IFERROR(U444*V444,"0")</f>
      </c>
      <c r="X444" s="7"/>
      <c r="Y444" s="166">
        <f>IFERROR((O444/1000)*Masters!$C$3,"0")</f>
      </c>
      <c r="Z444" s="195"/>
      <c r="AA444" s="164">
        <f>IFERROR(VLOOKUP(L444,Masters!G:H,2,0),"0")</f>
      </c>
      <c r="AB444" s="166">
        <f>IFERROR(AA444*N444,"0")</f>
      </c>
      <c r="AC444" s="196"/>
      <c r="AD444" s="7"/>
      <c r="AE444" s="166">
        <f>W444+Y444+AB444+AD444</f>
      </c>
      <c r="AF444" s="195"/>
      <c r="AG444" s="169">
        <f>M444&amp;"-"&amp;F444</f>
      </c>
      <c r="AH444" s="166">
        <f>IFERROR(VLOOKUP(AG444,Masters!N:O,2,0),"0")</f>
      </c>
      <c r="AI444" s="166">
        <f>AH444*N444</f>
      </c>
      <c r="AJ444" s="7"/>
      <c r="AK444" s="170">
        <f>AI444-AE444</f>
      </c>
      <c r="AL444" s="195"/>
      <c r="AM444" s="6"/>
      <c r="AN444" s="171">
        <f>IFERROR(U444/2,"0")</f>
      </c>
    </row>
    <row x14ac:dyDescent="0.25" r="445" customHeight="1" ht="18.75">
      <c r="A445" s="158">
        <f>A444+1</f>
      </c>
      <c r="B445" s="159">
        <v>45894</v>
      </c>
      <c r="C445" s="198" t="s">
        <v>1067</v>
      </c>
      <c r="D445" s="159">
        <v>45894</v>
      </c>
      <c r="E445" s="198" t="s">
        <v>108</v>
      </c>
      <c r="F445" s="160" t="s">
        <v>804</v>
      </c>
      <c r="G445" s="147" t="s">
        <v>530</v>
      </c>
      <c r="H445" s="198" t="s">
        <v>304</v>
      </c>
      <c r="I445" s="158">
        <v>1109</v>
      </c>
      <c r="J445" s="147" t="s">
        <v>301</v>
      </c>
      <c r="K445" s="199">
        <v>396</v>
      </c>
      <c r="L445" s="198" t="s">
        <v>15</v>
      </c>
      <c r="M445" s="161">
        <f>IFERROR(VLOOKUP(L445,'Material Master'!B:C,2,0),"")</f>
      </c>
      <c r="N445" s="199">
        <v>30</v>
      </c>
      <c r="O445" s="162">
        <f>IFERROR(M445*N445,"")</f>
      </c>
      <c r="P445" s="198" t="s">
        <v>402</v>
      </c>
      <c r="Q445" s="158" t="s">
        <v>1068</v>
      </c>
      <c r="R445" s="163">
        <v>45870</v>
      </c>
      <c r="S445" s="147"/>
      <c r="T445" s="6"/>
      <c r="U445" s="158">
        <v>188</v>
      </c>
      <c r="V445" s="164">
        <v>31</v>
      </c>
      <c r="W445" s="165">
        <f>IFERROR(U445*V445,"0")</f>
      </c>
      <c r="X445" s="7"/>
      <c r="Y445" s="166">
        <f>IFERROR((O445/1000)*Masters!$C$3,"0")</f>
      </c>
      <c r="Z445" s="195"/>
      <c r="AA445" s="164">
        <f>IFERROR(VLOOKUP(L445,Masters!G:H,2,0),"0")</f>
      </c>
      <c r="AB445" s="166">
        <f>IFERROR(AA445*N445,"0")</f>
      </c>
      <c r="AC445" s="196"/>
      <c r="AD445" s="7"/>
      <c r="AE445" s="166">
        <f>W445+Y445+AB445+AD445</f>
      </c>
      <c r="AF445" s="195"/>
      <c r="AG445" s="169">
        <f>M445&amp;"-"&amp;F445</f>
      </c>
      <c r="AH445" s="166">
        <f>IFERROR(VLOOKUP(AG445,Masters!N:O,2,0),"0")</f>
      </c>
      <c r="AI445" s="166">
        <f>AH445*N445</f>
      </c>
      <c r="AJ445" s="7"/>
      <c r="AK445" s="170">
        <f>AI445-AE445</f>
      </c>
      <c r="AL445" s="195"/>
      <c r="AM445" s="6"/>
      <c r="AN445" s="171">
        <f>IFERROR(U445/2,"0")</f>
      </c>
    </row>
    <row x14ac:dyDescent="0.25" r="446" customHeight="1" ht="18.75">
      <c r="A446" s="158">
        <f>A445+1</f>
      </c>
      <c r="B446" s="159">
        <v>45895</v>
      </c>
      <c r="C446" s="198" t="s">
        <v>1069</v>
      </c>
      <c r="D446" s="159">
        <v>45895</v>
      </c>
      <c r="E446" s="198" t="s">
        <v>69</v>
      </c>
      <c r="F446" s="160" t="s">
        <v>231</v>
      </c>
      <c r="G446" s="147" t="s">
        <v>230</v>
      </c>
      <c r="H446" s="198" t="s">
        <v>302</v>
      </c>
      <c r="I446" s="158">
        <v>1109</v>
      </c>
      <c r="J446" s="147" t="s">
        <v>301</v>
      </c>
      <c r="K446" s="199">
        <v>398</v>
      </c>
      <c r="L446" s="198" t="s">
        <v>10</v>
      </c>
      <c r="M446" s="161">
        <f>IFERROR(VLOOKUP(L446,'Material Master'!B:C,2,0),"")</f>
      </c>
      <c r="N446" s="199">
        <v>300</v>
      </c>
      <c r="O446" s="162">
        <f>IFERROR(M446*N446,"")</f>
      </c>
      <c r="P446" s="198" t="s">
        <v>402</v>
      </c>
      <c r="Q446" s="158" t="s">
        <v>1070</v>
      </c>
      <c r="R446" s="163">
        <v>45870</v>
      </c>
      <c r="S446" s="147"/>
      <c r="T446" s="6"/>
      <c r="U446" s="158">
        <v>53</v>
      </c>
      <c r="V446" s="164">
        <v>31</v>
      </c>
      <c r="W446" s="165">
        <f>IFERROR(U446*V446,"0")</f>
      </c>
      <c r="X446" s="7"/>
      <c r="Y446" s="166">
        <f>IFERROR((O446/1000)*Masters!$C$3,"0")</f>
      </c>
      <c r="Z446" s="195"/>
      <c r="AA446" s="164">
        <f>IFERROR(VLOOKUP(L446,Masters!G:H,2,0),"0")</f>
      </c>
      <c r="AB446" s="166">
        <f>IFERROR(AA446*N446,"0")</f>
      </c>
      <c r="AC446" s="196"/>
      <c r="AD446" s="7"/>
      <c r="AE446" s="166">
        <f>W446+Y446+AB446+AD446</f>
      </c>
      <c r="AF446" s="195"/>
      <c r="AG446" s="169">
        <f>M446&amp;"-"&amp;F446</f>
      </c>
      <c r="AH446" s="166">
        <f>IFERROR(VLOOKUP(AG446,Masters!N:O,2,0),"0")</f>
      </c>
      <c r="AI446" s="166">
        <f>AH446*N446</f>
      </c>
      <c r="AJ446" s="7"/>
      <c r="AK446" s="170">
        <f>AI446-AE446</f>
      </c>
      <c r="AL446" s="195"/>
      <c r="AM446" s="6"/>
      <c r="AN446" s="171">
        <f>IFERROR(U446/2,"0")</f>
      </c>
    </row>
    <row x14ac:dyDescent="0.25" r="447" customHeight="1" ht="18.75">
      <c r="A447" s="158">
        <f>A446+1</f>
      </c>
      <c r="B447" s="159">
        <v>45895</v>
      </c>
      <c r="C447" s="198" t="s">
        <v>1071</v>
      </c>
      <c r="D447" s="159">
        <v>45895</v>
      </c>
      <c r="E447" s="198" t="s">
        <v>279</v>
      </c>
      <c r="F447" s="160" t="s">
        <v>236</v>
      </c>
      <c r="G447" s="147" t="s">
        <v>178</v>
      </c>
      <c r="H447" s="198" t="s">
        <v>305</v>
      </c>
      <c r="I447" s="158">
        <v>909</v>
      </c>
      <c r="J447" s="147" t="s">
        <v>301</v>
      </c>
      <c r="K447" s="199">
        <v>397</v>
      </c>
      <c r="L447" s="198" t="s">
        <v>10</v>
      </c>
      <c r="M447" s="161">
        <f>IFERROR(VLOOKUP(L447,'Material Master'!B:C,2,0),"")</f>
      </c>
      <c r="N447" s="199">
        <v>100</v>
      </c>
      <c r="O447" s="162">
        <f>IFERROR(M447*N447,"")</f>
      </c>
      <c r="P447" s="198" t="s">
        <v>402</v>
      </c>
      <c r="Q447" s="158" t="s">
        <v>1072</v>
      </c>
      <c r="R447" s="163">
        <v>45870</v>
      </c>
      <c r="S447" s="147"/>
      <c r="T447" s="6"/>
      <c r="U447" s="158">
        <v>0</v>
      </c>
      <c r="V447" s="164">
        <v>31</v>
      </c>
      <c r="W447" s="165">
        <f>IFERROR(U447*V447,"0")</f>
      </c>
      <c r="X447" s="7"/>
      <c r="Y447" s="166">
        <f>IFERROR((O447/1000)*Masters!$C$3,"0")</f>
      </c>
      <c r="Z447" s="195"/>
      <c r="AA447" s="164">
        <f>IFERROR(VLOOKUP(L447,Masters!G:H,2,0),"0")</f>
      </c>
      <c r="AB447" s="166">
        <f>IFERROR(AA447*N447,"0")</f>
      </c>
      <c r="AC447" s="196"/>
      <c r="AD447" s="7"/>
      <c r="AE447" s="166">
        <f>W447+Y447+AB447+AD447</f>
      </c>
      <c r="AF447" s="195"/>
      <c r="AG447" s="169">
        <f>M447&amp;"-"&amp;F447</f>
      </c>
      <c r="AH447" s="166">
        <f>IFERROR(VLOOKUP(AG447,Masters!N:O,2,0),"0")</f>
      </c>
      <c r="AI447" s="166">
        <f>AH447*N447</f>
      </c>
      <c r="AJ447" s="7"/>
      <c r="AK447" s="170">
        <f>AI447-AE447</f>
      </c>
      <c r="AL447" s="195"/>
      <c r="AM447" s="6"/>
      <c r="AN447" s="171">
        <f>IFERROR(U447/2,"0")</f>
      </c>
    </row>
    <row x14ac:dyDescent="0.25" r="448" customHeight="1" ht="18.75">
      <c r="A448" s="158">
        <f>A447+1</f>
      </c>
      <c r="B448" s="159">
        <v>45895</v>
      </c>
      <c r="C448" s="198" t="s">
        <v>1071</v>
      </c>
      <c r="D448" s="159">
        <v>45895</v>
      </c>
      <c r="E448" s="198" t="s">
        <v>1073</v>
      </c>
      <c r="F448" s="160" t="s">
        <v>236</v>
      </c>
      <c r="G448" s="147" t="s">
        <v>281</v>
      </c>
      <c r="H448" s="198" t="s">
        <v>305</v>
      </c>
      <c r="I448" s="158">
        <v>909</v>
      </c>
      <c r="J448" s="147" t="s">
        <v>301</v>
      </c>
      <c r="K448" s="199">
        <v>399</v>
      </c>
      <c r="L448" s="198" t="s">
        <v>10</v>
      </c>
      <c r="M448" s="161">
        <f>IFERROR(VLOOKUP(L448,'Material Master'!B:C,2,0),"")</f>
      </c>
      <c r="N448" s="199">
        <v>100</v>
      </c>
      <c r="O448" s="162">
        <f>IFERROR(M448*N448,"")</f>
      </c>
      <c r="P448" s="198" t="s">
        <v>402</v>
      </c>
      <c r="Q448" s="158" t="s">
        <v>1072</v>
      </c>
      <c r="R448" s="163">
        <v>45870</v>
      </c>
      <c r="S448" s="147"/>
      <c r="T448" s="6"/>
      <c r="U448" s="158">
        <v>568</v>
      </c>
      <c r="V448" s="164">
        <v>31</v>
      </c>
      <c r="W448" s="165">
        <f>IFERROR(U448*V448,"0")</f>
      </c>
      <c r="X448" s="7"/>
      <c r="Y448" s="166">
        <f>IFERROR((O448/1000)*Masters!$C$3,"0")</f>
      </c>
      <c r="Z448" s="195"/>
      <c r="AA448" s="164">
        <f>IFERROR(VLOOKUP(L448,Masters!G:H,2,0),"0")</f>
      </c>
      <c r="AB448" s="166">
        <f>IFERROR(AA448*N448,"0")</f>
      </c>
      <c r="AC448" s="196"/>
      <c r="AD448" s="7"/>
      <c r="AE448" s="166">
        <f>W448+Y448+AB448+AD448</f>
      </c>
      <c r="AF448" s="195"/>
      <c r="AG448" s="169">
        <f>M448&amp;"-"&amp;F448</f>
      </c>
      <c r="AH448" s="166">
        <f>IFERROR(VLOOKUP(AG448,Masters!N:O,2,0),"0")</f>
      </c>
      <c r="AI448" s="166">
        <f>AH448*N448</f>
      </c>
      <c r="AJ448" s="7"/>
      <c r="AK448" s="170">
        <f>AI448-AE448</f>
      </c>
      <c r="AL448" s="195"/>
      <c r="AM448" s="6"/>
      <c r="AN448" s="171">
        <f>IFERROR(U448/2,"0")</f>
      </c>
    </row>
    <row x14ac:dyDescent="0.25" r="449" customHeight="1" ht="18.75">
      <c r="A449" s="158">
        <f>A448+1</f>
      </c>
      <c r="B449" s="159">
        <v>45895</v>
      </c>
      <c r="C449" s="198" t="s">
        <v>1074</v>
      </c>
      <c r="D449" s="159">
        <v>45896</v>
      </c>
      <c r="E449" s="198" t="s">
        <v>268</v>
      </c>
      <c r="F449" s="160" t="s">
        <v>231</v>
      </c>
      <c r="G449" s="147" t="s">
        <v>115</v>
      </c>
      <c r="H449" s="198" t="s">
        <v>304</v>
      </c>
      <c r="I449" s="158">
        <v>1109</v>
      </c>
      <c r="J449" s="147" t="s">
        <v>301</v>
      </c>
      <c r="K449" s="199">
        <v>400</v>
      </c>
      <c r="L449" s="198" t="s">
        <v>10</v>
      </c>
      <c r="M449" s="161">
        <f>IFERROR(VLOOKUP(L449,'Material Master'!B:C,2,0),"")</f>
      </c>
      <c r="N449" s="199">
        <v>300</v>
      </c>
      <c r="O449" s="162">
        <f>IFERROR(M449*N449,"")</f>
      </c>
      <c r="P449" s="198" t="s">
        <v>402</v>
      </c>
      <c r="Q449" s="158" t="s">
        <v>1075</v>
      </c>
      <c r="R449" s="163">
        <v>45870</v>
      </c>
      <c r="S449" s="147"/>
      <c r="T449" s="6"/>
      <c r="U449" s="158">
        <v>264</v>
      </c>
      <c r="V449" s="164">
        <v>31</v>
      </c>
      <c r="W449" s="165">
        <f>IFERROR(U449*V449,"0")</f>
      </c>
      <c r="X449" s="7"/>
      <c r="Y449" s="166">
        <f>IFERROR((O449/1000)*Masters!$C$3,"0")</f>
      </c>
      <c r="Z449" s="195"/>
      <c r="AA449" s="164">
        <f>IFERROR(VLOOKUP(L449,Masters!G:H,2,0),"0")</f>
      </c>
      <c r="AB449" s="166">
        <f>IFERROR(AA449*N449,"0")</f>
      </c>
      <c r="AC449" s="196"/>
      <c r="AD449" s="7"/>
      <c r="AE449" s="166">
        <f>W449+Y449+AB449+AD449</f>
      </c>
      <c r="AF449" s="195"/>
      <c r="AG449" s="169">
        <f>M449&amp;"-"&amp;F449</f>
      </c>
      <c r="AH449" s="166">
        <f>IFERROR(VLOOKUP(AG449,Masters!N:O,2,0),"0")</f>
      </c>
      <c r="AI449" s="166">
        <f>AH449*N449</f>
      </c>
      <c r="AJ449" s="7"/>
      <c r="AK449" s="170">
        <f>AI449-AE449</f>
      </c>
      <c r="AL449" s="195"/>
      <c r="AM449" s="6"/>
      <c r="AN449" s="171">
        <f>IFERROR(U449/2,"0")</f>
      </c>
    </row>
    <row x14ac:dyDescent="0.25" r="450" customHeight="1" ht="18.75">
      <c r="A450" s="158">
        <f>A449+1</f>
      </c>
      <c r="B450" s="159">
        <v>45896</v>
      </c>
      <c r="C450" s="198" t="s">
        <v>1076</v>
      </c>
      <c r="D450" s="159">
        <v>45896</v>
      </c>
      <c r="E450" s="198" t="s">
        <v>134</v>
      </c>
      <c r="F450" s="160" t="s">
        <v>32</v>
      </c>
      <c r="G450" s="147" t="s">
        <v>115</v>
      </c>
      <c r="H450" s="198" t="s">
        <v>303</v>
      </c>
      <c r="I450" s="158">
        <v>709</v>
      </c>
      <c r="J450" s="147" t="s">
        <v>301</v>
      </c>
      <c r="K450" s="199">
        <v>401</v>
      </c>
      <c r="L450" s="198" t="s">
        <v>10</v>
      </c>
      <c r="M450" s="161">
        <f>IFERROR(VLOOKUP(L450,'Material Master'!B:C,2,0),"")</f>
      </c>
      <c r="N450" s="199">
        <v>100</v>
      </c>
      <c r="O450" s="162">
        <f>IFERROR(M450*N450,"")</f>
      </c>
      <c r="P450" s="198" t="s">
        <v>402</v>
      </c>
      <c r="Q450" s="158" t="s">
        <v>1077</v>
      </c>
      <c r="R450" s="163">
        <v>45870</v>
      </c>
      <c r="S450" s="147"/>
      <c r="T450" s="6"/>
      <c r="U450" s="158">
        <v>250</v>
      </c>
      <c r="V450" s="164">
        <v>31</v>
      </c>
      <c r="W450" s="165">
        <f>IFERROR(U450*V450,"0")</f>
      </c>
      <c r="X450" s="7"/>
      <c r="Y450" s="166">
        <f>IFERROR((O450/1000)*Masters!$C$3,"0")</f>
      </c>
      <c r="Z450" s="195"/>
      <c r="AA450" s="164">
        <f>IFERROR(VLOOKUP(L450,Masters!G:H,2,0),"0")</f>
      </c>
      <c r="AB450" s="166">
        <f>IFERROR(AA450*N450,"0")</f>
      </c>
      <c r="AC450" s="196"/>
      <c r="AD450" s="7"/>
      <c r="AE450" s="166">
        <f>W450+Y450+AB450+AD450</f>
      </c>
      <c r="AF450" s="195"/>
      <c r="AG450" s="169">
        <f>M450&amp;"-"&amp;F450</f>
      </c>
      <c r="AH450" s="166">
        <f>IFERROR(VLOOKUP(AG450,Masters!N:O,2,0),"0")</f>
      </c>
      <c r="AI450" s="166">
        <f>AH450*N450</f>
      </c>
      <c r="AJ450" s="7"/>
      <c r="AK450" s="170">
        <f>AI450-AE450</f>
      </c>
      <c r="AL450" s="195"/>
      <c r="AM450" s="6"/>
      <c r="AN450" s="171">
        <f>IFERROR(U450/2,"0")</f>
      </c>
    </row>
    <row x14ac:dyDescent="0.25" r="451" customHeight="1" ht="18.75">
      <c r="A451" s="158">
        <f>A450+1</f>
      </c>
      <c r="B451" s="159">
        <v>45896</v>
      </c>
      <c r="C451" s="198" t="s">
        <v>1078</v>
      </c>
      <c r="D451" s="159">
        <v>45896</v>
      </c>
      <c r="E451" s="198" t="s">
        <v>79</v>
      </c>
      <c r="F451" s="160" t="s">
        <v>231</v>
      </c>
      <c r="G451" s="147" t="s">
        <v>80</v>
      </c>
      <c r="H451" s="198" t="s">
        <v>302</v>
      </c>
      <c r="I451" s="158">
        <v>1109</v>
      </c>
      <c r="J451" s="147" t="s">
        <v>301</v>
      </c>
      <c r="K451" s="199">
        <v>402</v>
      </c>
      <c r="L451" s="198" t="s">
        <v>15</v>
      </c>
      <c r="M451" s="161">
        <f>IFERROR(VLOOKUP(L451,'Material Master'!B:C,2,0),"")</f>
      </c>
      <c r="N451" s="199">
        <v>30</v>
      </c>
      <c r="O451" s="162">
        <f>IFERROR(M451*N451,"")</f>
      </c>
      <c r="P451" s="198" t="s">
        <v>402</v>
      </c>
      <c r="Q451" s="158" t="s">
        <v>1079</v>
      </c>
      <c r="R451" s="163">
        <v>45870</v>
      </c>
      <c r="S451" s="147"/>
      <c r="T451" s="6"/>
      <c r="U451" s="158">
        <v>155</v>
      </c>
      <c r="V451" s="164">
        <v>31</v>
      </c>
      <c r="W451" s="165">
        <f>IFERROR(U451*V451,"0")</f>
      </c>
      <c r="X451" s="7"/>
      <c r="Y451" s="166">
        <f>IFERROR((O451/1000)*Masters!$C$3,"0")</f>
      </c>
      <c r="Z451" s="195"/>
      <c r="AA451" s="164">
        <f>IFERROR(VLOOKUP(L451,Masters!G:H,2,0),"0")</f>
      </c>
      <c r="AB451" s="166">
        <f>IFERROR(AA451*N451,"0")</f>
      </c>
      <c r="AC451" s="196"/>
      <c r="AD451" s="7"/>
      <c r="AE451" s="166">
        <f>W451+Y451+AB451+AD451</f>
      </c>
      <c r="AF451" s="195"/>
      <c r="AG451" s="169">
        <f>M451&amp;"-"&amp;F451</f>
      </c>
      <c r="AH451" s="166">
        <f>IFERROR(VLOOKUP(AG451,Masters!N:O,2,0),"0")</f>
      </c>
      <c r="AI451" s="166">
        <f>AH451*N451</f>
      </c>
      <c r="AJ451" s="7"/>
      <c r="AK451" s="170">
        <f>AI451-AE451</f>
      </c>
      <c r="AL451" s="195"/>
      <c r="AM451" s="6"/>
      <c r="AN451" s="171">
        <f>IFERROR(U451/2,"0")</f>
      </c>
    </row>
    <row x14ac:dyDescent="0.25" r="452" customHeight="1" ht="18.75">
      <c r="A452" s="158">
        <f>A451+1</f>
      </c>
      <c r="B452" s="159">
        <v>45896</v>
      </c>
      <c r="C452" s="198" t="s">
        <v>1080</v>
      </c>
      <c r="D452" s="159">
        <v>45896</v>
      </c>
      <c r="E452" s="198" t="s">
        <v>79</v>
      </c>
      <c r="F452" s="160" t="s">
        <v>231</v>
      </c>
      <c r="G452" s="147" t="s">
        <v>80</v>
      </c>
      <c r="H452" s="198" t="s">
        <v>305</v>
      </c>
      <c r="I452" s="158">
        <v>1109</v>
      </c>
      <c r="J452" s="147" t="s">
        <v>301</v>
      </c>
      <c r="K452" s="199">
        <v>403</v>
      </c>
      <c r="L452" s="198" t="s">
        <v>15</v>
      </c>
      <c r="M452" s="161">
        <f>IFERROR(VLOOKUP(L452,'Material Master'!B:C,2,0),"")</f>
      </c>
      <c r="N452" s="199">
        <v>30</v>
      </c>
      <c r="O452" s="162">
        <f>IFERROR(M452*N452,"")</f>
      </c>
      <c r="P452" s="198" t="s">
        <v>402</v>
      </c>
      <c r="Q452" s="158" t="s">
        <v>1081</v>
      </c>
      <c r="R452" s="163">
        <v>45870</v>
      </c>
      <c r="S452" s="147"/>
      <c r="T452" s="6"/>
      <c r="U452" s="158">
        <v>152</v>
      </c>
      <c r="V452" s="164">
        <v>31</v>
      </c>
      <c r="W452" s="165">
        <f>IFERROR(U452*V452,"0")</f>
      </c>
      <c r="X452" s="7"/>
      <c r="Y452" s="166">
        <f>IFERROR((O452/1000)*Masters!$C$3,"0")</f>
      </c>
      <c r="Z452" s="195"/>
      <c r="AA452" s="164">
        <f>IFERROR(VLOOKUP(L452,Masters!G:H,2,0),"0")</f>
      </c>
      <c r="AB452" s="166">
        <f>IFERROR(AA452*N452,"0")</f>
      </c>
      <c r="AC452" s="196"/>
      <c r="AD452" s="7"/>
      <c r="AE452" s="166">
        <f>W452+Y452+AB452+AD452</f>
      </c>
      <c r="AF452" s="195"/>
      <c r="AG452" s="169">
        <f>M452&amp;"-"&amp;F452</f>
      </c>
      <c r="AH452" s="166">
        <f>IFERROR(VLOOKUP(AG452,Masters!N:O,2,0),"0")</f>
      </c>
      <c r="AI452" s="166">
        <f>AH452*N452</f>
      </c>
      <c r="AJ452" s="7"/>
      <c r="AK452" s="170">
        <f>AI452-AE452</f>
      </c>
      <c r="AL452" s="195"/>
      <c r="AM452" s="6"/>
      <c r="AN452" s="171">
        <f>IFERROR(U452/2,"0")</f>
      </c>
    </row>
    <row x14ac:dyDescent="0.25" r="453" customHeight="1" ht="18.75">
      <c r="A453" s="158">
        <f>A452+1</f>
      </c>
      <c r="B453" s="159">
        <v>45897</v>
      </c>
      <c r="C453" s="198" t="s">
        <v>1082</v>
      </c>
      <c r="D453" s="159">
        <v>45897</v>
      </c>
      <c r="E453" s="198" t="s">
        <v>84</v>
      </c>
      <c r="F453" s="160" t="s">
        <v>231</v>
      </c>
      <c r="G453" s="147" t="s">
        <v>530</v>
      </c>
      <c r="H453" s="198" t="s">
        <v>302</v>
      </c>
      <c r="I453" s="158">
        <v>909</v>
      </c>
      <c r="J453" s="147" t="s">
        <v>301</v>
      </c>
      <c r="K453" s="199">
        <v>404</v>
      </c>
      <c r="L453" s="198" t="s">
        <v>10</v>
      </c>
      <c r="M453" s="161">
        <f>IFERROR(VLOOKUP(L453,'Material Master'!B:C,2,0),"")</f>
      </c>
      <c r="N453" s="199">
        <v>200</v>
      </c>
      <c r="O453" s="162">
        <f>IFERROR(M453*N453,"")</f>
      </c>
      <c r="P453" s="198" t="s">
        <v>402</v>
      </c>
      <c r="Q453" s="158" t="s">
        <v>1083</v>
      </c>
      <c r="R453" s="163">
        <v>45870</v>
      </c>
      <c r="S453" s="147"/>
      <c r="T453" s="6"/>
      <c r="U453" s="158">
        <v>195</v>
      </c>
      <c r="V453" s="164">
        <v>31</v>
      </c>
      <c r="W453" s="165">
        <f>IFERROR(U453*V453,"0")</f>
      </c>
      <c r="X453" s="7"/>
      <c r="Y453" s="166">
        <f>IFERROR((O453/1000)*Masters!$C$3,"0")</f>
      </c>
      <c r="Z453" s="195"/>
      <c r="AA453" s="164">
        <f>IFERROR(VLOOKUP(L453,Masters!G:H,2,0),"0")</f>
      </c>
      <c r="AB453" s="166">
        <f>IFERROR(AA453*N453,"0")</f>
      </c>
      <c r="AC453" s="196"/>
      <c r="AD453" s="7"/>
      <c r="AE453" s="166">
        <f>W453+Y453+AB453+AD453</f>
      </c>
      <c r="AF453" s="195"/>
      <c r="AG453" s="169">
        <f>M453&amp;"-"&amp;F453</f>
      </c>
      <c r="AH453" s="166">
        <f>IFERROR(VLOOKUP(AG453,Masters!N:O,2,0),"0")</f>
      </c>
      <c r="AI453" s="166">
        <f>AH453*N453</f>
      </c>
      <c r="AJ453" s="7"/>
      <c r="AK453" s="170">
        <f>AI453-AE453</f>
      </c>
      <c r="AL453" s="195"/>
      <c r="AM453" s="6"/>
      <c r="AN453" s="171">
        <f>IFERROR(U453/2,"0")</f>
      </c>
    </row>
    <row x14ac:dyDescent="0.25" r="454" customHeight="1" ht="18.75">
      <c r="A454" s="158">
        <f>A453+1</f>
      </c>
      <c r="B454" s="159">
        <v>45897</v>
      </c>
      <c r="C454" s="198" t="s">
        <v>1084</v>
      </c>
      <c r="D454" s="159">
        <v>45898</v>
      </c>
      <c r="E454" s="198" t="s">
        <v>79</v>
      </c>
      <c r="F454" s="160" t="s">
        <v>32</v>
      </c>
      <c r="G454" s="147" t="s">
        <v>158</v>
      </c>
      <c r="H454" s="198" t="s">
        <v>303</v>
      </c>
      <c r="I454" s="158">
        <v>1109</v>
      </c>
      <c r="J454" s="147" t="s">
        <v>301</v>
      </c>
      <c r="K454" s="199">
        <v>407</v>
      </c>
      <c r="L454" s="198" t="s">
        <v>15</v>
      </c>
      <c r="M454" s="161">
        <f>IFERROR(VLOOKUP(L454,'Material Master'!B:C,2,0),"")</f>
      </c>
      <c r="N454" s="199">
        <v>30</v>
      </c>
      <c r="O454" s="162">
        <f>IFERROR(M454*N454,"")</f>
      </c>
      <c r="P454" s="198" t="s">
        <v>402</v>
      </c>
      <c r="Q454" s="158" t="s">
        <v>1085</v>
      </c>
      <c r="R454" s="163">
        <v>45870</v>
      </c>
      <c r="S454" s="147"/>
      <c r="T454" s="6"/>
      <c r="U454" s="158">
        <v>425</v>
      </c>
      <c r="V454" s="164">
        <v>31</v>
      </c>
      <c r="W454" s="165">
        <f>IFERROR(U454*V454,"0")</f>
      </c>
      <c r="X454" s="7"/>
      <c r="Y454" s="166">
        <f>IFERROR((O454/1000)*Masters!$C$3,"0")</f>
      </c>
      <c r="Z454" s="195"/>
      <c r="AA454" s="164">
        <f>IFERROR(VLOOKUP(L454,Masters!G:H,2,0),"0")</f>
      </c>
      <c r="AB454" s="166">
        <f>IFERROR(AA454*N454,"0")</f>
      </c>
      <c r="AC454" s="196"/>
      <c r="AD454" s="7"/>
      <c r="AE454" s="166">
        <f>W454+Y454+AB454+AD454</f>
      </c>
      <c r="AF454" s="195"/>
      <c r="AG454" s="169">
        <f>M454&amp;"-"&amp;F454</f>
      </c>
      <c r="AH454" s="166">
        <f>IFERROR(VLOOKUP(AG454,Masters!N:O,2,0),"0")</f>
      </c>
      <c r="AI454" s="166">
        <f>AH454*N454</f>
      </c>
      <c r="AJ454" s="7"/>
      <c r="AK454" s="170">
        <f>AI454-AE454</f>
      </c>
      <c r="AL454" s="195"/>
      <c r="AM454" s="6"/>
      <c r="AN454" s="171">
        <f>IFERROR(U454/2,"0")</f>
      </c>
    </row>
    <row x14ac:dyDescent="0.25" r="455" customHeight="1" ht="18.75">
      <c r="A455" s="158">
        <f>A454+1</f>
      </c>
      <c r="B455" s="159">
        <v>45897</v>
      </c>
      <c r="C455" s="198" t="s">
        <v>1086</v>
      </c>
      <c r="D455" s="159">
        <v>45898</v>
      </c>
      <c r="E455" s="198" t="s">
        <v>79</v>
      </c>
      <c r="F455" s="160" t="s">
        <v>32</v>
      </c>
      <c r="G455" s="147" t="s">
        <v>158</v>
      </c>
      <c r="H455" s="198" t="s">
        <v>305</v>
      </c>
      <c r="I455" s="158">
        <v>1109</v>
      </c>
      <c r="J455" s="147" t="s">
        <v>301</v>
      </c>
      <c r="K455" s="199">
        <v>408</v>
      </c>
      <c r="L455" s="198" t="s">
        <v>15</v>
      </c>
      <c r="M455" s="161">
        <f>IFERROR(VLOOKUP(L455,'Material Master'!B:C,2,0),"")</f>
      </c>
      <c r="N455" s="199">
        <v>30</v>
      </c>
      <c r="O455" s="162">
        <f>IFERROR(M455*N455,"")</f>
      </c>
      <c r="P455" s="198" t="s">
        <v>402</v>
      </c>
      <c r="Q455" s="158" t="s">
        <v>1087</v>
      </c>
      <c r="R455" s="163">
        <v>45870</v>
      </c>
      <c r="S455" s="147"/>
      <c r="T455" s="6"/>
      <c r="U455" s="158">
        <v>420</v>
      </c>
      <c r="V455" s="164">
        <v>31</v>
      </c>
      <c r="W455" s="165">
        <f>IFERROR(U455*V455,"0")</f>
      </c>
      <c r="X455" s="7"/>
      <c r="Y455" s="166">
        <f>IFERROR((O455/1000)*Masters!$C$3,"0")</f>
      </c>
      <c r="Z455" s="195"/>
      <c r="AA455" s="164">
        <f>IFERROR(VLOOKUP(L455,Masters!G:H,2,0),"0")</f>
      </c>
      <c r="AB455" s="166">
        <f>IFERROR(AA455*N455,"0")</f>
      </c>
      <c r="AC455" s="196"/>
      <c r="AD455" s="7"/>
      <c r="AE455" s="166">
        <f>W455+Y455+AB455+AD455</f>
      </c>
      <c r="AF455" s="195"/>
      <c r="AG455" s="169">
        <f>M455&amp;"-"&amp;F455</f>
      </c>
      <c r="AH455" s="166">
        <f>IFERROR(VLOOKUP(AG455,Masters!N:O,2,0),"0")</f>
      </c>
      <c r="AI455" s="166">
        <f>AH455*N455</f>
      </c>
      <c r="AJ455" s="7"/>
      <c r="AK455" s="170">
        <f>AI455-AE455</f>
      </c>
      <c r="AL455" s="195"/>
      <c r="AM455" s="6"/>
      <c r="AN455" s="171">
        <f>IFERROR(U455/2,"0")</f>
      </c>
    </row>
    <row x14ac:dyDescent="0.25" r="456" customHeight="1" ht="18.75">
      <c r="A456" s="158">
        <f>A455+1</f>
      </c>
      <c r="B456" s="159">
        <v>45898</v>
      </c>
      <c r="C456" s="198" t="s">
        <v>1088</v>
      </c>
      <c r="D456" s="159">
        <v>45898</v>
      </c>
      <c r="E456" s="198" t="s">
        <v>1089</v>
      </c>
      <c r="F456" s="160" t="s">
        <v>231</v>
      </c>
      <c r="G456" s="147" t="s">
        <v>113</v>
      </c>
      <c r="H456" s="198" t="s">
        <v>304</v>
      </c>
      <c r="I456" s="158">
        <v>1109</v>
      </c>
      <c r="J456" s="147" t="s">
        <v>301</v>
      </c>
      <c r="K456" s="199">
        <v>405</v>
      </c>
      <c r="L456" s="198" t="s">
        <v>10</v>
      </c>
      <c r="M456" s="161">
        <f>IFERROR(VLOOKUP(L456,'Material Master'!B:C,2,0),"")</f>
      </c>
      <c r="N456" s="199">
        <v>200</v>
      </c>
      <c r="O456" s="162">
        <f>IFERROR(M456*N456,"")</f>
      </c>
      <c r="P456" s="198" t="s">
        <v>402</v>
      </c>
      <c r="Q456" s="158" t="s">
        <v>1090</v>
      </c>
      <c r="R456" s="163">
        <v>45870</v>
      </c>
      <c r="S456" s="147"/>
      <c r="T456" s="6"/>
      <c r="U456" s="158">
        <v>199</v>
      </c>
      <c r="V456" s="164">
        <v>31</v>
      </c>
      <c r="W456" s="165">
        <f>IFERROR(U456*V456,"0")</f>
      </c>
      <c r="X456" s="7"/>
      <c r="Y456" s="166">
        <f>IFERROR((O456/1000)*Masters!$C$3,"0")</f>
      </c>
      <c r="Z456" s="195"/>
      <c r="AA456" s="164">
        <f>IFERROR(VLOOKUP(L456,Masters!G:H,2,0),"0")</f>
      </c>
      <c r="AB456" s="166">
        <f>IFERROR(AA456*N456,"0")</f>
      </c>
      <c r="AC456" s="196"/>
      <c r="AD456" s="7"/>
      <c r="AE456" s="166">
        <f>W456+Y456+AB456+AD456</f>
      </c>
      <c r="AF456" s="195"/>
      <c r="AG456" s="169">
        <f>M456&amp;"-"&amp;F456</f>
      </c>
      <c r="AH456" s="166">
        <f>IFERROR(VLOOKUP(AG456,Masters!N:O,2,0),"0")</f>
      </c>
      <c r="AI456" s="166">
        <f>AH456*N456</f>
      </c>
      <c r="AJ456" s="7"/>
      <c r="AK456" s="170">
        <f>AI456-AE456</f>
      </c>
      <c r="AL456" s="195"/>
      <c r="AM456" s="6"/>
      <c r="AN456" s="171">
        <f>IFERROR(U456/2,"0")</f>
      </c>
    </row>
    <row x14ac:dyDescent="0.25" r="457" customHeight="1" ht="18.75">
      <c r="A457" s="158">
        <f>A456+1</f>
      </c>
      <c r="B457" s="159">
        <v>45898</v>
      </c>
      <c r="C457" s="198" t="s">
        <v>1091</v>
      </c>
      <c r="D457" s="159">
        <v>45898</v>
      </c>
      <c r="E457" s="198" t="s">
        <v>1092</v>
      </c>
      <c r="F457" s="160" t="s">
        <v>236</v>
      </c>
      <c r="G457" s="147" t="s">
        <v>283</v>
      </c>
      <c r="H457" s="198" t="s">
        <v>302</v>
      </c>
      <c r="I457" s="158">
        <v>909</v>
      </c>
      <c r="J457" s="147" t="s">
        <v>301</v>
      </c>
      <c r="K457" s="199">
        <v>406</v>
      </c>
      <c r="L457" s="198" t="s">
        <v>10</v>
      </c>
      <c r="M457" s="161">
        <f>IFERROR(VLOOKUP(L457,'Material Master'!B:C,2,0),"")</f>
      </c>
      <c r="N457" s="199">
        <v>200</v>
      </c>
      <c r="O457" s="162">
        <f>IFERROR(M457*N457,"")</f>
      </c>
      <c r="P457" s="198" t="s">
        <v>402</v>
      </c>
      <c r="Q457" s="243" t="s">
        <v>1093</v>
      </c>
      <c r="R457" s="163">
        <v>45870</v>
      </c>
      <c r="S457" s="147"/>
      <c r="T457" s="6"/>
      <c r="U457" s="158">
        <v>665</v>
      </c>
      <c r="V457" s="164">
        <v>31</v>
      </c>
      <c r="W457" s="165">
        <f>IFERROR(U457*V457,"0")</f>
      </c>
      <c r="X457" s="7"/>
      <c r="Y457" s="166">
        <f>IFERROR((O457/1000)*Masters!$C$3,"0")</f>
      </c>
      <c r="Z457" s="195"/>
      <c r="AA457" s="164">
        <f>IFERROR(VLOOKUP(L457,Masters!G:H,2,0),"0")</f>
      </c>
      <c r="AB457" s="166">
        <f>IFERROR(AA457*N457,"0")</f>
      </c>
      <c r="AC457" s="196"/>
      <c r="AD457" s="7"/>
      <c r="AE457" s="166">
        <f>W457+Y457+AB457+AD457</f>
      </c>
      <c r="AF457" s="195"/>
      <c r="AG457" s="169">
        <f>M457&amp;"-"&amp;F457</f>
      </c>
      <c r="AH457" s="166">
        <f>IFERROR(VLOOKUP(AG457,Masters!N:O,2,0),"0")</f>
      </c>
      <c r="AI457" s="166">
        <f>AH457*N457</f>
      </c>
      <c r="AJ457" s="7"/>
      <c r="AK457" s="170">
        <f>AI457-AE457</f>
      </c>
      <c r="AL457" s="195"/>
      <c r="AM457" s="6"/>
      <c r="AN457" s="171">
        <f>IFERROR(U457/2,"0")</f>
      </c>
    </row>
    <row x14ac:dyDescent="0.25" r="458" customHeight="1" ht="18.75">
      <c r="A458" s="158">
        <f>A457+1</f>
      </c>
      <c r="B458" s="159">
        <v>45899</v>
      </c>
      <c r="C458" s="198" t="s">
        <v>1094</v>
      </c>
      <c r="D458" s="159">
        <v>45899</v>
      </c>
      <c r="E458" s="198" t="s">
        <v>139</v>
      </c>
      <c r="F458" s="160" t="s">
        <v>32</v>
      </c>
      <c r="G458" s="147" t="s">
        <v>140</v>
      </c>
      <c r="H458" s="198" t="s">
        <v>303</v>
      </c>
      <c r="I458" s="158">
        <v>1109</v>
      </c>
      <c r="J458" s="147" t="s">
        <v>301</v>
      </c>
      <c r="K458" s="199">
        <v>409</v>
      </c>
      <c r="L458" s="198" t="s">
        <v>10</v>
      </c>
      <c r="M458" s="161">
        <f>IFERROR(VLOOKUP(L458,'Material Master'!B:C,2,0),"")</f>
      </c>
      <c r="N458" s="199">
        <v>300</v>
      </c>
      <c r="O458" s="162">
        <f>IFERROR(M458*N458,"")</f>
      </c>
      <c r="P458" s="198" t="s">
        <v>402</v>
      </c>
      <c r="Q458" s="158" t="s">
        <v>1095</v>
      </c>
      <c r="R458" s="163">
        <v>45870</v>
      </c>
      <c r="S458" s="147" t="s">
        <v>1096</v>
      </c>
      <c r="T458" s="6"/>
      <c r="U458" s="158">
        <v>439</v>
      </c>
      <c r="V458" s="164">
        <v>31</v>
      </c>
      <c r="W458" s="165">
        <f>IFERROR(U458*V458,"0")</f>
      </c>
      <c r="X458" s="7"/>
      <c r="Y458" s="166">
        <f>IFERROR((O458/1000)*Masters!$C$3,"0")</f>
      </c>
      <c r="Z458" s="195"/>
      <c r="AA458" s="164">
        <f>IFERROR(VLOOKUP(L458,Masters!G:H,2,0),"0")</f>
      </c>
      <c r="AB458" s="166">
        <f>IFERROR(AA458*N458,"0")</f>
      </c>
      <c r="AC458" s="196"/>
      <c r="AD458" s="7"/>
      <c r="AE458" s="166">
        <f>W458+Y458+AB458+AD458</f>
      </c>
      <c r="AF458" s="195"/>
      <c r="AG458" s="169">
        <f>M458&amp;"-"&amp;F458</f>
      </c>
      <c r="AH458" s="166">
        <f>IFERROR(VLOOKUP(AG458,Masters!N:O,2,0),"0")</f>
      </c>
      <c r="AI458" s="166">
        <f>AH458*N458</f>
      </c>
      <c r="AJ458" s="7"/>
      <c r="AK458" s="170">
        <f>AI458-AE458</f>
      </c>
      <c r="AL458" s="195"/>
      <c r="AM458" s="6"/>
      <c r="AN458" s="171">
        <f>IFERROR(U458/2,"0")</f>
      </c>
    </row>
    <row x14ac:dyDescent="0.25" r="459" customHeight="1" ht="18.75">
      <c r="A459" s="158">
        <f>A458+1</f>
      </c>
      <c r="B459" s="159">
        <v>45899</v>
      </c>
      <c r="C459" s="198" t="s">
        <v>1097</v>
      </c>
      <c r="D459" s="159">
        <v>45899</v>
      </c>
      <c r="E459" s="198" t="s">
        <v>139</v>
      </c>
      <c r="F459" s="160" t="s">
        <v>32</v>
      </c>
      <c r="G459" s="147" t="s">
        <v>209</v>
      </c>
      <c r="H459" s="198" t="s">
        <v>304</v>
      </c>
      <c r="I459" s="158">
        <v>1109</v>
      </c>
      <c r="J459" s="147" t="s">
        <v>301</v>
      </c>
      <c r="K459" s="199">
        <v>410</v>
      </c>
      <c r="L459" s="198" t="s">
        <v>10</v>
      </c>
      <c r="M459" s="161">
        <f>IFERROR(VLOOKUP(L459,'Material Master'!B:C,2,0),"")</f>
      </c>
      <c r="N459" s="199">
        <v>300</v>
      </c>
      <c r="O459" s="162">
        <f>IFERROR(M459*N459,"")</f>
      </c>
      <c r="P459" s="198" t="s">
        <v>402</v>
      </c>
      <c r="Q459" s="158" t="s">
        <v>1098</v>
      </c>
      <c r="R459" s="163">
        <v>45870</v>
      </c>
      <c r="S459" s="147"/>
      <c r="T459" s="6"/>
      <c r="U459" s="158">
        <v>329</v>
      </c>
      <c r="V459" s="164">
        <v>31</v>
      </c>
      <c r="W459" s="165">
        <f>IFERROR(U459*V459,"0")</f>
      </c>
      <c r="X459" s="7"/>
      <c r="Y459" s="166">
        <f>IFERROR((O459/1000)*Masters!$C$3,"0")</f>
      </c>
      <c r="Z459" s="195"/>
      <c r="AA459" s="164">
        <f>IFERROR(VLOOKUP(L459,Masters!G:H,2,0),"0")</f>
      </c>
      <c r="AB459" s="166">
        <f>IFERROR(AA459*N459,"0")</f>
      </c>
      <c r="AC459" s="196"/>
      <c r="AD459" s="7"/>
      <c r="AE459" s="166">
        <f>W459+Y459+AB459+AD459</f>
      </c>
      <c r="AF459" s="195"/>
      <c r="AG459" s="169">
        <f>M459&amp;"-"&amp;F459</f>
      </c>
      <c r="AH459" s="166">
        <f>IFERROR(VLOOKUP(AG459,Masters!N:O,2,0),"0")</f>
      </c>
      <c r="AI459" s="166">
        <f>AH459*N459</f>
      </c>
      <c r="AJ459" s="7"/>
      <c r="AK459" s="170">
        <f>AI459-AE459</f>
      </c>
      <c r="AL459" s="195"/>
      <c r="AM459" s="6"/>
      <c r="AN459" s="171">
        <f>IFERROR(U459/2,"0")</f>
      </c>
    </row>
    <row x14ac:dyDescent="0.25" r="460" customHeight="1" ht="18.75">
      <c r="A460" s="158">
        <f>A459+1</f>
      </c>
      <c r="B460" s="159">
        <v>45899</v>
      </c>
      <c r="C460" s="198" t="s">
        <v>1099</v>
      </c>
      <c r="D460" s="159">
        <v>45903</v>
      </c>
      <c r="E460" s="198" t="s">
        <v>181</v>
      </c>
      <c r="F460" s="160" t="s">
        <v>32</v>
      </c>
      <c r="G460" s="147" t="s">
        <v>117</v>
      </c>
      <c r="H460" s="198" t="s">
        <v>303</v>
      </c>
      <c r="I460" s="158">
        <v>1109</v>
      </c>
      <c r="J460" s="147" t="s">
        <v>301</v>
      </c>
      <c r="K460" s="199">
        <v>420</v>
      </c>
      <c r="L460" s="198" t="s">
        <v>10</v>
      </c>
      <c r="M460" s="161">
        <f>IFERROR(VLOOKUP(L460,'Material Master'!B:C,2,0),"")</f>
      </c>
      <c r="N460" s="199">
        <v>300</v>
      </c>
      <c r="O460" s="162">
        <f>IFERROR(M460*N460,"")</f>
      </c>
      <c r="P460" s="198" t="s">
        <v>402</v>
      </c>
      <c r="Q460" s="158" t="s">
        <v>1100</v>
      </c>
      <c r="R460" s="163">
        <v>45870</v>
      </c>
      <c r="S460" s="147"/>
      <c r="T460" s="6"/>
      <c r="U460" s="158">
        <v>374</v>
      </c>
      <c r="V460" s="164">
        <v>31</v>
      </c>
      <c r="W460" s="165">
        <f>IFERROR(U460*V460,"0")</f>
      </c>
      <c r="X460" s="7"/>
      <c r="Y460" s="166">
        <f>IFERROR((O460/1000)*Masters!$C$3,"0")</f>
      </c>
      <c r="Z460" s="195"/>
      <c r="AA460" s="164">
        <f>IFERROR(VLOOKUP(L460,Masters!G:H,2,0),"0")</f>
      </c>
      <c r="AB460" s="166">
        <f>IFERROR(AA460*N460,"0")</f>
      </c>
      <c r="AC460" s="196"/>
      <c r="AD460" s="7"/>
      <c r="AE460" s="166">
        <f>W460+Y460+AB460+AD460</f>
      </c>
      <c r="AF460" s="195"/>
      <c r="AG460" s="169">
        <f>M460&amp;"-"&amp;F460</f>
      </c>
      <c r="AH460" s="166">
        <f>IFERROR(VLOOKUP(AG460,Masters!N:O,2,0),"0")</f>
      </c>
      <c r="AI460" s="166">
        <f>AH460*N460</f>
      </c>
      <c r="AJ460" s="7"/>
      <c r="AK460" s="170">
        <f>AI460-AE460</f>
      </c>
      <c r="AL460" s="195"/>
      <c r="AM460" s="6"/>
      <c r="AN460" s="171">
        <f>IFERROR(U460/2,"0")</f>
      </c>
    </row>
    <row x14ac:dyDescent="0.25" r="461" customHeight="1" ht="18.75">
      <c r="A461" s="158">
        <f>A460+1</f>
      </c>
      <c r="B461" s="159">
        <v>45899</v>
      </c>
      <c r="C461" s="198" t="s">
        <v>1101</v>
      </c>
      <c r="D461" s="159">
        <v>45910</v>
      </c>
      <c r="E461" s="198" t="s">
        <v>122</v>
      </c>
      <c r="F461" s="160" t="s">
        <v>231</v>
      </c>
      <c r="G461" s="147" t="s">
        <v>123</v>
      </c>
      <c r="H461" s="198" t="s">
        <v>303</v>
      </c>
      <c r="I461" s="158">
        <v>1109</v>
      </c>
      <c r="J461" s="147" t="s">
        <v>301</v>
      </c>
      <c r="K461" s="199">
        <v>429</v>
      </c>
      <c r="L461" s="198" t="s">
        <v>10</v>
      </c>
      <c r="M461" s="161">
        <f>IFERROR(VLOOKUP(L461,'Material Master'!B:C,2,0),"")</f>
      </c>
      <c r="N461" s="199">
        <v>300</v>
      </c>
      <c r="O461" s="162">
        <f>IFERROR(M461*N461,"")</f>
      </c>
      <c r="P461" s="198" t="s">
        <v>402</v>
      </c>
      <c r="Q461" s="158" t="s">
        <v>1102</v>
      </c>
      <c r="R461" s="163">
        <v>45870</v>
      </c>
      <c r="S461" s="147"/>
      <c r="T461" s="6"/>
      <c r="U461" s="158">
        <v>123</v>
      </c>
      <c r="V461" s="164">
        <v>31</v>
      </c>
      <c r="W461" s="165">
        <f>IFERROR(U461*V461,"0")</f>
      </c>
      <c r="X461" s="7"/>
      <c r="Y461" s="166">
        <f>IFERROR((O461/1000)*Masters!$C$3,"0")</f>
      </c>
      <c r="Z461" s="195"/>
      <c r="AA461" s="164">
        <f>IFERROR(VLOOKUP(L461,Masters!G:H,2,0),"0")</f>
      </c>
      <c r="AB461" s="166">
        <f>IFERROR(AA461*N461,"0")</f>
      </c>
      <c r="AC461" s="196"/>
      <c r="AD461" s="7"/>
      <c r="AE461" s="166">
        <f>W461+Y461+AB461+AD461</f>
      </c>
      <c r="AF461" s="195"/>
      <c r="AG461" s="169">
        <f>M461&amp;"-"&amp;F461</f>
      </c>
      <c r="AH461" s="166">
        <f>IFERROR(VLOOKUP(AG461,Masters!N:O,2,0),"0")</f>
      </c>
      <c r="AI461" s="166">
        <f>AH461*N461</f>
      </c>
      <c r="AJ461" s="7"/>
      <c r="AK461" s="170">
        <f>AI461-AE461</f>
      </c>
      <c r="AL461" s="195"/>
      <c r="AM461" s="6"/>
      <c r="AN461" s="171">
        <f>IFERROR(U461/2,"0")</f>
      </c>
    </row>
    <row x14ac:dyDescent="0.25" r="462" customHeight="1" ht="18.75">
      <c r="A462" s="158">
        <f>A461+1</f>
      </c>
      <c r="B462" s="159">
        <v>45899</v>
      </c>
      <c r="C462" s="198" t="s">
        <v>1103</v>
      </c>
      <c r="D462" s="159">
        <v>45899</v>
      </c>
      <c r="E462" s="198" t="s">
        <v>217</v>
      </c>
      <c r="F462" s="160" t="s">
        <v>231</v>
      </c>
      <c r="G462" s="147" t="s">
        <v>80</v>
      </c>
      <c r="H462" s="198" t="s">
        <v>305</v>
      </c>
      <c r="I462" s="158">
        <v>909</v>
      </c>
      <c r="J462" s="147" t="s">
        <v>301</v>
      </c>
      <c r="K462" s="199">
        <v>411</v>
      </c>
      <c r="L462" s="198" t="s">
        <v>10</v>
      </c>
      <c r="M462" s="161">
        <f>IFERROR(VLOOKUP(L462,'Material Master'!B:C,2,0),"")</f>
      </c>
      <c r="N462" s="199">
        <v>200</v>
      </c>
      <c r="O462" s="162">
        <f>IFERROR(M462*N462,"")</f>
      </c>
      <c r="P462" s="198" t="s">
        <v>402</v>
      </c>
      <c r="Q462" s="158" t="s">
        <v>1104</v>
      </c>
      <c r="R462" s="163">
        <v>45870</v>
      </c>
      <c r="S462" s="147"/>
      <c r="T462" s="6"/>
      <c r="U462" s="158">
        <v>168</v>
      </c>
      <c r="V462" s="164">
        <v>31</v>
      </c>
      <c r="W462" s="165">
        <f>IFERROR(U462*V462,"0")</f>
      </c>
      <c r="X462" s="7"/>
      <c r="Y462" s="166">
        <f>IFERROR((O462/1000)*Masters!$C$3,"0")</f>
      </c>
      <c r="Z462" s="195"/>
      <c r="AA462" s="164">
        <f>IFERROR(VLOOKUP(L462,Masters!G:H,2,0),"0")</f>
      </c>
      <c r="AB462" s="166">
        <f>IFERROR(AA462*N462,"0")</f>
      </c>
      <c r="AC462" s="196"/>
      <c r="AD462" s="7"/>
      <c r="AE462" s="166">
        <f>W462+Y462+AB462+AD462</f>
      </c>
      <c r="AF462" s="195"/>
      <c r="AG462" s="169">
        <f>M462&amp;"-"&amp;F462</f>
      </c>
      <c r="AH462" s="166">
        <f>IFERROR(VLOOKUP(AG462,Masters!N:O,2,0),"0")</f>
      </c>
      <c r="AI462" s="166">
        <f>AH462*N462</f>
      </c>
      <c r="AJ462" s="7"/>
      <c r="AK462" s="170">
        <f>AI462-AE462</f>
      </c>
      <c r="AL462" s="195"/>
      <c r="AM462" s="6"/>
      <c r="AN462" s="171">
        <f>IFERROR(U462/2,"0")</f>
      </c>
    </row>
    <row x14ac:dyDescent="0.25" r="463" customHeight="1" ht="18.75">
      <c r="A463" s="158">
        <f>A462+1</f>
      </c>
      <c r="B463" s="159">
        <v>45900</v>
      </c>
      <c r="C463" s="198" t="s">
        <v>1105</v>
      </c>
      <c r="D463" s="159">
        <v>45900</v>
      </c>
      <c r="E463" s="198" t="s">
        <v>264</v>
      </c>
      <c r="F463" s="160" t="s">
        <v>231</v>
      </c>
      <c r="G463" s="147" t="s">
        <v>80</v>
      </c>
      <c r="H463" s="198" t="s">
        <v>302</v>
      </c>
      <c r="I463" s="158">
        <v>1109</v>
      </c>
      <c r="J463" s="147" t="s">
        <v>301</v>
      </c>
      <c r="K463" s="199">
        <v>412</v>
      </c>
      <c r="L463" s="198" t="s">
        <v>10</v>
      </c>
      <c r="M463" s="161">
        <f>IFERROR(VLOOKUP(L463,'Material Master'!B:C,2,0),"")</f>
      </c>
      <c r="N463" s="199">
        <v>100</v>
      </c>
      <c r="O463" s="162">
        <f>IFERROR(M463*N463,"")</f>
      </c>
      <c r="P463" s="198" t="s">
        <v>402</v>
      </c>
      <c r="Q463" s="158" t="s">
        <v>1106</v>
      </c>
      <c r="R463" s="163">
        <v>45870</v>
      </c>
      <c r="S463" s="147"/>
      <c r="T463" s="6"/>
      <c r="U463" s="158">
        <v>0</v>
      </c>
      <c r="V463" s="164">
        <v>31</v>
      </c>
      <c r="W463" s="165">
        <f>IFERROR(U463*V463,"0")</f>
      </c>
      <c r="X463" s="7"/>
      <c r="Y463" s="166">
        <f>IFERROR((O463/1000)*Masters!$C$3,"0")</f>
      </c>
      <c r="Z463" s="195"/>
      <c r="AA463" s="164">
        <f>IFERROR(VLOOKUP(L463,Masters!G:H,2,0),"0")</f>
      </c>
      <c r="AB463" s="166">
        <f>IFERROR(AA463*N463,"0")</f>
      </c>
      <c r="AC463" s="196"/>
      <c r="AD463" s="7"/>
      <c r="AE463" s="166">
        <f>W463+Y463+AB463+AD463</f>
      </c>
      <c r="AF463" s="195"/>
      <c r="AG463" s="169">
        <f>M463&amp;"-"&amp;F463</f>
      </c>
      <c r="AH463" s="166">
        <f>IFERROR(VLOOKUP(AG463,Masters!N:O,2,0),"0")</f>
      </c>
      <c r="AI463" s="166">
        <f>AH463*N463</f>
      </c>
      <c r="AJ463" s="7"/>
      <c r="AK463" s="170">
        <f>AI463-AE463</f>
      </c>
      <c r="AL463" s="195"/>
      <c r="AM463" s="6"/>
      <c r="AN463" s="171">
        <f>IFERROR(U463/2,"0")</f>
      </c>
    </row>
    <row x14ac:dyDescent="0.25" r="464" customHeight="1" ht="18.75">
      <c r="A464" s="158">
        <v>462</v>
      </c>
      <c r="B464" s="159">
        <v>45900</v>
      </c>
      <c r="C464" s="198" t="s">
        <v>1105</v>
      </c>
      <c r="D464" s="159">
        <v>45900</v>
      </c>
      <c r="E464" s="198" t="s">
        <v>241</v>
      </c>
      <c r="F464" s="160" t="s">
        <v>231</v>
      </c>
      <c r="G464" s="147" t="s">
        <v>80</v>
      </c>
      <c r="H464" s="198" t="s">
        <v>302</v>
      </c>
      <c r="I464" s="158">
        <v>1109</v>
      </c>
      <c r="J464" s="147" t="s">
        <v>301</v>
      </c>
      <c r="K464" s="199">
        <v>413</v>
      </c>
      <c r="L464" s="198" t="s">
        <v>10</v>
      </c>
      <c r="M464" s="161">
        <f>IFERROR(VLOOKUP(L464,'Material Master'!B:C,2,0),"")</f>
      </c>
      <c r="N464" s="199">
        <v>200</v>
      </c>
      <c r="O464" s="162">
        <f>IFERROR(M464*N464,"")</f>
      </c>
      <c r="P464" s="198" t="s">
        <v>402</v>
      </c>
      <c r="Q464" s="158" t="s">
        <v>1106</v>
      </c>
      <c r="R464" s="163">
        <v>45870</v>
      </c>
      <c r="S464" s="147"/>
      <c r="T464" s="6"/>
      <c r="U464" s="158">
        <v>194</v>
      </c>
      <c r="V464" s="164">
        <v>31</v>
      </c>
      <c r="W464" s="165">
        <f>IFERROR(U464*V464,"0")</f>
      </c>
      <c r="X464" s="7"/>
      <c r="Y464" s="166">
        <f>IFERROR((O464/1000)*Masters!$C$3,"0")</f>
      </c>
      <c r="Z464" s="195"/>
      <c r="AA464" s="164">
        <f>IFERROR(VLOOKUP(L464,Masters!G:H,2,0),"0")</f>
      </c>
      <c r="AB464" s="166">
        <f>IFERROR(AA464*N464,"0")</f>
      </c>
      <c r="AC464" s="196"/>
      <c r="AD464" s="7"/>
      <c r="AE464" s="166">
        <f>W464+Y464+AB464+AD464</f>
      </c>
      <c r="AF464" s="195"/>
      <c r="AG464" s="169">
        <f>M464&amp;"-"&amp;F464</f>
      </c>
      <c r="AH464" s="166">
        <f>IFERROR(VLOOKUP(AG464,Masters!N:O,2,0),"0")</f>
      </c>
      <c r="AI464" s="166">
        <f>AH464*N464</f>
      </c>
      <c r="AJ464" s="7"/>
      <c r="AK464" s="170">
        <f>AI464-AE464</f>
      </c>
      <c r="AL464" s="195"/>
      <c r="AM464" s="6"/>
      <c r="AN464" s="171">
        <f>IFERROR(U464/2,"0")</f>
      </c>
    </row>
    <row x14ac:dyDescent="0.25" r="465" customHeight="1" ht="18.75">
      <c r="A465" s="158">
        <v>463</v>
      </c>
      <c r="B465" s="159">
        <v>45900</v>
      </c>
      <c r="C465" s="198" t="s">
        <v>1107</v>
      </c>
      <c r="D465" s="159">
        <v>45901</v>
      </c>
      <c r="E465" s="198" t="s">
        <v>284</v>
      </c>
      <c r="F465" s="160" t="s">
        <v>32</v>
      </c>
      <c r="G465" s="147" t="s">
        <v>155</v>
      </c>
      <c r="H465" s="198" t="s">
        <v>303</v>
      </c>
      <c r="I465" s="158">
        <v>709</v>
      </c>
      <c r="J465" s="147" t="s">
        <v>301</v>
      </c>
      <c r="K465" s="199">
        <v>414</v>
      </c>
      <c r="L465" s="198" t="s">
        <v>10</v>
      </c>
      <c r="M465" s="161">
        <f>IFERROR(VLOOKUP(L465,'Material Master'!B:C,2,0),"")</f>
      </c>
      <c r="N465" s="199">
        <v>100</v>
      </c>
      <c r="O465" s="162">
        <f>IFERROR(M465*N465,"")</f>
      </c>
      <c r="P465" s="198" t="s">
        <v>402</v>
      </c>
      <c r="Q465" s="158" t="s">
        <v>1108</v>
      </c>
      <c r="R465" s="163">
        <v>45870</v>
      </c>
      <c r="S465" s="147"/>
      <c r="T465" s="6"/>
      <c r="U465" s="158">
        <v>304</v>
      </c>
      <c r="V465" s="164">
        <v>31</v>
      </c>
      <c r="W465" s="165">
        <f>IFERROR(U465*V465,"0")</f>
      </c>
      <c r="X465" s="7"/>
      <c r="Y465" s="166">
        <f>IFERROR((O465/1000)*Masters!$C$3,"0")</f>
      </c>
      <c r="Z465" s="195"/>
      <c r="AA465" s="164">
        <f>IFERROR(VLOOKUP(L465,Masters!G:H,2,0),"0")</f>
      </c>
      <c r="AB465" s="166">
        <f>IFERROR(AA465*N465,"0")</f>
      </c>
      <c r="AC465" s="196"/>
      <c r="AD465" s="7"/>
      <c r="AE465" s="166">
        <f>W465+Y465+AB465+AD465</f>
      </c>
      <c r="AF465" s="195"/>
      <c r="AG465" s="169">
        <f>M465&amp;"-"&amp;F465</f>
      </c>
      <c r="AH465" s="166">
        <f>IFERROR(VLOOKUP(AG465,Masters!N:O,2,0),"0")</f>
      </c>
      <c r="AI465" s="166">
        <f>AH465*N465</f>
      </c>
      <c r="AJ465" s="7"/>
      <c r="AK465" s="170">
        <f>AI465-AE465</f>
      </c>
      <c r="AL465" s="195"/>
      <c r="AM465" s="6"/>
      <c r="AN465" s="171">
        <f>IFERROR(U465/2,"0")</f>
      </c>
    </row>
    <row x14ac:dyDescent="0.25" r="466" customHeight="1" ht="18.75">
      <c r="A466" s="158">
        <v>464</v>
      </c>
      <c r="B466" s="159">
        <v>45900</v>
      </c>
      <c r="C466" s="198" t="s">
        <v>1109</v>
      </c>
      <c r="D466" s="159">
        <v>45901</v>
      </c>
      <c r="E466" s="198" t="s">
        <v>285</v>
      </c>
      <c r="F466" s="160" t="s">
        <v>32</v>
      </c>
      <c r="G466" s="147" t="s">
        <v>140</v>
      </c>
      <c r="H466" s="198" t="s">
        <v>304</v>
      </c>
      <c r="I466" s="158">
        <v>709</v>
      </c>
      <c r="J466" s="147" t="s">
        <v>301</v>
      </c>
      <c r="K466" s="199">
        <v>415</v>
      </c>
      <c r="L466" s="198" t="s">
        <v>10</v>
      </c>
      <c r="M466" s="161">
        <f>IFERROR(VLOOKUP(L466,'Material Master'!B:C,2,0),"")</f>
      </c>
      <c r="N466" s="199">
        <v>100</v>
      </c>
      <c r="O466" s="162">
        <f>IFERROR(M466*N466,"")</f>
      </c>
      <c r="P466" s="198" t="s">
        <v>402</v>
      </c>
      <c r="Q466" s="158" t="s">
        <v>1110</v>
      </c>
      <c r="R466" s="163">
        <v>45870</v>
      </c>
      <c r="S466" s="147"/>
      <c r="T466" s="6"/>
      <c r="U466" s="158">
        <v>483</v>
      </c>
      <c r="V466" s="164">
        <v>31</v>
      </c>
      <c r="W466" s="165">
        <f>IFERROR(U466*V466,"0")</f>
      </c>
      <c r="X466" s="7"/>
      <c r="Y466" s="166">
        <f>IFERROR((O466/1000)*Masters!$C$3,"0")</f>
      </c>
      <c r="Z466" s="195"/>
      <c r="AA466" s="164">
        <f>IFERROR(VLOOKUP(L466,Masters!G:H,2,0),"0")</f>
      </c>
      <c r="AB466" s="166">
        <f>IFERROR(AA466*N466,"0")</f>
      </c>
      <c r="AC466" s="196"/>
      <c r="AD466" s="7"/>
      <c r="AE466" s="166">
        <f>W466+Y466+AB466+AD466</f>
      </c>
      <c r="AF466" s="195"/>
      <c r="AG466" s="169">
        <f>M466&amp;"-"&amp;F466</f>
      </c>
      <c r="AH466" s="166">
        <f>IFERROR(VLOOKUP(AG466,Masters!N:O,2,0),"0")</f>
      </c>
      <c r="AI466" s="166">
        <f>AH466*N466</f>
      </c>
      <c r="AJ466" s="7"/>
      <c r="AK466" s="170">
        <f>AI466-AE466</f>
      </c>
      <c r="AL466" s="195"/>
      <c r="AM466" s="6"/>
      <c r="AN466" s="171">
        <f>IFERROR(U466/2,"0")</f>
      </c>
    </row>
    <row x14ac:dyDescent="0.25" r="467" customHeight="1" ht="18.75">
      <c r="A467" s="158">
        <v>465</v>
      </c>
      <c r="B467" s="159">
        <v>45900</v>
      </c>
      <c r="C467" s="198" t="s">
        <v>1111</v>
      </c>
      <c r="D467" s="159">
        <v>45910</v>
      </c>
      <c r="E467" s="198" t="s">
        <v>116</v>
      </c>
      <c r="F467" s="160" t="s">
        <v>32</v>
      </c>
      <c r="G467" s="147" t="s">
        <v>117</v>
      </c>
      <c r="H467" s="198" t="s">
        <v>302</v>
      </c>
      <c r="I467" s="158">
        <v>1109</v>
      </c>
      <c r="J467" s="147" t="s">
        <v>301</v>
      </c>
      <c r="K467" s="199">
        <v>430</v>
      </c>
      <c r="L467" s="198" t="s">
        <v>10</v>
      </c>
      <c r="M467" s="161">
        <f>IFERROR(VLOOKUP(L467,'Material Master'!B:C,2,0),"")</f>
      </c>
      <c r="N467" s="199">
        <v>300</v>
      </c>
      <c r="O467" s="162">
        <f>IFERROR(M467*N467,"")</f>
      </c>
      <c r="P467" s="198" t="s">
        <v>402</v>
      </c>
      <c r="Q467" s="158" t="s">
        <v>1112</v>
      </c>
      <c r="R467" s="163">
        <v>45870</v>
      </c>
      <c r="S467" s="147"/>
      <c r="T467" s="6"/>
      <c r="U467" s="158">
        <v>362</v>
      </c>
      <c r="V467" s="164">
        <v>31</v>
      </c>
      <c r="W467" s="165">
        <f>IFERROR(U467*V467,"0")</f>
      </c>
      <c r="X467" s="7"/>
      <c r="Y467" s="166">
        <f>IFERROR((O467/1000)*Masters!$C$3,"0")</f>
      </c>
      <c r="Z467" s="195"/>
      <c r="AA467" s="164">
        <f>IFERROR(VLOOKUP(L467,Masters!G:H,2,0),"0")</f>
      </c>
      <c r="AB467" s="166">
        <f>IFERROR(AA467*N467,"0")</f>
      </c>
      <c r="AC467" s="196"/>
      <c r="AD467" s="7"/>
      <c r="AE467" s="166">
        <f>W467+Y467+AB467+AD467</f>
      </c>
      <c r="AF467" s="195"/>
      <c r="AG467" s="169">
        <f>M467&amp;"-"&amp;F467</f>
      </c>
      <c r="AH467" s="166">
        <f>IFERROR(VLOOKUP(AG467,Masters!N:O,2,0),"0")</f>
      </c>
      <c r="AI467" s="166">
        <f>AH467*N467</f>
      </c>
      <c r="AJ467" s="7"/>
      <c r="AK467" s="170">
        <f>AI467-AE467</f>
      </c>
      <c r="AL467" s="195"/>
      <c r="AM467" s="6"/>
      <c r="AN467" s="171">
        <f>IFERROR(U467/2,"0")</f>
      </c>
    </row>
    <row x14ac:dyDescent="0.25" r="468" customHeight="1" ht="18.75">
      <c r="A468" s="158">
        <v>466</v>
      </c>
      <c r="B468" s="159">
        <v>45900</v>
      </c>
      <c r="C468" s="198" t="s">
        <v>1113</v>
      </c>
      <c r="D468" s="159">
        <v>45908</v>
      </c>
      <c r="E468" s="198" t="s">
        <v>1114</v>
      </c>
      <c r="F468" s="160" t="s">
        <v>32</v>
      </c>
      <c r="G468" s="147" t="s">
        <v>117</v>
      </c>
      <c r="H468" s="198" t="s">
        <v>303</v>
      </c>
      <c r="I468" s="158">
        <v>1109</v>
      </c>
      <c r="J468" s="147" t="s">
        <v>301</v>
      </c>
      <c r="K468" s="199">
        <v>425</v>
      </c>
      <c r="L468" s="198" t="s">
        <v>10</v>
      </c>
      <c r="M468" s="161">
        <f>IFERROR(VLOOKUP(L468,'Material Master'!B:C,2,0),"")</f>
      </c>
      <c r="N468" s="199">
        <v>300</v>
      </c>
      <c r="O468" s="162">
        <f>IFERROR(M468*N468,"")</f>
      </c>
      <c r="P468" s="198" t="s">
        <v>402</v>
      </c>
      <c r="Q468" s="158" t="s">
        <v>1115</v>
      </c>
      <c r="R468" s="163">
        <v>45870</v>
      </c>
      <c r="S468" s="147"/>
      <c r="T468" s="6"/>
      <c r="U468" s="158">
        <v>175</v>
      </c>
      <c r="V468" s="164">
        <v>31</v>
      </c>
      <c r="W468" s="165">
        <f>IFERROR(U468*V468,"0")</f>
      </c>
      <c r="X468" s="7"/>
      <c r="Y468" s="166">
        <f>IFERROR((O468/1000)*Masters!$C$3,"0")</f>
      </c>
      <c r="Z468" s="195"/>
      <c r="AA468" s="164">
        <f>IFERROR(VLOOKUP(L468,Masters!G:H,2,0),"0")</f>
      </c>
      <c r="AB468" s="166">
        <f>IFERROR(AA468*N468,"0")</f>
      </c>
      <c r="AC468" s="196"/>
      <c r="AD468" s="7"/>
      <c r="AE468" s="166">
        <f>W468+Y468+AB468+AD468</f>
      </c>
      <c r="AF468" s="195"/>
      <c r="AG468" s="169">
        <f>M468&amp;"-"&amp;F468</f>
      </c>
      <c r="AH468" s="166">
        <f>IFERROR(VLOOKUP(AG468,Masters!N:O,2,0),"0")</f>
      </c>
      <c r="AI468" s="166">
        <f>AH468*N468</f>
      </c>
      <c r="AJ468" s="7"/>
      <c r="AK468" s="170">
        <f>AI468-AE468</f>
      </c>
      <c r="AL468" s="195"/>
      <c r="AM468" s="6"/>
      <c r="AN468" s="171">
        <f>IFERROR(U468/2,"0")</f>
      </c>
    </row>
    <row x14ac:dyDescent="0.25" r="469" customHeight="1" ht="18.75">
      <c r="A469" s="158">
        <v>467</v>
      </c>
      <c r="B469" s="159">
        <v>45900</v>
      </c>
      <c r="C469" s="198" t="s">
        <v>1116</v>
      </c>
      <c r="D469" s="159">
        <v>45904</v>
      </c>
      <c r="E469" s="198" t="s">
        <v>148</v>
      </c>
      <c r="F469" s="160" t="s">
        <v>231</v>
      </c>
      <c r="G469" s="147" t="s">
        <v>151</v>
      </c>
      <c r="H469" s="198" t="s">
        <v>305</v>
      </c>
      <c r="I469" s="158">
        <v>1109</v>
      </c>
      <c r="J469" s="147" t="s">
        <v>301</v>
      </c>
      <c r="K469" s="199">
        <v>423</v>
      </c>
      <c r="L469" s="198" t="s">
        <v>10</v>
      </c>
      <c r="M469" s="161">
        <f>IFERROR(VLOOKUP(L469,'Material Master'!B:C,2,0),"")</f>
      </c>
      <c r="N469" s="199">
        <v>300</v>
      </c>
      <c r="O469" s="162">
        <f>IFERROR(M469*N469,"")</f>
      </c>
      <c r="P469" s="198" t="s">
        <v>402</v>
      </c>
      <c r="Q469" s="158" t="s">
        <v>1117</v>
      </c>
      <c r="R469" s="163">
        <v>45870</v>
      </c>
      <c r="S469" s="147"/>
      <c r="T469" s="6"/>
      <c r="U469" s="158">
        <v>232</v>
      </c>
      <c r="V469" s="164">
        <v>31</v>
      </c>
      <c r="W469" s="165">
        <f>IFERROR(U469*V469,"0")</f>
      </c>
      <c r="X469" s="7"/>
      <c r="Y469" s="166">
        <f>IFERROR((O469/1000)*Masters!$C$3,"0")</f>
      </c>
      <c r="Z469" s="195"/>
      <c r="AA469" s="164">
        <f>IFERROR(VLOOKUP(L469,Masters!G:H,2,0),"0")</f>
      </c>
      <c r="AB469" s="166">
        <f>IFERROR(AA469*N469,"0")</f>
      </c>
      <c r="AC469" s="196"/>
      <c r="AD469" s="7"/>
      <c r="AE469" s="166">
        <f>W469+Y469+AB469+AD469</f>
      </c>
      <c r="AF469" s="195"/>
      <c r="AG469" s="169">
        <f>M469&amp;"-"&amp;F469</f>
      </c>
      <c r="AH469" s="166">
        <f>IFERROR(VLOOKUP(AG469,Masters!N:O,2,0),"0")</f>
      </c>
      <c r="AI469" s="166">
        <f>AH469*N469</f>
      </c>
      <c r="AJ469" s="7"/>
      <c r="AK469" s="170">
        <f>AI469-AE469</f>
      </c>
      <c r="AL469" s="195"/>
      <c r="AM469" s="6"/>
      <c r="AN469" s="171">
        <f>IFERROR(U469/2,"0")</f>
      </c>
    </row>
    <row x14ac:dyDescent="0.25" r="470" customHeight="1" ht="18.75">
      <c r="A470" s="158">
        <f>A469+1</f>
      </c>
      <c r="B470" s="159">
        <v>45900</v>
      </c>
      <c r="C470" s="198" t="s">
        <v>1118</v>
      </c>
      <c r="D470" s="159">
        <v>45901</v>
      </c>
      <c r="E470" s="198" t="s">
        <v>148</v>
      </c>
      <c r="F470" s="160" t="s">
        <v>231</v>
      </c>
      <c r="G470" s="147" t="s">
        <v>203</v>
      </c>
      <c r="H470" s="198" t="s">
        <v>305</v>
      </c>
      <c r="I470" s="158">
        <v>1109</v>
      </c>
      <c r="J470" s="147" t="s">
        <v>301</v>
      </c>
      <c r="K470" s="199">
        <v>416</v>
      </c>
      <c r="L470" s="198" t="s">
        <v>10</v>
      </c>
      <c r="M470" s="161">
        <f>IFERROR(VLOOKUP(L470,'Material Master'!B:C,2,0),"")</f>
      </c>
      <c r="N470" s="199">
        <v>300</v>
      </c>
      <c r="O470" s="162">
        <f>IFERROR(M470*N470,"")</f>
      </c>
      <c r="P470" s="198" t="s">
        <v>402</v>
      </c>
      <c r="Q470" s="158" t="s">
        <v>1119</v>
      </c>
      <c r="R470" s="163">
        <v>45870</v>
      </c>
      <c r="S470" s="147"/>
      <c r="T470" s="6"/>
      <c r="U470" s="158">
        <v>127</v>
      </c>
      <c r="V470" s="164">
        <v>31</v>
      </c>
      <c r="W470" s="165">
        <f>IFERROR(U470*V470,"0")</f>
      </c>
      <c r="X470" s="7"/>
      <c r="Y470" s="166">
        <f>IFERROR((O470/1000)*Masters!$C$3,"0")</f>
      </c>
      <c r="Z470" s="195"/>
      <c r="AA470" s="164">
        <f>IFERROR(VLOOKUP(L470,Masters!G:H,2,0),"0")</f>
      </c>
      <c r="AB470" s="166">
        <f>IFERROR(AA470*N470,"0")</f>
      </c>
      <c r="AC470" s="196"/>
      <c r="AD470" s="7"/>
      <c r="AE470" s="166">
        <f>W470+Y470+AB470+AD470</f>
      </c>
      <c r="AF470" s="195"/>
      <c r="AG470" s="169">
        <f>M470&amp;"-"&amp;F470</f>
      </c>
      <c r="AH470" s="166">
        <f>IFERROR(VLOOKUP(AG470,Masters!N:O,2,0),"0")</f>
      </c>
      <c r="AI470" s="166">
        <f>AH470*N470</f>
      </c>
      <c r="AJ470" s="7"/>
      <c r="AK470" s="170">
        <f>AI470-AE470</f>
      </c>
      <c r="AL470" s="195"/>
      <c r="AM470" s="6"/>
      <c r="AN470" s="171">
        <f>IFERROR(U470/2,"0")</f>
      </c>
    </row>
    <row x14ac:dyDescent="0.25" r="471" customHeight="1" ht="18.75">
      <c r="A471" s="158">
        <f>A470+1</f>
      </c>
      <c r="B471" s="159">
        <v>45900</v>
      </c>
      <c r="C471" s="198" t="s">
        <v>1120</v>
      </c>
      <c r="D471" s="159">
        <v>45903</v>
      </c>
      <c r="E471" s="198" t="s">
        <v>148</v>
      </c>
      <c r="F471" s="160" t="s">
        <v>804</v>
      </c>
      <c r="G471" s="147" t="s">
        <v>203</v>
      </c>
      <c r="H471" s="198" t="s">
        <v>304</v>
      </c>
      <c r="I471" s="158">
        <v>1109</v>
      </c>
      <c r="J471" s="147" t="s">
        <v>301</v>
      </c>
      <c r="K471" s="199">
        <v>419</v>
      </c>
      <c r="L471" s="198" t="s">
        <v>10</v>
      </c>
      <c r="M471" s="161">
        <f>IFERROR(VLOOKUP(L471,'Material Master'!B:C,2,0),"")</f>
      </c>
      <c r="N471" s="199">
        <v>300</v>
      </c>
      <c r="O471" s="162">
        <f>IFERROR(M471*N471,"")</f>
      </c>
      <c r="P471" s="198" t="s">
        <v>402</v>
      </c>
      <c r="Q471" s="158" t="s">
        <v>1121</v>
      </c>
      <c r="R471" s="163">
        <v>45870</v>
      </c>
      <c r="S471" s="147"/>
      <c r="T471" s="6"/>
      <c r="U471" s="158">
        <v>125</v>
      </c>
      <c r="V471" s="164">
        <v>31</v>
      </c>
      <c r="W471" s="165">
        <f>IFERROR(U471*V471,"0")</f>
      </c>
      <c r="X471" s="7"/>
      <c r="Y471" s="166">
        <f>IFERROR((O471/1000)*Masters!$C$3,"0")</f>
      </c>
      <c r="Z471" s="195"/>
      <c r="AA471" s="164">
        <f>IFERROR(VLOOKUP(L471,Masters!G:H,2,0),"0")</f>
      </c>
      <c r="AB471" s="166">
        <f>IFERROR(AA471*N471,"0")</f>
      </c>
      <c r="AC471" s="196"/>
      <c r="AD471" s="7"/>
      <c r="AE471" s="166">
        <f>W471+Y471+AB471+AD471</f>
      </c>
      <c r="AF471" s="195"/>
      <c r="AG471" s="169">
        <f>M471&amp;"-"&amp;F471</f>
      </c>
      <c r="AH471" s="166">
        <f>IFERROR(VLOOKUP(AG471,Masters!N:O,2,0),"0")</f>
      </c>
      <c r="AI471" s="166">
        <f>AH471*N471</f>
      </c>
      <c r="AJ471" s="7"/>
      <c r="AK471" s="170">
        <f>AI471-AE471</f>
      </c>
      <c r="AL471" s="195"/>
      <c r="AM471" s="6"/>
      <c r="AN471" s="171">
        <f>IFERROR(U471/2,"0")</f>
      </c>
    </row>
    <row x14ac:dyDescent="0.25" r="472" customHeight="1" ht="18.75">
      <c r="A472" s="158">
        <f>A471+1</f>
      </c>
      <c r="B472" s="159">
        <v>45900</v>
      </c>
      <c r="C472" s="198" t="s">
        <v>1122</v>
      </c>
      <c r="D472" s="159">
        <v>45902</v>
      </c>
      <c r="E472" s="198" t="s">
        <v>134</v>
      </c>
      <c r="F472" s="160" t="s">
        <v>32</v>
      </c>
      <c r="G472" s="147" t="s">
        <v>115</v>
      </c>
      <c r="H472" s="198" t="s">
        <v>302</v>
      </c>
      <c r="I472" s="158">
        <v>1109</v>
      </c>
      <c r="J472" s="147" t="s">
        <v>301</v>
      </c>
      <c r="K472" s="199">
        <v>417</v>
      </c>
      <c r="L472" s="198" t="s">
        <v>10</v>
      </c>
      <c r="M472" s="161">
        <f>IFERROR(VLOOKUP(L472,'Material Master'!B:C,2,0),"")</f>
      </c>
      <c r="N472" s="199">
        <v>300</v>
      </c>
      <c r="O472" s="162">
        <f>IFERROR(M472*N472,"")</f>
      </c>
      <c r="P472" s="198" t="s">
        <v>402</v>
      </c>
      <c r="Q472" s="158" t="s">
        <v>1123</v>
      </c>
      <c r="R472" s="163">
        <v>45870</v>
      </c>
      <c r="S472" s="147"/>
      <c r="T472" s="6"/>
      <c r="U472" s="158">
        <v>235</v>
      </c>
      <c r="V472" s="164">
        <v>31</v>
      </c>
      <c r="W472" s="165">
        <f>IFERROR(U472*V472,"0")</f>
      </c>
      <c r="X472" s="7"/>
      <c r="Y472" s="166">
        <f>IFERROR((O472/1000)*Masters!$C$3,"0")</f>
      </c>
      <c r="Z472" s="195"/>
      <c r="AA472" s="164">
        <f>IFERROR(VLOOKUP(L472,Masters!G:H,2,0),"0")</f>
      </c>
      <c r="AB472" s="166">
        <f>IFERROR(AA472*N472,"0")</f>
      </c>
      <c r="AC472" s="196"/>
      <c r="AD472" s="7"/>
      <c r="AE472" s="166">
        <f>W472+Y472+AB472+AD472</f>
      </c>
      <c r="AF472" s="195"/>
      <c r="AG472" s="169">
        <f>M472&amp;"-"&amp;F472</f>
      </c>
      <c r="AH472" s="166">
        <f>IFERROR(VLOOKUP(AG472,Masters!N:O,2,0),"0")</f>
      </c>
      <c r="AI472" s="166">
        <f>AH472*N472</f>
      </c>
      <c r="AJ472" s="7"/>
      <c r="AK472" s="170">
        <f>AI472-AE472</f>
      </c>
      <c r="AL472" s="195"/>
      <c r="AM472" s="6"/>
      <c r="AN472" s="171">
        <f>IFERROR(U472/2,"0")</f>
      </c>
    </row>
    <row x14ac:dyDescent="0.25" r="473" customHeight="1" ht="18.75">
      <c r="A473" s="158">
        <f>A472+1</f>
      </c>
      <c r="B473" s="159">
        <v>45900</v>
      </c>
      <c r="C473" s="198" t="s">
        <v>1124</v>
      </c>
      <c r="D473" s="159">
        <v>45909</v>
      </c>
      <c r="E473" s="198" t="s">
        <v>134</v>
      </c>
      <c r="F473" s="160" t="s">
        <v>231</v>
      </c>
      <c r="G473" s="147" t="s">
        <v>230</v>
      </c>
      <c r="H473" s="198" t="s">
        <v>305</v>
      </c>
      <c r="I473" s="158">
        <v>1109</v>
      </c>
      <c r="J473" s="147" t="s">
        <v>301</v>
      </c>
      <c r="K473" s="199">
        <v>427</v>
      </c>
      <c r="L473" s="198" t="s">
        <v>10</v>
      </c>
      <c r="M473" s="161">
        <f>IFERROR(VLOOKUP(L473,'Material Master'!B:C,2,0),"")</f>
      </c>
      <c r="N473" s="199">
        <v>300</v>
      </c>
      <c r="O473" s="162">
        <f>IFERROR(M473*N473,"")</f>
      </c>
      <c r="P473" s="198" t="s">
        <v>402</v>
      </c>
      <c r="Q473" s="158" t="s">
        <v>1125</v>
      </c>
      <c r="R473" s="163">
        <v>45870</v>
      </c>
      <c r="S473" s="147"/>
      <c r="T473" s="6"/>
      <c r="U473" s="158">
        <v>62</v>
      </c>
      <c r="V473" s="164">
        <v>31</v>
      </c>
      <c r="W473" s="165">
        <f>IFERROR(U473*V473,"0")</f>
      </c>
      <c r="X473" s="7"/>
      <c r="Y473" s="166">
        <f>IFERROR((O473/1000)*Masters!$C$3,"0")</f>
      </c>
      <c r="Z473" s="195"/>
      <c r="AA473" s="164">
        <f>IFERROR(VLOOKUP(L473,Masters!G:H,2,0),"0")</f>
      </c>
      <c r="AB473" s="166">
        <f>IFERROR(AA473*N473,"0")</f>
      </c>
      <c r="AC473" s="196"/>
      <c r="AD473" s="7"/>
      <c r="AE473" s="166">
        <f>W473+Y473+AB473+AD473</f>
      </c>
      <c r="AF473" s="195"/>
      <c r="AG473" s="169">
        <f>M473&amp;"-"&amp;F473</f>
      </c>
      <c r="AH473" s="166">
        <f>IFERROR(VLOOKUP(AG473,Masters!N:O,2,0),"0")</f>
      </c>
      <c r="AI473" s="166">
        <f>AH473*N473</f>
      </c>
      <c r="AJ473" s="7"/>
      <c r="AK473" s="170">
        <f>AI473-AE473</f>
      </c>
      <c r="AL473" s="195"/>
      <c r="AM473" s="6"/>
      <c r="AN473" s="171">
        <f>IFERROR(U473/2,"0")</f>
      </c>
    </row>
    <row x14ac:dyDescent="0.25" r="474" customHeight="1" ht="18.75">
      <c r="A474" s="158">
        <f>A473+1</f>
      </c>
      <c r="B474" s="159">
        <v>45900</v>
      </c>
      <c r="C474" s="198" t="s">
        <v>1126</v>
      </c>
      <c r="D474" s="159">
        <v>45903</v>
      </c>
      <c r="E474" s="198" t="s">
        <v>79</v>
      </c>
      <c r="F474" s="160" t="s">
        <v>32</v>
      </c>
      <c r="G474" s="147" t="s">
        <v>158</v>
      </c>
      <c r="H474" s="198" t="s">
        <v>324</v>
      </c>
      <c r="I474" s="158">
        <v>1109</v>
      </c>
      <c r="J474" s="147" t="s">
        <v>306</v>
      </c>
      <c r="K474" s="199">
        <v>421</v>
      </c>
      <c r="L474" s="198" t="s">
        <v>15</v>
      </c>
      <c r="M474" s="161">
        <f>IFERROR(VLOOKUP(L474,'Material Master'!B:C,2,0),"")</f>
      </c>
      <c r="N474" s="199">
        <v>30</v>
      </c>
      <c r="O474" s="162">
        <f>IFERROR(M474*N474,"")</f>
      </c>
      <c r="P474" s="198" t="s">
        <v>402</v>
      </c>
      <c r="Q474" s="158" t="s">
        <v>1127</v>
      </c>
      <c r="R474" s="163">
        <v>45870</v>
      </c>
      <c r="S474" s="147" t="s">
        <v>306</v>
      </c>
      <c r="T474" s="6"/>
      <c r="U474" s="158">
        <v>0</v>
      </c>
      <c r="V474" s="164">
        <v>31</v>
      </c>
      <c r="W474" s="165">
        <v>10000</v>
      </c>
      <c r="X474" s="7"/>
      <c r="Y474" s="166">
        <f>IFERROR((O474/1000)*Masters!$C$3,"0")</f>
      </c>
      <c r="Z474" s="195"/>
      <c r="AA474" s="164">
        <f>IFERROR(VLOOKUP(L474,Masters!G:H,2,0),"0")</f>
      </c>
      <c r="AB474" s="166">
        <f>IFERROR(AA474*N474,"0")</f>
      </c>
      <c r="AC474" s="196"/>
      <c r="AD474" s="7"/>
      <c r="AE474" s="166">
        <f>W474+Y474+AB474+AD474</f>
      </c>
      <c r="AF474" s="195"/>
      <c r="AG474" s="169">
        <f>M474&amp;"-"&amp;F474</f>
      </c>
      <c r="AH474" s="166">
        <f>IFERROR(VLOOKUP(AG474,Masters!N:O,2,0),"0")</f>
      </c>
      <c r="AI474" s="166">
        <f>AH474*N474</f>
      </c>
      <c r="AJ474" s="7"/>
      <c r="AK474" s="170">
        <f>AI474-AE474</f>
      </c>
      <c r="AL474" s="195"/>
      <c r="AM474" s="6"/>
      <c r="AN474" s="171">
        <f>IFERROR(U474/2,"0")</f>
      </c>
    </row>
    <row x14ac:dyDescent="0.25" r="475" customHeight="1" ht="18.75">
      <c r="A475" s="158">
        <f>A474+1</f>
      </c>
      <c r="B475" s="159">
        <v>45900</v>
      </c>
      <c r="C475" s="198" t="s">
        <v>1128</v>
      </c>
      <c r="D475" s="159">
        <v>45902</v>
      </c>
      <c r="E475" s="198" t="s">
        <v>79</v>
      </c>
      <c r="F475" s="160" t="s">
        <v>32</v>
      </c>
      <c r="G475" s="147" t="s">
        <v>167</v>
      </c>
      <c r="H475" s="198" t="s">
        <v>305</v>
      </c>
      <c r="I475" s="158">
        <v>1109</v>
      </c>
      <c r="J475" s="147" t="s">
        <v>301</v>
      </c>
      <c r="K475" s="199">
        <v>418</v>
      </c>
      <c r="L475" s="198" t="s">
        <v>15</v>
      </c>
      <c r="M475" s="161">
        <f>IFERROR(VLOOKUP(L475,'Material Master'!B:C,2,0),"")</f>
      </c>
      <c r="N475" s="199">
        <v>30</v>
      </c>
      <c r="O475" s="162">
        <f>IFERROR(M475*N475,"")</f>
      </c>
      <c r="P475" s="198" t="s">
        <v>402</v>
      </c>
      <c r="Q475" s="158" t="s">
        <v>1129</v>
      </c>
      <c r="R475" s="163">
        <v>45870</v>
      </c>
      <c r="S475" s="147"/>
      <c r="T475" s="6"/>
      <c r="U475" s="158">
        <v>362</v>
      </c>
      <c r="V475" s="164">
        <v>31</v>
      </c>
      <c r="W475" s="165">
        <f>IFERROR(U475*V475,"0")</f>
      </c>
      <c r="X475" s="7"/>
      <c r="Y475" s="166">
        <f>IFERROR((O475/1000)*Masters!$C$3,"0")</f>
      </c>
      <c r="Z475" s="195"/>
      <c r="AA475" s="164">
        <f>IFERROR(VLOOKUP(L475,Masters!G:H,2,0),"0")</f>
      </c>
      <c r="AB475" s="166">
        <f>IFERROR(AA475*N475,"0")</f>
      </c>
      <c r="AC475" s="196"/>
      <c r="AD475" s="7"/>
      <c r="AE475" s="166">
        <f>W475+Y475+AB475+AD475</f>
      </c>
      <c r="AF475" s="195"/>
      <c r="AG475" s="169">
        <f>M475&amp;"-"&amp;F475</f>
      </c>
      <c r="AH475" s="166">
        <f>IFERROR(VLOOKUP(AG475,Masters!N:O,2,0),"0")</f>
      </c>
      <c r="AI475" s="166">
        <f>AH475*N475</f>
      </c>
      <c r="AJ475" s="7"/>
      <c r="AK475" s="170">
        <f>AI475-AE475</f>
      </c>
      <c r="AL475" s="195"/>
      <c r="AM475" s="6"/>
      <c r="AN475" s="171">
        <f>IFERROR(U475/2,"0")</f>
      </c>
    </row>
    <row x14ac:dyDescent="0.25" r="476" customHeight="1" ht="18.75">
      <c r="A476" s="158">
        <f>A475+1</f>
      </c>
      <c r="B476" s="159">
        <v>45903</v>
      </c>
      <c r="C476" s="198" t="s">
        <v>1130</v>
      </c>
      <c r="D476" s="159">
        <v>45904</v>
      </c>
      <c r="E476" s="198" t="s">
        <v>120</v>
      </c>
      <c r="F476" s="160" t="s">
        <v>32</v>
      </c>
      <c r="G476" s="147" t="s">
        <v>155</v>
      </c>
      <c r="H476" s="198" t="s">
        <v>302</v>
      </c>
      <c r="I476" s="158">
        <v>909</v>
      </c>
      <c r="J476" s="147" t="s">
        <v>301</v>
      </c>
      <c r="K476" s="199">
        <v>422</v>
      </c>
      <c r="L476" s="198" t="s">
        <v>10</v>
      </c>
      <c r="M476" s="161">
        <f>IFERROR(VLOOKUP(L476,'Material Master'!B:C,2,0),"")</f>
      </c>
      <c r="N476" s="199">
        <v>200</v>
      </c>
      <c r="O476" s="162">
        <f>IFERROR(M476*N476,"")</f>
      </c>
      <c r="P476" s="198" t="s">
        <v>402</v>
      </c>
      <c r="Q476" s="158" t="s">
        <v>1131</v>
      </c>
      <c r="R476" s="163">
        <v>45901</v>
      </c>
      <c r="S476" s="147"/>
      <c r="T476" s="6"/>
      <c r="U476" s="158">
        <v>313</v>
      </c>
      <c r="V476" s="164">
        <v>31</v>
      </c>
      <c r="W476" s="165">
        <f>IFERROR(U476*V476,"0")</f>
      </c>
      <c r="X476" s="7"/>
      <c r="Y476" s="166">
        <f>IFERROR((O476/1000)*Masters!$C$3,"0")</f>
      </c>
      <c r="Z476" s="195"/>
      <c r="AA476" s="164">
        <f>IFERROR(VLOOKUP(L476,Masters!G:H,2,0),"0")</f>
      </c>
      <c r="AB476" s="166">
        <f>IFERROR(AA476*N476,"0")</f>
      </c>
      <c r="AC476" s="196"/>
      <c r="AD476" s="7"/>
      <c r="AE476" s="166">
        <f>W476+Y476+AB476+AD476</f>
      </c>
      <c r="AF476" s="195"/>
      <c r="AG476" s="169">
        <f>M476&amp;"-"&amp;F476</f>
      </c>
      <c r="AH476" s="166">
        <f>IFERROR(VLOOKUP(AG476,Masters!N:O,2,0),"0")</f>
      </c>
      <c r="AI476" s="166">
        <f>AH476*N476</f>
      </c>
      <c r="AJ476" s="7"/>
      <c r="AK476" s="170">
        <f>AI476-AE476</f>
      </c>
      <c r="AL476" s="195"/>
      <c r="AM476" s="6"/>
      <c r="AN476" s="171">
        <f>IFERROR(U476/2,"0")</f>
      </c>
    </row>
    <row x14ac:dyDescent="0.25" r="477" customHeight="1" ht="10.5">
      <c r="A477" s="228">
        <f>A476+1</f>
      </c>
      <c r="B477" s="237">
        <v>45903</v>
      </c>
      <c r="C477" s="203" t="s">
        <v>1132</v>
      </c>
      <c r="D477" s="237"/>
      <c r="E477" s="203" t="s">
        <v>237</v>
      </c>
      <c r="F477" s="227"/>
      <c r="G477" s="203" t="s">
        <v>238</v>
      </c>
      <c r="H477" s="203"/>
      <c r="I477" s="228">
        <v>709</v>
      </c>
      <c r="J477" s="203"/>
      <c r="K477" s="228"/>
      <c r="L477" s="203"/>
      <c r="M477" s="229">
        <f>IFERROR(VLOOKUP(L477,'Material Master'!B:C,2,0),"")</f>
      </c>
      <c r="N477" s="228"/>
      <c r="O477" s="230">
        <f>IFERROR(M477*N477,"")</f>
      </c>
      <c r="P477" s="203"/>
      <c r="Q477" s="228"/>
      <c r="R477" s="231"/>
      <c r="S477" s="203" t="s">
        <v>985</v>
      </c>
      <c r="T477" s="232"/>
      <c r="U477" s="228"/>
      <c r="V477" s="229">
        <v>31</v>
      </c>
      <c r="W477" s="233">
        <f>IFERROR(U477*V477,"0")</f>
      </c>
      <c r="X477" s="234"/>
      <c r="Y477" s="238">
        <f>IFERROR((O477/1000)*Masters!$C$3,"0")</f>
      </c>
      <c r="Z477" s="235"/>
      <c r="AA477" s="229">
        <f>IFERROR(VLOOKUP(L477,Masters!G:H,2,0),"0")</f>
      </c>
      <c r="AB477" s="239">
        <f>IFERROR(AA477*N477,"0")</f>
      </c>
      <c r="AC477" s="236"/>
      <c r="AD477" s="234"/>
      <c r="AE477" s="239">
        <f>W477+Y477+AB477+AD477</f>
      </c>
      <c r="AF477" s="235"/>
      <c r="AG477" s="240">
        <f>M477&amp;"-"&amp;F477</f>
      </c>
      <c r="AH477" s="238">
        <f>IFERROR(VLOOKUP(AG477,Masters!N:O,2,0),"0")</f>
      </c>
      <c r="AI477" s="239">
        <f>AH477*N477</f>
      </c>
      <c r="AJ477" s="234"/>
      <c r="AK477" s="239">
        <f>AI477-AE477</f>
      </c>
      <c r="AL477" s="235"/>
      <c r="AM477" s="232"/>
      <c r="AN477" s="241">
        <f>IFERROR(U477/2,"0")</f>
      </c>
    </row>
    <row x14ac:dyDescent="0.25" r="478" customHeight="1" ht="18.75">
      <c r="A478" s="158">
        <f>A477+1</f>
      </c>
      <c r="B478" s="159">
        <v>45905</v>
      </c>
      <c r="C478" s="198" t="s">
        <v>1133</v>
      </c>
      <c r="D478" s="159">
        <v>45905</v>
      </c>
      <c r="E478" s="198" t="s">
        <v>102</v>
      </c>
      <c r="F478" s="160" t="s">
        <v>32</v>
      </c>
      <c r="G478" s="147" t="s">
        <v>616</v>
      </c>
      <c r="H478" s="198" t="s">
        <v>304</v>
      </c>
      <c r="I478" s="158">
        <v>1109</v>
      </c>
      <c r="J478" s="147" t="s">
        <v>301</v>
      </c>
      <c r="K478" s="199">
        <v>424</v>
      </c>
      <c r="L478" s="198" t="s">
        <v>10</v>
      </c>
      <c r="M478" s="161">
        <f>IFERROR(VLOOKUP(L478,'Material Master'!B:C,2,0),"")</f>
      </c>
      <c r="N478" s="199">
        <v>300</v>
      </c>
      <c r="O478" s="162">
        <f>IFERROR(M478*N478,"")</f>
      </c>
      <c r="P478" s="198" t="s">
        <v>402</v>
      </c>
      <c r="Q478" s="158" t="s">
        <v>1134</v>
      </c>
      <c r="R478" s="163">
        <v>45901</v>
      </c>
      <c r="S478" s="147"/>
      <c r="T478" s="6"/>
      <c r="U478" s="158">
        <v>242</v>
      </c>
      <c r="V478" s="164">
        <v>31</v>
      </c>
      <c r="W478" s="165">
        <f>IFERROR(U478*V478,"0")</f>
      </c>
      <c r="X478" s="7"/>
      <c r="Y478" s="166">
        <f>IFERROR((O478/1000)*Masters!$C$3,"0")</f>
      </c>
      <c r="Z478" s="195"/>
      <c r="AA478" s="164">
        <f>IFERROR(VLOOKUP(L478,Masters!G:H,2,0),"0")</f>
      </c>
      <c r="AB478" s="166">
        <f>IFERROR(AA478*N478,"0")</f>
      </c>
      <c r="AC478" s="196"/>
      <c r="AD478" s="7"/>
      <c r="AE478" s="166">
        <f>W478+Y478+AB478+AD478</f>
      </c>
      <c r="AF478" s="195"/>
      <c r="AG478" s="169">
        <f>M478&amp;"-"&amp;F478</f>
      </c>
      <c r="AH478" s="166">
        <f>IFERROR(VLOOKUP(AG478,Masters!N:O,2,0),"0")</f>
      </c>
      <c r="AI478" s="166">
        <f>AH478*N478</f>
      </c>
      <c r="AJ478" s="7"/>
      <c r="AK478" s="170">
        <f>AI478-AE478</f>
      </c>
      <c r="AL478" s="195"/>
      <c r="AM478" s="6"/>
      <c r="AN478" s="171">
        <f>IFERROR(U478/2,"0")</f>
      </c>
    </row>
    <row x14ac:dyDescent="0.25" r="479" customHeight="1" ht="18.75">
      <c r="A479" s="158">
        <f>A478+1</f>
      </c>
      <c r="B479" s="159">
        <v>45908</v>
      </c>
      <c r="C479" s="198" t="s">
        <v>1135</v>
      </c>
      <c r="D479" s="159">
        <v>45908</v>
      </c>
      <c r="E479" s="198" t="s">
        <v>181</v>
      </c>
      <c r="F479" s="160" t="s">
        <v>32</v>
      </c>
      <c r="G479" s="147" t="s">
        <v>182</v>
      </c>
      <c r="H479" s="198" t="s">
        <v>302</v>
      </c>
      <c r="I479" s="158">
        <v>709</v>
      </c>
      <c r="J479" s="147" t="s">
        <v>301</v>
      </c>
      <c r="K479" s="199">
        <v>426</v>
      </c>
      <c r="L479" s="198" t="s">
        <v>10</v>
      </c>
      <c r="M479" s="161">
        <f>IFERROR(VLOOKUP(L479,'Material Master'!B:C,2,0),"")</f>
      </c>
      <c r="N479" s="199">
        <v>100</v>
      </c>
      <c r="O479" s="162">
        <f>IFERROR(M479*N479,"")</f>
      </c>
      <c r="P479" s="198" t="s">
        <v>402</v>
      </c>
      <c r="Q479" s="158" t="s">
        <v>1136</v>
      </c>
      <c r="R479" s="163">
        <v>45901</v>
      </c>
      <c r="S479" s="147"/>
      <c r="T479" s="6"/>
      <c r="U479" s="158">
        <v>191</v>
      </c>
      <c r="V479" s="164">
        <v>31</v>
      </c>
      <c r="W479" s="165">
        <f>IFERROR(U479*V479,"0")</f>
      </c>
      <c r="X479" s="7"/>
      <c r="Y479" s="166">
        <f>IFERROR((O479/1000)*Masters!$C$3,"0")</f>
      </c>
      <c r="Z479" s="195"/>
      <c r="AA479" s="164">
        <f>IFERROR(VLOOKUP(L479,Masters!G:H,2,0),"0")</f>
      </c>
      <c r="AB479" s="166">
        <f>IFERROR(AA479*N479,"0")</f>
      </c>
      <c r="AC479" s="196"/>
      <c r="AD479" s="7"/>
      <c r="AE479" s="166">
        <f>W479+Y479+AB479+AD479</f>
      </c>
      <c r="AF479" s="195"/>
      <c r="AG479" s="169">
        <f>M479&amp;"-"&amp;F479</f>
      </c>
      <c r="AH479" s="166">
        <f>IFERROR(VLOOKUP(AG479,Masters!N:O,2,0),"0")</f>
      </c>
      <c r="AI479" s="166">
        <f>AH479*N479</f>
      </c>
      <c r="AJ479" s="7"/>
      <c r="AK479" s="170">
        <f>AI479-AE479</f>
      </c>
      <c r="AL479" s="195"/>
      <c r="AM479" s="6"/>
      <c r="AN479" s="171">
        <f>IFERROR(U479/2,"0")</f>
      </c>
    </row>
    <row x14ac:dyDescent="0.25" r="480" customHeight="1" ht="18.75">
      <c r="A480" s="158">
        <f>A479+1</f>
      </c>
      <c r="B480" s="159">
        <v>45909</v>
      </c>
      <c r="C480" s="198" t="s">
        <v>1137</v>
      </c>
      <c r="D480" s="159">
        <v>45909</v>
      </c>
      <c r="E480" s="198" t="s">
        <v>75</v>
      </c>
      <c r="F480" s="160" t="s">
        <v>231</v>
      </c>
      <c r="G480" s="147" t="s">
        <v>242</v>
      </c>
      <c r="H480" s="198" t="s">
        <v>304</v>
      </c>
      <c r="I480" s="158">
        <v>1109</v>
      </c>
      <c r="J480" s="147" t="s">
        <v>301</v>
      </c>
      <c r="K480" s="199">
        <v>428</v>
      </c>
      <c r="L480" s="198" t="s">
        <v>10</v>
      </c>
      <c r="M480" s="161">
        <f>IFERROR(VLOOKUP(L480,'Material Master'!B:C,2,0),"")</f>
      </c>
      <c r="N480" s="199">
        <v>300</v>
      </c>
      <c r="O480" s="162">
        <f>IFERROR(M480*N480,"")</f>
      </c>
      <c r="P480" s="198" t="s">
        <v>402</v>
      </c>
      <c r="Q480" s="158">
        <v>315232</v>
      </c>
      <c r="R480" s="163">
        <v>45901</v>
      </c>
      <c r="S480" s="147"/>
      <c r="T480" s="6"/>
      <c r="U480" s="158">
        <v>206</v>
      </c>
      <c r="V480" s="164">
        <v>31</v>
      </c>
      <c r="W480" s="165">
        <f>IFERROR(U480*V480,"0")</f>
      </c>
      <c r="X480" s="7"/>
      <c r="Y480" s="166">
        <f>IFERROR((O480/1000)*Masters!$C$3,"0")</f>
      </c>
      <c r="Z480" s="195"/>
      <c r="AA480" s="164">
        <f>IFERROR(VLOOKUP(L480,Masters!G:H,2,0),"0")</f>
      </c>
      <c r="AB480" s="166">
        <f>IFERROR(AA480*N480,"0")</f>
      </c>
      <c r="AC480" s="196"/>
      <c r="AD480" s="7"/>
      <c r="AE480" s="166">
        <f>W480+Y480+AB480+AD480</f>
      </c>
      <c r="AF480" s="195"/>
      <c r="AG480" s="169">
        <f>M480&amp;"-"&amp;F480</f>
      </c>
      <c r="AH480" s="166">
        <f>IFERROR(VLOOKUP(AG480,Masters!N:O,2,0),"0")</f>
      </c>
      <c r="AI480" s="166">
        <f>AH480*N480</f>
      </c>
      <c r="AJ480" s="7"/>
      <c r="AK480" s="170">
        <f>AI480-AE480</f>
      </c>
      <c r="AL480" s="195"/>
      <c r="AM480" s="6"/>
      <c r="AN480" s="171">
        <f>IFERROR(U480/2,"0")</f>
      </c>
    </row>
    <row x14ac:dyDescent="0.25" r="481" customHeight="1" ht="18.75">
      <c r="A481" s="158">
        <f>A480+1</f>
      </c>
      <c r="B481" s="159">
        <v>45910</v>
      </c>
      <c r="C481" s="198" t="s">
        <v>1138</v>
      </c>
      <c r="D481" s="159">
        <v>45910</v>
      </c>
      <c r="E481" s="198" t="s">
        <v>205</v>
      </c>
      <c r="F481" s="160" t="s">
        <v>236</v>
      </c>
      <c r="G481" s="147" t="s">
        <v>170</v>
      </c>
      <c r="H481" s="198" t="s">
        <v>305</v>
      </c>
      <c r="I481" s="158">
        <v>909</v>
      </c>
      <c r="J481" s="147" t="s">
        <v>301</v>
      </c>
      <c r="K481" s="199">
        <v>431</v>
      </c>
      <c r="L481" s="198" t="s">
        <v>10</v>
      </c>
      <c r="M481" s="161">
        <f>IFERROR(VLOOKUP(L481,'Material Master'!B:C,2,0),"")</f>
      </c>
      <c r="N481" s="199">
        <v>100</v>
      </c>
      <c r="O481" s="162">
        <f>IFERROR(M481*N481,"")</f>
      </c>
      <c r="P481" s="198" t="s">
        <v>402</v>
      </c>
      <c r="Q481" s="158" t="s">
        <v>1139</v>
      </c>
      <c r="R481" s="163">
        <v>45901</v>
      </c>
      <c r="S481" s="147"/>
      <c r="T481" s="6"/>
      <c r="U481" s="158">
        <v>0</v>
      </c>
      <c r="V481" s="164">
        <v>31</v>
      </c>
      <c r="W481" s="165">
        <f>IFERROR(U481*V481,"0")</f>
      </c>
      <c r="X481" s="7"/>
      <c r="Y481" s="166">
        <f>IFERROR((O481/1000)*Masters!$C$3,"0")</f>
      </c>
      <c r="Z481" s="195"/>
      <c r="AA481" s="164">
        <f>IFERROR(VLOOKUP(L481,Masters!G:H,2,0),"0")</f>
      </c>
      <c r="AB481" s="166">
        <f>IFERROR(AA481*N481,"0")</f>
      </c>
      <c r="AC481" s="196"/>
      <c r="AD481" s="7"/>
      <c r="AE481" s="166">
        <f>W481+Y481+AB481+AD481</f>
      </c>
      <c r="AF481" s="195"/>
      <c r="AG481" s="169">
        <f>M481&amp;"-"&amp;F481</f>
      </c>
      <c r="AH481" s="166">
        <f>IFERROR(VLOOKUP(AG481,Masters!N:O,2,0),"0")</f>
      </c>
      <c r="AI481" s="166">
        <f>AH481*N481</f>
      </c>
      <c r="AJ481" s="7"/>
      <c r="AK481" s="170">
        <f>AI481-AE481</f>
      </c>
      <c r="AL481" s="195"/>
      <c r="AM481" s="6"/>
      <c r="AN481" s="171">
        <f>IFERROR(U481/2,"0")</f>
      </c>
    </row>
    <row x14ac:dyDescent="0.25" r="482" customHeight="1" ht="18.75">
      <c r="A482" s="158">
        <f>A481+1</f>
      </c>
      <c r="B482" s="159">
        <v>45910</v>
      </c>
      <c r="C482" s="198" t="s">
        <v>1138</v>
      </c>
      <c r="D482" s="159">
        <v>45910</v>
      </c>
      <c r="E482" s="198" t="s">
        <v>205</v>
      </c>
      <c r="F482" s="160" t="s">
        <v>32</v>
      </c>
      <c r="G482" s="147" t="s">
        <v>214</v>
      </c>
      <c r="H482" s="198" t="s">
        <v>305</v>
      </c>
      <c r="I482" s="158">
        <v>909</v>
      </c>
      <c r="J482" s="147" t="s">
        <v>301</v>
      </c>
      <c r="K482" s="199">
        <v>432</v>
      </c>
      <c r="L482" s="198" t="s">
        <v>10</v>
      </c>
      <c r="M482" s="161">
        <f>IFERROR(VLOOKUP(L482,'Material Master'!B:C,2,0),"")</f>
      </c>
      <c r="N482" s="199">
        <v>100</v>
      </c>
      <c r="O482" s="162">
        <f>IFERROR(M482*N482,"")</f>
      </c>
      <c r="P482" s="198" t="s">
        <v>402</v>
      </c>
      <c r="Q482" s="158" t="s">
        <v>1139</v>
      </c>
      <c r="R482" s="163">
        <v>45901</v>
      </c>
      <c r="S482" s="147"/>
      <c r="T482" s="6"/>
      <c r="U482" s="158">
        <v>804</v>
      </c>
      <c r="V482" s="164">
        <v>31</v>
      </c>
      <c r="W482" s="165">
        <f>IFERROR(U482*V482,"0")</f>
      </c>
      <c r="X482" s="7"/>
      <c r="Y482" s="166">
        <f>IFERROR((O482/1000)*Masters!$C$3,"0")</f>
      </c>
      <c r="Z482" s="195"/>
      <c r="AA482" s="164">
        <f>IFERROR(VLOOKUP(L482,Masters!G:H,2,0),"0")</f>
      </c>
      <c r="AB482" s="166">
        <f>IFERROR(AA482*N482,"0")</f>
      </c>
      <c r="AC482" s="196"/>
      <c r="AD482" s="7"/>
      <c r="AE482" s="166">
        <f>W482+Y482+AB482+AD482</f>
      </c>
      <c r="AF482" s="195"/>
      <c r="AG482" s="169">
        <f>M482&amp;"-"&amp;F482</f>
      </c>
      <c r="AH482" s="166">
        <f>IFERROR(VLOOKUP(AG482,Masters!N:O,2,0),"0")</f>
      </c>
      <c r="AI482" s="166">
        <f>AH482*N482</f>
      </c>
      <c r="AJ482" s="7"/>
      <c r="AK482" s="170">
        <f>AI482-AE482</f>
      </c>
      <c r="AL482" s="195"/>
      <c r="AM482" s="6"/>
      <c r="AN482" s="171">
        <f>IFERROR(U482/2,"0")</f>
      </c>
    </row>
    <row x14ac:dyDescent="0.25" r="483" customHeight="1" ht="18.75">
      <c r="A483" s="158">
        <f>A482+1</f>
      </c>
      <c r="B483" s="159">
        <v>45911</v>
      </c>
      <c r="C483" s="198" t="s">
        <v>1140</v>
      </c>
      <c r="D483" s="159">
        <v>45911</v>
      </c>
      <c r="E483" s="198" t="s">
        <v>79</v>
      </c>
      <c r="F483" s="160" t="s">
        <v>32</v>
      </c>
      <c r="G483" s="147" t="s">
        <v>155</v>
      </c>
      <c r="H483" s="198" t="s">
        <v>304</v>
      </c>
      <c r="I483" s="158">
        <v>1109</v>
      </c>
      <c r="J483" s="147" t="s">
        <v>301</v>
      </c>
      <c r="K483" s="199">
        <v>433</v>
      </c>
      <c r="L483" s="198" t="s">
        <v>15</v>
      </c>
      <c r="M483" s="161">
        <f>IFERROR(VLOOKUP(L483,'Material Master'!B:C,2,0),"")</f>
      </c>
      <c r="N483" s="199">
        <v>30</v>
      </c>
      <c r="O483" s="162">
        <f>IFERROR(M483*N483,"")</f>
      </c>
      <c r="P483" s="198" t="s">
        <v>402</v>
      </c>
      <c r="Q483" s="158" t="s">
        <v>1141</v>
      </c>
      <c r="R483" s="163">
        <v>45901</v>
      </c>
      <c r="S483" s="147"/>
      <c r="T483" s="6"/>
      <c r="U483" s="158">
        <v>210</v>
      </c>
      <c r="V483" s="164">
        <v>31</v>
      </c>
      <c r="W483" s="165">
        <f>IFERROR(U483*V483,"0")</f>
      </c>
      <c r="X483" s="7"/>
      <c r="Y483" s="166">
        <f>IFERROR((O483/1000)*Masters!$C$3,"0")</f>
      </c>
      <c r="Z483" s="195"/>
      <c r="AA483" s="164">
        <f>IFERROR(VLOOKUP(L483,Masters!G:H,2,0),"0")</f>
      </c>
      <c r="AB483" s="166">
        <f>IFERROR(AA483*N483,"0")</f>
      </c>
      <c r="AC483" s="196"/>
      <c r="AD483" s="7"/>
      <c r="AE483" s="166">
        <f>W483+Y483+AB483+AD483</f>
      </c>
      <c r="AF483" s="195"/>
      <c r="AG483" s="169">
        <f>M483&amp;"-"&amp;F483</f>
      </c>
      <c r="AH483" s="166">
        <f>IFERROR(VLOOKUP(AG483,Masters!N:O,2,0),"0")</f>
      </c>
      <c r="AI483" s="166">
        <f>AH483*N483</f>
      </c>
      <c r="AJ483" s="7"/>
      <c r="AK483" s="170">
        <f>AI483-AE483</f>
      </c>
      <c r="AL483" s="195"/>
      <c r="AM483" s="6"/>
      <c r="AN483" s="171">
        <f>IFERROR(U483/2,"0")</f>
      </c>
    </row>
    <row x14ac:dyDescent="0.25" r="484" customHeight="1" ht="18.75">
      <c r="A484" s="158">
        <f>A483+1</f>
      </c>
      <c r="B484" s="159">
        <v>45911</v>
      </c>
      <c r="C484" s="198" t="s">
        <v>1142</v>
      </c>
      <c r="D484" s="159">
        <v>45912</v>
      </c>
      <c r="E484" s="198" t="s">
        <v>79</v>
      </c>
      <c r="F484" s="160" t="s">
        <v>231</v>
      </c>
      <c r="G484" s="147" t="s">
        <v>658</v>
      </c>
      <c r="H484" s="198" t="s">
        <v>303</v>
      </c>
      <c r="I484" s="158">
        <v>1109</v>
      </c>
      <c r="J484" s="147" t="s">
        <v>301</v>
      </c>
      <c r="K484" s="199">
        <v>434</v>
      </c>
      <c r="L484" s="198" t="s">
        <v>15</v>
      </c>
      <c r="M484" s="161">
        <f>IFERROR(VLOOKUP(L484,'Material Master'!B:C,2,0),"")</f>
      </c>
      <c r="N484" s="199">
        <v>30</v>
      </c>
      <c r="O484" s="162">
        <f>IFERROR(M484*N484,"")</f>
      </c>
      <c r="P484" s="198" t="s">
        <v>402</v>
      </c>
      <c r="Q484" s="158" t="s">
        <v>1143</v>
      </c>
      <c r="R484" s="163">
        <v>45901</v>
      </c>
      <c r="S484" s="147"/>
      <c r="T484" s="6"/>
      <c r="U484" s="158">
        <v>147</v>
      </c>
      <c r="V484" s="164">
        <v>31</v>
      </c>
      <c r="W484" s="165">
        <f>IFERROR(U484*V484,"0")</f>
      </c>
      <c r="X484" s="7"/>
      <c r="Y484" s="166">
        <f>IFERROR((O484/1000)*Masters!$C$3,"0")</f>
      </c>
      <c r="Z484" s="195"/>
      <c r="AA484" s="164">
        <f>IFERROR(VLOOKUP(L484,Masters!G:H,2,0),"0")</f>
      </c>
      <c r="AB484" s="166">
        <f>IFERROR(AA484*N484,"0")</f>
      </c>
      <c r="AC484" s="196"/>
      <c r="AD484" s="7"/>
      <c r="AE484" s="166">
        <f>W484+Y484+AB484+AD484</f>
      </c>
      <c r="AF484" s="195"/>
      <c r="AG484" s="169">
        <f>M484&amp;"-"&amp;F484</f>
      </c>
      <c r="AH484" s="166">
        <f>IFERROR(VLOOKUP(AG484,Masters!N:O,2,0),"0")</f>
      </c>
      <c r="AI484" s="166">
        <f>AH484*N484</f>
      </c>
      <c r="AJ484" s="7"/>
      <c r="AK484" s="170">
        <f>AI484-AE484</f>
      </c>
      <c r="AL484" s="195"/>
      <c r="AM484" s="6"/>
      <c r="AN484" s="171">
        <f>IFERROR(U484/2,"0")</f>
      </c>
    </row>
    <row x14ac:dyDescent="0.25" r="485" customHeight="1" ht="18.75">
      <c r="A485" s="158">
        <f>A484+1</f>
      </c>
      <c r="B485" s="159">
        <v>45911</v>
      </c>
      <c r="C485" s="198" t="s">
        <v>1144</v>
      </c>
      <c r="D485" s="159">
        <v>45912</v>
      </c>
      <c r="E485" s="198" t="s">
        <v>79</v>
      </c>
      <c r="F485" s="160" t="s">
        <v>231</v>
      </c>
      <c r="G485" s="147" t="s">
        <v>80</v>
      </c>
      <c r="H485" s="198" t="s">
        <v>302</v>
      </c>
      <c r="I485" s="158">
        <v>1109</v>
      </c>
      <c r="J485" s="147" t="s">
        <v>301</v>
      </c>
      <c r="K485" s="199">
        <v>435</v>
      </c>
      <c r="L485" s="198" t="s">
        <v>15</v>
      </c>
      <c r="M485" s="161">
        <f>IFERROR(VLOOKUP(L485,'Material Master'!B:C,2,0),"")</f>
      </c>
      <c r="N485" s="199">
        <v>30</v>
      </c>
      <c r="O485" s="162">
        <f>IFERROR(M485*N485,"")</f>
      </c>
      <c r="P485" s="198" t="s">
        <v>402</v>
      </c>
      <c r="Q485" s="158" t="s">
        <v>1145</v>
      </c>
      <c r="R485" s="163">
        <v>45901</v>
      </c>
      <c r="S485" s="147"/>
      <c r="T485" s="6"/>
      <c r="U485" s="158">
        <v>151</v>
      </c>
      <c r="V485" s="164">
        <v>31</v>
      </c>
      <c r="W485" s="165">
        <f>IFERROR(U485*V485,"0")</f>
      </c>
      <c r="X485" s="7"/>
      <c r="Y485" s="166">
        <f>IFERROR((O485/1000)*Masters!$C$3,"0")</f>
      </c>
      <c r="Z485" s="195"/>
      <c r="AA485" s="164">
        <f>IFERROR(VLOOKUP(L485,Masters!G:H,2,0),"0")</f>
      </c>
      <c r="AB485" s="166">
        <f>IFERROR(AA485*N485,"0")</f>
      </c>
      <c r="AC485" s="196"/>
      <c r="AD485" s="7"/>
      <c r="AE485" s="166">
        <f>W485+Y485+AB485+AD485</f>
      </c>
      <c r="AF485" s="195"/>
      <c r="AG485" s="169">
        <f>M485&amp;"-"&amp;F485</f>
      </c>
      <c r="AH485" s="166">
        <f>IFERROR(VLOOKUP(AG485,Masters!N:O,2,0),"0")</f>
      </c>
      <c r="AI485" s="166">
        <f>AH485*N485</f>
      </c>
      <c r="AJ485" s="7"/>
      <c r="AK485" s="170">
        <f>AI485-AE485</f>
      </c>
      <c r="AL485" s="195"/>
      <c r="AM485" s="6"/>
      <c r="AN485" s="171">
        <f>IFERROR(U485/2,"0")</f>
      </c>
    </row>
    <row x14ac:dyDescent="0.25" r="486" customHeight="1" ht="18.75">
      <c r="A486" s="158">
        <f>A485+1</f>
      </c>
      <c r="B486" s="159">
        <v>45911</v>
      </c>
      <c r="C486" s="198" t="s">
        <v>1146</v>
      </c>
      <c r="D486" s="159">
        <v>45913</v>
      </c>
      <c r="E486" s="198" t="s">
        <v>75</v>
      </c>
      <c r="F486" s="160" t="s">
        <v>231</v>
      </c>
      <c r="G486" s="147" t="s">
        <v>111</v>
      </c>
      <c r="H486" s="198" t="s">
        <v>302</v>
      </c>
      <c r="I486" s="158">
        <v>709</v>
      </c>
      <c r="J486" s="147" t="s">
        <v>301</v>
      </c>
      <c r="K486" s="199">
        <v>436</v>
      </c>
      <c r="L486" s="198" t="s">
        <v>10</v>
      </c>
      <c r="M486" s="161">
        <f>IFERROR(VLOOKUP(L486,'Material Master'!B:C,2,0),"")</f>
      </c>
      <c r="N486" s="199">
        <v>100</v>
      </c>
      <c r="O486" s="162">
        <f>IFERROR(M486*N486,"")</f>
      </c>
      <c r="P486" s="198" t="s">
        <v>402</v>
      </c>
      <c r="Q486" s="158" t="s">
        <v>1147</v>
      </c>
      <c r="R486" s="163">
        <v>45901</v>
      </c>
      <c r="S486" s="147"/>
      <c r="T486" s="6"/>
      <c r="U486" s="158">
        <v>47</v>
      </c>
      <c r="V486" s="164">
        <v>31</v>
      </c>
      <c r="W486" s="165">
        <f>IFERROR(U486*V486,"0")</f>
      </c>
      <c r="X486" s="7"/>
      <c r="Y486" s="166">
        <f>IFERROR((O486/1000)*Masters!$C$3,"0")</f>
      </c>
      <c r="Z486" s="195"/>
      <c r="AA486" s="164">
        <f>IFERROR(VLOOKUP(L486,Masters!G:H,2,0),"0")</f>
      </c>
      <c r="AB486" s="166">
        <f>IFERROR(AA486*N486,"0")</f>
      </c>
      <c r="AC486" s="196"/>
      <c r="AD486" s="7"/>
      <c r="AE486" s="166">
        <f>W486+Y486+AB486+AD486</f>
      </c>
      <c r="AF486" s="195"/>
      <c r="AG486" s="169">
        <f>M486&amp;"-"&amp;F486</f>
      </c>
      <c r="AH486" s="166">
        <f>IFERROR(VLOOKUP(AG486,Masters!N:O,2,0),"0")</f>
      </c>
      <c r="AI486" s="166">
        <f>AH486*N486</f>
      </c>
      <c r="AJ486" s="7"/>
      <c r="AK486" s="170">
        <f>AI486-AE486</f>
      </c>
      <c r="AL486" s="195"/>
      <c r="AM486" s="6"/>
      <c r="AN486" s="171">
        <f>IFERROR(U486/2,"0")</f>
      </c>
    </row>
    <row x14ac:dyDescent="0.25" r="487" customHeight="1" ht="18.75">
      <c r="A487" s="158">
        <f>A486+1</f>
      </c>
      <c r="B487" s="159">
        <v>45912</v>
      </c>
      <c r="C487" s="198" t="s">
        <v>1148</v>
      </c>
      <c r="D487" s="159">
        <v>45913</v>
      </c>
      <c r="E487" s="198" t="s">
        <v>84</v>
      </c>
      <c r="F487" s="160" t="s">
        <v>231</v>
      </c>
      <c r="G487" s="147" t="s">
        <v>123</v>
      </c>
      <c r="H487" s="198" t="s">
        <v>305</v>
      </c>
      <c r="I487" s="158">
        <v>909</v>
      </c>
      <c r="J487" s="147" t="s">
        <v>301</v>
      </c>
      <c r="K487" s="199">
        <v>437</v>
      </c>
      <c r="L487" s="198" t="s">
        <v>10</v>
      </c>
      <c r="M487" s="161">
        <f>IFERROR(VLOOKUP(L487,'Material Master'!B:C,2,0),"")</f>
      </c>
      <c r="N487" s="199">
        <v>200</v>
      </c>
      <c r="O487" s="162">
        <f>IFERROR(M487*N487,"")</f>
      </c>
      <c r="P487" s="198" t="s">
        <v>402</v>
      </c>
      <c r="Q487" s="158" t="s">
        <v>1149</v>
      </c>
      <c r="R487" s="163">
        <v>45901</v>
      </c>
      <c r="S487" s="147"/>
      <c r="T487" s="6"/>
      <c r="U487" s="158">
        <v>117</v>
      </c>
      <c r="V487" s="164">
        <v>31</v>
      </c>
      <c r="W487" s="165">
        <f>IFERROR(U487*V487,"0")</f>
      </c>
      <c r="X487" s="7"/>
      <c r="Y487" s="166">
        <f>IFERROR((O487/1000)*Masters!$C$3,"0")</f>
      </c>
      <c r="Z487" s="195"/>
      <c r="AA487" s="164">
        <f>IFERROR(VLOOKUP(L487,Masters!G:H,2,0),"0")</f>
      </c>
      <c r="AB487" s="166">
        <f>IFERROR(AA487*N487,"0")</f>
      </c>
      <c r="AC487" s="196"/>
      <c r="AD487" s="7"/>
      <c r="AE487" s="166">
        <f>W487+Y487+AB487+AD487</f>
      </c>
      <c r="AF487" s="195"/>
      <c r="AG487" s="169">
        <f>M487&amp;"-"&amp;F487</f>
      </c>
      <c r="AH487" s="166">
        <f>IFERROR(VLOOKUP(AG487,Masters!N:O,2,0),"0")</f>
      </c>
      <c r="AI487" s="166">
        <f>AH487*N487</f>
      </c>
      <c r="AJ487" s="7"/>
      <c r="AK487" s="170">
        <f>AI487-AE487</f>
      </c>
      <c r="AL487" s="195"/>
      <c r="AM487" s="6"/>
      <c r="AN487" s="171">
        <f>IFERROR(U487/2,"0")</f>
      </c>
    </row>
    <row x14ac:dyDescent="0.25" r="488" customHeight="1" ht="18.75">
      <c r="A488" s="158">
        <f>A487+1</f>
      </c>
      <c r="B488" s="159">
        <v>45913</v>
      </c>
      <c r="C488" s="198" t="s">
        <v>1150</v>
      </c>
      <c r="D488" s="159">
        <v>45913</v>
      </c>
      <c r="E488" s="198" t="s">
        <v>205</v>
      </c>
      <c r="F488" s="160" t="s">
        <v>32</v>
      </c>
      <c r="G488" s="147" t="s">
        <v>214</v>
      </c>
      <c r="H488" s="198" t="s">
        <v>304</v>
      </c>
      <c r="I488" s="158">
        <v>709</v>
      </c>
      <c r="J488" s="147" t="s">
        <v>301</v>
      </c>
      <c r="K488" s="199">
        <v>438</v>
      </c>
      <c r="L488" s="198" t="s">
        <v>10</v>
      </c>
      <c r="M488" s="161">
        <f>IFERROR(VLOOKUP(L488,'Material Master'!B:C,2,0),"")</f>
      </c>
      <c r="N488" s="199">
        <v>100</v>
      </c>
      <c r="O488" s="162">
        <f>IFERROR(M488*N488,"")</f>
      </c>
      <c r="P488" s="198" t="s">
        <v>402</v>
      </c>
      <c r="Q488" s="158" t="s">
        <v>1151</v>
      </c>
      <c r="R488" s="163">
        <v>45901</v>
      </c>
      <c r="S488" s="147"/>
      <c r="T488" s="6"/>
      <c r="U488" s="158">
        <v>403</v>
      </c>
      <c r="V488" s="164">
        <v>31</v>
      </c>
      <c r="W488" s="165">
        <f>IFERROR(U488*V488,"0")</f>
      </c>
      <c r="X488" s="7"/>
      <c r="Y488" s="166">
        <f>IFERROR((O488/1000)*Masters!$C$3,"0")</f>
      </c>
      <c r="Z488" s="195"/>
      <c r="AA488" s="164">
        <f>IFERROR(VLOOKUP(L488,Masters!G:H,2,0),"0")</f>
      </c>
      <c r="AB488" s="166">
        <f>IFERROR(AA488*N488,"0")</f>
      </c>
      <c r="AC488" s="196"/>
      <c r="AD488" s="7"/>
      <c r="AE488" s="166">
        <f>W488+Y488+AB488+AD488</f>
      </c>
      <c r="AF488" s="195"/>
      <c r="AG488" s="169">
        <f>M488&amp;"-"&amp;F488</f>
      </c>
      <c r="AH488" s="166">
        <f>IFERROR(VLOOKUP(AG488,Masters!N:O,2,0),"0")</f>
      </c>
      <c r="AI488" s="166">
        <f>AH488*N488</f>
      </c>
      <c r="AJ488" s="7"/>
      <c r="AK488" s="170">
        <f>AI488-AE488</f>
      </c>
      <c r="AL488" s="195"/>
      <c r="AM488" s="6"/>
      <c r="AN488" s="171">
        <f>IFERROR(U488/2,"0")</f>
      </c>
    </row>
    <row x14ac:dyDescent="0.25" r="489" customHeight="1" ht="18.75">
      <c r="A489" s="158">
        <f>A488+1</f>
      </c>
      <c r="B489" s="159">
        <v>45915</v>
      </c>
      <c r="C489" s="198" t="s">
        <v>1152</v>
      </c>
      <c r="D489" s="159">
        <v>45915</v>
      </c>
      <c r="E489" s="198" t="s">
        <v>81</v>
      </c>
      <c r="F489" s="160" t="s">
        <v>32</v>
      </c>
      <c r="G489" s="147" t="s">
        <v>532</v>
      </c>
      <c r="H489" s="198" t="s">
        <v>304</v>
      </c>
      <c r="I489" s="158">
        <v>909</v>
      </c>
      <c r="J489" s="147" t="s">
        <v>301</v>
      </c>
      <c r="K489" s="199">
        <v>439</v>
      </c>
      <c r="L489" s="198" t="s">
        <v>10</v>
      </c>
      <c r="M489" s="161">
        <f>IFERROR(VLOOKUP(L489,'Material Master'!B:C,2,0),"")</f>
      </c>
      <c r="N489" s="199">
        <v>200</v>
      </c>
      <c r="O489" s="162">
        <f>IFERROR(M489*N489,"")</f>
      </c>
      <c r="P489" s="198" t="s">
        <v>402</v>
      </c>
      <c r="Q489" s="158" t="s">
        <v>1153</v>
      </c>
      <c r="R489" s="163">
        <v>45901</v>
      </c>
      <c r="S489" s="147"/>
      <c r="T489" s="6"/>
      <c r="U489" s="158">
        <v>231</v>
      </c>
      <c r="V489" s="164">
        <v>31</v>
      </c>
      <c r="W489" s="165">
        <f>IFERROR(U489*V489,"0")</f>
      </c>
      <c r="X489" s="7"/>
      <c r="Y489" s="166">
        <f>IFERROR((O489/1000)*Masters!$C$3,"0")</f>
      </c>
      <c r="Z489" s="195"/>
      <c r="AA489" s="164">
        <f>IFERROR(VLOOKUP(L489,Masters!G:H,2,0),"0")</f>
      </c>
      <c r="AB489" s="166">
        <f>IFERROR(AA489*N489,"0")</f>
      </c>
      <c r="AC489" s="196"/>
      <c r="AD489" s="7"/>
      <c r="AE489" s="166">
        <f>W489+Y489+AB489+AD489</f>
      </c>
      <c r="AF489" s="195"/>
      <c r="AG489" s="169">
        <f>M489&amp;"-"&amp;F489</f>
      </c>
      <c r="AH489" s="166">
        <f>IFERROR(VLOOKUP(AG489,Masters!N:O,2,0),"0")</f>
      </c>
      <c r="AI489" s="166">
        <f>AH489*N489</f>
      </c>
      <c r="AJ489" s="7"/>
      <c r="AK489" s="170">
        <f>AI489-AE489</f>
      </c>
      <c r="AL489" s="195"/>
      <c r="AM489" s="6"/>
      <c r="AN489" s="171">
        <f>IFERROR(U489/2,"0")</f>
      </c>
    </row>
    <row x14ac:dyDescent="0.25" r="490" customHeight="1" ht="18.75">
      <c r="A490" s="158">
        <f>A489+1</f>
      </c>
      <c r="B490" s="159">
        <v>45917</v>
      </c>
      <c r="C490" s="198" t="s">
        <v>1154</v>
      </c>
      <c r="D490" s="159">
        <v>45917</v>
      </c>
      <c r="E490" s="198" t="s">
        <v>97</v>
      </c>
      <c r="F490" s="160" t="s">
        <v>32</v>
      </c>
      <c r="G490" s="147" t="s">
        <v>149</v>
      </c>
      <c r="H490" s="198" t="s">
        <v>302</v>
      </c>
      <c r="I490" s="158">
        <v>1109</v>
      </c>
      <c r="J490" s="147" t="s">
        <v>301</v>
      </c>
      <c r="K490" s="199">
        <v>440</v>
      </c>
      <c r="L490" s="198" t="s">
        <v>10</v>
      </c>
      <c r="M490" s="161">
        <f>IFERROR(VLOOKUP(L490,'Material Master'!B:C,2,0),"")</f>
      </c>
      <c r="N490" s="199">
        <v>300</v>
      </c>
      <c r="O490" s="162">
        <f>IFERROR(M490*N490,"")</f>
      </c>
      <c r="P490" s="198" t="s">
        <v>402</v>
      </c>
      <c r="Q490" s="158" t="s">
        <v>1155</v>
      </c>
      <c r="R490" s="163">
        <v>45901</v>
      </c>
      <c r="S490" s="147"/>
      <c r="T490" s="6"/>
      <c r="U490" s="158">
        <v>355</v>
      </c>
      <c r="V490" s="164">
        <v>31</v>
      </c>
      <c r="W490" s="165">
        <f>IFERROR(U490*V490,"0")</f>
      </c>
      <c r="X490" s="7"/>
      <c r="Y490" s="166">
        <f>IFERROR((O490/1000)*Masters!$C$3,"0")</f>
      </c>
      <c r="Z490" s="195"/>
      <c r="AA490" s="164">
        <f>IFERROR(VLOOKUP(L490,Masters!G:H,2,0),"0")</f>
      </c>
      <c r="AB490" s="166">
        <f>IFERROR(AA490*N490,"0")</f>
      </c>
      <c r="AC490" s="196"/>
      <c r="AD490" s="7"/>
      <c r="AE490" s="166">
        <f>W490+Y490+AB490+AD490</f>
      </c>
      <c r="AF490" s="195"/>
      <c r="AG490" s="169">
        <f>M490&amp;"-"&amp;F490</f>
      </c>
      <c r="AH490" s="166">
        <f>IFERROR(VLOOKUP(AG490,Masters!N:O,2,0),"0")</f>
      </c>
      <c r="AI490" s="166">
        <f>AH490*N490</f>
      </c>
      <c r="AJ490" s="7"/>
      <c r="AK490" s="170">
        <f>AI490-AE490</f>
      </c>
      <c r="AL490" s="195"/>
      <c r="AM490" s="6"/>
      <c r="AN490" s="171">
        <f>IFERROR(U490/2,"0")</f>
      </c>
    </row>
    <row x14ac:dyDescent="0.25" r="491" customHeight="1" ht="18.75">
      <c r="A491" s="158">
        <f>A490+1</f>
      </c>
      <c r="B491" s="159">
        <v>45918</v>
      </c>
      <c r="C491" s="198" t="s">
        <v>1156</v>
      </c>
      <c r="D491" s="159">
        <v>45918</v>
      </c>
      <c r="E491" s="198" t="s">
        <v>286</v>
      </c>
      <c r="F491" s="160" t="s">
        <v>236</v>
      </c>
      <c r="G491" s="147" t="s">
        <v>169</v>
      </c>
      <c r="H491" s="198" t="s">
        <v>303</v>
      </c>
      <c r="I491" s="158">
        <v>1109</v>
      </c>
      <c r="J491" s="147" t="s">
        <v>301</v>
      </c>
      <c r="K491" s="199">
        <v>441</v>
      </c>
      <c r="L491" s="198" t="s">
        <v>10</v>
      </c>
      <c r="M491" s="161">
        <f>IFERROR(VLOOKUP(L491,'Material Master'!B:C,2,0),"")</f>
      </c>
      <c r="N491" s="199">
        <v>300</v>
      </c>
      <c r="O491" s="162">
        <f>IFERROR(M491*N491,"")</f>
      </c>
      <c r="P491" s="198" t="s">
        <v>402</v>
      </c>
      <c r="Q491" s="158" t="s">
        <v>1157</v>
      </c>
      <c r="R491" s="163">
        <v>45901</v>
      </c>
      <c r="S491" s="147"/>
      <c r="T491" s="6"/>
      <c r="U491" s="158">
        <v>561</v>
      </c>
      <c r="V491" s="164">
        <v>31</v>
      </c>
      <c r="W491" s="165">
        <f>IFERROR(U491*V491,"0")</f>
      </c>
      <c r="X491" s="7"/>
      <c r="Y491" s="166">
        <f>IFERROR((O491/1000)*Masters!$C$3,"0")</f>
      </c>
      <c r="Z491" s="195"/>
      <c r="AA491" s="164">
        <f>IFERROR(VLOOKUP(L491,Masters!G:H,2,0),"0")</f>
      </c>
      <c r="AB491" s="166">
        <f>IFERROR(AA491*N491,"0")</f>
      </c>
      <c r="AC491" s="196"/>
      <c r="AD491" s="7"/>
      <c r="AE491" s="166">
        <f>W491+Y491+AB491+AD491</f>
      </c>
      <c r="AF491" s="195"/>
      <c r="AG491" s="169">
        <f>M491&amp;"-"&amp;F491</f>
      </c>
      <c r="AH491" s="166">
        <f>IFERROR(VLOOKUP(AG491,Masters!N:O,2,0),"0")</f>
      </c>
      <c r="AI491" s="166">
        <f>AH491*N491</f>
      </c>
      <c r="AJ491" s="7"/>
      <c r="AK491" s="170">
        <f>AI491-AE491</f>
      </c>
      <c r="AL491" s="195"/>
      <c r="AM491" s="6"/>
      <c r="AN491" s="171">
        <f>IFERROR(U491/2,"0")</f>
      </c>
    </row>
    <row x14ac:dyDescent="0.25" r="492" customHeight="1" ht="18.75">
      <c r="A492" s="158">
        <f>A491+1</f>
      </c>
      <c r="B492" s="159">
        <v>45918</v>
      </c>
      <c r="C492" s="198" t="s">
        <v>1158</v>
      </c>
      <c r="D492" s="159">
        <v>45918</v>
      </c>
      <c r="E492" s="198" t="s">
        <v>84</v>
      </c>
      <c r="F492" s="160" t="s">
        <v>231</v>
      </c>
      <c r="G492" s="147" t="s">
        <v>530</v>
      </c>
      <c r="H492" s="198" t="s">
        <v>304</v>
      </c>
      <c r="I492" s="158">
        <v>909</v>
      </c>
      <c r="J492" s="147" t="s">
        <v>301</v>
      </c>
      <c r="K492" s="199">
        <v>442</v>
      </c>
      <c r="L492" s="198" t="s">
        <v>10</v>
      </c>
      <c r="M492" s="161">
        <f>IFERROR(VLOOKUP(L492,'Material Master'!B:C,2,0),"")</f>
      </c>
      <c r="N492" s="199">
        <v>200</v>
      </c>
      <c r="O492" s="162">
        <f>IFERROR(M492*N492,"")</f>
      </c>
      <c r="P492" s="198" t="s">
        <v>402</v>
      </c>
      <c r="Q492" s="158" t="s">
        <v>1159</v>
      </c>
      <c r="R492" s="163">
        <v>45901</v>
      </c>
      <c r="S492" s="147"/>
      <c r="T492" s="6"/>
      <c r="U492" s="158">
        <v>197</v>
      </c>
      <c r="V492" s="164">
        <v>31</v>
      </c>
      <c r="W492" s="165">
        <f>IFERROR(U492*V492,"0")</f>
      </c>
      <c r="X492" s="7"/>
      <c r="Y492" s="166">
        <f>IFERROR((O492/1000)*Masters!$C$3,"0")</f>
      </c>
      <c r="Z492" s="195"/>
      <c r="AA492" s="164">
        <f>IFERROR(VLOOKUP(L492,Masters!G:H,2,0),"0")</f>
      </c>
      <c r="AB492" s="166">
        <f>IFERROR(AA492*N492,"0")</f>
      </c>
      <c r="AC492" s="196"/>
      <c r="AD492" s="7"/>
      <c r="AE492" s="166">
        <f>W492+Y492+AB492+AD492</f>
      </c>
      <c r="AF492" s="195"/>
      <c r="AG492" s="169">
        <f>M492&amp;"-"&amp;F492</f>
      </c>
      <c r="AH492" s="166">
        <f>IFERROR(VLOOKUP(AG492,Masters!N:O,2,0),"0")</f>
      </c>
      <c r="AI492" s="166">
        <f>AH492*N492</f>
      </c>
      <c r="AJ492" s="7"/>
      <c r="AK492" s="170">
        <f>AI492-AE492</f>
      </c>
      <c r="AL492" s="195"/>
      <c r="AM492" s="6"/>
      <c r="AN492" s="171">
        <f>IFERROR(U492/2,"0")</f>
      </c>
    </row>
    <row x14ac:dyDescent="0.25" r="493" customHeight="1" ht="18.75">
      <c r="A493" s="158">
        <f>A492+1</f>
      </c>
      <c r="B493" s="159">
        <v>45919</v>
      </c>
      <c r="C493" s="198" t="s">
        <v>1160</v>
      </c>
      <c r="D493" s="159">
        <v>45919</v>
      </c>
      <c r="E493" s="198" t="s">
        <v>157</v>
      </c>
      <c r="F493" s="160" t="s">
        <v>32</v>
      </c>
      <c r="G493" s="147" t="s">
        <v>158</v>
      </c>
      <c r="H493" s="198" t="s">
        <v>305</v>
      </c>
      <c r="I493" s="158">
        <v>709</v>
      </c>
      <c r="J493" s="147" t="s">
        <v>301</v>
      </c>
      <c r="K493" s="199">
        <v>443</v>
      </c>
      <c r="L493" s="198" t="s">
        <v>10</v>
      </c>
      <c r="M493" s="161">
        <f>IFERROR(VLOOKUP(L493,'Material Master'!B:C,2,0),"")</f>
      </c>
      <c r="N493" s="199">
        <v>100</v>
      </c>
      <c r="O493" s="162">
        <f>IFERROR(M493*N493,"")</f>
      </c>
      <c r="P493" s="198" t="s">
        <v>402</v>
      </c>
      <c r="Q493" s="158" t="s">
        <v>1161</v>
      </c>
      <c r="R493" s="163">
        <v>45901</v>
      </c>
      <c r="S493" s="147"/>
      <c r="T493" s="6"/>
      <c r="U493" s="158">
        <v>411</v>
      </c>
      <c r="V493" s="164">
        <v>31</v>
      </c>
      <c r="W493" s="165">
        <f>IFERROR(U493*V493,"0")</f>
      </c>
      <c r="X493" s="7"/>
      <c r="Y493" s="166">
        <f>IFERROR((O493/1000)*Masters!$C$3,"0")</f>
      </c>
      <c r="Z493" s="195"/>
      <c r="AA493" s="164">
        <f>IFERROR(VLOOKUP(L493,Masters!G:H,2,0),"0")</f>
      </c>
      <c r="AB493" s="166">
        <f>IFERROR(AA493*N493,"0")</f>
      </c>
      <c r="AC493" s="196"/>
      <c r="AD493" s="7"/>
      <c r="AE493" s="166">
        <f>W493+Y493+AB493+AD493</f>
      </c>
      <c r="AF493" s="195"/>
      <c r="AG493" s="169">
        <f>M493&amp;"-"&amp;F493</f>
      </c>
      <c r="AH493" s="166">
        <f>IFERROR(VLOOKUP(AG493,Masters!N:O,2,0),"0")</f>
      </c>
      <c r="AI493" s="166">
        <f>AH493*N493</f>
      </c>
      <c r="AJ493" s="7"/>
      <c r="AK493" s="170">
        <f>AI493-AE493</f>
      </c>
      <c r="AL493" s="195"/>
      <c r="AM493" s="6"/>
      <c r="AN493" s="171">
        <f>IFERROR(U493/2,"0")</f>
      </c>
    </row>
    <row x14ac:dyDescent="0.25" r="494" customHeight="1" ht="18.75">
      <c r="A494" s="158">
        <f>A493+1</f>
      </c>
      <c r="B494" s="159">
        <v>45919</v>
      </c>
      <c r="C494" s="198" t="s">
        <v>1162</v>
      </c>
      <c r="D494" s="159">
        <v>45919</v>
      </c>
      <c r="E494" s="198" t="s">
        <v>157</v>
      </c>
      <c r="F494" s="160" t="s">
        <v>32</v>
      </c>
      <c r="G494" s="147" t="s">
        <v>158</v>
      </c>
      <c r="H494" s="198" t="s">
        <v>304</v>
      </c>
      <c r="I494" s="158">
        <v>1109</v>
      </c>
      <c r="J494" s="147" t="s">
        <v>301</v>
      </c>
      <c r="K494" s="199">
        <v>444</v>
      </c>
      <c r="L494" s="198" t="s">
        <v>10</v>
      </c>
      <c r="M494" s="161">
        <f>IFERROR(VLOOKUP(L494,'Material Master'!B:C,2,0),"")</f>
      </c>
      <c r="N494" s="199">
        <v>300</v>
      </c>
      <c r="O494" s="162">
        <f>IFERROR(M494*N494,"")</f>
      </c>
      <c r="P494" s="198" t="s">
        <v>402</v>
      </c>
      <c r="Q494" s="158" t="s">
        <v>1163</v>
      </c>
      <c r="R494" s="163">
        <v>45901</v>
      </c>
      <c r="S494" s="147"/>
      <c r="T494" s="6"/>
      <c r="U494" s="158">
        <v>410</v>
      </c>
      <c r="V494" s="164">
        <v>31</v>
      </c>
      <c r="W494" s="165">
        <f>IFERROR(U494*V494,"0")</f>
      </c>
      <c r="X494" s="7"/>
      <c r="Y494" s="166">
        <f>IFERROR((O494/1000)*Masters!$C$3,"0")</f>
      </c>
      <c r="Z494" s="195"/>
      <c r="AA494" s="164">
        <f>IFERROR(VLOOKUP(L494,Masters!G:H,2,0),"0")</f>
      </c>
      <c r="AB494" s="166">
        <f>IFERROR(AA494*N494,"0")</f>
      </c>
      <c r="AC494" s="196"/>
      <c r="AD494" s="7"/>
      <c r="AE494" s="166">
        <f>W494+Y494+AB494+AD494</f>
      </c>
      <c r="AF494" s="195"/>
      <c r="AG494" s="169">
        <f>M494&amp;"-"&amp;F494</f>
      </c>
      <c r="AH494" s="166">
        <f>IFERROR(VLOOKUP(AG494,Masters!N:O,2,0),"0")</f>
      </c>
      <c r="AI494" s="166">
        <f>AH494*N494</f>
      </c>
      <c r="AJ494" s="7"/>
      <c r="AK494" s="170">
        <f>AI494-AE494</f>
      </c>
      <c r="AL494" s="195"/>
      <c r="AM494" s="6"/>
      <c r="AN494" s="171">
        <f>IFERROR(U494/2,"0")</f>
      </c>
    </row>
    <row x14ac:dyDescent="0.25" r="495" customHeight="1" ht="18.75">
      <c r="A495" s="158">
        <f>A494+1</f>
      </c>
      <c r="B495" s="159">
        <v>45920</v>
      </c>
      <c r="C495" s="198" t="s">
        <v>1164</v>
      </c>
      <c r="D495" s="159">
        <v>45920</v>
      </c>
      <c r="E495" s="198" t="s">
        <v>75</v>
      </c>
      <c r="F495" s="160" t="s">
        <v>231</v>
      </c>
      <c r="G495" s="147" t="s">
        <v>147</v>
      </c>
      <c r="H495" s="198" t="s">
        <v>303</v>
      </c>
      <c r="I495" s="158">
        <v>1109</v>
      </c>
      <c r="J495" s="147" t="s">
        <v>301</v>
      </c>
      <c r="K495" s="199">
        <v>445</v>
      </c>
      <c r="L495" s="198" t="s">
        <v>10</v>
      </c>
      <c r="M495" s="161">
        <f>IFERROR(VLOOKUP(L495,'Material Master'!B:C,2,0),"")</f>
      </c>
      <c r="N495" s="199">
        <v>300</v>
      </c>
      <c r="O495" s="162">
        <f>IFERROR(M495*N495,"")</f>
      </c>
      <c r="P495" s="198" t="s">
        <v>402</v>
      </c>
      <c r="Q495" s="158" t="s">
        <v>1165</v>
      </c>
      <c r="R495" s="163">
        <v>45901</v>
      </c>
      <c r="S495" s="147"/>
      <c r="T495" s="6"/>
      <c r="U495" s="158">
        <v>300</v>
      </c>
      <c r="V495" s="164">
        <v>31</v>
      </c>
      <c r="W495" s="165">
        <f>IFERROR(U495*V495,"0")</f>
      </c>
      <c r="X495" s="7"/>
      <c r="Y495" s="166">
        <f>IFERROR((O495/1000)*Masters!$C$3,"0")</f>
      </c>
      <c r="Z495" s="195"/>
      <c r="AA495" s="164">
        <f>IFERROR(VLOOKUP(L495,Masters!G:H,2,0),"0")</f>
      </c>
      <c r="AB495" s="166">
        <f>IFERROR(AA495*N495,"0")</f>
      </c>
      <c r="AC495" s="196"/>
      <c r="AD495" s="7"/>
      <c r="AE495" s="166">
        <f>W495+Y495+AB495+AD495</f>
      </c>
      <c r="AF495" s="195"/>
      <c r="AG495" s="169">
        <f>M495&amp;"-"&amp;F495</f>
      </c>
      <c r="AH495" s="166">
        <f>IFERROR(VLOOKUP(AG495,Masters!N:O,2,0),"0")</f>
      </c>
      <c r="AI495" s="166">
        <f>AH495*N495</f>
      </c>
      <c r="AJ495" s="7"/>
      <c r="AK495" s="170">
        <f>AI495-AE495</f>
      </c>
      <c r="AL495" s="195"/>
      <c r="AM495" s="6"/>
      <c r="AN495" s="171">
        <f>IFERROR(U495/2,"0")</f>
      </c>
    </row>
    <row x14ac:dyDescent="0.25" r="496" customHeight="1" ht="18.75">
      <c r="A496" s="158">
        <f>A495+1</f>
      </c>
      <c r="B496" s="159">
        <v>45922</v>
      </c>
      <c r="C496" s="198" t="s">
        <v>1166</v>
      </c>
      <c r="D496" s="159">
        <v>45922</v>
      </c>
      <c r="E496" s="198" t="s">
        <v>168</v>
      </c>
      <c r="F496" s="160" t="s">
        <v>236</v>
      </c>
      <c r="G496" s="147" t="s">
        <v>170</v>
      </c>
      <c r="H496" s="198" t="s">
        <v>302</v>
      </c>
      <c r="I496" s="158">
        <v>909</v>
      </c>
      <c r="J496" s="147" t="s">
        <v>301</v>
      </c>
      <c r="K496" s="199">
        <v>446</v>
      </c>
      <c r="L496" s="198" t="s">
        <v>10</v>
      </c>
      <c r="M496" s="161">
        <f>IFERROR(VLOOKUP(L496,'Material Master'!B:C,2,0),"")</f>
      </c>
      <c r="N496" s="199">
        <v>200</v>
      </c>
      <c r="O496" s="162">
        <f>IFERROR(M496*N496,"")</f>
      </c>
      <c r="P496" s="198" t="s">
        <v>402</v>
      </c>
      <c r="Q496" s="158" t="s">
        <v>1167</v>
      </c>
      <c r="R496" s="163">
        <v>45901</v>
      </c>
      <c r="S496" s="147"/>
      <c r="T496" s="6"/>
      <c r="U496" s="158">
        <v>658</v>
      </c>
      <c r="V496" s="164">
        <v>31</v>
      </c>
      <c r="W496" s="165">
        <f>IFERROR(U496*V496,"0")</f>
      </c>
      <c r="X496" s="7"/>
      <c r="Y496" s="166">
        <f>IFERROR((O496/1000)*Masters!$C$3,"0")</f>
      </c>
      <c r="Z496" s="195"/>
      <c r="AA496" s="164">
        <f>IFERROR(VLOOKUP(L496,Masters!G:H,2,0),"0")</f>
      </c>
      <c r="AB496" s="166">
        <f>IFERROR(AA496*N496,"0")</f>
      </c>
      <c r="AC496" s="196"/>
      <c r="AD496" s="7"/>
      <c r="AE496" s="166">
        <f>W496+Y496+AB496+AD496</f>
      </c>
      <c r="AF496" s="195"/>
      <c r="AG496" s="169">
        <f>M496&amp;"-"&amp;F496</f>
      </c>
      <c r="AH496" s="166">
        <f>IFERROR(VLOOKUP(AG496,Masters!N:O,2,0),"0")</f>
      </c>
      <c r="AI496" s="166">
        <f>AH496*N496</f>
      </c>
      <c r="AJ496" s="7"/>
      <c r="AK496" s="170">
        <f>AI496-AE496</f>
      </c>
      <c r="AL496" s="195"/>
      <c r="AM496" s="6"/>
      <c r="AN496" s="171">
        <f>IFERROR(U496/2,"0")</f>
      </c>
    </row>
    <row x14ac:dyDescent="0.25" r="497" customHeight="1" ht="18.75">
      <c r="A497" s="158">
        <f>A496+1</f>
      </c>
      <c r="B497" s="159">
        <v>45922</v>
      </c>
      <c r="C497" s="198" t="s">
        <v>1168</v>
      </c>
      <c r="D497" s="159">
        <v>45922</v>
      </c>
      <c r="E497" s="198" t="s">
        <v>287</v>
      </c>
      <c r="F497" s="160" t="s">
        <v>32</v>
      </c>
      <c r="G497" s="147" t="s">
        <v>246</v>
      </c>
      <c r="H497" s="198" t="s">
        <v>304</v>
      </c>
      <c r="I497" s="158">
        <v>709</v>
      </c>
      <c r="J497" s="147" t="s">
        <v>301</v>
      </c>
      <c r="K497" s="199">
        <v>447</v>
      </c>
      <c r="L497" s="198" t="s">
        <v>10</v>
      </c>
      <c r="M497" s="161">
        <f>IFERROR(VLOOKUP(L497,'Material Master'!B:C,2,0),"")</f>
      </c>
      <c r="N497" s="199">
        <v>100</v>
      </c>
      <c r="O497" s="162">
        <f>IFERROR(M497*N497,"")</f>
      </c>
      <c r="P497" s="198" t="s">
        <v>402</v>
      </c>
      <c r="Q497" s="158" t="s">
        <v>1169</v>
      </c>
      <c r="R497" s="163">
        <v>45901</v>
      </c>
      <c r="S497" s="147"/>
      <c r="T497" s="6"/>
      <c r="U497" s="158">
        <v>310</v>
      </c>
      <c r="V497" s="164">
        <v>31</v>
      </c>
      <c r="W497" s="165">
        <f>IFERROR(U497*V497,"0")</f>
      </c>
      <c r="X497" s="7"/>
      <c r="Y497" s="166">
        <f>IFERROR((O497/1000)*Masters!$C$3,"0")</f>
      </c>
      <c r="Z497" s="195"/>
      <c r="AA497" s="164">
        <f>IFERROR(VLOOKUP(L497,Masters!G:H,2,0),"0")</f>
      </c>
      <c r="AB497" s="166">
        <f>IFERROR(AA497*N497,"0")</f>
      </c>
      <c r="AC497" s="196"/>
      <c r="AD497" s="7"/>
      <c r="AE497" s="166">
        <f>W497+Y497+AB497+AD497</f>
      </c>
      <c r="AF497" s="195"/>
      <c r="AG497" s="169">
        <f>M497&amp;"-"&amp;F497</f>
      </c>
      <c r="AH497" s="166">
        <f>IFERROR(VLOOKUP(AG497,Masters!N:O,2,0),"0")</f>
      </c>
      <c r="AI497" s="166">
        <f>AH497*N497</f>
      </c>
      <c r="AJ497" s="7"/>
      <c r="AK497" s="170">
        <f>AI497-AE497</f>
      </c>
      <c r="AL497" s="195"/>
      <c r="AM497" s="6"/>
      <c r="AN497" s="171">
        <f>IFERROR(U497/2,"0")</f>
      </c>
    </row>
    <row x14ac:dyDescent="0.25" r="498" customHeight="1" ht="18.75">
      <c r="A498" s="158">
        <f>A497+1</f>
      </c>
      <c r="B498" s="159">
        <v>45922</v>
      </c>
      <c r="C498" s="198" t="s">
        <v>1170</v>
      </c>
      <c r="D498" s="159">
        <v>45923</v>
      </c>
      <c r="E498" s="198" t="s">
        <v>160</v>
      </c>
      <c r="F498" s="160" t="s">
        <v>32</v>
      </c>
      <c r="G498" s="147" t="s">
        <v>161</v>
      </c>
      <c r="H498" s="198" t="s">
        <v>303</v>
      </c>
      <c r="I498" s="158">
        <v>1109</v>
      </c>
      <c r="J498" s="147" t="s">
        <v>301</v>
      </c>
      <c r="K498" s="199">
        <v>448</v>
      </c>
      <c r="L498" s="198" t="s">
        <v>10</v>
      </c>
      <c r="M498" s="161">
        <f>IFERROR(VLOOKUP(L498,'Material Master'!B:C,2,0),"")</f>
      </c>
      <c r="N498" s="199">
        <v>300</v>
      </c>
      <c r="O498" s="162">
        <f>IFERROR(M498*N498,"")</f>
      </c>
      <c r="P498" s="198" t="s">
        <v>402</v>
      </c>
      <c r="Q498" s="158">
        <v>407274</v>
      </c>
      <c r="R498" s="163">
        <v>45901</v>
      </c>
      <c r="S498" s="147"/>
      <c r="T498" s="6"/>
      <c r="U498" s="158">
        <v>369</v>
      </c>
      <c r="V498" s="164">
        <v>31</v>
      </c>
      <c r="W498" s="165">
        <f>IFERROR(U498*V498,"0")</f>
      </c>
      <c r="X498" s="7"/>
      <c r="Y498" s="166">
        <f>IFERROR((O498/1000)*Masters!$C$3,"0")</f>
      </c>
      <c r="Z498" s="195"/>
      <c r="AA498" s="164">
        <f>IFERROR(VLOOKUP(L498,Masters!G:H,2,0),"0")</f>
      </c>
      <c r="AB498" s="166">
        <f>IFERROR(AA498*N498,"0")</f>
      </c>
      <c r="AC498" s="196"/>
      <c r="AD498" s="7"/>
      <c r="AE498" s="166">
        <f>W498+Y498+AB498+AD498</f>
      </c>
      <c r="AF498" s="195"/>
      <c r="AG498" s="169">
        <f>M498&amp;"-"&amp;F498</f>
      </c>
      <c r="AH498" s="166">
        <f>IFERROR(VLOOKUP(AG498,Masters!N:O,2,0),"0")</f>
      </c>
      <c r="AI498" s="166">
        <f>AH498*N498</f>
      </c>
      <c r="AJ498" s="7"/>
      <c r="AK498" s="170">
        <f>AI498-AE498</f>
      </c>
      <c r="AL498" s="195"/>
      <c r="AM498" s="6"/>
      <c r="AN498" s="171">
        <f>IFERROR(U498/2,"0")</f>
      </c>
    </row>
    <row x14ac:dyDescent="0.25" r="499" customHeight="1" ht="18.75">
      <c r="A499" s="158">
        <f>A498+1</f>
      </c>
      <c r="B499" s="159">
        <v>45922</v>
      </c>
      <c r="C499" s="198" t="s">
        <v>1171</v>
      </c>
      <c r="D499" s="159">
        <v>45923</v>
      </c>
      <c r="E499" s="198" t="s">
        <v>93</v>
      </c>
      <c r="F499" s="160" t="s">
        <v>231</v>
      </c>
      <c r="G499" s="147" t="s">
        <v>80</v>
      </c>
      <c r="H499" s="198" t="s">
        <v>305</v>
      </c>
      <c r="I499" s="158">
        <v>1109</v>
      </c>
      <c r="J499" s="147" t="s">
        <v>301</v>
      </c>
      <c r="K499" s="199">
        <v>449</v>
      </c>
      <c r="L499" s="198" t="s">
        <v>10</v>
      </c>
      <c r="M499" s="161">
        <f>IFERROR(VLOOKUP(L499,'Material Master'!B:C,2,0),"")</f>
      </c>
      <c r="N499" s="199">
        <v>200</v>
      </c>
      <c r="O499" s="162">
        <f>IFERROR(M499*N499,"")</f>
      </c>
      <c r="P499" s="198" t="s">
        <v>402</v>
      </c>
      <c r="Q499" s="158" t="s">
        <v>1172</v>
      </c>
      <c r="R499" s="163">
        <v>45901</v>
      </c>
      <c r="S499" s="147"/>
      <c r="T499" s="6"/>
      <c r="U499" s="158">
        <v>0</v>
      </c>
      <c r="V499" s="164">
        <v>31</v>
      </c>
      <c r="W499" s="165">
        <f>IFERROR(U499*V499,"0")</f>
      </c>
      <c r="X499" s="7"/>
      <c r="Y499" s="166">
        <f>IFERROR((O499/1000)*Masters!$C$3,"0")</f>
      </c>
      <c r="Z499" s="195"/>
      <c r="AA499" s="164">
        <f>IFERROR(VLOOKUP(L499,Masters!G:H,2,0),"0")</f>
      </c>
      <c r="AB499" s="166">
        <f>IFERROR(AA499*N499,"0")</f>
      </c>
      <c r="AC499" s="196"/>
      <c r="AD499" s="7"/>
      <c r="AE499" s="166">
        <f>W499+Y499+AB499+AD499</f>
      </c>
      <c r="AF499" s="195"/>
      <c r="AG499" s="169">
        <f>M499&amp;"-"&amp;F499</f>
      </c>
      <c r="AH499" s="166">
        <f>IFERROR(VLOOKUP(AG499,Masters!N:O,2,0),"0")</f>
      </c>
      <c r="AI499" s="166">
        <f>AH499*N499</f>
      </c>
      <c r="AJ499" s="7"/>
      <c r="AK499" s="170">
        <f>AI499-AE499</f>
      </c>
      <c r="AL499" s="195"/>
      <c r="AM499" s="6"/>
      <c r="AN499" s="171">
        <f>IFERROR(U499/2,"0")</f>
      </c>
    </row>
    <row x14ac:dyDescent="0.25" r="500" customHeight="1" ht="18.75">
      <c r="A500" s="158">
        <f>A499+1</f>
      </c>
      <c r="B500" s="159">
        <v>45922</v>
      </c>
      <c r="C500" s="198" t="s">
        <v>1171</v>
      </c>
      <c r="D500" s="159">
        <v>45923</v>
      </c>
      <c r="E500" s="198" t="s">
        <v>93</v>
      </c>
      <c r="F500" s="160" t="s">
        <v>231</v>
      </c>
      <c r="G500" s="147" t="s">
        <v>1173</v>
      </c>
      <c r="H500" s="198" t="s">
        <v>305</v>
      </c>
      <c r="I500" s="158">
        <v>1109</v>
      </c>
      <c r="J500" s="147" t="s">
        <v>301</v>
      </c>
      <c r="K500" s="199">
        <v>450</v>
      </c>
      <c r="L500" s="198" t="s">
        <v>10</v>
      </c>
      <c r="M500" s="161">
        <f>IFERROR(VLOOKUP(L500,'Material Master'!B:C,2,0),"")</f>
      </c>
      <c r="N500" s="199">
        <v>100</v>
      </c>
      <c r="O500" s="162">
        <f>IFERROR(M500*N500,"")</f>
      </c>
      <c r="P500" s="198" t="s">
        <v>402</v>
      </c>
      <c r="Q500" s="158" t="s">
        <v>1172</v>
      </c>
      <c r="R500" s="163">
        <v>45901</v>
      </c>
      <c r="S500" s="147"/>
      <c r="T500" s="6"/>
      <c r="U500" s="158">
        <v>185</v>
      </c>
      <c r="V500" s="164">
        <v>31</v>
      </c>
      <c r="W500" s="165">
        <f>IFERROR(U500*V500,"0")</f>
      </c>
      <c r="X500" s="7"/>
      <c r="Y500" s="166">
        <f>IFERROR((O500/1000)*Masters!$C$3,"0")</f>
      </c>
      <c r="Z500" s="195"/>
      <c r="AA500" s="164">
        <f>IFERROR(VLOOKUP(L500,Masters!G:H,2,0),"0")</f>
      </c>
      <c r="AB500" s="166">
        <f>IFERROR(AA500*N500,"0")</f>
      </c>
      <c r="AC500" s="196"/>
      <c r="AD500" s="7"/>
      <c r="AE500" s="166">
        <f>W500+Y500+AB500+AD500</f>
      </c>
      <c r="AF500" s="195"/>
      <c r="AG500" s="169">
        <f>M500&amp;"-"&amp;F500</f>
      </c>
      <c r="AH500" s="166">
        <f>IFERROR(VLOOKUP(AG500,Masters!N:O,2,0),"0")</f>
      </c>
      <c r="AI500" s="166">
        <f>AH500*N500</f>
      </c>
      <c r="AJ500" s="7"/>
      <c r="AK500" s="170">
        <f>AI500-AE500</f>
      </c>
      <c r="AL500" s="195"/>
      <c r="AM500" s="6"/>
      <c r="AN500" s="171">
        <f>IFERROR(U500/2,"0")</f>
      </c>
    </row>
    <row x14ac:dyDescent="0.25" r="501" customHeight="1" ht="18.75">
      <c r="A501" s="158">
        <f>A500+1</f>
      </c>
      <c r="B501" s="159">
        <v>45923</v>
      </c>
      <c r="C501" s="198" t="s">
        <v>1174</v>
      </c>
      <c r="D501" s="159">
        <v>45924</v>
      </c>
      <c r="E501" s="198" t="s">
        <v>126</v>
      </c>
      <c r="F501" s="160" t="s">
        <v>231</v>
      </c>
      <c r="G501" s="147" t="s">
        <v>197</v>
      </c>
      <c r="H501" s="198" t="s">
        <v>302</v>
      </c>
      <c r="I501" s="158">
        <v>909</v>
      </c>
      <c r="J501" s="147" t="s">
        <v>301</v>
      </c>
      <c r="K501" s="199">
        <v>452</v>
      </c>
      <c r="L501" s="198" t="s">
        <v>10</v>
      </c>
      <c r="M501" s="161">
        <f>IFERROR(VLOOKUP(L501,'Material Master'!B:C,2,0),"")</f>
      </c>
      <c r="N501" s="199">
        <v>200</v>
      </c>
      <c r="O501" s="162">
        <f>IFERROR(M501*N501,"")</f>
      </c>
      <c r="P501" s="198" t="s">
        <v>402</v>
      </c>
      <c r="Q501" s="158" t="s">
        <v>1175</v>
      </c>
      <c r="R501" s="163">
        <v>45901</v>
      </c>
      <c r="S501" s="147"/>
      <c r="T501" s="6"/>
      <c r="U501" s="158">
        <v>238</v>
      </c>
      <c r="V501" s="164">
        <v>31</v>
      </c>
      <c r="W501" s="165">
        <f>IFERROR(U501*V501,"0")</f>
      </c>
      <c r="X501" s="7"/>
      <c r="Y501" s="166">
        <f>IFERROR((O501/1000)*Masters!$C$3,"0")</f>
      </c>
      <c r="Z501" s="195"/>
      <c r="AA501" s="164">
        <f>IFERROR(VLOOKUP(L501,Masters!G:H,2,0),"0")</f>
      </c>
      <c r="AB501" s="166">
        <f>IFERROR(AA501*N501,"0")</f>
      </c>
      <c r="AC501" s="196"/>
      <c r="AD501" s="7"/>
      <c r="AE501" s="166">
        <f>W501+Y501+AB501+AD501</f>
      </c>
      <c r="AF501" s="195"/>
      <c r="AG501" s="169">
        <f>M501&amp;"-"&amp;F501</f>
      </c>
      <c r="AH501" s="166">
        <f>IFERROR(VLOOKUP(AG501,Masters!N:O,2,0),"0")</f>
      </c>
      <c r="AI501" s="166">
        <f>AH501*N501</f>
      </c>
      <c r="AJ501" s="7"/>
      <c r="AK501" s="170">
        <f>AI501-AE501</f>
      </c>
      <c r="AL501" s="195"/>
      <c r="AM501" s="6"/>
      <c r="AN501" s="171">
        <f>IFERROR(U501/2,"0")</f>
      </c>
    </row>
    <row x14ac:dyDescent="0.25" r="502" customHeight="1" ht="18.75">
      <c r="A502" s="158">
        <f>A501+1</f>
      </c>
      <c r="B502" s="159">
        <v>45923</v>
      </c>
      <c r="C502" s="198" t="s">
        <v>1176</v>
      </c>
      <c r="D502" s="159">
        <v>45925</v>
      </c>
      <c r="E502" s="198" t="s">
        <v>128</v>
      </c>
      <c r="F502" s="160" t="s">
        <v>32</v>
      </c>
      <c r="G502" s="147" t="s">
        <v>163</v>
      </c>
      <c r="H502" s="198" t="s">
        <v>303</v>
      </c>
      <c r="I502" s="158">
        <v>1109</v>
      </c>
      <c r="J502" s="147" t="s">
        <v>301</v>
      </c>
      <c r="K502" s="199">
        <v>453</v>
      </c>
      <c r="L502" s="198" t="s">
        <v>10</v>
      </c>
      <c r="M502" s="161">
        <f>IFERROR(VLOOKUP(L502,'Material Master'!B:C,2,0),"")</f>
      </c>
      <c r="N502" s="199">
        <v>300</v>
      </c>
      <c r="O502" s="162">
        <f>IFERROR(M502*N502,"")</f>
      </c>
      <c r="P502" s="198" t="s">
        <v>402</v>
      </c>
      <c r="Q502" s="158" t="s">
        <v>1177</v>
      </c>
      <c r="R502" s="163">
        <v>45901</v>
      </c>
      <c r="S502" s="147"/>
      <c r="T502" s="6"/>
      <c r="U502" s="158">
        <v>171</v>
      </c>
      <c r="V502" s="164">
        <v>31</v>
      </c>
      <c r="W502" s="165">
        <f>IFERROR(U502*V502,"0")</f>
      </c>
      <c r="X502" s="7"/>
      <c r="Y502" s="166">
        <f>IFERROR((O502/1000)*Masters!$C$3,"0")</f>
      </c>
      <c r="Z502" s="195"/>
      <c r="AA502" s="164">
        <f>IFERROR(VLOOKUP(L502,Masters!G:H,2,0),"0")</f>
      </c>
      <c r="AB502" s="166">
        <f>IFERROR(AA502*N502,"0")</f>
      </c>
      <c r="AC502" s="196"/>
      <c r="AD502" s="7"/>
      <c r="AE502" s="166">
        <f>W502+Y502+AB502+AD502</f>
      </c>
      <c r="AF502" s="195"/>
      <c r="AG502" s="169">
        <f>M502&amp;"-"&amp;F502</f>
      </c>
      <c r="AH502" s="166">
        <f>IFERROR(VLOOKUP(AG502,Masters!N:O,2,0),"0")</f>
      </c>
      <c r="AI502" s="166">
        <f>AH502*N502</f>
      </c>
      <c r="AJ502" s="7"/>
      <c r="AK502" s="170">
        <f>AI502-AE502</f>
      </c>
      <c r="AL502" s="195"/>
      <c r="AM502" s="6"/>
      <c r="AN502" s="171">
        <f>IFERROR(U502/2,"0")</f>
      </c>
    </row>
    <row x14ac:dyDescent="0.25" r="503" customHeight="1" ht="18.75">
      <c r="A503" s="158">
        <f>A502+1</f>
      </c>
      <c r="B503" s="159">
        <v>45923</v>
      </c>
      <c r="C503" s="198" t="s">
        <v>1178</v>
      </c>
      <c r="D503" s="159">
        <v>45924</v>
      </c>
      <c r="E503" s="198" t="s">
        <v>79</v>
      </c>
      <c r="F503" s="160" t="s">
        <v>231</v>
      </c>
      <c r="G503" s="147" t="s">
        <v>80</v>
      </c>
      <c r="H503" s="198" t="s">
        <v>304</v>
      </c>
      <c r="I503" s="158">
        <v>1109</v>
      </c>
      <c r="J503" s="147" t="s">
        <v>301</v>
      </c>
      <c r="K503" s="199">
        <v>451</v>
      </c>
      <c r="L503" s="198" t="s">
        <v>15</v>
      </c>
      <c r="M503" s="161">
        <f>IFERROR(VLOOKUP(L503,'Material Master'!B:C,2,0),"")</f>
      </c>
      <c r="N503" s="199">
        <v>30</v>
      </c>
      <c r="O503" s="162">
        <f>IFERROR(M503*N503,"")</f>
      </c>
      <c r="P503" s="198" t="s">
        <v>402</v>
      </c>
      <c r="Q503" s="158" t="s">
        <v>1179</v>
      </c>
      <c r="R503" s="163">
        <v>45901</v>
      </c>
      <c r="S503" s="147"/>
      <c r="T503" s="6"/>
      <c r="U503" s="158">
        <v>66</v>
      </c>
      <c r="V503" s="164">
        <v>31</v>
      </c>
      <c r="W503" s="165">
        <f>IFERROR(U503*V503,"0")</f>
      </c>
      <c r="X503" s="7"/>
      <c r="Y503" s="166">
        <f>IFERROR((O503/1000)*Masters!$C$3,"0")</f>
      </c>
      <c r="Z503" s="195"/>
      <c r="AA503" s="164">
        <f>IFERROR(VLOOKUP(L503,Masters!G:H,2,0),"0")</f>
      </c>
      <c r="AB503" s="166">
        <f>IFERROR(AA503*N503,"0")</f>
      </c>
      <c r="AC503" s="196"/>
      <c r="AD503" s="7"/>
      <c r="AE503" s="166">
        <f>W503+Y503+AB503+AD503</f>
      </c>
      <c r="AF503" s="195"/>
      <c r="AG503" s="169">
        <f>M503&amp;"-"&amp;F503</f>
      </c>
      <c r="AH503" s="166">
        <f>IFERROR(VLOOKUP(AG503,Masters!N:O,2,0),"0")</f>
      </c>
      <c r="AI503" s="166">
        <f>AH503*N503</f>
      </c>
      <c r="AJ503" s="7"/>
      <c r="AK503" s="170">
        <f>AI503-AE503</f>
      </c>
      <c r="AL503" s="195"/>
      <c r="AM503" s="6"/>
      <c r="AN503" s="171">
        <f>IFERROR(U503/2,"0")</f>
      </c>
    </row>
    <row x14ac:dyDescent="0.25" r="504" customHeight="1" ht="18.75">
      <c r="A504" s="158">
        <f>A503+1</f>
      </c>
      <c r="B504" s="159">
        <v>45924</v>
      </c>
      <c r="C504" s="198" t="s">
        <v>1180</v>
      </c>
      <c r="D504" s="159">
        <v>45925</v>
      </c>
      <c r="E504" s="198" t="s">
        <v>174</v>
      </c>
      <c r="F504" s="160" t="s">
        <v>32</v>
      </c>
      <c r="G504" s="147" t="s">
        <v>175</v>
      </c>
      <c r="H504" s="198" t="s">
        <v>304</v>
      </c>
      <c r="I504" s="158">
        <v>1109</v>
      </c>
      <c r="J504" s="147" t="s">
        <v>301</v>
      </c>
      <c r="K504" s="199">
        <v>454</v>
      </c>
      <c r="L504" s="198" t="s">
        <v>10</v>
      </c>
      <c r="M504" s="161">
        <f>IFERROR(VLOOKUP(L504,'Material Master'!B:C,2,0),"")</f>
      </c>
      <c r="N504" s="199">
        <v>300</v>
      </c>
      <c r="O504" s="162">
        <f>IFERROR(M504*N504,"")</f>
      </c>
      <c r="P504" s="198" t="s">
        <v>402</v>
      </c>
      <c r="Q504" s="158" t="s">
        <v>1181</v>
      </c>
      <c r="R504" s="163">
        <v>45901</v>
      </c>
      <c r="S504" s="147"/>
      <c r="T504" s="6"/>
      <c r="U504" s="158">
        <v>255</v>
      </c>
      <c r="V504" s="164">
        <v>31</v>
      </c>
      <c r="W504" s="165">
        <f>IFERROR(U504*V504,"0")</f>
      </c>
      <c r="X504" s="7"/>
      <c r="Y504" s="166">
        <f>IFERROR((O504/1000)*Masters!$C$3,"0")</f>
      </c>
      <c r="Z504" s="195"/>
      <c r="AA504" s="164">
        <f>IFERROR(VLOOKUP(L504,Masters!G:H,2,0),"0")</f>
      </c>
      <c r="AB504" s="166">
        <f>IFERROR(AA504*N504,"0")</f>
      </c>
      <c r="AC504" s="196"/>
      <c r="AD504" s="7"/>
      <c r="AE504" s="166">
        <f>W504+Y504+AB504+AD504</f>
      </c>
      <c r="AF504" s="195"/>
      <c r="AG504" s="169">
        <f>M504&amp;"-"&amp;F504</f>
      </c>
      <c r="AH504" s="166">
        <f>IFERROR(VLOOKUP(AG504,Masters!N:O,2,0),"0")</f>
      </c>
      <c r="AI504" s="166">
        <f>AH504*N504</f>
      </c>
      <c r="AJ504" s="7"/>
      <c r="AK504" s="170">
        <f>AI504-AE504</f>
      </c>
      <c r="AL504" s="195"/>
      <c r="AM504" s="6"/>
      <c r="AN504" s="171">
        <f>IFERROR(U504/2,"0")</f>
      </c>
    </row>
    <row x14ac:dyDescent="0.25" r="505" customHeight="1" ht="18.75">
      <c r="A505" s="158">
        <f>A504+1</f>
      </c>
      <c r="B505" s="159">
        <v>45924</v>
      </c>
      <c r="C505" s="198" t="s">
        <v>1182</v>
      </c>
      <c r="D505" s="159">
        <v>45925</v>
      </c>
      <c r="E505" s="198" t="s">
        <v>225</v>
      </c>
      <c r="F505" s="160" t="s">
        <v>236</v>
      </c>
      <c r="G505" s="147" t="s">
        <v>1183</v>
      </c>
      <c r="H505" s="198" t="s">
        <v>305</v>
      </c>
      <c r="I505" s="158">
        <v>1109</v>
      </c>
      <c r="J505" s="147" t="s">
        <v>301</v>
      </c>
      <c r="K505" s="199">
        <v>455</v>
      </c>
      <c r="L505" s="198" t="s">
        <v>10</v>
      </c>
      <c r="M505" s="161">
        <f>IFERROR(VLOOKUP(L505,'Material Master'!B:C,2,0),"")</f>
      </c>
      <c r="N505" s="199">
        <v>300</v>
      </c>
      <c r="O505" s="162">
        <f>IFERROR(M505*N505,"")</f>
      </c>
      <c r="P505" s="198" t="s">
        <v>402</v>
      </c>
      <c r="Q505" s="158" t="s">
        <v>1184</v>
      </c>
      <c r="R505" s="163">
        <v>45901</v>
      </c>
      <c r="S505" s="147"/>
      <c r="T505" s="6"/>
      <c r="U505" s="158">
        <v>611</v>
      </c>
      <c r="V505" s="164">
        <v>31</v>
      </c>
      <c r="W505" s="165">
        <f>IFERROR(U505*V505,"0")</f>
      </c>
      <c r="X505" s="7"/>
      <c r="Y505" s="166">
        <f>IFERROR((O505/1000)*Masters!$C$3,"0")</f>
      </c>
      <c r="Z505" s="195"/>
      <c r="AA505" s="164">
        <f>IFERROR(VLOOKUP(L505,Masters!G:H,2,0),"0")</f>
      </c>
      <c r="AB505" s="166">
        <f>IFERROR(AA505*N505,"0")</f>
      </c>
      <c r="AC505" s="196"/>
      <c r="AD505" s="7"/>
      <c r="AE505" s="166">
        <f>W505+Y505+AB505+AD505</f>
      </c>
      <c r="AF505" s="195"/>
      <c r="AG505" s="169">
        <f>M505&amp;"-"&amp;F505</f>
      </c>
      <c r="AH505" s="166">
        <f>IFERROR(VLOOKUP(AG505,Masters!N:O,2,0),"0")</f>
      </c>
      <c r="AI505" s="166">
        <f>AH505*N505</f>
      </c>
      <c r="AJ505" s="7"/>
      <c r="AK505" s="170">
        <f>AI505-AE505</f>
      </c>
      <c r="AL505" s="195"/>
      <c r="AM505" s="6"/>
      <c r="AN505" s="171">
        <f>IFERROR(U505/2,"0")</f>
      </c>
    </row>
    <row x14ac:dyDescent="0.25" r="506" customHeight="1" ht="18.75">
      <c r="A506" s="158">
        <f>A505+1</f>
      </c>
      <c r="B506" s="159">
        <v>45925</v>
      </c>
      <c r="C506" s="198" t="s">
        <v>1185</v>
      </c>
      <c r="D506" s="159">
        <v>45926</v>
      </c>
      <c r="E506" s="198" t="s">
        <v>144</v>
      </c>
      <c r="F506" s="160" t="s">
        <v>32</v>
      </c>
      <c r="G506" s="147" t="s">
        <v>167</v>
      </c>
      <c r="H506" s="198" t="s">
        <v>302</v>
      </c>
      <c r="I506" s="158">
        <v>1109</v>
      </c>
      <c r="J506" s="147" t="s">
        <v>301</v>
      </c>
      <c r="K506" s="199">
        <v>457</v>
      </c>
      <c r="L506" s="198" t="s">
        <v>10</v>
      </c>
      <c r="M506" s="161">
        <f>IFERROR(VLOOKUP(L506,'Material Master'!B:C,2,0),"")</f>
      </c>
      <c r="N506" s="199">
        <v>300</v>
      </c>
      <c r="O506" s="162">
        <f>IFERROR(M506*N506,"")</f>
      </c>
      <c r="P506" s="198" t="s">
        <v>402</v>
      </c>
      <c r="Q506" s="158" t="s">
        <v>1186</v>
      </c>
      <c r="R506" s="163">
        <v>45901</v>
      </c>
      <c r="S506" s="147"/>
      <c r="T506" s="6"/>
      <c r="U506" s="158">
        <v>376</v>
      </c>
      <c r="V506" s="164">
        <v>31</v>
      </c>
      <c r="W506" s="165">
        <f>IFERROR(U506*V506,"0")</f>
      </c>
      <c r="X506" s="7"/>
      <c r="Y506" s="166">
        <f>IFERROR((O506/1000)*Masters!$C$3,"0")</f>
      </c>
      <c r="Z506" s="195"/>
      <c r="AA506" s="164">
        <f>IFERROR(VLOOKUP(L506,Masters!G:H,2,0),"0")</f>
      </c>
      <c r="AB506" s="166">
        <f>IFERROR(AA506*N506,"0")</f>
      </c>
      <c r="AC506" s="196"/>
      <c r="AD506" s="7"/>
      <c r="AE506" s="166">
        <f>W506+Y506+AB506+AD506</f>
      </c>
      <c r="AF506" s="195"/>
      <c r="AG506" s="169">
        <f>M506&amp;"-"&amp;F506</f>
      </c>
      <c r="AH506" s="166">
        <f>IFERROR(VLOOKUP(AG506,Masters!N:O,2,0),"0")</f>
      </c>
      <c r="AI506" s="166">
        <f>AH506*N506</f>
      </c>
      <c r="AJ506" s="7"/>
      <c r="AK506" s="170">
        <f>AI506-AE506</f>
      </c>
      <c r="AL506" s="195"/>
      <c r="AM506" s="6"/>
      <c r="AN506" s="171">
        <f>IFERROR(U506/2,"0")</f>
      </c>
    </row>
    <row x14ac:dyDescent="0.25" r="507" customHeight="1" ht="18.75">
      <c r="A507" s="158">
        <f>A506+1</f>
      </c>
      <c r="B507" s="159">
        <v>45925</v>
      </c>
      <c r="C507" s="198" t="s">
        <v>1187</v>
      </c>
      <c r="D507" s="159">
        <v>45926</v>
      </c>
      <c r="E507" s="198" t="s">
        <v>79</v>
      </c>
      <c r="F507" s="160" t="s">
        <v>1188</v>
      </c>
      <c r="G507" s="147" t="s">
        <v>158</v>
      </c>
      <c r="H507" s="198" t="s">
        <v>302</v>
      </c>
      <c r="I507" s="158">
        <v>1109</v>
      </c>
      <c r="J507" s="147" t="s">
        <v>301</v>
      </c>
      <c r="K507" s="199">
        <v>456</v>
      </c>
      <c r="L507" s="198" t="s">
        <v>15</v>
      </c>
      <c r="M507" s="161">
        <f>IFERROR(VLOOKUP(L507,'Material Master'!B:C,2,0),"")</f>
      </c>
      <c r="N507" s="199">
        <v>30</v>
      </c>
      <c r="O507" s="162">
        <f>IFERROR(M507*N507,"")</f>
      </c>
      <c r="P507" s="198" t="s">
        <v>402</v>
      </c>
      <c r="Q507" s="158" t="s">
        <v>1189</v>
      </c>
      <c r="R507" s="163">
        <v>45901</v>
      </c>
      <c r="S507" s="147"/>
      <c r="T507" s="6"/>
      <c r="U507" s="158">
        <v>409</v>
      </c>
      <c r="V507" s="164">
        <v>31</v>
      </c>
      <c r="W507" s="165">
        <f>IFERROR(U507*V507,"0")</f>
      </c>
      <c r="X507" s="7"/>
      <c r="Y507" s="166">
        <f>IFERROR((O507/1000)*Masters!$C$3,"0")</f>
      </c>
      <c r="Z507" s="195"/>
      <c r="AA507" s="164">
        <f>IFERROR(VLOOKUP(L507,Masters!G:H,2,0),"0")</f>
      </c>
      <c r="AB507" s="166">
        <f>IFERROR(AA507*N507,"0")</f>
      </c>
      <c r="AC507" s="196"/>
      <c r="AD507" s="7"/>
      <c r="AE507" s="166">
        <f>W507+Y507+AB507+AD507</f>
      </c>
      <c r="AF507" s="195"/>
      <c r="AG507" s="169">
        <f>M507&amp;"-"&amp;F507</f>
      </c>
      <c r="AH507" s="166">
        <f>IFERROR(VLOOKUP(AG507,Masters!N:O,2,0),"0")</f>
      </c>
      <c r="AI507" s="166">
        <f>AH507*N507</f>
      </c>
      <c r="AJ507" s="7"/>
      <c r="AK507" s="170">
        <f>AI507-AE507</f>
      </c>
      <c r="AL507" s="195"/>
      <c r="AM507" s="6"/>
      <c r="AN507" s="171">
        <f>IFERROR(U507/2,"0")</f>
      </c>
    </row>
    <row x14ac:dyDescent="0.25" r="508" customHeight="1" ht="18.75">
      <c r="A508" s="158">
        <f>A507+1</f>
      </c>
      <c r="B508" s="159">
        <v>45926</v>
      </c>
      <c r="C508" s="198" t="s">
        <v>1190</v>
      </c>
      <c r="D508" s="159">
        <v>45926</v>
      </c>
      <c r="E508" s="198" t="s">
        <v>75</v>
      </c>
      <c r="F508" s="160" t="s">
        <v>231</v>
      </c>
      <c r="G508" s="147" t="s">
        <v>242</v>
      </c>
      <c r="H508" s="198" t="s">
        <v>303</v>
      </c>
      <c r="I508" s="158">
        <v>407</v>
      </c>
      <c r="J508" s="147" t="s">
        <v>301</v>
      </c>
      <c r="K508" s="199">
        <v>458</v>
      </c>
      <c r="L508" s="198" t="s">
        <v>15</v>
      </c>
      <c r="M508" s="161">
        <f>IFERROR(VLOOKUP(L508,'Material Master'!B:C,2,0),"")</f>
      </c>
      <c r="N508" s="199">
        <v>5</v>
      </c>
      <c r="O508" s="162">
        <f>IFERROR(M508*N508,"")</f>
      </c>
      <c r="P508" s="198" t="s">
        <v>402</v>
      </c>
      <c r="Q508" s="158" t="s">
        <v>1191</v>
      </c>
      <c r="R508" s="163">
        <v>45901</v>
      </c>
      <c r="S508" s="147"/>
      <c r="T508" s="6"/>
      <c r="U508" s="158">
        <v>178</v>
      </c>
      <c r="V508" s="164">
        <v>31</v>
      </c>
      <c r="W508" s="165">
        <f>IFERROR(U508*V508,"0")</f>
      </c>
      <c r="X508" s="7"/>
      <c r="Y508" s="166">
        <f>IFERROR((O508/1000)*Masters!$C$3,"0")</f>
      </c>
      <c r="Z508" s="195"/>
      <c r="AA508" s="164">
        <f>IFERROR(VLOOKUP(L508,Masters!G:H,2,0),"0")</f>
      </c>
      <c r="AB508" s="166">
        <f>IFERROR(AA508*N508,"0")</f>
      </c>
      <c r="AC508" s="196"/>
      <c r="AD508" s="7"/>
      <c r="AE508" s="166">
        <f>W508+Y508+AB508+AD508</f>
      </c>
      <c r="AF508" s="195"/>
      <c r="AG508" s="169">
        <f>M508&amp;"-"&amp;F508</f>
      </c>
      <c r="AH508" s="166">
        <f>IFERROR(VLOOKUP(AG508,Masters!N:O,2,0),"0")</f>
      </c>
      <c r="AI508" s="166">
        <f>AH508*N508</f>
      </c>
      <c r="AJ508" s="7"/>
      <c r="AK508" s="170">
        <f>AI508-AE508</f>
      </c>
      <c r="AL508" s="195"/>
      <c r="AM508" s="6"/>
      <c r="AN508" s="171">
        <f>IFERROR(U508/2,"0")</f>
      </c>
    </row>
    <row x14ac:dyDescent="0.25" r="509" customHeight="1" ht="18.75">
      <c r="A509" s="158">
        <f>A508+1</f>
      </c>
      <c r="B509" s="159">
        <v>45926</v>
      </c>
      <c r="C509" s="198" t="s">
        <v>1192</v>
      </c>
      <c r="D509" s="159">
        <v>45927</v>
      </c>
      <c r="E509" s="198" t="s">
        <v>75</v>
      </c>
      <c r="F509" s="160" t="s">
        <v>231</v>
      </c>
      <c r="G509" s="147" t="s">
        <v>111</v>
      </c>
      <c r="H509" s="198" t="s">
        <v>305</v>
      </c>
      <c r="I509" s="158">
        <v>709</v>
      </c>
      <c r="J509" s="147" t="s">
        <v>301</v>
      </c>
      <c r="K509" s="199">
        <v>459</v>
      </c>
      <c r="L509" s="198" t="s">
        <v>10</v>
      </c>
      <c r="M509" s="161">
        <f>IFERROR(VLOOKUP(L509,'Material Master'!B:C,2,0),"")</f>
      </c>
      <c r="N509" s="199">
        <v>100</v>
      </c>
      <c r="O509" s="162">
        <f>IFERROR(M509*N509,"")</f>
      </c>
      <c r="P509" s="198" t="s">
        <v>402</v>
      </c>
      <c r="Q509" s="158" t="s">
        <v>1193</v>
      </c>
      <c r="R509" s="163">
        <v>45901</v>
      </c>
      <c r="S509" s="147"/>
      <c r="T509" s="6"/>
      <c r="U509" s="158">
        <v>39</v>
      </c>
      <c r="V509" s="164">
        <v>31</v>
      </c>
      <c r="W509" s="165">
        <f>IFERROR(U509*V509,"0")</f>
      </c>
      <c r="X509" s="7"/>
      <c r="Y509" s="166">
        <f>IFERROR((O509/1000)*Masters!$C$3,"0")</f>
      </c>
      <c r="Z509" s="195"/>
      <c r="AA509" s="164">
        <f>IFERROR(VLOOKUP(L509,Masters!G:H,2,0),"0")</f>
      </c>
      <c r="AB509" s="166">
        <f>IFERROR(AA509*N509,"0")</f>
      </c>
      <c r="AC509" s="196"/>
      <c r="AD509" s="7"/>
      <c r="AE509" s="166">
        <f>W509+Y509+AB509+AD509</f>
      </c>
      <c r="AF509" s="195"/>
      <c r="AG509" s="169">
        <f>M509&amp;"-"&amp;F509</f>
      </c>
      <c r="AH509" s="166">
        <f>IFERROR(VLOOKUP(AG509,Masters!N:O,2,0),"0")</f>
      </c>
      <c r="AI509" s="166">
        <f>AH509*N509</f>
      </c>
      <c r="AJ509" s="7"/>
      <c r="AK509" s="170">
        <f>AI509-AE509</f>
      </c>
      <c r="AL509" s="195"/>
      <c r="AM509" s="6"/>
      <c r="AN509" s="171">
        <f>IFERROR(U509/2,"0")</f>
      </c>
    </row>
    <row x14ac:dyDescent="0.25" r="510" customHeight="1" ht="18.75">
      <c r="A510" s="158">
        <f>A509+1</f>
      </c>
      <c r="B510" s="159">
        <v>45927</v>
      </c>
      <c r="C510" s="198" t="s">
        <v>1194</v>
      </c>
      <c r="D510" s="159">
        <v>45927</v>
      </c>
      <c r="E510" s="198" t="s">
        <v>288</v>
      </c>
      <c r="F510" s="160" t="s">
        <v>32</v>
      </c>
      <c r="G510" s="147" t="s">
        <v>289</v>
      </c>
      <c r="H510" s="198" t="s">
        <v>303</v>
      </c>
      <c r="I510" s="158">
        <v>1109</v>
      </c>
      <c r="J510" s="147" t="s">
        <v>301</v>
      </c>
      <c r="K510" s="199">
        <v>460</v>
      </c>
      <c r="L510" s="198" t="s">
        <v>10</v>
      </c>
      <c r="M510" s="161">
        <f>IFERROR(VLOOKUP(L510,'Material Master'!B:C,2,0),"")</f>
      </c>
      <c r="N510" s="199">
        <v>300</v>
      </c>
      <c r="O510" s="162">
        <f>IFERROR(M510*N510,"")</f>
      </c>
      <c r="P510" s="198" t="s">
        <v>402</v>
      </c>
      <c r="Q510" s="158" t="s">
        <v>1195</v>
      </c>
      <c r="R510" s="163">
        <v>45901</v>
      </c>
      <c r="S510" s="147"/>
      <c r="T510" s="6"/>
      <c r="U510" s="158">
        <v>262</v>
      </c>
      <c r="V510" s="164">
        <v>31</v>
      </c>
      <c r="W510" s="165">
        <f>IFERROR(U510*V510,"0")</f>
      </c>
      <c r="X510" s="7"/>
      <c r="Y510" s="166">
        <f>IFERROR((O510/1000)*Masters!$C$3,"0")</f>
      </c>
      <c r="Z510" s="195"/>
      <c r="AA510" s="164">
        <f>IFERROR(VLOOKUP(L510,Masters!G:H,2,0),"0")</f>
      </c>
      <c r="AB510" s="166">
        <f>IFERROR(AA510*N510,"0")</f>
      </c>
      <c r="AC510" s="196"/>
      <c r="AD510" s="7"/>
      <c r="AE510" s="166">
        <f>W510+Y510+AB510+AD510</f>
      </c>
      <c r="AF510" s="195"/>
      <c r="AG510" s="169">
        <f>M510&amp;"-"&amp;F510</f>
      </c>
      <c r="AH510" s="166">
        <f>IFERROR(VLOOKUP(AG510,Masters!N:O,2,0),"0")</f>
      </c>
      <c r="AI510" s="166">
        <f>AH510*N510</f>
      </c>
      <c r="AJ510" s="7"/>
      <c r="AK510" s="170">
        <f>AI510-AE510</f>
      </c>
      <c r="AL510" s="195"/>
      <c r="AM510" s="6"/>
      <c r="AN510" s="171">
        <f>IFERROR(U510/2,"0")</f>
      </c>
    </row>
    <row x14ac:dyDescent="0.25" r="511" customHeight="1" ht="18.75">
      <c r="A511" s="158">
        <f>A510+1</f>
      </c>
      <c r="B511" s="159">
        <v>45927</v>
      </c>
      <c r="C511" s="198" t="s">
        <v>1196</v>
      </c>
      <c r="D511" s="159">
        <v>45927</v>
      </c>
      <c r="E511" s="198" t="s">
        <v>1197</v>
      </c>
      <c r="F511" s="160" t="s">
        <v>32</v>
      </c>
      <c r="G511" s="147" t="s">
        <v>117</v>
      </c>
      <c r="H511" s="198" t="s">
        <v>302</v>
      </c>
      <c r="I511" s="158">
        <v>1109</v>
      </c>
      <c r="J511" s="147" t="s">
        <v>301</v>
      </c>
      <c r="K511" s="199">
        <v>461</v>
      </c>
      <c r="L511" s="198" t="s">
        <v>10</v>
      </c>
      <c r="M511" s="161">
        <f>IFERROR(VLOOKUP(L511,'Material Master'!B:C,2,0),"")</f>
      </c>
      <c r="N511" s="199">
        <v>300</v>
      </c>
      <c r="O511" s="162">
        <f>IFERROR(M511*N511,"")</f>
      </c>
      <c r="P511" s="198" t="s">
        <v>402</v>
      </c>
      <c r="Q511" s="158">
        <v>584344</v>
      </c>
      <c r="R511" s="163">
        <v>45901</v>
      </c>
      <c r="S511" s="147"/>
      <c r="T511" s="6"/>
      <c r="U511" s="158">
        <v>373</v>
      </c>
      <c r="V511" s="164">
        <v>31</v>
      </c>
      <c r="W511" s="165">
        <f>IFERROR(U511*V511,"0")</f>
      </c>
      <c r="X511" s="7"/>
      <c r="Y511" s="166">
        <f>IFERROR((O511/1000)*Masters!$C$3,"0")</f>
      </c>
      <c r="Z511" s="195"/>
      <c r="AA511" s="164">
        <f>IFERROR(VLOOKUP(L511,Masters!G:H,2,0),"0")</f>
      </c>
      <c r="AB511" s="166">
        <f>IFERROR(AA511*N511,"0")</f>
      </c>
      <c r="AC511" s="196"/>
      <c r="AD511" s="7"/>
      <c r="AE511" s="166">
        <f>W511+Y511+AB511+AD511</f>
      </c>
      <c r="AF511" s="195"/>
      <c r="AG511" s="169">
        <f>M511&amp;"-"&amp;F511</f>
      </c>
      <c r="AH511" s="166">
        <f>IFERROR(VLOOKUP(AG511,Masters!N:O,2,0),"0")</f>
      </c>
      <c r="AI511" s="166">
        <f>AH511*N511</f>
      </c>
      <c r="AJ511" s="7"/>
      <c r="AK511" s="170">
        <f>AI511-AE511</f>
      </c>
      <c r="AL511" s="195"/>
      <c r="AM511" s="6"/>
      <c r="AN511" s="171">
        <f>IFERROR(U511/2,"0")</f>
      </c>
    </row>
    <row x14ac:dyDescent="0.25" r="512" customHeight="1" ht="18.75">
      <c r="A512" s="158">
        <f>A511+1</f>
      </c>
      <c r="B512" s="159">
        <v>45928</v>
      </c>
      <c r="C512" s="198" t="s">
        <v>1198</v>
      </c>
      <c r="D512" s="159">
        <v>45928</v>
      </c>
      <c r="E512" s="198" t="s">
        <v>290</v>
      </c>
      <c r="F512" s="160" t="s">
        <v>231</v>
      </c>
      <c r="G512" s="147" t="s">
        <v>197</v>
      </c>
      <c r="H512" s="198" t="s">
        <v>305</v>
      </c>
      <c r="I512" s="158">
        <v>1109</v>
      </c>
      <c r="J512" s="147" t="s">
        <v>301</v>
      </c>
      <c r="K512" s="199">
        <v>462</v>
      </c>
      <c r="L512" s="198" t="s">
        <v>10</v>
      </c>
      <c r="M512" s="161">
        <f>IFERROR(VLOOKUP(L512,'Material Master'!B:C,2,0),"")</f>
      </c>
      <c r="N512" s="199">
        <v>300</v>
      </c>
      <c r="O512" s="162">
        <f>IFERROR(M512*N512,"")</f>
      </c>
      <c r="P512" s="198" t="s">
        <v>402</v>
      </c>
      <c r="Q512" s="158" t="s">
        <v>1199</v>
      </c>
      <c r="R512" s="163">
        <v>45901</v>
      </c>
      <c r="S512" s="147"/>
      <c r="T512" s="6"/>
      <c r="U512" s="158">
        <v>209</v>
      </c>
      <c r="V512" s="164">
        <v>31</v>
      </c>
      <c r="W512" s="165">
        <f>IFERROR(U512*V512,"0")</f>
      </c>
      <c r="X512" s="7"/>
      <c r="Y512" s="166">
        <f>IFERROR((O512/1000)*Masters!$C$3,"0")</f>
      </c>
      <c r="Z512" s="195"/>
      <c r="AA512" s="164">
        <f>IFERROR(VLOOKUP(L512,Masters!G:H,2,0),"0")</f>
      </c>
      <c r="AB512" s="166">
        <f>IFERROR(AA512*N512,"0")</f>
      </c>
      <c r="AC512" s="196"/>
      <c r="AD512" s="7"/>
      <c r="AE512" s="166">
        <f>W512+Y512+AB512+AD512</f>
      </c>
      <c r="AF512" s="195"/>
      <c r="AG512" s="169">
        <f>M512&amp;"-"&amp;F512</f>
      </c>
      <c r="AH512" s="166">
        <f>IFERROR(VLOOKUP(AG512,Masters!N:O,2,0),"0")</f>
      </c>
      <c r="AI512" s="166">
        <f>AH512*N512</f>
      </c>
      <c r="AJ512" s="7"/>
      <c r="AK512" s="170">
        <f>AI512-AE512</f>
      </c>
      <c r="AL512" s="195"/>
      <c r="AM512" s="6"/>
      <c r="AN512" s="171">
        <f>IFERROR(U512/2,"0")</f>
      </c>
    </row>
    <row x14ac:dyDescent="0.25" r="513" customHeight="1" ht="18.75">
      <c r="A513" s="158">
        <f>A512+1</f>
      </c>
      <c r="B513" s="159">
        <v>45928</v>
      </c>
      <c r="C513" s="198" t="s">
        <v>1200</v>
      </c>
      <c r="D513" s="159">
        <v>45928</v>
      </c>
      <c r="E513" s="198" t="s">
        <v>148</v>
      </c>
      <c r="F513" s="160" t="s">
        <v>32</v>
      </c>
      <c r="G513" s="147" t="s">
        <v>532</v>
      </c>
      <c r="H513" s="198" t="s">
        <v>304</v>
      </c>
      <c r="I513" s="158">
        <v>1109</v>
      </c>
      <c r="J513" s="147" t="s">
        <v>301</v>
      </c>
      <c r="K513" s="199">
        <v>463</v>
      </c>
      <c r="L513" s="198" t="s">
        <v>10</v>
      </c>
      <c r="M513" s="161">
        <f>IFERROR(VLOOKUP(L513,'Material Master'!B:C,2,0),"")</f>
      </c>
      <c r="N513" s="199">
        <v>300</v>
      </c>
      <c r="O513" s="162">
        <f>IFERROR(M513*N513,"")</f>
      </c>
      <c r="P513" s="198" t="s">
        <v>402</v>
      </c>
      <c r="Q513" s="158" t="s">
        <v>1201</v>
      </c>
      <c r="R513" s="163">
        <v>45901</v>
      </c>
      <c r="S513" s="147"/>
      <c r="T513" s="6"/>
      <c r="U513" s="158">
        <v>213</v>
      </c>
      <c r="V513" s="164">
        <v>31</v>
      </c>
      <c r="W513" s="165">
        <f>IFERROR(U513*V513,"0")</f>
      </c>
      <c r="X513" s="7"/>
      <c r="Y513" s="166">
        <f>IFERROR((O513/1000)*Masters!$C$3,"0")</f>
      </c>
      <c r="Z513" s="195"/>
      <c r="AA513" s="164">
        <f>IFERROR(VLOOKUP(L513,Masters!G:H,2,0),"0")</f>
      </c>
      <c r="AB513" s="166">
        <f>IFERROR(AA513*N513,"0")</f>
      </c>
      <c r="AC513" s="196"/>
      <c r="AD513" s="7"/>
      <c r="AE513" s="166">
        <f>W513+Y513+AB513+AD513</f>
      </c>
      <c r="AF513" s="195"/>
      <c r="AG513" s="169">
        <f>M513&amp;"-"&amp;F513</f>
      </c>
      <c r="AH513" s="166">
        <f>IFERROR(VLOOKUP(AG513,Masters!N:O,2,0),"0")</f>
      </c>
      <c r="AI513" s="166">
        <f>AH513*N513</f>
      </c>
      <c r="AJ513" s="7"/>
      <c r="AK513" s="170">
        <f>AI513-AE513</f>
      </c>
      <c r="AL513" s="195"/>
      <c r="AM513" s="6"/>
      <c r="AN513" s="171">
        <f>IFERROR(U513/2,"0")</f>
      </c>
    </row>
    <row x14ac:dyDescent="0.25" r="514" customHeight="1" ht="18.75">
      <c r="A514" s="158">
        <f>A513+1</f>
      </c>
      <c r="B514" s="159">
        <v>45928</v>
      </c>
      <c r="C514" s="198" t="s">
        <v>1202</v>
      </c>
      <c r="D514" s="159">
        <v>45928</v>
      </c>
      <c r="E514" s="198" t="s">
        <v>148</v>
      </c>
      <c r="F514" s="160" t="s">
        <v>32</v>
      </c>
      <c r="G514" s="147" t="s">
        <v>532</v>
      </c>
      <c r="H514" s="198" t="s">
        <v>319</v>
      </c>
      <c r="I514" s="158">
        <v>2515</v>
      </c>
      <c r="J514" s="147" t="s">
        <v>306</v>
      </c>
      <c r="K514" s="199">
        <v>464</v>
      </c>
      <c r="L514" s="198" t="s">
        <v>10</v>
      </c>
      <c r="M514" s="161">
        <f>IFERROR(VLOOKUP(L514,'Material Master'!B:C,2,0),"")</f>
      </c>
      <c r="N514" s="199">
        <v>600</v>
      </c>
      <c r="O514" s="162">
        <f>IFERROR(M514*N514,"")</f>
      </c>
      <c r="P514" s="198" t="s">
        <v>402</v>
      </c>
      <c r="Q514" s="158" t="s">
        <v>1203</v>
      </c>
      <c r="R514" s="163">
        <v>45901</v>
      </c>
      <c r="S514" s="147" t="s">
        <v>306</v>
      </c>
      <c r="T514" s="6"/>
      <c r="U514" s="158">
        <v>0</v>
      </c>
      <c r="V514" s="164">
        <v>31</v>
      </c>
      <c r="W514" s="165">
        <f>IFERROR(U514*V514,"0")</f>
      </c>
      <c r="X514" s="7"/>
      <c r="Y514" s="166">
        <f>IFERROR((O514/1000)*Masters!$C$3,"0")</f>
      </c>
      <c r="Z514" s="195"/>
      <c r="AA514" s="164">
        <f>IFERROR(VLOOKUP(L514,Masters!G:H,2,0),"0")</f>
      </c>
      <c r="AB514" s="166">
        <f>IFERROR(AA514*N514,"0")</f>
      </c>
      <c r="AC514" s="196"/>
      <c r="AD514" s="7"/>
      <c r="AE514" s="166">
        <f>W514+Y514+AB514+AD514</f>
      </c>
      <c r="AF514" s="195"/>
      <c r="AG514" s="169">
        <f>M514&amp;"-"&amp;F514</f>
      </c>
      <c r="AH514" s="166">
        <f>IFERROR(VLOOKUP(AG514,Masters!N:O,2,0),"0")</f>
      </c>
      <c r="AI514" s="166">
        <f>AH514*N514</f>
      </c>
      <c r="AJ514" s="7"/>
      <c r="AK514" s="170">
        <f>AI514-AE514</f>
      </c>
      <c r="AL514" s="195"/>
      <c r="AM514" s="6"/>
      <c r="AN514" s="171">
        <f>IFERROR(U514/2,"0")</f>
      </c>
    </row>
    <row x14ac:dyDescent="0.25" r="515" customHeight="1" ht="18.75">
      <c r="A515" s="158">
        <f>A514+1</f>
      </c>
      <c r="B515" s="159">
        <v>45928</v>
      </c>
      <c r="C515" s="198" t="s">
        <v>1204</v>
      </c>
      <c r="D515" s="159">
        <v>45930</v>
      </c>
      <c r="E515" s="198" t="s">
        <v>148</v>
      </c>
      <c r="F515" s="160" t="s">
        <v>32</v>
      </c>
      <c r="G515" s="147" t="s">
        <v>532</v>
      </c>
      <c r="H515" s="198" t="s">
        <v>319</v>
      </c>
      <c r="I515" s="158">
        <v>2515</v>
      </c>
      <c r="J515" s="147" t="s">
        <v>306</v>
      </c>
      <c r="K515" s="199">
        <v>469</v>
      </c>
      <c r="L515" s="198" t="s">
        <v>10</v>
      </c>
      <c r="M515" s="161">
        <f>IFERROR(VLOOKUP(L515,'Material Master'!B:C,2,0),"")</f>
      </c>
      <c r="N515" s="199">
        <v>600</v>
      </c>
      <c r="O515" s="162">
        <f>IFERROR(M515*N515,"")</f>
      </c>
      <c r="P515" s="198" t="s">
        <v>402</v>
      </c>
      <c r="Q515" s="158" t="s">
        <v>1205</v>
      </c>
      <c r="R515" s="163">
        <v>45901</v>
      </c>
      <c r="S515" s="147" t="s">
        <v>306</v>
      </c>
      <c r="T515" s="6"/>
      <c r="U515" s="158">
        <v>0</v>
      </c>
      <c r="V515" s="164">
        <v>31</v>
      </c>
      <c r="W515" s="165">
        <f>IFERROR(U515*V515,"0")</f>
      </c>
      <c r="X515" s="7"/>
      <c r="Y515" s="166">
        <f>IFERROR((O515/1000)*Masters!$C$3,"0")</f>
      </c>
      <c r="Z515" s="195"/>
      <c r="AA515" s="164">
        <f>IFERROR(VLOOKUP(L515,Masters!G:H,2,0),"0")</f>
      </c>
      <c r="AB515" s="166">
        <f>IFERROR(AA515*N515,"0")</f>
      </c>
      <c r="AC515" s="196"/>
      <c r="AD515" s="7"/>
      <c r="AE515" s="166">
        <f>W515+Y515+AB515+AD515</f>
      </c>
      <c r="AF515" s="195"/>
      <c r="AG515" s="169">
        <f>M515&amp;"-"&amp;F515</f>
      </c>
      <c r="AH515" s="166">
        <f>IFERROR(VLOOKUP(AG515,Masters!N:O,2,0),"0")</f>
      </c>
      <c r="AI515" s="166">
        <f>AH515*N515</f>
      </c>
      <c r="AJ515" s="7"/>
      <c r="AK515" s="170">
        <f>AI515-AE515</f>
      </c>
      <c r="AL515" s="195"/>
      <c r="AM515" s="6"/>
      <c r="AN515" s="171">
        <f>IFERROR(U515/2,"0")</f>
      </c>
    </row>
    <row x14ac:dyDescent="0.25" r="516" customHeight="1" ht="18.75">
      <c r="A516" s="158">
        <f>A515+1</f>
      </c>
      <c r="B516" s="159">
        <v>45928</v>
      </c>
      <c r="C516" s="198" t="s">
        <v>1206</v>
      </c>
      <c r="D516" s="159">
        <v>45929</v>
      </c>
      <c r="E516" s="198" t="s">
        <v>79</v>
      </c>
      <c r="F516" s="160" t="s">
        <v>32</v>
      </c>
      <c r="G516" s="147" t="s">
        <v>1207</v>
      </c>
      <c r="H516" s="147" t="s">
        <v>302</v>
      </c>
      <c r="I516" s="158">
        <v>1109</v>
      </c>
      <c r="J516" s="147" t="s">
        <v>301</v>
      </c>
      <c r="K516" s="158">
        <v>466</v>
      </c>
      <c r="L516" s="147" t="s">
        <v>15</v>
      </c>
      <c r="M516" s="161">
        <f>IFERROR(VLOOKUP(L516,'Material Master'!B:C,2,0),"")</f>
      </c>
      <c r="N516" s="158">
        <v>30</v>
      </c>
      <c r="O516" s="162">
        <f>IFERROR(M516*N516,"")</f>
      </c>
      <c r="P516" s="147" t="s">
        <v>402</v>
      </c>
      <c r="Q516" s="158" t="s">
        <v>1208</v>
      </c>
      <c r="R516" s="163">
        <v>45901</v>
      </c>
      <c r="S516" s="147"/>
      <c r="T516" s="147"/>
      <c r="U516" s="158">
        <v>277</v>
      </c>
      <c r="V516" s="164">
        <v>31</v>
      </c>
      <c r="W516" s="165">
        <f>IFERROR(U516*V516,"0")</f>
      </c>
      <c r="X516" s="7"/>
      <c r="Y516" s="166">
        <f>IFERROR((O516/1000)*Masters!$C$3,"0")</f>
      </c>
      <c r="Z516" s="167"/>
      <c r="AA516" s="164">
        <f>IFERROR(VLOOKUP(L516,Masters!G:H,2,0),"0")</f>
      </c>
      <c r="AB516" s="166">
        <f>IFERROR(AA516*N516,"0")</f>
      </c>
      <c r="AC516" s="168"/>
      <c r="AD516" s="158"/>
      <c r="AE516" s="166">
        <f>W516+Y516+AB516+AD516</f>
      </c>
      <c r="AF516" s="167"/>
      <c r="AG516" s="169">
        <f>M516&amp;"-"&amp;F516</f>
      </c>
      <c r="AH516" s="166">
        <f>IFERROR(VLOOKUP(AG516,Masters!N:O,2,0),"0")</f>
      </c>
      <c r="AI516" s="166">
        <f>AH516*N516</f>
      </c>
      <c r="AJ516" s="158"/>
      <c r="AK516" s="170">
        <f>AI516-AE516</f>
      </c>
      <c r="AL516" s="167"/>
      <c r="AM516" s="147"/>
      <c r="AN516" s="171">
        <f>IFERROR(U516/2,"0")</f>
      </c>
    </row>
    <row x14ac:dyDescent="0.25" r="517" customHeight="1" ht="18.75">
      <c r="A517" s="158">
        <f>A516+1</f>
      </c>
      <c r="B517" s="159">
        <v>45928</v>
      </c>
      <c r="C517" s="198" t="s">
        <v>1209</v>
      </c>
      <c r="D517" s="159">
        <v>45928</v>
      </c>
      <c r="E517" s="198" t="s">
        <v>79</v>
      </c>
      <c r="F517" s="160" t="s">
        <v>32</v>
      </c>
      <c r="G517" s="147" t="s">
        <v>158</v>
      </c>
      <c r="H517" s="147" t="s">
        <v>303</v>
      </c>
      <c r="I517" s="158">
        <v>1109</v>
      </c>
      <c r="J517" s="147" t="s">
        <v>301</v>
      </c>
      <c r="K517" s="158">
        <v>465</v>
      </c>
      <c r="L517" s="147" t="s">
        <v>15</v>
      </c>
      <c r="M517" s="161">
        <f>IFERROR(VLOOKUP(L517,'Material Master'!B:C,2,0),"")</f>
      </c>
      <c r="N517" s="158">
        <v>30</v>
      </c>
      <c r="O517" s="162">
        <f>IFERROR(M517*N517,"")</f>
      </c>
      <c r="P517" s="147" t="s">
        <v>402</v>
      </c>
      <c r="Q517" s="158" t="s">
        <v>1210</v>
      </c>
      <c r="R517" s="163">
        <v>45901</v>
      </c>
      <c r="S517" s="147"/>
      <c r="T517" s="147"/>
      <c r="U517" s="158">
        <v>414</v>
      </c>
      <c r="V517" s="164">
        <v>31</v>
      </c>
      <c r="W517" s="165">
        <f>IFERROR(U517*V517,"0")</f>
      </c>
      <c r="X517" s="7"/>
      <c r="Y517" s="166">
        <f>IFERROR((O517/1000)*Masters!$C$3,"0")</f>
      </c>
      <c r="Z517" s="167"/>
      <c r="AA517" s="164">
        <f>IFERROR(VLOOKUP(L517,Masters!G:H,2,0),"0")</f>
      </c>
      <c r="AB517" s="166">
        <f>IFERROR(AA517*N517,"0")</f>
      </c>
      <c r="AC517" s="168"/>
      <c r="AD517" s="158"/>
      <c r="AE517" s="166">
        <f>W517+Y517+AB517+AD517</f>
      </c>
      <c r="AF517" s="167"/>
      <c r="AG517" s="169">
        <f>M517&amp;"-"&amp;F517</f>
      </c>
      <c r="AH517" s="166">
        <f>IFERROR(VLOOKUP(AG517,Masters!N:O,2,0),"0")</f>
      </c>
      <c r="AI517" s="166">
        <f>AH517*N517</f>
      </c>
      <c r="AJ517" s="158"/>
      <c r="AK517" s="170">
        <f>AI517-AE517</f>
      </c>
      <c r="AL517" s="167"/>
      <c r="AM517" s="147"/>
      <c r="AN517" s="171">
        <f>IFERROR(U517/2,"0")</f>
      </c>
    </row>
    <row x14ac:dyDescent="0.25" r="518" customHeight="1" ht="18.75">
      <c r="A518" s="158">
        <f>A517+1</f>
      </c>
      <c r="B518" s="159">
        <v>45928</v>
      </c>
      <c r="C518" s="198" t="s">
        <v>1211</v>
      </c>
      <c r="D518" s="159">
        <v>45930</v>
      </c>
      <c r="E518" s="198" t="s">
        <v>164</v>
      </c>
      <c r="F518" s="160" t="s">
        <v>231</v>
      </c>
      <c r="G518" s="147" t="s">
        <v>165</v>
      </c>
      <c r="H518" s="147" t="s">
        <v>303</v>
      </c>
      <c r="I518" s="158">
        <v>1109</v>
      </c>
      <c r="J518" s="147" t="s">
        <v>301</v>
      </c>
      <c r="K518" s="158">
        <v>468</v>
      </c>
      <c r="L518" s="147" t="s">
        <v>10</v>
      </c>
      <c r="M518" s="161">
        <f>IFERROR(VLOOKUP(L518,'Material Master'!B:C,2,0),"")</f>
      </c>
      <c r="N518" s="158">
        <v>300</v>
      </c>
      <c r="O518" s="162">
        <f>IFERROR(M518*N518,"")</f>
      </c>
      <c r="P518" s="147" t="s">
        <v>402</v>
      </c>
      <c r="Q518" s="158" t="s">
        <v>1212</v>
      </c>
      <c r="R518" s="163">
        <v>45901</v>
      </c>
      <c r="S518" s="147"/>
      <c r="T518" s="147"/>
      <c r="U518" s="158">
        <v>164</v>
      </c>
      <c r="V518" s="164">
        <v>31</v>
      </c>
      <c r="W518" s="165">
        <f>IFERROR(U518*V518,"0")</f>
      </c>
      <c r="X518" s="7"/>
      <c r="Y518" s="166">
        <f>IFERROR((O518/1000)*Masters!$C$3,"0")</f>
      </c>
      <c r="Z518" s="167"/>
      <c r="AA518" s="164">
        <f>IFERROR(VLOOKUP(L518,Masters!G:H,2,0),"0")</f>
      </c>
      <c r="AB518" s="166">
        <f>IFERROR(AA518*N518,"0")</f>
      </c>
      <c r="AC518" s="168"/>
      <c r="AD518" s="158"/>
      <c r="AE518" s="166">
        <f>W518+Y518+AB518+AD518</f>
      </c>
      <c r="AF518" s="167"/>
      <c r="AG518" s="169">
        <f>M518&amp;"-"&amp;F518</f>
      </c>
      <c r="AH518" s="166">
        <f>IFERROR(VLOOKUP(AG518,Masters!N:O,2,0),"0")</f>
      </c>
      <c r="AI518" s="166">
        <f>AH518*N518</f>
      </c>
      <c r="AJ518" s="158"/>
      <c r="AK518" s="170">
        <f>AI518-AE518</f>
      </c>
      <c r="AL518" s="167"/>
      <c r="AM518" s="147"/>
      <c r="AN518" s="171">
        <f>IFERROR(U518/2,"0")</f>
      </c>
    </row>
    <row x14ac:dyDescent="0.25" r="519" customHeight="1" ht="18.75">
      <c r="A519" s="158">
        <f>A518+1</f>
      </c>
      <c r="B519" s="159">
        <v>45928</v>
      </c>
      <c r="C519" s="198" t="s">
        <v>1213</v>
      </c>
      <c r="D519" s="159">
        <v>45930</v>
      </c>
      <c r="E519" s="198" t="s">
        <v>148</v>
      </c>
      <c r="F519" s="160" t="s">
        <v>231</v>
      </c>
      <c r="G519" s="147" t="s">
        <v>151</v>
      </c>
      <c r="H519" s="147" t="s">
        <v>304</v>
      </c>
      <c r="I519" s="158">
        <v>1109</v>
      </c>
      <c r="J519" s="147" t="s">
        <v>301</v>
      </c>
      <c r="K519" s="158">
        <v>467</v>
      </c>
      <c r="L519" s="147" t="s">
        <v>10</v>
      </c>
      <c r="M519" s="161">
        <f>IFERROR(VLOOKUP(L519,'Material Master'!B:C,2,0),"")</f>
      </c>
      <c r="N519" s="158">
        <v>300</v>
      </c>
      <c r="O519" s="162">
        <f>IFERROR(M519*N519,"")</f>
      </c>
      <c r="P519" s="147" t="s">
        <v>402</v>
      </c>
      <c r="Q519" s="158" t="s">
        <v>1214</v>
      </c>
      <c r="R519" s="163">
        <v>45901</v>
      </c>
      <c r="S519" s="147"/>
      <c r="T519" s="147"/>
      <c r="U519" s="158">
        <v>231</v>
      </c>
      <c r="V519" s="164">
        <v>31</v>
      </c>
      <c r="W519" s="165">
        <f>IFERROR(U519*V519,"0")</f>
      </c>
      <c r="X519" s="7"/>
      <c r="Y519" s="166">
        <f>IFERROR((O519/1000)*Masters!$C$3,"0")</f>
      </c>
      <c r="Z519" s="167"/>
      <c r="AA519" s="164">
        <f>IFERROR(VLOOKUP(L519,Masters!G:H,2,0),"0")</f>
      </c>
      <c r="AB519" s="166">
        <f>IFERROR(AA519*N519,"0")</f>
      </c>
      <c r="AC519" s="168"/>
      <c r="AD519" s="158"/>
      <c r="AE519" s="166">
        <f>W519+Y519+AB519+AD519</f>
      </c>
      <c r="AF519" s="167"/>
      <c r="AG519" s="169">
        <f>M519&amp;"-"&amp;F519</f>
      </c>
      <c r="AH519" s="166">
        <f>IFERROR(VLOOKUP(AG519,Masters!N:O,2,0),"0")</f>
      </c>
      <c r="AI519" s="166">
        <f>AH519*N519</f>
      </c>
      <c r="AJ519" s="158"/>
      <c r="AK519" s="170">
        <f>AI519-AE519</f>
      </c>
      <c r="AL519" s="167"/>
      <c r="AM519" s="147"/>
      <c r="AN519" s="171">
        <f>IFERROR(U519/2,"0")</f>
      </c>
    </row>
    <row x14ac:dyDescent="0.25" r="520" customHeight="1" ht="18.75">
      <c r="A520" s="158">
        <f>A519+1</f>
      </c>
      <c r="B520" s="159">
        <v>45928</v>
      </c>
      <c r="C520" s="198" t="s">
        <v>1215</v>
      </c>
      <c r="D520" s="159">
        <v>45930</v>
      </c>
      <c r="E520" s="198" t="s">
        <v>148</v>
      </c>
      <c r="F520" s="160" t="s">
        <v>231</v>
      </c>
      <c r="G520" s="147" t="s">
        <v>151</v>
      </c>
      <c r="H520" s="147" t="s">
        <v>305</v>
      </c>
      <c r="I520" s="158">
        <v>1109</v>
      </c>
      <c r="J520" s="147" t="s">
        <v>301</v>
      </c>
      <c r="K520" s="158">
        <v>470</v>
      </c>
      <c r="L520" s="147" t="s">
        <v>10</v>
      </c>
      <c r="M520" s="161">
        <f>IFERROR(VLOOKUP(L520,'Material Master'!B:C,2,0),"")</f>
      </c>
      <c r="N520" s="158">
        <v>300</v>
      </c>
      <c r="O520" s="162">
        <f>IFERROR(M520*N520,"")</f>
      </c>
      <c r="P520" s="147" t="s">
        <v>402</v>
      </c>
      <c r="Q520" s="158" t="s">
        <v>1216</v>
      </c>
      <c r="R520" s="163">
        <v>45901</v>
      </c>
      <c r="S520" s="147"/>
      <c r="T520" s="147"/>
      <c r="U520" s="158">
        <v>231</v>
      </c>
      <c r="V520" s="164">
        <v>31</v>
      </c>
      <c r="W520" s="165">
        <f>IFERROR(U520*V520,"0")</f>
      </c>
      <c r="X520" s="7"/>
      <c r="Y520" s="166">
        <f>IFERROR((O520/1000)*Masters!$C$3,"0")</f>
      </c>
      <c r="Z520" s="167"/>
      <c r="AA520" s="164">
        <f>IFERROR(VLOOKUP(L520,Masters!G:H,2,0),"0")</f>
      </c>
      <c r="AB520" s="166">
        <f>IFERROR(AA520*N520,"0")</f>
      </c>
      <c r="AC520" s="168"/>
      <c r="AD520" s="158"/>
      <c r="AE520" s="166">
        <f>W520+Y520+AB520+AD520</f>
      </c>
      <c r="AF520" s="167"/>
      <c r="AG520" s="169">
        <f>M520&amp;"-"&amp;F520</f>
      </c>
      <c r="AH520" s="166">
        <f>IFERROR(VLOOKUP(AG520,Masters!N:O,2,0),"0")</f>
      </c>
      <c r="AI520" s="166">
        <f>AH520*N520</f>
      </c>
      <c r="AJ520" s="158"/>
      <c r="AK520" s="170">
        <f>AI520-AE520</f>
      </c>
      <c r="AL520" s="167"/>
      <c r="AM520" s="147"/>
      <c r="AN520" s="171">
        <f>IFERROR(U520/2,"0")</f>
      </c>
    </row>
    <row x14ac:dyDescent="0.25" r="521" customHeight="1" ht="18.75">
      <c r="A521" s="158">
        <f>A520+1</f>
      </c>
      <c r="B521" s="159">
        <v>45928</v>
      </c>
      <c r="C521" s="198" t="s">
        <v>1217</v>
      </c>
      <c r="D521" s="159">
        <v>45930</v>
      </c>
      <c r="E521" s="198" t="s">
        <v>148</v>
      </c>
      <c r="F521" s="160" t="s">
        <v>231</v>
      </c>
      <c r="G521" s="147" t="s">
        <v>151</v>
      </c>
      <c r="H521" s="147" t="s">
        <v>303</v>
      </c>
      <c r="I521" s="158">
        <v>1109</v>
      </c>
      <c r="J521" s="147" t="s">
        <v>301</v>
      </c>
      <c r="K521" s="158">
        <v>471</v>
      </c>
      <c r="L521" s="147" t="s">
        <v>10</v>
      </c>
      <c r="M521" s="161">
        <f>IFERROR(VLOOKUP(L521,'Material Master'!B:C,2,0),"")</f>
      </c>
      <c r="N521" s="158">
        <v>300</v>
      </c>
      <c r="O521" s="162">
        <f>IFERROR(M521*N521,"")</f>
      </c>
      <c r="P521" s="147" t="s">
        <v>402</v>
      </c>
      <c r="Q521" s="158" t="s">
        <v>1218</v>
      </c>
      <c r="R521" s="163">
        <v>45901</v>
      </c>
      <c r="S521" s="147"/>
      <c r="T521" s="147"/>
      <c r="U521" s="158">
        <v>214</v>
      </c>
      <c r="V521" s="164">
        <v>31</v>
      </c>
      <c r="W521" s="165">
        <f>IFERROR(U521*V521,"0")</f>
      </c>
      <c r="X521" s="7"/>
      <c r="Y521" s="166">
        <f>IFERROR((O521/1000)*Masters!$C$3,"0")</f>
      </c>
      <c r="Z521" s="167"/>
      <c r="AA521" s="164">
        <f>IFERROR(VLOOKUP(L521,Masters!G:H,2,0),"0")</f>
      </c>
      <c r="AB521" s="166">
        <f>IFERROR(AA521*N521,"0")</f>
      </c>
      <c r="AC521" s="168"/>
      <c r="AD521" s="158"/>
      <c r="AE521" s="166">
        <f>W521+Y521+AB521+AD521</f>
      </c>
      <c r="AF521" s="167"/>
      <c r="AG521" s="169">
        <f>M521&amp;"-"&amp;F521</f>
      </c>
      <c r="AH521" s="166">
        <f>IFERROR(VLOOKUP(AG521,Masters!N:O,2,0),"0")</f>
      </c>
      <c r="AI521" s="166">
        <f>AH521*N521</f>
      </c>
      <c r="AJ521" s="158"/>
      <c r="AK521" s="170">
        <f>AI521-AE521</f>
      </c>
      <c r="AL521" s="167"/>
      <c r="AM521" s="147"/>
      <c r="AN521" s="171">
        <f>IFERROR(U521/2,"0")</f>
      </c>
    </row>
    <row x14ac:dyDescent="0.25" r="522" customHeight="1" ht="18.75">
      <c r="A522" s="158">
        <f>A521+1</f>
      </c>
      <c r="B522" s="159">
        <v>45928</v>
      </c>
      <c r="C522" s="198" t="s">
        <v>1219</v>
      </c>
      <c r="D522" s="159">
        <v>45936</v>
      </c>
      <c r="E522" s="198" t="s">
        <v>148</v>
      </c>
      <c r="F522" s="160" t="s">
        <v>231</v>
      </c>
      <c r="G522" s="147" t="s">
        <v>203</v>
      </c>
      <c r="H522" s="147" t="s">
        <v>303</v>
      </c>
      <c r="I522" s="158">
        <v>1109</v>
      </c>
      <c r="J522" s="147" t="s">
        <v>301</v>
      </c>
      <c r="K522" s="158">
        <v>474</v>
      </c>
      <c r="L522" s="147" t="s">
        <v>10</v>
      </c>
      <c r="M522" s="161">
        <f>IFERROR(VLOOKUP(L522,'Material Master'!B:C,2,0),"")</f>
      </c>
      <c r="N522" s="158">
        <v>300</v>
      </c>
      <c r="O522" s="162">
        <f>IFERROR(M522*N522,"")</f>
      </c>
      <c r="P522" s="147" t="s">
        <v>402</v>
      </c>
      <c r="Q522" s="158" t="s">
        <v>1220</v>
      </c>
      <c r="R522" s="163">
        <v>45901</v>
      </c>
      <c r="S522" s="147"/>
      <c r="T522" s="147"/>
      <c r="U522" s="158">
        <v>149</v>
      </c>
      <c r="V522" s="164">
        <v>31</v>
      </c>
      <c r="W522" s="165">
        <f>IFERROR(U522*V522,"0")</f>
      </c>
      <c r="X522" s="7"/>
      <c r="Y522" s="166">
        <f>IFERROR((O522/1000)*Masters!$C$3,"0")</f>
      </c>
      <c r="Z522" s="167"/>
      <c r="AA522" s="164">
        <f>IFERROR(VLOOKUP(L522,Masters!G:H,2,0),"0")</f>
      </c>
      <c r="AB522" s="166">
        <f>IFERROR(AA522*N522,"0")</f>
      </c>
      <c r="AC522" s="168"/>
      <c r="AD522" s="158"/>
      <c r="AE522" s="166">
        <f>W522+Y522+AB522+AD522</f>
      </c>
      <c r="AF522" s="167"/>
      <c r="AG522" s="169">
        <f>M522&amp;"-"&amp;F522</f>
      </c>
      <c r="AH522" s="166">
        <f>IFERROR(VLOOKUP(AG522,Masters!N:O,2,0),"0")</f>
      </c>
      <c r="AI522" s="166">
        <f>AH522*N522</f>
      </c>
      <c r="AJ522" s="158"/>
      <c r="AK522" s="170">
        <f>AI522-AE522</f>
      </c>
      <c r="AL522" s="167"/>
      <c r="AM522" s="147"/>
      <c r="AN522" s="171">
        <f>IFERROR(U522/2,"0")</f>
      </c>
    </row>
    <row x14ac:dyDescent="0.25" r="523" customHeight="1" ht="18.75">
      <c r="A523" s="158">
        <f>A522+1</f>
      </c>
      <c r="B523" s="159">
        <v>45929</v>
      </c>
      <c r="C523" s="198" t="s">
        <v>1221</v>
      </c>
      <c r="D523" s="159">
        <v>45941</v>
      </c>
      <c r="E523" s="198" t="s">
        <v>1007</v>
      </c>
      <c r="F523" s="160" t="s">
        <v>231</v>
      </c>
      <c r="G523" s="147" t="s">
        <v>230</v>
      </c>
      <c r="H523" s="147" t="s">
        <v>304</v>
      </c>
      <c r="I523" s="158">
        <v>1109</v>
      </c>
      <c r="J523" s="147" t="s">
        <v>301</v>
      </c>
      <c r="K523" s="158">
        <v>495</v>
      </c>
      <c r="L523" s="147" t="s">
        <v>10</v>
      </c>
      <c r="M523" s="161">
        <f>IFERROR(VLOOKUP(L523,'Material Master'!B:C,2,0),"")</f>
      </c>
      <c r="N523" s="158">
        <v>300</v>
      </c>
      <c r="O523" s="162">
        <f>IFERROR(M523*N523,"")</f>
      </c>
      <c r="P523" s="147" t="s">
        <v>402</v>
      </c>
      <c r="Q523" s="158" t="s">
        <v>1222</v>
      </c>
      <c r="R523" s="163">
        <v>45901</v>
      </c>
      <c r="S523" s="147"/>
      <c r="T523" s="147"/>
      <c r="U523" s="158">
        <v>70</v>
      </c>
      <c r="V523" s="164">
        <v>31</v>
      </c>
      <c r="W523" s="165">
        <f>IFERROR(U523*V523,"0")</f>
      </c>
      <c r="X523" s="7"/>
      <c r="Y523" s="166">
        <f>IFERROR((O523/1000)*Masters!$C$3,"0")</f>
      </c>
      <c r="Z523" s="167"/>
      <c r="AA523" s="164">
        <f>IFERROR(VLOOKUP(L523,Masters!G:H,2,0),"0")</f>
      </c>
      <c r="AB523" s="166">
        <f>IFERROR(AA523*N523,"0")</f>
      </c>
      <c r="AC523" s="168"/>
      <c r="AD523" s="158"/>
      <c r="AE523" s="166">
        <f>W523+Y523+AB523+AD523</f>
      </c>
      <c r="AF523" s="167"/>
      <c r="AG523" s="169">
        <f>M523&amp;"-"&amp;F523</f>
      </c>
      <c r="AH523" s="166">
        <f>IFERROR(VLOOKUP(AG523,Masters!N:O,2,0),"0")</f>
      </c>
      <c r="AI523" s="166">
        <f>AH523*N523</f>
      </c>
      <c r="AJ523" s="158"/>
      <c r="AK523" s="170">
        <f>AI523-AE523</f>
      </c>
      <c r="AL523" s="167"/>
      <c r="AM523" s="147"/>
      <c r="AN523" s="171">
        <f>IFERROR(U523/2,"0")</f>
      </c>
    </row>
    <row x14ac:dyDescent="0.25" r="524" customHeight="1" ht="18.75">
      <c r="A524" s="158">
        <f>A523+1</f>
      </c>
      <c r="B524" s="159">
        <v>45929</v>
      </c>
      <c r="C524" s="198" t="s">
        <v>1223</v>
      </c>
      <c r="D524" s="159">
        <v>45942</v>
      </c>
      <c r="E524" s="198" t="s">
        <v>1007</v>
      </c>
      <c r="F524" s="160" t="s">
        <v>231</v>
      </c>
      <c r="G524" s="147" t="s">
        <v>230</v>
      </c>
      <c r="H524" s="147" t="s">
        <v>302</v>
      </c>
      <c r="I524" s="158">
        <v>1109</v>
      </c>
      <c r="J524" s="147" t="s">
        <v>301</v>
      </c>
      <c r="K524" s="158">
        <v>503</v>
      </c>
      <c r="L524" s="147" t="s">
        <v>10</v>
      </c>
      <c r="M524" s="161">
        <f>IFERROR(VLOOKUP(L524,'Material Master'!B:C,2,0),"")</f>
      </c>
      <c r="N524" s="158">
        <v>300</v>
      </c>
      <c r="O524" s="162">
        <f>IFERROR(M524*N524,"")</f>
      </c>
      <c r="P524" s="147" t="s">
        <v>402</v>
      </c>
      <c r="Q524" s="158" t="s">
        <v>1224</v>
      </c>
      <c r="R524" s="163">
        <v>45901</v>
      </c>
      <c r="S524" s="147"/>
      <c r="T524" s="147"/>
      <c r="U524" s="158">
        <v>71</v>
      </c>
      <c r="V524" s="164">
        <v>31</v>
      </c>
      <c r="W524" s="165">
        <f>IFERROR(U524*V524,"0")</f>
      </c>
      <c r="X524" s="7"/>
      <c r="Y524" s="166">
        <f>IFERROR((O524/1000)*Masters!$C$3,"0")</f>
      </c>
      <c r="Z524" s="167"/>
      <c r="AA524" s="164">
        <f>IFERROR(VLOOKUP(L524,Masters!G:H,2,0),"0")</f>
      </c>
      <c r="AB524" s="166">
        <f>IFERROR(AA524*N524,"0")</f>
      </c>
      <c r="AC524" s="168"/>
      <c r="AD524" s="158"/>
      <c r="AE524" s="166">
        <f>W524+Y524+AB524+AD524</f>
      </c>
      <c r="AF524" s="167"/>
      <c r="AG524" s="169">
        <f>M524&amp;"-"&amp;F524</f>
      </c>
      <c r="AH524" s="166">
        <f>IFERROR(VLOOKUP(AG524,Masters!N:O,2,0),"0")</f>
      </c>
      <c r="AI524" s="166">
        <f>AH524*N524</f>
      </c>
      <c r="AJ524" s="158"/>
      <c r="AK524" s="170">
        <f>AI524-AE524</f>
      </c>
      <c r="AL524" s="167"/>
      <c r="AM524" s="147"/>
      <c r="AN524" s="171">
        <f>IFERROR(U524/2,"0")</f>
      </c>
    </row>
    <row x14ac:dyDescent="0.25" r="525" customHeight="1" ht="18.75">
      <c r="A525" s="244">
        <f>A524+1</f>
      </c>
      <c r="B525" s="245">
        <v>45929</v>
      </c>
      <c r="C525" s="246" t="s">
        <v>1225</v>
      </c>
      <c r="D525" s="245">
        <v>45942</v>
      </c>
      <c r="E525" s="246" t="s">
        <v>1007</v>
      </c>
      <c r="F525" s="247" t="s">
        <v>231</v>
      </c>
      <c r="G525" s="246" t="s">
        <v>230</v>
      </c>
      <c r="H525" s="246" t="s">
        <v>305</v>
      </c>
      <c r="I525" s="244">
        <v>1109</v>
      </c>
      <c r="J525" s="246" t="s">
        <v>301</v>
      </c>
      <c r="K525" s="244">
        <v>504</v>
      </c>
      <c r="L525" s="246" t="s">
        <v>10</v>
      </c>
      <c r="M525" s="248">
        <f>IFERROR(VLOOKUP(L525,'Material Master'!B:C,2,0),"")</f>
      </c>
      <c r="N525" s="244">
        <v>300</v>
      </c>
      <c r="O525" s="249">
        <f>IFERROR(M525*N525,"")</f>
      </c>
      <c r="P525" s="246" t="s">
        <v>402</v>
      </c>
      <c r="Q525" s="244" t="s">
        <v>1226</v>
      </c>
      <c r="R525" s="250">
        <v>45901</v>
      </c>
      <c r="S525" s="246" t="s">
        <v>345</v>
      </c>
      <c r="T525" s="246"/>
      <c r="U525" s="244">
        <v>74</v>
      </c>
      <c r="V525" s="248">
        <v>31</v>
      </c>
      <c r="W525" s="251">
        <f>IFERROR(U525*V525,"0")</f>
      </c>
      <c r="X525" s="252"/>
      <c r="Y525" s="253">
        <f>IFERROR((O525/1000)*Masters!$C$3,"0")</f>
      </c>
      <c r="Z525" s="254"/>
      <c r="AA525" s="248">
        <f>IFERROR(VLOOKUP(L525,Masters!G:H,2,0),"0")</f>
      </c>
      <c r="AB525" s="253">
        <f>IFERROR(AA525*N525,"0")</f>
      </c>
      <c r="AC525" s="255"/>
      <c r="AD525" s="244"/>
      <c r="AE525" s="253">
        <f>W525+Y525+AB525+AD525</f>
      </c>
      <c r="AF525" s="254"/>
      <c r="AG525" s="256">
        <f>M525&amp;"-"&amp;F525</f>
      </c>
      <c r="AH525" s="253">
        <f>IFERROR(VLOOKUP(AG525,Masters!N:O,2,0),"0")</f>
      </c>
      <c r="AI525" s="253">
        <f>AH525*N525</f>
      </c>
      <c r="AJ525" s="244"/>
      <c r="AK525" s="253">
        <f>AI525-AE525</f>
      </c>
      <c r="AL525" s="254"/>
      <c r="AM525" s="246"/>
      <c r="AN525" s="257">
        <f>IFERROR(U525/2,"0")</f>
      </c>
    </row>
    <row x14ac:dyDescent="0.25" r="526" customHeight="1" ht="18.75">
      <c r="A526" s="158">
        <f>A525+1</f>
      </c>
      <c r="B526" s="159">
        <v>45930</v>
      </c>
      <c r="C526" s="198" t="s">
        <v>1227</v>
      </c>
      <c r="D526" s="159">
        <v>45936</v>
      </c>
      <c r="E526" s="198" t="s">
        <v>97</v>
      </c>
      <c r="F526" s="160" t="s">
        <v>231</v>
      </c>
      <c r="G526" s="147" t="s">
        <v>197</v>
      </c>
      <c r="H526" s="147" t="s">
        <v>305</v>
      </c>
      <c r="I526" s="158">
        <v>1109</v>
      </c>
      <c r="J526" s="147" t="s">
        <v>301</v>
      </c>
      <c r="K526" s="158">
        <v>476</v>
      </c>
      <c r="L526" s="147" t="s">
        <v>10</v>
      </c>
      <c r="M526" s="161">
        <f>IFERROR(VLOOKUP(L526,'Material Master'!B:C,2,0),"")</f>
      </c>
      <c r="N526" s="158">
        <v>300</v>
      </c>
      <c r="O526" s="162">
        <f>IFERROR(M526*N526,"")</f>
      </c>
      <c r="P526" s="147" t="s">
        <v>402</v>
      </c>
      <c r="Q526" s="158" t="s">
        <v>1228</v>
      </c>
      <c r="R526" s="163">
        <v>45901</v>
      </c>
      <c r="S526" s="147"/>
      <c r="T526" s="147"/>
      <c r="U526" s="158">
        <v>223</v>
      </c>
      <c r="V526" s="164">
        <v>31</v>
      </c>
      <c r="W526" s="165">
        <f>IFERROR(U526*V526,"0")</f>
      </c>
      <c r="X526" s="7"/>
      <c r="Y526" s="166">
        <f>IFERROR((O526/1000)*Masters!$C$3,"0")</f>
      </c>
      <c r="Z526" s="167"/>
      <c r="AA526" s="164">
        <f>IFERROR(VLOOKUP(L526,Masters!G:H,2,0),"0")</f>
      </c>
      <c r="AB526" s="166">
        <f>IFERROR(AA526*N526,"0")</f>
      </c>
      <c r="AC526" s="168"/>
      <c r="AD526" s="158"/>
      <c r="AE526" s="166">
        <f>W526+Y526+AB526+AD526</f>
      </c>
      <c r="AF526" s="167"/>
      <c r="AG526" s="169">
        <f>M526&amp;"-"&amp;F526</f>
      </c>
      <c r="AH526" s="166">
        <f>IFERROR(VLOOKUP(AG526,Masters!N:O,2,0),"0")</f>
      </c>
      <c r="AI526" s="166">
        <f>AH526*N526</f>
      </c>
      <c r="AJ526" s="158"/>
      <c r="AK526" s="170">
        <f>AI526-AE526</f>
      </c>
      <c r="AL526" s="167"/>
      <c r="AM526" s="147"/>
      <c r="AN526" s="171">
        <f>IFERROR(U526/2,"0")</f>
      </c>
    </row>
    <row x14ac:dyDescent="0.25" r="527" customHeight="1" ht="18.75">
      <c r="A527" s="158">
        <f>A526+1</f>
      </c>
      <c r="B527" s="159">
        <v>45930</v>
      </c>
      <c r="C527" s="198" t="s">
        <v>1229</v>
      </c>
      <c r="D527" s="159">
        <v>45936</v>
      </c>
      <c r="E527" s="198" t="s">
        <v>194</v>
      </c>
      <c r="F527" s="160" t="s">
        <v>231</v>
      </c>
      <c r="G527" s="147" t="s">
        <v>195</v>
      </c>
      <c r="H527" s="147" t="s">
        <v>302</v>
      </c>
      <c r="I527" s="158">
        <v>1109</v>
      </c>
      <c r="J527" s="147" t="s">
        <v>301</v>
      </c>
      <c r="K527" s="158">
        <v>475</v>
      </c>
      <c r="L527" s="147" t="s">
        <v>10</v>
      </c>
      <c r="M527" s="161">
        <f>IFERROR(VLOOKUP(L527,'Material Master'!B:C,2,0),"")</f>
      </c>
      <c r="N527" s="158">
        <v>300</v>
      </c>
      <c r="O527" s="162">
        <f>IFERROR(M527*N527,"")</f>
      </c>
      <c r="P527" s="147" t="s">
        <v>402</v>
      </c>
      <c r="Q527" s="158" t="s">
        <v>1230</v>
      </c>
      <c r="R527" s="163">
        <v>45901</v>
      </c>
      <c r="S527" s="147"/>
      <c r="T527" s="147"/>
      <c r="U527" s="158">
        <v>252</v>
      </c>
      <c r="V527" s="164">
        <v>31</v>
      </c>
      <c r="W527" s="165">
        <f>IFERROR(U527*V527,"0")</f>
      </c>
      <c r="X527" s="7"/>
      <c r="Y527" s="166">
        <f>IFERROR((O527/1000)*Masters!$C$3,"0")</f>
      </c>
      <c r="Z527" s="167"/>
      <c r="AA527" s="164">
        <f>IFERROR(VLOOKUP(L527,Masters!G:H,2,0),"0")</f>
      </c>
      <c r="AB527" s="166">
        <f>IFERROR(AA527*N527,"0")</f>
      </c>
      <c r="AC527" s="168"/>
      <c r="AD527" s="158"/>
      <c r="AE527" s="166">
        <f>W527+Y527+AB527+AD527</f>
      </c>
      <c r="AF527" s="167"/>
      <c r="AG527" s="169">
        <f>M527&amp;"-"&amp;F527</f>
      </c>
      <c r="AH527" s="166">
        <f>IFERROR(VLOOKUP(AG527,Masters!N:O,2,0),"0")</f>
      </c>
      <c r="AI527" s="166">
        <f>AH527*N527</f>
      </c>
      <c r="AJ527" s="158"/>
      <c r="AK527" s="170">
        <f>AI527-AE527</f>
      </c>
      <c r="AL527" s="167"/>
      <c r="AM527" s="147"/>
      <c r="AN527" s="171">
        <f>IFERROR(U527/2,"0")</f>
      </c>
    </row>
    <row x14ac:dyDescent="0.25" r="528" customHeight="1" ht="18.75">
      <c r="A528" s="158">
        <f>A527+1</f>
      </c>
      <c r="B528" s="159">
        <v>45930</v>
      </c>
      <c r="C528" s="198" t="s">
        <v>1231</v>
      </c>
      <c r="D528" s="159">
        <v>45937</v>
      </c>
      <c r="E528" s="198" t="s">
        <v>97</v>
      </c>
      <c r="F528" s="160" t="s">
        <v>32</v>
      </c>
      <c r="G528" s="147" t="s">
        <v>149</v>
      </c>
      <c r="H528" s="147" t="s">
        <v>304</v>
      </c>
      <c r="I528" s="158">
        <v>1109</v>
      </c>
      <c r="J528" s="147" t="s">
        <v>301</v>
      </c>
      <c r="K528" s="158">
        <v>479</v>
      </c>
      <c r="L528" s="147" t="s">
        <v>10</v>
      </c>
      <c r="M528" s="161">
        <f>IFERROR(VLOOKUP(L528,'Material Master'!B:C,2,0),"")</f>
      </c>
      <c r="N528" s="158">
        <v>300</v>
      </c>
      <c r="O528" s="162">
        <f>IFERROR(M528*N528,"")</f>
      </c>
      <c r="P528" s="147" t="s">
        <v>402</v>
      </c>
      <c r="Q528" s="158" t="s">
        <v>1232</v>
      </c>
      <c r="R528" s="163">
        <v>45901</v>
      </c>
      <c r="S528" s="147"/>
      <c r="T528" s="147"/>
      <c r="U528" s="158">
        <v>321</v>
      </c>
      <c r="V528" s="164">
        <v>31</v>
      </c>
      <c r="W528" s="165">
        <f>IFERROR(U528*V528,"0")</f>
      </c>
      <c r="X528" s="7"/>
      <c r="Y528" s="166">
        <f>IFERROR((O528/1000)*Masters!$C$3,"0")</f>
      </c>
      <c r="Z528" s="167"/>
      <c r="AA528" s="164">
        <f>IFERROR(VLOOKUP(L528,Masters!G:H,2,0),"0")</f>
      </c>
      <c r="AB528" s="166">
        <f>IFERROR(AA528*N528,"0")</f>
      </c>
      <c r="AC528" s="168"/>
      <c r="AD528" s="158"/>
      <c r="AE528" s="166">
        <f>W528+Y528+AB528+AD528</f>
      </c>
      <c r="AF528" s="167"/>
      <c r="AG528" s="169">
        <f>M528&amp;"-"&amp;F528</f>
      </c>
      <c r="AH528" s="166">
        <f>IFERROR(VLOOKUP(AG528,Masters!N:O,2,0),"0")</f>
      </c>
      <c r="AI528" s="166">
        <f>AH528*N528</f>
      </c>
      <c r="AJ528" s="158"/>
      <c r="AK528" s="170">
        <f>AI528-AE528</f>
      </c>
      <c r="AL528" s="167"/>
      <c r="AM528" s="147"/>
      <c r="AN528" s="171">
        <f>IFERROR(U528/2,"0")</f>
      </c>
    </row>
    <row x14ac:dyDescent="0.25" r="529" customHeight="1" ht="18.75">
      <c r="A529" s="158">
        <f>A528+1</f>
      </c>
      <c r="B529" s="159">
        <v>45930</v>
      </c>
      <c r="C529" s="198" t="s">
        <v>1233</v>
      </c>
      <c r="D529" s="159">
        <v>45938</v>
      </c>
      <c r="E529" s="198" t="s">
        <v>174</v>
      </c>
      <c r="F529" s="160" t="s">
        <v>32</v>
      </c>
      <c r="G529" s="147" t="s">
        <v>175</v>
      </c>
      <c r="H529" s="147" t="s">
        <v>303</v>
      </c>
      <c r="I529" s="158">
        <v>1109</v>
      </c>
      <c r="J529" s="147" t="s">
        <v>301</v>
      </c>
      <c r="K529" s="158">
        <v>481</v>
      </c>
      <c r="L529" s="147" t="s">
        <v>10</v>
      </c>
      <c r="M529" s="161">
        <f>IFERROR(VLOOKUP(L529,'Material Master'!B:C,2,0),"")</f>
      </c>
      <c r="N529" s="158">
        <v>300</v>
      </c>
      <c r="O529" s="162">
        <f>IFERROR(M529*N529,"")</f>
      </c>
      <c r="P529" s="147" t="s">
        <v>402</v>
      </c>
      <c r="Q529" s="158" t="s">
        <v>1234</v>
      </c>
      <c r="R529" s="163">
        <v>45901</v>
      </c>
      <c r="S529" s="147"/>
      <c r="T529" s="147"/>
      <c r="U529" s="158">
        <v>407</v>
      </c>
      <c r="V529" s="164">
        <v>31</v>
      </c>
      <c r="W529" s="165">
        <f>IFERROR(U529*V529,"0")</f>
      </c>
      <c r="X529" s="7"/>
      <c r="Y529" s="166">
        <f>IFERROR((O529/1000)*Masters!$C$3,"0")</f>
      </c>
      <c r="Z529" s="167"/>
      <c r="AA529" s="164">
        <f>IFERROR(VLOOKUP(L529,Masters!G:H,2,0),"0")</f>
      </c>
      <c r="AB529" s="166">
        <f>IFERROR(AA529*N529,"0")</f>
      </c>
      <c r="AC529" s="168"/>
      <c r="AD529" s="158"/>
      <c r="AE529" s="166">
        <f>W529+Y529+AB529+AD529</f>
      </c>
      <c r="AF529" s="167"/>
      <c r="AG529" s="169">
        <f>M529&amp;"-"&amp;F529</f>
      </c>
      <c r="AH529" s="166">
        <f>IFERROR(VLOOKUP(AG529,Masters!N:O,2,0),"0")</f>
      </c>
      <c r="AI529" s="166">
        <f>AH529*N529</f>
      </c>
      <c r="AJ529" s="158"/>
      <c r="AK529" s="170">
        <f>AI529-AE529</f>
      </c>
      <c r="AL529" s="167"/>
      <c r="AM529" s="147"/>
      <c r="AN529" s="171">
        <f>IFERROR(U529/2,"0")</f>
      </c>
    </row>
    <row x14ac:dyDescent="0.25" r="530" customHeight="1" ht="18.75">
      <c r="A530" s="158">
        <f>A529+1</f>
      </c>
      <c r="B530" s="159">
        <v>45930</v>
      </c>
      <c r="C530" s="198" t="s">
        <v>1235</v>
      </c>
      <c r="D530" s="159">
        <v>45938</v>
      </c>
      <c r="E530" s="198" t="s">
        <v>148</v>
      </c>
      <c r="F530" s="160" t="s">
        <v>32</v>
      </c>
      <c r="G530" s="147" t="s">
        <v>532</v>
      </c>
      <c r="H530" s="147" t="s">
        <v>302</v>
      </c>
      <c r="I530" s="158">
        <v>1109</v>
      </c>
      <c r="J530" s="147" t="s">
        <v>301</v>
      </c>
      <c r="K530" s="158">
        <v>484</v>
      </c>
      <c r="L530" s="147" t="s">
        <v>10</v>
      </c>
      <c r="M530" s="161">
        <f>IFERROR(VLOOKUP(L530,'Material Master'!B:C,2,0),"")</f>
      </c>
      <c r="N530" s="158">
        <v>300</v>
      </c>
      <c r="O530" s="162">
        <f>IFERROR(M530*N530,"")</f>
      </c>
      <c r="P530" s="147" t="s">
        <v>402</v>
      </c>
      <c r="Q530" s="158" t="s">
        <v>1236</v>
      </c>
      <c r="R530" s="163">
        <v>45901</v>
      </c>
      <c r="S530" s="147"/>
      <c r="T530" s="147"/>
      <c r="U530" s="158">
        <v>246</v>
      </c>
      <c r="V530" s="164">
        <v>31</v>
      </c>
      <c r="W530" s="165">
        <f>IFERROR(U530*V530,"0")</f>
      </c>
      <c r="X530" s="7"/>
      <c r="Y530" s="166">
        <f>IFERROR((O530/1000)*Masters!$C$3,"0")</f>
      </c>
      <c r="Z530" s="167"/>
      <c r="AA530" s="164">
        <f>IFERROR(VLOOKUP(L530,Masters!G:H,2,0),"0")</f>
      </c>
      <c r="AB530" s="166">
        <f>IFERROR(AA530*N530,"0")</f>
      </c>
      <c r="AC530" s="168"/>
      <c r="AD530" s="158"/>
      <c r="AE530" s="166">
        <f>W530+Y530+AB530+AD530</f>
      </c>
      <c r="AF530" s="167"/>
      <c r="AG530" s="169">
        <f>M530&amp;"-"&amp;F530</f>
      </c>
      <c r="AH530" s="166">
        <f>IFERROR(VLOOKUP(AG530,Masters!N:O,2,0),"0")</f>
      </c>
      <c r="AI530" s="166">
        <f>AH530*N530</f>
      </c>
      <c r="AJ530" s="158"/>
      <c r="AK530" s="170">
        <f>AI530-AE530</f>
      </c>
      <c r="AL530" s="167"/>
      <c r="AM530" s="147"/>
      <c r="AN530" s="171">
        <f>IFERROR(U530/2,"0")</f>
      </c>
    </row>
    <row x14ac:dyDescent="0.25" r="531" customHeight="1" ht="18.75">
      <c r="A531" s="158">
        <f>A530+1</f>
      </c>
      <c r="B531" s="159">
        <v>45930</v>
      </c>
      <c r="C531" s="198" t="s">
        <v>1237</v>
      </c>
      <c r="D531" s="159">
        <v>45930</v>
      </c>
      <c r="E531" s="198" t="s">
        <v>131</v>
      </c>
      <c r="F531" s="160" t="s">
        <v>32</v>
      </c>
      <c r="G531" s="147" t="s">
        <v>371</v>
      </c>
      <c r="H531" s="147" t="s">
        <v>325</v>
      </c>
      <c r="I531" s="158">
        <v>2515</v>
      </c>
      <c r="J531" s="147" t="s">
        <v>306</v>
      </c>
      <c r="K531" s="158">
        <v>472</v>
      </c>
      <c r="L531" s="147" t="s">
        <v>10</v>
      </c>
      <c r="M531" s="161">
        <f>IFERROR(VLOOKUP(L531,'Material Master'!B:C,2,0),"")</f>
      </c>
      <c r="N531" s="158">
        <v>600</v>
      </c>
      <c r="O531" s="162">
        <f>IFERROR(M531*N531,"")</f>
      </c>
      <c r="P531" s="147" t="s">
        <v>402</v>
      </c>
      <c r="Q531" s="158" t="s">
        <v>1238</v>
      </c>
      <c r="R531" s="163">
        <v>45901</v>
      </c>
      <c r="S531" s="147" t="s">
        <v>306</v>
      </c>
      <c r="T531" s="147"/>
      <c r="U531" s="158">
        <v>0</v>
      </c>
      <c r="V531" s="164">
        <v>31</v>
      </c>
      <c r="W531" s="165">
        <f>IFERROR(U531*V531,"0")</f>
      </c>
      <c r="X531" s="7"/>
      <c r="Y531" s="166">
        <f>IFERROR((O531/1000)*Masters!$C$3,"0")</f>
      </c>
      <c r="Z531" s="167"/>
      <c r="AA531" s="164">
        <f>IFERROR(VLOOKUP(L531,Masters!G:H,2,0),"0")</f>
      </c>
      <c r="AB531" s="166">
        <f>IFERROR(AA531*N531,"0")</f>
      </c>
      <c r="AC531" s="168"/>
      <c r="AD531" s="158"/>
      <c r="AE531" s="166">
        <f>W531+Y531+AB531+AD531</f>
      </c>
      <c r="AF531" s="167"/>
      <c r="AG531" s="169">
        <f>M531&amp;"-"&amp;F531</f>
      </c>
      <c r="AH531" s="166">
        <f>IFERROR(VLOOKUP(AG531,Masters!N:O,2,0),"0")</f>
      </c>
      <c r="AI531" s="166">
        <f>AH531*N531</f>
      </c>
      <c r="AJ531" s="158"/>
      <c r="AK531" s="170">
        <f>AI531-AE531</f>
      </c>
      <c r="AL531" s="167"/>
      <c r="AM531" s="147"/>
      <c r="AN531" s="171">
        <f>IFERROR(U531/2,"0")</f>
      </c>
    </row>
    <row x14ac:dyDescent="0.25" r="532" customHeight="1" ht="18.75">
      <c r="A532" s="158">
        <f>A531+1</f>
      </c>
      <c r="B532" s="159">
        <v>45930</v>
      </c>
      <c r="C532" s="198" t="s">
        <v>1239</v>
      </c>
      <c r="D532" s="159">
        <v>45936</v>
      </c>
      <c r="E532" s="198" t="s">
        <v>131</v>
      </c>
      <c r="F532" s="160" t="s">
        <v>32</v>
      </c>
      <c r="G532" s="147" t="s">
        <v>371</v>
      </c>
      <c r="H532" s="147" t="s">
        <v>326</v>
      </c>
      <c r="I532" s="158">
        <v>2515</v>
      </c>
      <c r="J532" s="147" t="s">
        <v>306</v>
      </c>
      <c r="K532" s="158">
        <v>477</v>
      </c>
      <c r="L532" s="147" t="s">
        <v>10</v>
      </c>
      <c r="M532" s="161">
        <f>IFERROR(VLOOKUP(L532,'Material Master'!B:C,2,0),"")</f>
      </c>
      <c r="N532" s="158">
        <v>600</v>
      </c>
      <c r="O532" s="162">
        <f>IFERROR(M532*N532,"")</f>
      </c>
      <c r="P532" s="147" t="s">
        <v>402</v>
      </c>
      <c r="Q532" s="158">
        <v>734930</v>
      </c>
      <c r="R532" s="163">
        <v>45901</v>
      </c>
      <c r="S532" s="147" t="s">
        <v>306</v>
      </c>
      <c r="T532" s="147"/>
      <c r="U532" s="158">
        <v>0</v>
      </c>
      <c r="V532" s="164">
        <v>31</v>
      </c>
      <c r="W532" s="165">
        <f>IFERROR(U532*V532,"0")</f>
      </c>
      <c r="X532" s="7"/>
      <c r="Y532" s="166">
        <f>IFERROR((O532/1000)*Masters!$C$3,"0")</f>
      </c>
      <c r="Z532" s="167"/>
      <c r="AA532" s="164">
        <f>IFERROR(VLOOKUP(L532,Masters!G:H,2,0),"0")</f>
      </c>
      <c r="AB532" s="166">
        <f>IFERROR(AA532*N532,"0")</f>
      </c>
      <c r="AC532" s="168"/>
      <c r="AD532" s="158"/>
      <c r="AE532" s="166">
        <f>W532+Y532+AB532+AD532</f>
      </c>
      <c r="AF532" s="167"/>
      <c r="AG532" s="169">
        <f>M532&amp;"-"&amp;F532</f>
      </c>
      <c r="AH532" s="166">
        <f>IFERROR(VLOOKUP(AG532,Masters!N:O,2,0),"0")</f>
      </c>
      <c r="AI532" s="166">
        <f>AH532*N532</f>
      </c>
      <c r="AJ532" s="158"/>
      <c r="AK532" s="170">
        <f>AI532-AE532</f>
      </c>
      <c r="AL532" s="167"/>
      <c r="AM532" s="147"/>
      <c r="AN532" s="171">
        <f>IFERROR(U532/2,"0")</f>
      </c>
    </row>
    <row x14ac:dyDescent="0.25" r="533" customHeight="1" ht="18.75">
      <c r="A533" s="158">
        <f>A532+1</f>
      </c>
      <c r="B533" s="159">
        <v>45930</v>
      </c>
      <c r="C533" s="198" t="s">
        <v>1240</v>
      </c>
      <c r="D533" s="159">
        <v>45936</v>
      </c>
      <c r="E533" s="198" t="s">
        <v>131</v>
      </c>
      <c r="F533" s="160" t="s">
        <v>32</v>
      </c>
      <c r="G533" s="147" t="s">
        <v>371</v>
      </c>
      <c r="H533" s="147" t="s">
        <v>327</v>
      </c>
      <c r="I533" s="158">
        <v>2515</v>
      </c>
      <c r="J533" s="147" t="s">
        <v>306</v>
      </c>
      <c r="K533" s="158">
        <v>478</v>
      </c>
      <c r="L533" s="147" t="s">
        <v>10</v>
      </c>
      <c r="M533" s="161">
        <f>IFERROR(VLOOKUP(L533,'Material Master'!B:C,2,0),"")</f>
      </c>
      <c r="N533" s="158">
        <v>600</v>
      </c>
      <c r="O533" s="162">
        <f>IFERROR(M533*N533,"")</f>
      </c>
      <c r="P533" s="147" t="s">
        <v>402</v>
      </c>
      <c r="Q533" s="158">
        <v>165571</v>
      </c>
      <c r="R533" s="163">
        <v>45901</v>
      </c>
      <c r="S533" s="147" t="s">
        <v>306</v>
      </c>
      <c r="T533" s="147"/>
      <c r="U533" s="158">
        <v>0</v>
      </c>
      <c r="V533" s="164">
        <v>31</v>
      </c>
      <c r="W533" s="165">
        <f>IFERROR(U533*V533,"0")</f>
      </c>
      <c r="X533" s="7"/>
      <c r="Y533" s="166">
        <f>IFERROR((O533/1000)*Masters!$C$3,"0")</f>
      </c>
      <c r="Z533" s="167"/>
      <c r="AA533" s="164">
        <f>IFERROR(VLOOKUP(L533,Masters!G:H,2,0),"0")</f>
      </c>
      <c r="AB533" s="166">
        <f>IFERROR(AA533*N533,"0")</f>
      </c>
      <c r="AC533" s="168"/>
      <c r="AD533" s="158"/>
      <c r="AE533" s="166">
        <f>W533+Y533+AB533+AD533</f>
      </c>
      <c r="AF533" s="167"/>
      <c r="AG533" s="169">
        <f>M533&amp;"-"&amp;F533</f>
      </c>
      <c r="AH533" s="166">
        <f>IFERROR(VLOOKUP(AG533,Masters!N:O,2,0),"0")</f>
      </c>
      <c r="AI533" s="166">
        <f>AH533*N533</f>
      </c>
      <c r="AJ533" s="158"/>
      <c r="AK533" s="170">
        <f>AI533-AE533</f>
      </c>
      <c r="AL533" s="167"/>
      <c r="AM533" s="147"/>
      <c r="AN533" s="171">
        <f>IFERROR(U533/2,"0")</f>
      </c>
    </row>
    <row x14ac:dyDescent="0.25" r="534" customHeight="1" ht="18.75">
      <c r="A534" s="158">
        <f>A533+1</f>
      </c>
      <c r="B534" s="159">
        <v>45930</v>
      </c>
      <c r="C534" s="198" t="s">
        <v>1241</v>
      </c>
      <c r="D534" s="159">
        <v>45937</v>
      </c>
      <c r="E534" s="198" t="s">
        <v>131</v>
      </c>
      <c r="F534" s="160" t="s">
        <v>32</v>
      </c>
      <c r="G534" s="147" t="s">
        <v>371</v>
      </c>
      <c r="H534" s="147" t="s">
        <v>328</v>
      </c>
      <c r="I534" s="158">
        <v>2515</v>
      </c>
      <c r="J534" s="147" t="s">
        <v>306</v>
      </c>
      <c r="K534" s="158">
        <v>480</v>
      </c>
      <c r="L534" s="147" t="s">
        <v>10</v>
      </c>
      <c r="M534" s="161">
        <f>IFERROR(VLOOKUP(L534,'Material Master'!B:C,2,0),"")</f>
      </c>
      <c r="N534" s="158">
        <v>600</v>
      </c>
      <c r="O534" s="162">
        <f>IFERROR(M534*N534,"")</f>
      </c>
      <c r="P534" s="147" t="s">
        <v>1242</v>
      </c>
      <c r="Q534" s="158" t="s">
        <v>1243</v>
      </c>
      <c r="R534" s="163">
        <v>45901</v>
      </c>
      <c r="S534" s="147" t="s">
        <v>306</v>
      </c>
      <c r="T534" s="147"/>
      <c r="U534" s="158">
        <v>0</v>
      </c>
      <c r="V534" s="164">
        <v>31</v>
      </c>
      <c r="W534" s="165">
        <f>IFERROR(U534*V534,"0")</f>
      </c>
      <c r="X534" s="7"/>
      <c r="Y534" s="166">
        <f>IFERROR((O534/1000)*Masters!$C$3,"0")</f>
      </c>
      <c r="Z534" s="167"/>
      <c r="AA534" s="164">
        <f>IFERROR(VLOOKUP(L534,Masters!G:H,2,0),"0")</f>
      </c>
      <c r="AB534" s="166">
        <f>IFERROR(AA534*N534,"0")</f>
      </c>
      <c r="AC534" s="168"/>
      <c r="AD534" s="158"/>
      <c r="AE534" s="166">
        <f>W534+Y534+AB534+AD534</f>
      </c>
      <c r="AF534" s="167"/>
      <c r="AG534" s="169">
        <f>M534&amp;"-"&amp;F534</f>
      </c>
      <c r="AH534" s="166">
        <f>IFERROR(VLOOKUP(AG534,Masters!N:O,2,0),"0")</f>
      </c>
      <c r="AI534" s="166">
        <f>AH534*N534</f>
      </c>
      <c r="AJ534" s="158"/>
      <c r="AK534" s="170">
        <f>AI534-AE534</f>
      </c>
      <c r="AL534" s="167"/>
      <c r="AM534" s="147"/>
      <c r="AN534" s="171">
        <f>IFERROR(U534/2,"0")</f>
      </c>
    </row>
    <row x14ac:dyDescent="0.25" r="535" customHeight="1" ht="18.75">
      <c r="A535" s="158">
        <f>A534+1</f>
      </c>
      <c r="B535" s="159">
        <v>45930</v>
      </c>
      <c r="C535" s="198" t="s">
        <v>1244</v>
      </c>
      <c r="D535" s="159">
        <v>45937</v>
      </c>
      <c r="E535" s="198" t="s">
        <v>131</v>
      </c>
      <c r="F535" s="160" t="s">
        <v>32</v>
      </c>
      <c r="G535" s="147" t="s">
        <v>371</v>
      </c>
      <c r="H535" s="147" t="s">
        <v>329</v>
      </c>
      <c r="I535" s="158">
        <v>2515</v>
      </c>
      <c r="J535" s="147" t="s">
        <v>306</v>
      </c>
      <c r="K535" s="158">
        <v>482</v>
      </c>
      <c r="L535" s="147" t="s">
        <v>10</v>
      </c>
      <c r="M535" s="161">
        <f>IFERROR(VLOOKUP(L535,'Material Master'!B:C,2,0),"")</f>
      </c>
      <c r="N535" s="158">
        <v>600</v>
      </c>
      <c r="O535" s="162">
        <f>IFERROR(M535*N535,"")</f>
      </c>
      <c r="P535" s="147" t="s">
        <v>1242</v>
      </c>
      <c r="Q535" s="158" t="s">
        <v>1245</v>
      </c>
      <c r="R535" s="163">
        <v>45901</v>
      </c>
      <c r="S535" s="147" t="s">
        <v>306</v>
      </c>
      <c r="T535" s="147"/>
      <c r="U535" s="158">
        <v>0</v>
      </c>
      <c r="V535" s="164">
        <v>31</v>
      </c>
      <c r="W535" s="165">
        <f>IFERROR(U535*V535,"0")</f>
      </c>
      <c r="X535" s="7"/>
      <c r="Y535" s="166">
        <f>IFERROR((O535/1000)*Masters!$C$3,"0")</f>
      </c>
      <c r="Z535" s="167"/>
      <c r="AA535" s="164">
        <f>IFERROR(VLOOKUP(L535,Masters!G:H,2,0),"0")</f>
      </c>
      <c r="AB535" s="166">
        <f>IFERROR(AA535*N535,"0")</f>
      </c>
      <c r="AC535" s="168"/>
      <c r="AD535" s="158"/>
      <c r="AE535" s="166">
        <f>W535+Y535+AB535+AD535</f>
      </c>
      <c r="AF535" s="167"/>
      <c r="AG535" s="169">
        <f>M535&amp;"-"&amp;F535</f>
      </c>
      <c r="AH535" s="166">
        <f>IFERROR(VLOOKUP(AG535,Masters!N:O,2,0),"0")</f>
      </c>
      <c r="AI535" s="166">
        <f>AH535*N535</f>
      </c>
      <c r="AJ535" s="158"/>
      <c r="AK535" s="170">
        <f>AI535-AE535</f>
      </c>
      <c r="AL535" s="167"/>
      <c r="AM535" s="147"/>
      <c r="AN535" s="171">
        <f>IFERROR(U535/2,"0")</f>
      </c>
    </row>
    <row x14ac:dyDescent="0.25" r="536" customHeight="1" ht="18.75">
      <c r="A536" s="158">
        <f>A535+1</f>
      </c>
      <c r="B536" s="159">
        <v>45930</v>
      </c>
      <c r="C536" s="198" t="s">
        <v>1246</v>
      </c>
      <c r="D536" s="159">
        <v>45938</v>
      </c>
      <c r="E536" s="198" t="s">
        <v>131</v>
      </c>
      <c r="F536" s="160" t="s">
        <v>32</v>
      </c>
      <c r="G536" s="147" t="s">
        <v>371</v>
      </c>
      <c r="H536" s="147" t="s">
        <v>332</v>
      </c>
      <c r="I536" s="158">
        <v>2515</v>
      </c>
      <c r="J536" s="147" t="s">
        <v>306</v>
      </c>
      <c r="K536" s="158">
        <v>485</v>
      </c>
      <c r="L536" s="147" t="s">
        <v>10</v>
      </c>
      <c r="M536" s="161">
        <f>IFERROR(VLOOKUP(L536,'Material Master'!B:C,2,0),"")</f>
      </c>
      <c r="N536" s="158">
        <v>600</v>
      </c>
      <c r="O536" s="162">
        <f>IFERROR(M536*N536,"")</f>
      </c>
      <c r="P536" s="147" t="s">
        <v>1242</v>
      </c>
      <c r="Q536" s="158" t="s">
        <v>1247</v>
      </c>
      <c r="R536" s="163">
        <v>45901</v>
      </c>
      <c r="S536" s="147" t="s">
        <v>306</v>
      </c>
      <c r="T536" s="147"/>
      <c r="U536" s="158">
        <v>0</v>
      </c>
      <c r="V536" s="164">
        <v>31</v>
      </c>
      <c r="W536" s="165">
        <f>IFERROR(U536*V536,"0")</f>
      </c>
      <c r="X536" s="7"/>
      <c r="Y536" s="166">
        <f>IFERROR((O536/1000)*Masters!$C$3,"0")</f>
      </c>
      <c r="Z536" s="167"/>
      <c r="AA536" s="164">
        <f>IFERROR(VLOOKUP(L536,Masters!G:H,2,0),"0")</f>
      </c>
      <c r="AB536" s="166">
        <f>IFERROR(AA536*N536,"0")</f>
      </c>
      <c r="AC536" s="168"/>
      <c r="AD536" s="158"/>
      <c r="AE536" s="166">
        <f>W536+Y536+AB536+AD536</f>
      </c>
      <c r="AF536" s="167"/>
      <c r="AG536" s="169">
        <f>M536&amp;"-"&amp;F536</f>
      </c>
      <c r="AH536" s="166">
        <f>IFERROR(VLOOKUP(AG536,Masters!N:O,2,0),"0")</f>
      </c>
      <c r="AI536" s="166">
        <f>AH536*N536</f>
      </c>
      <c r="AJ536" s="158"/>
      <c r="AK536" s="170">
        <f>AI536-AE536</f>
      </c>
      <c r="AL536" s="167"/>
      <c r="AM536" s="147"/>
      <c r="AN536" s="171">
        <f>IFERROR(U536/2,"0")</f>
      </c>
    </row>
    <row x14ac:dyDescent="0.25" r="537" customHeight="1" ht="18.75">
      <c r="A537" s="158">
        <f>A536+1</f>
      </c>
      <c r="B537" s="159">
        <v>45930</v>
      </c>
      <c r="C537" s="198" t="s">
        <v>1248</v>
      </c>
      <c r="D537" s="159">
        <v>45938</v>
      </c>
      <c r="E537" s="198" t="s">
        <v>131</v>
      </c>
      <c r="F537" s="160" t="s">
        <v>32</v>
      </c>
      <c r="G537" s="147" t="s">
        <v>371</v>
      </c>
      <c r="H537" s="147" t="s">
        <v>331</v>
      </c>
      <c r="I537" s="158">
        <v>2515</v>
      </c>
      <c r="J537" s="147" t="s">
        <v>306</v>
      </c>
      <c r="K537" s="158">
        <v>486</v>
      </c>
      <c r="L537" s="147" t="s">
        <v>10</v>
      </c>
      <c r="M537" s="161">
        <f>IFERROR(VLOOKUP(L537,'Material Master'!B:C,2,0),"")</f>
      </c>
      <c r="N537" s="158">
        <v>600</v>
      </c>
      <c r="O537" s="162">
        <f>IFERROR(M537*N537,"")</f>
      </c>
      <c r="P537" s="147" t="s">
        <v>1242</v>
      </c>
      <c r="Q537" s="158" t="s">
        <v>1249</v>
      </c>
      <c r="R537" s="163">
        <v>45901</v>
      </c>
      <c r="S537" s="147" t="s">
        <v>306</v>
      </c>
      <c r="T537" s="147"/>
      <c r="U537" s="158">
        <v>0</v>
      </c>
      <c r="V537" s="164">
        <v>31</v>
      </c>
      <c r="W537" s="165">
        <f>IFERROR(U537*V537,"0")</f>
      </c>
      <c r="X537" s="7"/>
      <c r="Y537" s="166">
        <f>IFERROR((O537/1000)*Masters!$C$3,"0")</f>
      </c>
      <c r="Z537" s="167"/>
      <c r="AA537" s="164">
        <f>IFERROR(VLOOKUP(L537,Masters!G:H,2,0),"0")</f>
      </c>
      <c r="AB537" s="166">
        <f>IFERROR(AA537*N537,"0")</f>
      </c>
      <c r="AC537" s="168"/>
      <c r="AD537" s="158"/>
      <c r="AE537" s="166">
        <f>W537+Y537+AB537+AD537</f>
      </c>
      <c r="AF537" s="167"/>
      <c r="AG537" s="169">
        <f>M537&amp;"-"&amp;F537</f>
      </c>
      <c r="AH537" s="166">
        <f>IFERROR(VLOOKUP(AG537,Masters!N:O,2,0),"0")</f>
      </c>
      <c r="AI537" s="166">
        <f>AH537*N537</f>
      </c>
      <c r="AJ537" s="158"/>
      <c r="AK537" s="170">
        <f>AI537-AE537</f>
      </c>
      <c r="AL537" s="167"/>
      <c r="AM537" s="147"/>
      <c r="AN537" s="171">
        <f>IFERROR(U537/2,"0")</f>
      </c>
    </row>
    <row x14ac:dyDescent="0.25" r="538" customHeight="1" ht="18.75">
      <c r="A538" s="158">
        <f>A537+1</f>
      </c>
      <c r="B538" s="159">
        <v>45930</v>
      </c>
      <c r="C538" s="198" t="s">
        <v>1250</v>
      </c>
      <c r="D538" s="159">
        <v>45938</v>
      </c>
      <c r="E538" s="198" t="s">
        <v>131</v>
      </c>
      <c r="F538" s="160" t="s">
        <v>32</v>
      </c>
      <c r="G538" s="147" t="s">
        <v>371</v>
      </c>
      <c r="H538" s="147" t="s">
        <v>330</v>
      </c>
      <c r="I538" s="158">
        <v>2515</v>
      </c>
      <c r="J538" s="147" t="s">
        <v>306</v>
      </c>
      <c r="K538" s="158">
        <v>487</v>
      </c>
      <c r="L538" s="147" t="s">
        <v>10</v>
      </c>
      <c r="M538" s="161">
        <f>IFERROR(VLOOKUP(L538,'Material Master'!B:C,2,0),"")</f>
      </c>
      <c r="N538" s="158">
        <v>600</v>
      </c>
      <c r="O538" s="162">
        <f>IFERROR(M538*N538,"")</f>
      </c>
      <c r="P538" s="147" t="s">
        <v>1242</v>
      </c>
      <c r="Q538" s="158" t="s">
        <v>1251</v>
      </c>
      <c r="R538" s="163">
        <v>45901</v>
      </c>
      <c r="S538" s="147" t="s">
        <v>306</v>
      </c>
      <c r="T538" s="147"/>
      <c r="U538" s="158">
        <v>0</v>
      </c>
      <c r="V538" s="164">
        <v>31</v>
      </c>
      <c r="W538" s="165">
        <f>IFERROR(U538*V538,"0")</f>
      </c>
      <c r="X538" s="7"/>
      <c r="Y538" s="166">
        <f>IFERROR((O538/1000)*Masters!$C$3,"0")</f>
      </c>
      <c r="Z538" s="167"/>
      <c r="AA538" s="164">
        <f>IFERROR(VLOOKUP(L538,Masters!G:H,2,0),"0")</f>
      </c>
      <c r="AB538" s="166">
        <f>IFERROR(AA538*N538,"0")</f>
      </c>
      <c r="AC538" s="168"/>
      <c r="AD538" s="158"/>
      <c r="AE538" s="166">
        <f>W538+Y538+AB538+AD538</f>
      </c>
      <c r="AF538" s="167"/>
      <c r="AG538" s="169">
        <f>M538&amp;"-"&amp;F538</f>
      </c>
      <c r="AH538" s="166">
        <f>IFERROR(VLOOKUP(AG538,Masters!N:O,2,0),"0")</f>
      </c>
      <c r="AI538" s="166">
        <f>AH538*N538</f>
      </c>
      <c r="AJ538" s="158"/>
      <c r="AK538" s="170">
        <f>AI538-AE538</f>
      </c>
      <c r="AL538" s="167"/>
      <c r="AM538" s="147"/>
      <c r="AN538" s="171">
        <f>IFERROR(U538/2,"0")</f>
      </c>
    </row>
    <row x14ac:dyDescent="0.25" r="539" customHeight="1" ht="18.75">
      <c r="A539" s="158">
        <f>A538+1</f>
      </c>
      <c r="B539" s="159">
        <v>45930</v>
      </c>
      <c r="C539" s="198" t="s">
        <v>1252</v>
      </c>
      <c r="D539" s="159">
        <v>45939</v>
      </c>
      <c r="E539" s="198" t="s">
        <v>131</v>
      </c>
      <c r="F539" s="160" t="s">
        <v>32</v>
      </c>
      <c r="G539" s="147" t="s">
        <v>371</v>
      </c>
      <c r="H539" s="147" t="s">
        <v>333</v>
      </c>
      <c r="I539" s="158">
        <v>2515</v>
      </c>
      <c r="J539" s="147" t="s">
        <v>306</v>
      </c>
      <c r="K539" s="158">
        <v>490</v>
      </c>
      <c r="L539" s="147" t="s">
        <v>10</v>
      </c>
      <c r="M539" s="161">
        <f>IFERROR(VLOOKUP(L539,'Material Master'!B:C,2,0),"")</f>
      </c>
      <c r="N539" s="158">
        <v>600</v>
      </c>
      <c r="O539" s="162">
        <f>IFERROR(M539*N539,"")</f>
      </c>
      <c r="P539" s="147" t="s">
        <v>1242</v>
      </c>
      <c r="Q539" s="158" t="s">
        <v>1253</v>
      </c>
      <c r="R539" s="163">
        <v>45901</v>
      </c>
      <c r="S539" s="147" t="s">
        <v>306</v>
      </c>
      <c r="T539" s="147"/>
      <c r="U539" s="158">
        <v>0</v>
      </c>
      <c r="V539" s="164">
        <v>31</v>
      </c>
      <c r="W539" s="165">
        <f>IFERROR(U539*V539,"0")</f>
      </c>
      <c r="X539" s="7"/>
      <c r="Y539" s="166">
        <f>IFERROR((O539/1000)*Masters!$C$3,"0")</f>
      </c>
      <c r="Z539" s="167"/>
      <c r="AA539" s="164">
        <f>IFERROR(VLOOKUP(L539,Masters!G:H,2,0),"0")</f>
      </c>
      <c r="AB539" s="166">
        <f>IFERROR(AA539*N539,"0")</f>
      </c>
      <c r="AC539" s="168"/>
      <c r="AD539" s="158"/>
      <c r="AE539" s="166">
        <f>W539+Y539+AB539+AD539</f>
      </c>
      <c r="AF539" s="167"/>
      <c r="AG539" s="169">
        <f>M539&amp;"-"&amp;F539</f>
      </c>
      <c r="AH539" s="166">
        <f>IFERROR(VLOOKUP(AG539,Masters!N:O,2,0),"0")</f>
      </c>
      <c r="AI539" s="166">
        <f>AH539*N539</f>
      </c>
      <c r="AJ539" s="158"/>
      <c r="AK539" s="170">
        <f>AI539-AE539</f>
      </c>
      <c r="AL539" s="167"/>
      <c r="AM539" s="147"/>
      <c r="AN539" s="171">
        <f>IFERROR(U539/2,"0")</f>
      </c>
    </row>
    <row x14ac:dyDescent="0.25" r="540" customHeight="1" ht="18.75">
      <c r="A540" s="158">
        <f>A539+1</f>
      </c>
      <c r="B540" s="159">
        <v>45930</v>
      </c>
      <c r="C540" s="198" t="s">
        <v>1254</v>
      </c>
      <c r="D540" s="159">
        <v>45940</v>
      </c>
      <c r="E540" s="198" t="s">
        <v>291</v>
      </c>
      <c r="F540" s="160" t="s">
        <v>32</v>
      </c>
      <c r="G540" s="147" t="s">
        <v>145</v>
      </c>
      <c r="H540" s="147" t="s">
        <v>305</v>
      </c>
      <c r="I540" s="158">
        <v>1109</v>
      </c>
      <c r="J540" s="147" t="s">
        <v>301</v>
      </c>
      <c r="K540" s="158">
        <v>492</v>
      </c>
      <c r="L540" s="147" t="s">
        <v>10</v>
      </c>
      <c r="M540" s="161">
        <f>IFERROR(VLOOKUP(L540,'Material Master'!B:C,2,0),"")</f>
      </c>
      <c r="N540" s="158">
        <v>300</v>
      </c>
      <c r="O540" s="162">
        <f>IFERROR(M540*N540,"")</f>
      </c>
      <c r="P540" s="147" t="s">
        <v>402</v>
      </c>
      <c r="Q540" s="158" t="s">
        <v>1255</v>
      </c>
      <c r="R540" s="163">
        <v>45901</v>
      </c>
      <c r="S540" s="147"/>
      <c r="T540" s="147"/>
      <c r="U540" s="158">
        <v>387</v>
      </c>
      <c r="V540" s="164">
        <v>31</v>
      </c>
      <c r="W540" s="165">
        <f>IFERROR(U540*V540,"0")</f>
      </c>
      <c r="X540" s="7"/>
      <c r="Y540" s="166">
        <f>IFERROR((O540/1000)*Masters!$C$3,"0")</f>
      </c>
      <c r="Z540" s="167"/>
      <c r="AA540" s="164">
        <f>IFERROR(VLOOKUP(L540,Masters!G:H,2,0),"0")</f>
      </c>
      <c r="AB540" s="166">
        <f>IFERROR(AA540*N540,"0")</f>
      </c>
      <c r="AC540" s="168"/>
      <c r="AD540" s="158"/>
      <c r="AE540" s="166">
        <f>W540+Y540+AB540+AD540</f>
      </c>
      <c r="AF540" s="167"/>
      <c r="AG540" s="169">
        <f>M540&amp;"-"&amp;F540</f>
      </c>
      <c r="AH540" s="166">
        <f>IFERROR(VLOOKUP(AG540,Masters!N:O,2,0),"0")</f>
      </c>
      <c r="AI540" s="166">
        <f>AH540*N540</f>
      </c>
      <c r="AJ540" s="158"/>
      <c r="AK540" s="170">
        <f>AI540-AE540</f>
      </c>
      <c r="AL540" s="167"/>
      <c r="AM540" s="147"/>
      <c r="AN540" s="171">
        <f>IFERROR(U540/2,"0")</f>
      </c>
    </row>
    <row x14ac:dyDescent="0.25" r="541" customHeight="1" ht="18.75">
      <c r="A541" s="158">
        <f>A540+1</f>
      </c>
      <c r="B541" s="159">
        <v>45930</v>
      </c>
      <c r="C541" s="198" t="s">
        <v>1256</v>
      </c>
      <c r="D541" s="159">
        <v>45938</v>
      </c>
      <c r="E541" s="198" t="s">
        <v>212</v>
      </c>
      <c r="F541" s="160" t="s">
        <v>236</v>
      </c>
      <c r="G541" s="147" t="s">
        <v>186</v>
      </c>
      <c r="H541" s="147" t="s">
        <v>305</v>
      </c>
      <c r="I541" s="158">
        <v>1109</v>
      </c>
      <c r="J541" s="147" t="s">
        <v>301</v>
      </c>
      <c r="K541" s="158">
        <v>483</v>
      </c>
      <c r="L541" s="147" t="s">
        <v>10</v>
      </c>
      <c r="M541" s="161">
        <f>IFERROR(VLOOKUP(L541,'Material Master'!B:C,2,0),"")</f>
      </c>
      <c r="N541" s="158">
        <v>300</v>
      </c>
      <c r="O541" s="162">
        <f>IFERROR(M541*N541,"")</f>
      </c>
      <c r="P541" s="147" t="s">
        <v>402</v>
      </c>
      <c r="Q541" s="158" t="s">
        <v>1257</v>
      </c>
      <c r="R541" s="163">
        <v>45901</v>
      </c>
      <c r="S541" s="147"/>
      <c r="T541" s="147"/>
      <c r="U541" s="158">
        <v>521</v>
      </c>
      <c r="V541" s="164">
        <v>31</v>
      </c>
      <c r="W541" s="165">
        <f>IFERROR(U541*V541,"0")</f>
      </c>
      <c r="X541" s="7"/>
      <c r="Y541" s="166">
        <f>IFERROR((O541/1000)*Masters!$C$3,"0")</f>
      </c>
      <c r="Z541" s="167"/>
      <c r="AA541" s="164">
        <f>IFERROR(VLOOKUP(L541,Masters!G:H,2,0),"0")</f>
      </c>
      <c r="AB541" s="166">
        <f>IFERROR(AA541*N541,"0")</f>
      </c>
      <c r="AC541" s="168"/>
      <c r="AD541" s="158"/>
      <c r="AE541" s="166">
        <f>W541+Y541+AB541+AD541</f>
      </c>
      <c r="AF541" s="167"/>
      <c r="AG541" s="169">
        <f>M541&amp;"-"&amp;F541</f>
      </c>
      <c r="AH541" s="166">
        <f>IFERROR(VLOOKUP(AG541,Masters!N:O,2,0),"0")</f>
      </c>
      <c r="AI541" s="166">
        <f>AH541*N541</f>
      </c>
      <c r="AJ541" s="158"/>
      <c r="AK541" s="170">
        <f>AI541-AE541</f>
      </c>
      <c r="AL541" s="167"/>
      <c r="AM541" s="147"/>
      <c r="AN541" s="171">
        <f>IFERROR(U541/2,"0")</f>
      </c>
    </row>
    <row x14ac:dyDescent="0.25" r="542" customHeight="1" ht="18.75">
      <c r="A542" s="158">
        <f>A541+1</f>
      </c>
      <c r="B542" s="159">
        <v>45930</v>
      </c>
      <c r="C542" s="198" t="s">
        <v>1258</v>
      </c>
      <c r="D542" s="159">
        <v>45939</v>
      </c>
      <c r="E542" s="198" t="s">
        <v>292</v>
      </c>
      <c r="F542" s="160" t="s">
        <v>231</v>
      </c>
      <c r="G542" s="147" t="s">
        <v>1259</v>
      </c>
      <c r="H542" s="147" t="s">
        <v>303</v>
      </c>
      <c r="I542" s="158">
        <v>1109</v>
      </c>
      <c r="J542" s="147" t="s">
        <v>301</v>
      </c>
      <c r="K542" s="158">
        <v>488</v>
      </c>
      <c r="L542" s="147" t="s">
        <v>10</v>
      </c>
      <c r="M542" s="161">
        <f>IFERROR(VLOOKUP(L542,'Material Master'!B:C,2,0),"")</f>
      </c>
      <c r="N542" s="158">
        <v>300</v>
      </c>
      <c r="O542" s="162">
        <f>IFERROR(M542*N542,"")</f>
      </c>
      <c r="P542" s="147" t="s">
        <v>402</v>
      </c>
      <c r="Q542" s="158" t="s">
        <v>1260</v>
      </c>
      <c r="R542" s="163">
        <v>45901</v>
      </c>
      <c r="S542" s="147"/>
      <c r="T542" s="147"/>
      <c r="U542" s="158">
        <v>228</v>
      </c>
      <c r="V542" s="164">
        <v>31</v>
      </c>
      <c r="W542" s="165">
        <f>IFERROR(U542*V542,"0")</f>
      </c>
      <c r="X542" s="7"/>
      <c r="Y542" s="166">
        <f>IFERROR((O542/1000)*Masters!$C$3,"0")</f>
      </c>
      <c r="Z542" s="167"/>
      <c r="AA542" s="164">
        <f>IFERROR(VLOOKUP(L542,Masters!G:H,2,0),"0")</f>
      </c>
      <c r="AB542" s="166">
        <f>IFERROR(AA542*N542,"0")</f>
      </c>
      <c r="AC542" s="168"/>
      <c r="AD542" s="158"/>
      <c r="AE542" s="166">
        <f>W542+Y542+AB542+AD542</f>
      </c>
      <c r="AF542" s="167"/>
      <c r="AG542" s="169">
        <f>M542&amp;"-"&amp;F542</f>
      </c>
      <c r="AH542" s="166">
        <f>IFERROR(VLOOKUP(AG542,Masters!N:O,2,0),"0")</f>
      </c>
      <c r="AI542" s="166">
        <f>AH542*N542</f>
      </c>
      <c r="AJ542" s="158"/>
      <c r="AK542" s="170">
        <f>AI542-AE542</f>
      </c>
      <c r="AL542" s="167"/>
      <c r="AM542" s="147"/>
      <c r="AN542" s="171">
        <f>IFERROR(U542/2,"0")</f>
      </c>
    </row>
    <row x14ac:dyDescent="0.25" r="543" customHeight="1" ht="18.75">
      <c r="A543" s="158">
        <f>A542+1</f>
      </c>
      <c r="B543" s="159">
        <v>45930</v>
      </c>
      <c r="C543" s="198" t="s">
        <v>1261</v>
      </c>
      <c r="D543" s="159">
        <v>45936</v>
      </c>
      <c r="E543" s="198" t="s">
        <v>134</v>
      </c>
      <c r="F543" s="160" t="s">
        <v>231</v>
      </c>
      <c r="G543" s="147" t="s">
        <v>80</v>
      </c>
      <c r="H543" s="147" t="s">
        <v>304</v>
      </c>
      <c r="I543" s="158">
        <v>1109</v>
      </c>
      <c r="J543" s="147" t="s">
        <v>301</v>
      </c>
      <c r="K543" s="158">
        <v>473</v>
      </c>
      <c r="L543" s="147" t="s">
        <v>10</v>
      </c>
      <c r="M543" s="161">
        <f>IFERROR(VLOOKUP(L543,'Material Master'!B:C,2,0),"")</f>
      </c>
      <c r="N543" s="158">
        <v>300</v>
      </c>
      <c r="O543" s="162">
        <f>IFERROR(M543*N543,"")</f>
      </c>
      <c r="P543" s="147" t="s">
        <v>402</v>
      </c>
      <c r="Q543" s="158" t="s">
        <v>1262</v>
      </c>
      <c r="R543" s="163">
        <v>45901</v>
      </c>
      <c r="S543" s="147"/>
      <c r="T543" s="147"/>
      <c r="U543" s="158">
        <v>149</v>
      </c>
      <c r="V543" s="164">
        <v>31</v>
      </c>
      <c r="W543" s="165">
        <f>IFERROR(U543*V543,"0")</f>
      </c>
      <c r="X543" s="7"/>
      <c r="Y543" s="166">
        <f>IFERROR((O543/1000)*Masters!$C$3,"0")</f>
      </c>
      <c r="Z543" s="167"/>
      <c r="AA543" s="164">
        <f>IFERROR(VLOOKUP(L543,Masters!G:H,2,0),"0")</f>
      </c>
      <c r="AB543" s="166">
        <f>IFERROR(AA543*N543,"0")</f>
      </c>
      <c r="AC543" s="168"/>
      <c r="AD543" s="158"/>
      <c r="AE543" s="166">
        <f>W543+Y543+AB543+AD543</f>
      </c>
      <c r="AF543" s="167"/>
      <c r="AG543" s="169">
        <f>M543&amp;"-"&amp;F543</f>
      </c>
      <c r="AH543" s="166">
        <f>IFERROR(VLOOKUP(AG543,Masters!N:O,2,0),"0")</f>
      </c>
      <c r="AI543" s="166">
        <f>AH543*N543</f>
      </c>
      <c r="AJ543" s="158"/>
      <c r="AK543" s="170">
        <f>AI543-AE543</f>
      </c>
      <c r="AL543" s="167"/>
      <c r="AM543" s="147"/>
      <c r="AN543" s="171">
        <f>IFERROR(U543/2,"0")</f>
      </c>
    </row>
    <row x14ac:dyDescent="0.25" r="544" customHeight="1" ht="18.75">
      <c r="A544" s="158">
        <f>A543+1</f>
      </c>
      <c r="B544" s="159">
        <v>45930</v>
      </c>
      <c r="C544" s="198" t="s">
        <v>1263</v>
      </c>
      <c r="D544" s="159">
        <v>45939</v>
      </c>
      <c r="E544" s="198" t="s">
        <v>190</v>
      </c>
      <c r="F544" s="160" t="s">
        <v>236</v>
      </c>
      <c r="G544" s="147" t="s">
        <v>191</v>
      </c>
      <c r="H544" s="147" t="s">
        <v>302</v>
      </c>
      <c r="I544" s="158">
        <v>1109</v>
      </c>
      <c r="J544" s="147" t="s">
        <v>301</v>
      </c>
      <c r="K544" s="158">
        <v>491</v>
      </c>
      <c r="L544" s="147" t="s">
        <v>10</v>
      </c>
      <c r="M544" s="161">
        <f>IFERROR(VLOOKUP(L544,'Material Master'!B:C,2,0),"")</f>
      </c>
      <c r="N544" s="158">
        <v>300</v>
      </c>
      <c r="O544" s="162">
        <f>IFERROR(M544*N544,"")</f>
      </c>
      <c r="P544" s="147" t="s">
        <v>402</v>
      </c>
      <c r="Q544" s="158" t="s">
        <v>1264</v>
      </c>
      <c r="R544" s="163">
        <v>45901</v>
      </c>
      <c r="S544" s="147"/>
      <c r="T544" s="147"/>
      <c r="U544" s="158">
        <v>632</v>
      </c>
      <c r="V544" s="164">
        <v>31</v>
      </c>
      <c r="W544" s="165">
        <f>IFERROR(U544*V544,"0")</f>
      </c>
      <c r="X544" s="7"/>
      <c r="Y544" s="166">
        <f>IFERROR((O544/1000)*Masters!$C$3,"0")</f>
      </c>
      <c r="Z544" s="167"/>
      <c r="AA544" s="164">
        <f>IFERROR(VLOOKUP(L544,Masters!G:H,2,0),"0")</f>
      </c>
      <c r="AB544" s="166">
        <f>IFERROR(AA544*N544,"0")</f>
      </c>
      <c r="AC544" s="168"/>
      <c r="AD544" s="158"/>
      <c r="AE544" s="166">
        <f>W544+Y544+AB544+AD544</f>
      </c>
      <c r="AF544" s="167"/>
      <c r="AG544" s="169">
        <f>M544&amp;"-"&amp;F544</f>
      </c>
      <c r="AH544" s="166">
        <f>IFERROR(VLOOKUP(AG544,Masters!N:O,2,0),"0")</f>
      </c>
      <c r="AI544" s="166">
        <f>AH544*N544</f>
      </c>
      <c r="AJ544" s="158"/>
      <c r="AK544" s="170">
        <f>AI544-AE544</f>
      </c>
      <c r="AL544" s="167"/>
      <c r="AM544" s="147"/>
      <c r="AN544" s="171">
        <f>IFERROR(U544/2,"0")</f>
      </c>
    </row>
    <row x14ac:dyDescent="0.25" r="545" customHeight="1" ht="18.75">
      <c r="A545" s="158">
        <f>A544+1</f>
      </c>
      <c r="B545" s="159">
        <v>45930</v>
      </c>
      <c r="C545" s="198" t="s">
        <v>1265</v>
      </c>
      <c r="D545" s="159">
        <v>45939</v>
      </c>
      <c r="E545" s="198" t="s">
        <v>114</v>
      </c>
      <c r="F545" s="160" t="s">
        <v>32</v>
      </c>
      <c r="G545" s="147" t="s">
        <v>115</v>
      </c>
      <c r="H545" s="147" t="s">
        <v>304</v>
      </c>
      <c r="I545" s="158">
        <v>909</v>
      </c>
      <c r="J545" s="147" t="s">
        <v>301</v>
      </c>
      <c r="K545" s="158">
        <v>489</v>
      </c>
      <c r="L545" s="147" t="s">
        <v>10</v>
      </c>
      <c r="M545" s="161">
        <f>IFERROR(VLOOKUP(L545,'Material Master'!B:C,2,0),"")</f>
      </c>
      <c r="N545" s="158">
        <v>200</v>
      </c>
      <c r="O545" s="162">
        <f>IFERROR(M545*N545,"")</f>
      </c>
      <c r="P545" s="147" t="s">
        <v>402</v>
      </c>
      <c r="Q545" s="158" t="s">
        <v>1266</v>
      </c>
      <c r="R545" s="163">
        <v>45901</v>
      </c>
      <c r="S545" s="147"/>
      <c r="T545" s="147"/>
      <c r="U545" s="158">
        <v>230</v>
      </c>
      <c r="V545" s="164">
        <v>31</v>
      </c>
      <c r="W545" s="165">
        <f>IFERROR(U545*V545,"0")</f>
      </c>
      <c r="X545" s="7"/>
      <c r="Y545" s="166">
        <f>IFERROR((O545/1000)*Masters!$C$3,"0")</f>
      </c>
      <c r="Z545" s="167"/>
      <c r="AA545" s="164">
        <f>IFERROR(VLOOKUP(L545,Masters!G:H,2,0),"0")</f>
      </c>
      <c r="AB545" s="166">
        <f>IFERROR(AA545*N545,"0")</f>
      </c>
      <c r="AC545" s="168"/>
      <c r="AD545" s="158"/>
      <c r="AE545" s="166">
        <f>W545+Y545+AB545+AD545</f>
      </c>
      <c r="AF545" s="167"/>
      <c r="AG545" s="169">
        <f>M545&amp;"-"&amp;F545</f>
      </c>
      <c r="AH545" s="166">
        <f>IFERROR(VLOOKUP(AG545,Masters!N:O,2,0),"0")</f>
      </c>
      <c r="AI545" s="166">
        <f>AH545*N545</f>
      </c>
      <c r="AJ545" s="158"/>
      <c r="AK545" s="170">
        <f>AI545-AE545</f>
      </c>
      <c r="AL545" s="167"/>
      <c r="AM545" s="147"/>
      <c r="AN545" s="171">
        <f>IFERROR(U545/2,"0")</f>
      </c>
    </row>
    <row x14ac:dyDescent="0.25" r="546" customHeight="1" ht="18.75">
      <c r="A546" s="158">
        <v>544</v>
      </c>
      <c r="B546" s="159">
        <v>45939</v>
      </c>
      <c r="C546" s="198" t="s">
        <v>1267</v>
      </c>
      <c r="D546" s="159">
        <v>45941</v>
      </c>
      <c r="E546" s="198" t="s">
        <v>120</v>
      </c>
      <c r="F546" s="160" t="s">
        <v>231</v>
      </c>
      <c r="G546" s="147" t="s">
        <v>121</v>
      </c>
      <c r="H546" s="147" t="s">
        <v>302</v>
      </c>
      <c r="I546" s="158">
        <v>1109</v>
      </c>
      <c r="J546" s="147" t="s">
        <v>301</v>
      </c>
      <c r="K546" s="158">
        <v>497</v>
      </c>
      <c r="L546" s="147" t="s">
        <v>10</v>
      </c>
      <c r="M546" s="161">
        <f>IFERROR(VLOOKUP(L546,'Material Master'!B:C,2,0),"")</f>
      </c>
      <c r="N546" s="158">
        <v>200</v>
      </c>
      <c r="O546" s="162">
        <f>IFERROR(M546*N546,"")</f>
      </c>
      <c r="P546" s="147" t="s">
        <v>402</v>
      </c>
      <c r="Q546" s="158">
        <v>39909</v>
      </c>
      <c r="R546" s="163" t="s">
        <v>1268</v>
      </c>
      <c r="S546" s="147"/>
      <c r="T546" s="147"/>
      <c r="U546" s="158">
        <v>228</v>
      </c>
      <c r="V546" s="164">
        <v>31</v>
      </c>
      <c r="W546" s="165">
        <f>IFERROR(U546*V546,"0")</f>
      </c>
      <c r="X546" s="7"/>
      <c r="Y546" s="166">
        <f>IFERROR((O546/1000)*Masters!$C$3,"0")</f>
      </c>
      <c r="Z546" s="167"/>
      <c r="AA546" s="164">
        <f>IFERROR(VLOOKUP(L546,Masters!G:H,2,0),"0")</f>
      </c>
      <c r="AB546" s="166">
        <f>IFERROR(AA546*N546,"0")</f>
      </c>
      <c r="AC546" s="168"/>
      <c r="AD546" s="158"/>
      <c r="AE546" s="166">
        <f>W546+Y546+AB546+AD546</f>
      </c>
      <c r="AF546" s="167"/>
      <c r="AG546" s="169">
        <f>M546&amp;"-"&amp;F546</f>
      </c>
      <c r="AH546" s="166">
        <f>IFERROR(VLOOKUP(AG546,Masters!N:O,2,0),"0")</f>
      </c>
      <c r="AI546" s="166">
        <f>AH546*N546</f>
      </c>
      <c r="AJ546" s="158"/>
      <c r="AK546" s="170">
        <f>AI546-AE546</f>
      </c>
      <c r="AL546" s="167"/>
      <c r="AM546" s="147"/>
      <c r="AN546" s="171">
        <f>IFERROR(U546/2,"0")</f>
      </c>
    </row>
    <row x14ac:dyDescent="0.25" r="547" customHeight="1" ht="18.75">
      <c r="A547" s="158">
        <v>545</v>
      </c>
      <c r="B547" s="159">
        <v>45939</v>
      </c>
      <c r="C547" s="198" t="s">
        <v>1267</v>
      </c>
      <c r="D547" s="159">
        <v>45941</v>
      </c>
      <c r="E547" s="198" t="s">
        <v>75</v>
      </c>
      <c r="F547" s="160" t="s">
        <v>231</v>
      </c>
      <c r="G547" s="147" t="s">
        <v>230</v>
      </c>
      <c r="H547" s="147" t="s">
        <v>302</v>
      </c>
      <c r="I547" s="158">
        <v>1109</v>
      </c>
      <c r="J547" s="147" t="s">
        <v>301</v>
      </c>
      <c r="K547" s="158">
        <v>498</v>
      </c>
      <c r="L547" s="147" t="s">
        <v>10</v>
      </c>
      <c r="M547" s="161">
        <f>IFERROR(VLOOKUP(L547,'Material Master'!B:C,2,0),"")</f>
      </c>
      <c r="N547" s="158">
        <v>100</v>
      </c>
      <c r="O547" s="162">
        <f>IFERROR(M547*N547,"")</f>
      </c>
      <c r="P547" s="147" t="s">
        <v>402</v>
      </c>
      <c r="Q547" s="158">
        <v>39909</v>
      </c>
      <c r="R547" s="163" t="s">
        <v>1268</v>
      </c>
      <c r="S547" s="147"/>
      <c r="T547" s="147"/>
      <c r="U547" s="158">
        <v>0</v>
      </c>
      <c r="V547" s="164">
        <v>31</v>
      </c>
      <c r="W547" s="165">
        <f>IFERROR(U547*V547,"0")</f>
      </c>
      <c r="X547" s="7"/>
      <c r="Y547" s="166">
        <f>IFERROR((O547/1000)*Masters!$C$3,"0")</f>
      </c>
      <c r="Z547" s="167"/>
      <c r="AA547" s="164">
        <f>IFERROR(VLOOKUP(L547,Masters!G:H,2,0),"0")</f>
      </c>
      <c r="AB547" s="166">
        <f>IFERROR(AA547*N547,"0")</f>
      </c>
      <c r="AC547" s="168"/>
      <c r="AD547" s="158"/>
      <c r="AE547" s="166">
        <f>W547+Y547+AB547+AD547</f>
      </c>
      <c r="AF547" s="167"/>
      <c r="AG547" s="169">
        <f>M547&amp;"-"&amp;F547</f>
      </c>
      <c r="AH547" s="166">
        <f>IFERROR(VLOOKUP(AG547,Masters!N:O,2,0),"0")</f>
      </c>
      <c r="AI547" s="166">
        <f>AH547*N547</f>
      </c>
      <c r="AJ547" s="158"/>
      <c r="AK547" s="170">
        <f>AI547-AE547</f>
      </c>
      <c r="AL547" s="167"/>
      <c r="AM547" s="147"/>
      <c r="AN547" s="171">
        <f>IFERROR(U547/2,"0")</f>
      </c>
    </row>
    <row x14ac:dyDescent="0.25" r="548" customHeight="1" ht="18.75">
      <c r="A548" s="158">
        <f>A547+1</f>
      </c>
      <c r="B548" s="159">
        <v>45939</v>
      </c>
      <c r="C548" s="198" t="s">
        <v>1269</v>
      </c>
      <c r="D548" s="159">
        <v>45941</v>
      </c>
      <c r="E548" s="198" t="s">
        <v>120</v>
      </c>
      <c r="F548" s="160" t="s">
        <v>231</v>
      </c>
      <c r="G548" s="147" t="s">
        <v>156</v>
      </c>
      <c r="H548" s="147" t="s">
        <v>305</v>
      </c>
      <c r="I548" s="158">
        <v>1109</v>
      </c>
      <c r="J548" s="147" t="s">
        <v>301</v>
      </c>
      <c r="K548" s="158">
        <v>496</v>
      </c>
      <c r="L548" s="147" t="s">
        <v>10</v>
      </c>
      <c r="M548" s="161">
        <f>IFERROR(VLOOKUP(L548,'Material Master'!B:C,2,0),"")</f>
      </c>
      <c r="N548" s="158">
        <v>300</v>
      </c>
      <c r="O548" s="162">
        <f>IFERROR(M548*N548,"")</f>
      </c>
      <c r="P548" s="147" t="s">
        <v>402</v>
      </c>
      <c r="Q548" s="158" t="s">
        <v>1270</v>
      </c>
      <c r="R548" s="163" t="s">
        <v>1268</v>
      </c>
      <c r="S548" s="147"/>
      <c r="T548" s="147"/>
      <c r="U548" s="158">
        <v>197</v>
      </c>
      <c r="V548" s="164">
        <v>31</v>
      </c>
      <c r="W548" s="165">
        <f>IFERROR(U548*V548,"0")</f>
      </c>
      <c r="X548" s="7"/>
      <c r="Y548" s="166">
        <f>IFERROR((O548/1000)*Masters!$C$3,"0")</f>
      </c>
      <c r="Z548" s="167"/>
      <c r="AA548" s="164">
        <f>IFERROR(VLOOKUP(L548,Masters!G:H,2,0),"0")</f>
      </c>
      <c r="AB548" s="166">
        <f>IFERROR(AA548*N548,"0")</f>
      </c>
      <c r="AC548" s="168"/>
      <c r="AD548" s="158"/>
      <c r="AE548" s="166">
        <f>W548+Y548+AB548+AD548</f>
      </c>
      <c r="AF548" s="167"/>
      <c r="AG548" s="169">
        <f>M548&amp;"-"&amp;F548</f>
      </c>
      <c r="AH548" s="166">
        <f>IFERROR(VLOOKUP(AG548,Masters!N:O,2,0),"0")</f>
      </c>
      <c r="AI548" s="166">
        <f>AH548*N548</f>
      </c>
      <c r="AJ548" s="158"/>
      <c r="AK548" s="170">
        <f>AI548-AE548</f>
      </c>
      <c r="AL548" s="167"/>
      <c r="AM548" s="147"/>
      <c r="AN548" s="171">
        <f>IFERROR(U548/2,"0")</f>
      </c>
    </row>
    <row x14ac:dyDescent="0.25" r="549" customHeight="1" ht="18.75">
      <c r="A549" s="158">
        <f>A548+1</f>
      </c>
      <c r="B549" s="159">
        <v>45939</v>
      </c>
      <c r="C549" s="198" t="s">
        <v>1271</v>
      </c>
      <c r="D549" s="159">
        <v>45940</v>
      </c>
      <c r="E549" s="198" t="s">
        <v>152</v>
      </c>
      <c r="F549" s="160" t="s">
        <v>32</v>
      </c>
      <c r="G549" s="147" t="s">
        <v>248</v>
      </c>
      <c r="H549" s="147" t="s">
        <v>303</v>
      </c>
      <c r="I549" s="158">
        <v>1109</v>
      </c>
      <c r="J549" s="147" t="s">
        <v>301</v>
      </c>
      <c r="K549" s="158">
        <v>493</v>
      </c>
      <c r="L549" s="147" t="s">
        <v>10</v>
      </c>
      <c r="M549" s="161">
        <f>IFERROR(VLOOKUP(L549,'Material Master'!B:C,2,0),"")</f>
      </c>
      <c r="N549" s="158">
        <v>200</v>
      </c>
      <c r="O549" s="162">
        <f>IFERROR(M549*N549,"")</f>
      </c>
      <c r="P549" s="147" t="s">
        <v>402</v>
      </c>
      <c r="Q549" s="158" t="s">
        <v>1272</v>
      </c>
      <c r="R549" s="163" t="s">
        <v>1268</v>
      </c>
      <c r="S549" s="147"/>
      <c r="T549" s="147"/>
      <c r="U549" s="158">
        <v>454</v>
      </c>
      <c r="V549" s="164">
        <v>31</v>
      </c>
      <c r="W549" s="165">
        <f>IFERROR(U549*V549,"0")</f>
      </c>
      <c r="X549" s="7"/>
      <c r="Y549" s="166">
        <f>IFERROR((O549/1000)*Masters!$C$3,"0")</f>
      </c>
      <c r="Z549" s="167"/>
      <c r="AA549" s="164">
        <f>IFERROR(VLOOKUP(L549,Masters!G:H,2,0),"0")</f>
      </c>
      <c r="AB549" s="166">
        <f>IFERROR(AA549*N549,"0")</f>
      </c>
      <c r="AC549" s="168"/>
      <c r="AD549" s="158"/>
      <c r="AE549" s="166">
        <f>W549+Y549+AB549+AD549</f>
      </c>
      <c r="AF549" s="167"/>
      <c r="AG549" s="169">
        <f>M549&amp;"-"&amp;F549</f>
      </c>
      <c r="AH549" s="166">
        <f>IFERROR(VLOOKUP(AG549,Masters!N:O,2,0),"0")</f>
      </c>
      <c r="AI549" s="166">
        <f>AH549*N549</f>
      </c>
      <c r="AJ549" s="158"/>
      <c r="AK549" s="170">
        <f>AI549-AE549</f>
      </c>
      <c r="AL549" s="167"/>
      <c r="AM549" s="147"/>
      <c r="AN549" s="171">
        <f>IFERROR(U549/2,"0")</f>
      </c>
    </row>
    <row x14ac:dyDescent="0.25" r="550" customHeight="1" ht="18.75">
      <c r="A550" s="158">
        <f>A549+1</f>
      </c>
      <c r="B550" s="159">
        <v>45939</v>
      </c>
      <c r="C550" s="198" t="s">
        <v>1271</v>
      </c>
      <c r="D550" s="159">
        <v>45940</v>
      </c>
      <c r="E550" s="198" t="s">
        <v>75</v>
      </c>
      <c r="F550" s="160" t="s">
        <v>231</v>
      </c>
      <c r="G550" s="147" t="s">
        <v>111</v>
      </c>
      <c r="H550" s="147" t="s">
        <v>303</v>
      </c>
      <c r="I550" s="158">
        <v>1109</v>
      </c>
      <c r="J550" s="147" t="s">
        <v>301</v>
      </c>
      <c r="K550" s="158">
        <v>494</v>
      </c>
      <c r="L550" s="147" t="s">
        <v>10</v>
      </c>
      <c r="M550" s="161">
        <f>IFERROR(VLOOKUP(L550,'Material Master'!B:C,2,0),"")</f>
      </c>
      <c r="N550" s="158">
        <v>100</v>
      </c>
      <c r="O550" s="162">
        <f>IFERROR(M550*N550,"")</f>
      </c>
      <c r="P550" s="147" t="s">
        <v>402</v>
      </c>
      <c r="Q550" s="158" t="s">
        <v>1272</v>
      </c>
      <c r="R550" s="163" t="s">
        <v>1268</v>
      </c>
      <c r="S550" s="147"/>
      <c r="T550" s="147"/>
      <c r="U550" s="158">
        <v>0</v>
      </c>
      <c r="V550" s="164">
        <v>31</v>
      </c>
      <c r="W550" s="165">
        <f>IFERROR(U550*V550,"0")</f>
      </c>
      <c r="X550" s="7"/>
      <c r="Y550" s="166">
        <f>IFERROR((O550/1000)*Masters!$C$3,"0")</f>
      </c>
      <c r="Z550" s="167"/>
      <c r="AA550" s="164">
        <f>IFERROR(VLOOKUP(L550,Masters!G:H,2,0),"0")</f>
      </c>
      <c r="AB550" s="166">
        <f>IFERROR(AA550*N550,"0")</f>
      </c>
      <c r="AC550" s="168"/>
      <c r="AD550" s="158"/>
      <c r="AE550" s="166">
        <f>W550+Y550+AB550+AD550</f>
      </c>
      <c r="AF550" s="167"/>
      <c r="AG550" s="169">
        <f>M550&amp;"-"&amp;F550</f>
      </c>
      <c r="AH550" s="166">
        <f>IFERROR(VLOOKUP(AG550,Masters!N:O,2,0),"0")</f>
      </c>
      <c r="AI550" s="166">
        <f>AH550*N550</f>
      </c>
      <c r="AJ550" s="158"/>
      <c r="AK550" s="170">
        <f>AI550-AE550</f>
      </c>
      <c r="AL550" s="167"/>
      <c r="AM550" s="147"/>
      <c r="AN550" s="171">
        <f>IFERROR(U550/2,"0")</f>
      </c>
    </row>
    <row x14ac:dyDescent="0.25" r="551" customHeight="1" ht="18.75">
      <c r="A551" s="158">
        <f>A550+1</f>
      </c>
      <c r="B551" s="159">
        <v>45939</v>
      </c>
      <c r="C551" s="198" t="s">
        <v>1273</v>
      </c>
      <c r="D551" s="159">
        <v>45941</v>
      </c>
      <c r="E551" s="198" t="s">
        <v>75</v>
      </c>
      <c r="F551" s="160" t="s">
        <v>231</v>
      </c>
      <c r="G551" s="147" t="s">
        <v>242</v>
      </c>
      <c r="H551" s="147" t="s">
        <v>303</v>
      </c>
      <c r="I551" s="158">
        <v>1109</v>
      </c>
      <c r="J551" s="147" t="s">
        <v>301</v>
      </c>
      <c r="K551" s="158">
        <v>499</v>
      </c>
      <c r="L551" s="147" t="s">
        <v>10</v>
      </c>
      <c r="M551" s="161">
        <f>IFERROR(VLOOKUP(L551,'Material Master'!B:C,2,0),"")</f>
      </c>
      <c r="N551" s="158">
        <v>300</v>
      </c>
      <c r="O551" s="162">
        <f>IFERROR(M551*N551,"")</f>
      </c>
      <c r="P551" s="147" t="s">
        <v>402</v>
      </c>
      <c r="Q551" s="158" t="s">
        <v>1274</v>
      </c>
      <c r="R551" s="163" t="s">
        <v>1268</v>
      </c>
      <c r="S551" s="147"/>
      <c r="T551" s="147"/>
      <c r="U551" s="158">
        <v>180</v>
      </c>
      <c r="V551" s="164">
        <v>31</v>
      </c>
      <c r="W551" s="165">
        <f>IFERROR(U551*V551,"0")</f>
      </c>
      <c r="X551" s="7"/>
      <c r="Y551" s="166">
        <f>IFERROR((O551/1000)*Masters!$C$3,"0")</f>
      </c>
      <c r="Z551" s="167"/>
      <c r="AA551" s="164">
        <f>IFERROR(VLOOKUP(L551,Masters!G:H,2,0),"0")</f>
      </c>
      <c r="AB551" s="166">
        <f>IFERROR(AA551*N551,"0")</f>
      </c>
      <c r="AC551" s="168"/>
      <c r="AD551" s="158"/>
      <c r="AE551" s="166">
        <f>W551+Y551+AB551+AD551</f>
      </c>
      <c r="AF551" s="167"/>
      <c r="AG551" s="169">
        <f>M551&amp;"-"&amp;F551</f>
      </c>
      <c r="AH551" s="166">
        <f>IFERROR(VLOOKUP(AG551,Masters!N:O,2,0),"0")</f>
      </c>
      <c r="AI551" s="166">
        <f>AH551*N551</f>
      </c>
      <c r="AJ551" s="158"/>
      <c r="AK551" s="170">
        <f>AI551-AE551</f>
      </c>
      <c r="AL551" s="167"/>
      <c r="AM551" s="147"/>
      <c r="AN551" s="171">
        <f>IFERROR(U551/2,"0")</f>
      </c>
    </row>
    <row x14ac:dyDescent="0.25" r="552" customHeight="1" ht="18.75">
      <c r="A552" s="158">
        <f>A551+1</f>
      </c>
      <c r="B552" s="159">
        <v>45941</v>
      </c>
      <c r="C552" s="198" t="s">
        <v>1275</v>
      </c>
      <c r="D552" s="159">
        <v>45942</v>
      </c>
      <c r="E552" s="198" t="s">
        <v>95</v>
      </c>
      <c r="F552" s="160" t="s">
        <v>231</v>
      </c>
      <c r="G552" s="147" t="s">
        <v>658</v>
      </c>
      <c r="H552" s="147" t="s">
        <v>305</v>
      </c>
      <c r="I552" s="158">
        <v>1109</v>
      </c>
      <c r="J552" s="147" t="s">
        <v>301</v>
      </c>
      <c r="K552" s="158">
        <v>501</v>
      </c>
      <c r="L552" s="147" t="s">
        <v>15</v>
      </c>
      <c r="M552" s="161">
        <f>IFERROR(VLOOKUP(L552,'Material Master'!B:C,2,0),"")</f>
      </c>
      <c r="N552" s="158">
        <v>30</v>
      </c>
      <c r="O552" s="162">
        <f>IFERROR(M552*N552,"")</f>
      </c>
      <c r="P552" s="147" t="s">
        <v>402</v>
      </c>
      <c r="Q552" s="158" t="s">
        <v>1276</v>
      </c>
      <c r="R552" s="163" t="s">
        <v>1268</v>
      </c>
      <c r="S552" s="147"/>
      <c r="T552" s="147"/>
      <c r="U552" s="158">
        <v>149</v>
      </c>
      <c r="V552" s="164">
        <v>31</v>
      </c>
      <c r="W552" s="165">
        <f>IFERROR(U552*V552,"0")</f>
      </c>
      <c r="X552" s="7"/>
      <c r="Y552" s="166">
        <f>IFERROR((O552/1000)*Masters!$C$3,"0")</f>
      </c>
      <c r="Z552" s="167"/>
      <c r="AA552" s="164">
        <f>IFERROR(VLOOKUP(L552,Masters!G:H,2,0),"0")</f>
      </c>
      <c r="AB552" s="166">
        <f>IFERROR(AA552*N552,"0")</f>
      </c>
      <c r="AC552" s="168"/>
      <c r="AD552" s="158"/>
      <c r="AE552" s="166">
        <f>W552+Y552+AB552+AD552</f>
      </c>
      <c r="AF552" s="167"/>
      <c r="AG552" s="169">
        <f>M552&amp;"-"&amp;F552</f>
      </c>
      <c r="AH552" s="166">
        <f>IFERROR(VLOOKUP(AG552,Masters!N:O,2,0),"0")</f>
      </c>
      <c r="AI552" s="166">
        <f>AH552*N552</f>
      </c>
      <c r="AJ552" s="158"/>
      <c r="AK552" s="170">
        <f>AI552-AE552</f>
      </c>
      <c r="AL552" s="167"/>
      <c r="AM552" s="147"/>
      <c r="AN552" s="171">
        <f>IFERROR(U552/2,"0")</f>
      </c>
    </row>
    <row x14ac:dyDescent="0.25" r="553" customHeight="1" ht="18.75">
      <c r="A553" s="244">
        <f>A552+1</f>
      </c>
      <c r="B553" s="245">
        <v>45941</v>
      </c>
      <c r="C553" s="246" t="s">
        <v>1277</v>
      </c>
      <c r="D553" s="245">
        <v>45941</v>
      </c>
      <c r="E553" s="246" t="s">
        <v>79</v>
      </c>
      <c r="F553" s="247" t="s">
        <v>32</v>
      </c>
      <c r="G553" s="246" t="s">
        <v>167</v>
      </c>
      <c r="H553" s="246" t="s">
        <v>304</v>
      </c>
      <c r="I553" s="244">
        <v>1109</v>
      </c>
      <c r="J553" s="246" t="s">
        <v>301</v>
      </c>
      <c r="K553" s="244">
        <v>500</v>
      </c>
      <c r="L553" s="246" t="s">
        <v>15</v>
      </c>
      <c r="M553" s="248">
        <f>IFERROR(VLOOKUP(L553,'Material Master'!B:C,2,0),"")</f>
      </c>
      <c r="N553" s="244">
        <v>30</v>
      </c>
      <c r="O553" s="249">
        <f>IFERROR(M553*N553,"")</f>
      </c>
      <c r="P553" s="246" t="s">
        <v>402</v>
      </c>
      <c r="Q553" s="244" t="s">
        <v>1278</v>
      </c>
      <c r="R553" s="250" t="s">
        <v>1268</v>
      </c>
      <c r="S553" s="246" t="s">
        <v>345</v>
      </c>
      <c r="T553" s="246"/>
      <c r="U553" s="244">
        <v>372</v>
      </c>
      <c r="V553" s="248">
        <v>31</v>
      </c>
      <c r="W553" s="251">
        <f>IFERROR(U553*V553,"0")</f>
      </c>
      <c r="X553" s="252"/>
      <c r="Y553" s="253">
        <f>IFERROR((O553/1000)*Masters!$C$3,"0")</f>
      </c>
      <c r="Z553" s="254"/>
      <c r="AA553" s="248">
        <f>IFERROR(VLOOKUP(L553,Masters!G:H,2,0),"0")</f>
      </c>
      <c r="AB553" s="253">
        <f>IFERROR(AA553*N553,"0")</f>
      </c>
      <c r="AC553" s="255"/>
      <c r="AD553" s="244"/>
      <c r="AE553" s="253">
        <f>W553+Y553+AB553+AD553</f>
      </c>
      <c r="AF553" s="254"/>
      <c r="AG553" s="256">
        <f>M553&amp;"-"&amp;F553</f>
      </c>
      <c r="AH553" s="253">
        <f>IFERROR(VLOOKUP(AG553,Masters!N:O,2,0),"0")</f>
      </c>
      <c r="AI553" s="253">
        <f>AH553*N553</f>
      </c>
      <c r="AJ553" s="244"/>
      <c r="AK553" s="253">
        <f>AI553-AE553</f>
      </c>
      <c r="AL553" s="254"/>
      <c r="AM553" s="246"/>
      <c r="AN553" s="257">
        <f>IFERROR(U553/2,"0")</f>
      </c>
    </row>
    <row x14ac:dyDescent="0.25" r="554" customHeight="1" ht="18.75">
      <c r="A554" s="158">
        <f>A553+1</f>
      </c>
      <c r="B554" s="159">
        <v>45941</v>
      </c>
      <c r="C554" s="198" t="s">
        <v>1279</v>
      </c>
      <c r="D554" s="159">
        <v>45942</v>
      </c>
      <c r="E554" s="198" t="s">
        <v>79</v>
      </c>
      <c r="F554" s="160" t="s">
        <v>32</v>
      </c>
      <c r="G554" s="147" t="s">
        <v>155</v>
      </c>
      <c r="H554" s="147" t="s">
        <v>303</v>
      </c>
      <c r="I554" s="158">
        <v>1109</v>
      </c>
      <c r="J554" s="147" t="s">
        <v>301</v>
      </c>
      <c r="K554" s="158">
        <v>502</v>
      </c>
      <c r="L554" s="147" t="s">
        <v>15</v>
      </c>
      <c r="M554" s="161">
        <f>IFERROR(VLOOKUP(L554,'Material Master'!B:C,2,0),"")</f>
      </c>
      <c r="N554" s="158">
        <v>30</v>
      </c>
      <c r="O554" s="162">
        <f>IFERROR(M554*N554,"")</f>
      </c>
      <c r="P554" s="147" t="s">
        <v>1242</v>
      </c>
      <c r="Q554" s="158" t="s">
        <v>1280</v>
      </c>
      <c r="R554" s="163" t="s">
        <v>1268</v>
      </c>
      <c r="S554" s="147"/>
      <c r="T554" s="147"/>
      <c r="U554" s="158"/>
      <c r="V554" s="164">
        <v>31</v>
      </c>
      <c r="W554" s="165">
        <f>IFERROR(U554*V554,"0")</f>
      </c>
      <c r="X554" s="7"/>
      <c r="Y554" s="166">
        <f>IFERROR((O554/1000)*Masters!$C$3,"0")</f>
      </c>
      <c r="Z554" s="167"/>
      <c r="AA554" s="164">
        <f>IFERROR(VLOOKUP(L554,Masters!G:H,2,0),"0")</f>
      </c>
      <c r="AB554" s="166">
        <f>IFERROR(AA554*N554,"0")</f>
      </c>
      <c r="AC554" s="168"/>
      <c r="AD554" s="158"/>
      <c r="AE554" s="166">
        <f>W554+Y554+AB554+AD554</f>
      </c>
      <c r="AF554" s="167"/>
      <c r="AG554" s="169">
        <f>M554&amp;"-"&amp;F554</f>
      </c>
      <c r="AH554" s="166">
        <f>IFERROR(VLOOKUP(AG554,Masters!N:O,2,0),"0")</f>
      </c>
      <c r="AI554" s="166">
        <f>AH554*N554</f>
      </c>
      <c r="AJ554" s="158"/>
      <c r="AK554" s="170">
        <f>AI554-AE554</f>
      </c>
      <c r="AL554" s="167"/>
      <c r="AM554" s="147"/>
      <c r="AN554" s="171">
        <f>IFERROR(U554/2,"0")</f>
      </c>
    </row>
    <row x14ac:dyDescent="0.25" r="555" customHeight="1" ht="18.75">
      <c r="A555" s="158">
        <f>A554+1</f>
      </c>
      <c r="B555" s="159">
        <v>45943</v>
      </c>
      <c r="C555" s="198" t="s">
        <v>1281</v>
      </c>
      <c r="D555" s="159">
        <v>45943</v>
      </c>
      <c r="E555" s="198" t="s">
        <v>116</v>
      </c>
      <c r="F555" s="160" t="s">
        <v>32</v>
      </c>
      <c r="G555" s="147" t="s">
        <v>117</v>
      </c>
      <c r="H555" s="147" t="s">
        <v>305</v>
      </c>
      <c r="I555" s="158">
        <v>1109</v>
      </c>
      <c r="J555" s="147" t="s">
        <v>301</v>
      </c>
      <c r="K555" s="158">
        <v>505</v>
      </c>
      <c r="L555" s="147" t="s">
        <v>10</v>
      </c>
      <c r="M555" s="161">
        <f>IFERROR(VLOOKUP(L555,'Material Master'!B:C,2,0),"")</f>
      </c>
      <c r="N555" s="158">
        <v>300</v>
      </c>
      <c r="O555" s="162">
        <f>IFERROR(M555*N555,"")</f>
      </c>
      <c r="P555" s="147" t="s">
        <v>402</v>
      </c>
      <c r="Q555" s="158">
        <v>144833</v>
      </c>
      <c r="R555" s="163" t="s">
        <v>1268</v>
      </c>
      <c r="S555" s="147"/>
      <c r="T555" s="147"/>
      <c r="U555" s="158">
        <v>350</v>
      </c>
      <c r="V555" s="164">
        <v>31</v>
      </c>
      <c r="W555" s="165">
        <f>IFERROR(U555*V555,"0")</f>
      </c>
      <c r="X555" s="7"/>
      <c r="Y555" s="166">
        <f>IFERROR((O555/1000)*Masters!$C$3,"0")</f>
      </c>
      <c r="Z555" s="167"/>
      <c r="AA555" s="164">
        <f>IFERROR(VLOOKUP(L555,Masters!G:H,2,0),"0")</f>
      </c>
      <c r="AB555" s="166">
        <f>IFERROR(AA555*N555,"0")</f>
      </c>
      <c r="AC555" s="168"/>
      <c r="AD555" s="158"/>
      <c r="AE555" s="166">
        <f>W555+Y555+AB555+AD555</f>
      </c>
      <c r="AF555" s="167"/>
      <c r="AG555" s="169">
        <f>M555&amp;"-"&amp;F555</f>
      </c>
      <c r="AH555" s="166">
        <f>IFERROR(VLOOKUP(AG555,Masters!N:O,2,0),"0")</f>
      </c>
      <c r="AI555" s="166">
        <f>AH555*N555</f>
      </c>
      <c r="AJ555" s="158"/>
      <c r="AK555" s="170">
        <f>AI555-AE555</f>
      </c>
      <c r="AL555" s="167"/>
      <c r="AM555" s="147"/>
      <c r="AN555" s="171">
        <f>IFERROR(U555/2,"0")</f>
      </c>
    </row>
    <row x14ac:dyDescent="0.25" r="556" customHeight="1" ht="18.75">
      <c r="A556" s="158">
        <f>A555+1</f>
      </c>
      <c r="B556" s="159">
        <v>45943</v>
      </c>
      <c r="C556" s="198" t="s">
        <v>1282</v>
      </c>
      <c r="D556" s="159">
        <v>45943</v>
      </c>
      <c r="E556" s="198" t="s">
        <v>1114</v>
      </c>
      <c r="F556" s="160" t="s">
        <v>32</v>
      </c>
      <c r="G556" s="147" t="s">
        <v>117</v>
      </c>
      <c r="H556" s="147" t="s">
        <v>304</v>
      </c>
      <c r="I556" s="158">
        <v>1109</v>
      </c>
      <c r="J556" s="147" t="s">
        <v>301</v>
      </c>
      <c r="K556" s="158">
        <v>506</v>
      </c>
      <c r="L556" s="147" t="s">
        <v>10</v>
      </c>
      <c r="M556" s="161">
        <f>IFERROR(VLOOKUP(L556,'Material Master'!B:C,2,0),"")</f>
      </c>
      <c r="N556" s="158">
        <v>300</v>
      </c>
      <c r="O556" s="162">
        <f>IFERROR(M556*N556,"")</f>
      </c>
      <c r="P556" s="147" t="s">
        <v>1242</v>
      </c>
      <c r="Q556" s="158" t="s">
        <v>1283</v>
      </c>
      <c r="R556" s="163" t="s">
        <v>1268</v>
      </c>
      <c r="S556" s="147"/>
      <c r="T556" s="147"/>
      <c r="U556" s="158"/>
      <c r="V556" s="164">
        <v>31</v>
      </c>
      <c r="W556" s="165">
        <f>IFERROR(U556*V556,"0")</f>
      </c>
      <c r="X556" s="7"/>
      <c r="Y556" s="166">
        <f>IFERROR((O556/1000)*Masters!$C$3,"0")</f>
      </c>
      <c r="Z556" s="167"/>
      <c r="AA556" s="164">
        <f>IFERROR(VLOOKUP(L556,Masters!G:H,2,0),"0")</f>
      </c>
      <c r="AB556" s="166">
        <f>IFERROR(AA556*N556,"0")</f>
      </c>
      <c r="AC556" s="168"/>
      <c r="AD556" s="158"/>
      <c r="AE556" s="166">
        <f>W556+Y556+AB556+AD556</f>
      </c>
      <c r="AF556" s="167"/>
      <c r="AG556" s="169">
        <f>M556&amp;"-"&amp;F556</f>
      </c>
      <c r="AH556" s="166">
        <f>IFERROR(VLOOKUP(AG556,Masters!N:O,2,0),"0")</f>
      </c>
      <c r="AI556" s="166">
        <f>AH556*N556</f>
      </c>
      <c r="AJ556" s="158"/>
      <c r="AK556" s="170">
        <f>AI556-AE556</f>
      </c>
      <c r="AL556" s="167"/>
      <c r="AM556" s="147"/>
      <c r="AN556" s="171">
        <f>IFERROR(U556/2,"0")</f>
      </c>
    </row>
    <row x14ac:dyDescent="0.25" r="557" customHeight="1" ht="18.75">
      <c r="A557" s="228">
        <f>A556+1</f>
      </c>
      <c r="B557" s="237">
        <v>45943</v>
      </c>
      <c r="C557" s="203" t="s">
        <v>1284</v>
      </c>
      <c r="D557" s="237"/>
      <c r="E557" s="203" t="s">
        <v>131</v>
      </c>
      <c r="F557" s="227"/>
      <c r="G557" s="203" t="s">
        <v>371</v>
      </c>
      <c r="H557" s="203"/>
      <c r="I557" s="228">
        <v>2515</v>
      </c>
      <c r="J557" s="203"/>
      <c r="K557" s="228"/>
      <c r="L557" s="203"/>
      <c r="M557" s="229"/>
      <c r="N557" s="228">
        <v>600</v>
      </c>
      <c r="O557" s="230">
        <f>IFERROR(M557*N557,"")</f>
      </c>
      <c r="P557" s="203"/>
      <c r="Q557" s="228"/>
      <c r="R557" s="231" t="s">
        <v>1268</v>
      </c>
      <c r="S557" s="203" t="s">
        <v>1285</v>
      </c>
      <c r="T557" s="203"/>
      <c r="U557" s="228"/>
      <c r="V557" s="229">
        <v>31</v>
      </c>
      <c r="W557" s="233">
        <f>IFERROR(U557*V557,"0")</f>
      </c>
      <c r="X557" s="234"/>
      <c r="Y557" s="239">
        <f>IFERROR((O557/1000)*Masters!$C$3,"0")</f>
      </c>
      <c r="Z557" s="258"/>
      <c r="AA557" s="229">
        <f>IFERROR(VLOOKUP(L557,Masters!G:H,2,0),"0")</f>
      </c>
      <c r="AB557" s="239">
        <f>IFERROR(AA557*N557,"0")</f>
      </c>
      <c r="AC557" s="259"/>
      <c r="AD557" s="228"/>
      <c r="AE557" s="239">
        <f>W557+Y557+AB557+AD557</f>
      </c>
      <c r="AF557" s="258"/>
      <c r="AG557" s="240">
        <f>M557&amp;"-"&amp;F557</f>
      </c>
      <c r="AH557" s="238">
        <f>IFERROR(VLOOKUP(AG557,Masters!N:O,2,0),"0")</f>
      </c>
      <c r="AI557" s="239">
        <f>AH557*N557</f>
      </c>
      <c r="AJ557" s="228"/>
      <c r="AK557" s="239">
        <f>AI557-AE557</f>
      </c>
      <c r="AL557" s="258"/>
      <c r="AM557" s="203"/>
      <c r="AN557" s="241">
        <f>IFERROR(U557/2,"0")</f>
      </c>
    </row>
    <row x14ac:dyDescent="0.25" r="558" customHeight="1" ht="18.75">
      <c r="A558" s="228">
        <f>A557+1</f>
      </c>
      <c r="B558" s="237">
        <v>45943</v>
      </c>
      <c r="C558" s="203" t="s">
        <v>1286</v>
      </c>
      <c r="D558" s="237"/>
      <c r="E558" s="203" t="s">
        <v>131</v>
      </c>
      <c r="F558" s="227"/>
      <c r="G558" s="203" t="s">
        <v>371</v>
      </c>
      <c r="H558" s="203"/>
      <c r="I558" s="228">
        <v>2515</v>
      </c>
      <c r="J558" s="203"/>
      <c r="K558" s="228"/>
      <c r="L558" s="203"/>
      <c r="M558" s="229">
        <f>IFERROR(VLOOKUP(L558,'Material Master'!B:C,2,0),"")</f>
      </c>
      <c r="N558" s="228">
        <v>600</v>
      </c>
      <c r="O558" s="230">
        <f>IFERROR(M558*N558,"")</f>
      </c>
      <c r="P558" s="203"/>
      <c r="Q558" s="228"/>
      <c r="R558" s="231" t="s">
        <v>1268</v>
      </c>
      <c r="S558" s="203" t="s">
        <v>1285</v>
      </c>
      <c r="T558" s="203"/>
      <c r="U558" s="228"/>
      <c r="V558" s="229">
        <v>31</v>
      </c>
      <c r="W558" s="233">
        <f>IFERROR(U558*V558,"0")</f>
      </c>
      <c r="X558" s="234"/>
      <c r="Y558" s="238">
        <f>IFERROR((O558/1000)*Masters!$C$3,"0")</f>
      </c>
      <c r="Z558" s="258"/>
      <c r="AA558" s="229">
        <f>IFERROR(VLOOKUP(L558,Masters!G:H,2,0),"0")</f>
      </c>
      <c r="AB558" s="239">
        <f>IFERROR(AA558*N558,"0")</f>
      </c>
      <c r="AC558" s="259"/>
      <c r="AD558" s="228"/>
      <c r="AE558" s="239">
        <f>W558+Y558+AB558+AD558</f>
      </c>
      <c r="AF558" s="258"/>
      <c r="AG558" s="240">
        <f>M558&amp;"-"&amp;F558</f>
      </c>
      <c r="AH558" s="238">
        <f>IFERROR(VLOOKUP(AG558,Masters!N:O,2,0),"0")</f>
      </c>
      <c r="AI558" s="239">
        <f>AH558*N558</f>
      </c>
      <c r="AJ558" s="228"/>
      <c r="AK558" s="239">
        <f>AI558-AE558</f>
      </c>
      <c r="AL558" s="258"/>
      <c r="AM558" s="203"/>
      <c r="AN558" s="241">
        <f>IFERROR(U558/2,"0")</f>
      </c>
    </row>
    <row x14ac:dyDescent="0.25" r="559" customHeight="1" ht="18.75">
      <c r="A559" s="158">
        <f>A558+1</f>
      </c>
      <c r="B559" s="159">
        <v>45944</v>
      </c>
      <c r="C559" s="147" t="s">
        <v>1287</v>
      </c>
      <c r="D559" s="159">
        <v>45944</v>
      </c>
      <c r="E559" s="198" t="s">
        <v>168</v>
      </c>
      <c r="F559" s="160" t="s">
        <v>236</v>
      </c>
      <c r="G559" s="147" t="s">
        <v>1043</v>
      </c>
      <c r="H559" s="147" t="s">
        <v>302</v>
      </c>
      <c r="I559" s="158">
        <v>909</v>
      </c>
      <c r="J559" s="147" t="s">
        <v>301</v>
      </c>
      <c r="K559" s="158">
        <v>507</v>
      </c>
      <c r="L559" s="147" t="s">
        <v>10</v>
      </c>
      <c r="M559" s="161">
        <f>IFERROR(VLOOKUP(L559,'Material Master'!B:C,2,0),"")</f>
      </c>
      <c r="N559" s="158">
        <v>100</v>
      </c>
      <c r="O559" s="162">
        <f>IFERROR(M559*N559,"")</f>
      </c>
      <c r="P559" s="147" t="s">
        <v>1242</v>
      </c>
      <c r="Q559" s="158" t="s">
        <v>1288</v>
      </c>
      <c r="R559" s="163" t="s">
        <v>1268</v>
      </c>
      <c r="S559" s="147"/>
      <c r="T559" s="147"/>
      <c r="U559" s="158"/>
      <c r="V559" s="164">
        <v>31</v>
      </c>
      <c r="W559" s="165">
        <f>IFERROR(U559*V559,"0")</f>
      </c>
      <c r="X559" s="7"/>
      <c r="Y559" s="166">
        <f>IFERROR((O559/1000)*Masters!$C$3,"0")</f>
      </c>
      <c r="Z559" s="167"/>
      <c r="AA559" s="164">
        <f>IFERROR(VLOOKUP(L559,Masters!G:H,2,0),"0")</f>
      </c>
      <c r="AB559" s="166">
        <f>IFERROR(AA559*N559,"0")</f>
      </c>
      <c r="AC559" s="168"/>
      <c r="AD559" s="158"/>
      <c r="AE559" s="166">
        <f>W559+Y559+AB559+AD559</f>
      </c>
      <c r="AF559" s="167"/>
      <c r="AG559" s="169">
        <f>M559&amp;"-"&amp;F559</f>
      </c>
      <c r="AH559" s="166">
        <f>IFERROR(VLOOKUP(AG559,Masters!N:O,2,0),"0")</f>
      </c>
      <c r="AI559" s="166">
        <f>AH559*N559</f>
      </c>
      <c r="AJ559" s="158"/>
      <c r="AK559" s="170">
        <f>AI559-AE559</f>
      </c>
      <c r="AL559" s="167"/>
      <c r="AM559" s="147"/>
      <c r="AN559" s="171">
        <f>IFERROR(U559/2,"0")</f>
      </c>
    </row>
    <row x14ac:dyDescent="0.25" r="560" customHeight="1" ht="18.75">
      <c r="A560" s="158">
        <f>A559+1</f>
      </c>
      <c r="B560" s="159">
        <v>45944</v>
      </c>
      <c r="C560" s="147" t="s">
        <v>1287</v>
      </c>
      <c r="D560" s="159">
        <v>45944</v>
      </c>
      <c r="E560" s="198" t="s">
        <v>293</v>
      </c>
      <c r="F560" s="160" t="s">
        <v>32</v>
      </c>
      <c r="G560" s="147" t="s">
        <v>167</v>
      </c>
      <c r="H560" s="147" t="s">
        <v>302</v>
      </c>
      <c r="I560" s="158">
        <v>909</v>
      </c>
      <c r="J560" s="147" t="s">
        <v>301</v>
      </c>
      <c r="K560" s="158">
        <v>508</v>
      </c>
      <c r="L560" s="147" t="s">
        <v>10</v>
      </c>
      <c r="M560" s="161">
        <f>IFERROR(VLOOKUP(L560,'Material Master'!B:C,2,0),"")</f>
      </c>
      <c r="N560" s="158">
        <v>100</v>
      </c>
      <c r="O560" s="162">
        <f>IFERROR(M560*N560,"")</f>
      </c>
      <c r="P560" s="147" t="s">
        <v>1242</v>
      </c>
      <c r="Q560" s="158" t="s">
        <v>1288</v>
      </c>
      <c r="R560" s="163" t="s">
        <v>1268</v>
      </c>
      <c r="S560" s="147"/>
      <c r="T560" s="147"/>
      <c r="U560" s="158"/>
      <c r="V560" s="164">
        <v>31</v>
      </c>
      <c r="W560" s="165">
        <f>IFERROR(U560*V560,"0")</f>
      </c>
      <c r="X560" s="7"/>
      <c r="Y560" s="166">
        <f>IFERROR((O560/1000)*Masters!$C$3,"0")</f>
      </c>
      <c r="Z560" s="167"/>
      <c r="AA560" s="164">
        <f>IFERROR(VLOOKUP(L560,Masters!G:H,2,0),"0")</f>
      </c>
      <c r="AB560" s="166">
        <f>IFERROR(AA560*N560,"0")</f>
      </c>
      <c r="AC560" s="168"/>
      <c r="AD560" s="158"/>
      <c r="AE560" s="166">
        <f>W560+Y560+AB560+AD560</f>
      </c>
      <c r="AF560" s="167"/>
      <c r="AG560" s="169">
        <f>M560&amp;"-"&amp;F560</f>
      </c>
      <c r="AH560" s="166">
        <f>IFERROR(VLOOKUP(AG560,Masters!N:O,2,0),"0")</f>
      </c>
      <c r="AI560" s="166">
        <f>AH560*N560</f>
      </c>
      <c r="AJ560" s="158"/>
      <c r="AK560" s="170">
        <f>AI560-AE560</f>
      </c>
      <c r="AL560" s="167"/>
      <c r="AM560" s="147"/>
      <c r="AN560" s="171">
        <f>IFERROR(U560/2,"0")</f>
      </c>
    </row>
    <row x14ac:dyDescent="0.25" r="561" customHeight="1" ht="18.75">
      <c r="A561" s="158">
        <f>A560+1</f>
      </c>
      <c r="B561" s="159">
        <v>45944</v>
      </c>
      <c r="C561" s="147" t="s">
        <v>1289</v>
      </c>
      <c r="D561" s="159">
        <v>45944</v>
      </c>
      <c r="E561" s="198" t="s">
        <v>84</v>
      </c>
      <c r="F561" s="160" t="s">
        <v>231</v>
      </c>
      <c r="G561" s="147" t="s">
        <v>123</v>
      </c>
      <c r="H561" s="147" t="s">
        <v>303</v>
      </c>
      <c r="I561" s="158">
        <v>1109</v>
      </c>
      <c r="J561" s="147" t="s">
        <v>301</v>
      </c>
      <c r="K561" s="158">
        <v>509</v>
      </c>
      <c r="L561" s="147" t="s">
        <v>10</v>
      </c>
      <c r="M561" s="161">
        <f>IFERROR(VLOOKUP(L561,'Material Master'!B:C,2,0),"")</f>
      </c>
      <c r="N561" s="158">
        <v>200</v>
      </c>
      <c r="O561" s="162">
        <f>IFERROR(M561*N561,"")</f>
      </c>
      <c r="P561" s="147" t="s">
        <v>1242</v>
      </c>
      <c r="Q561" s="158" t="s">
        <v>1290</v>
      </c>
      <c r="R561" s="163" t="s">
        <v>1268</v>
      </c>
      <c r="S561" s="147"/>
      <c r="T561" s="147"/>
      <c r="U561" s="158"/>
      <c r="V561" s="164">
        <v>31</v>
      </c>
      <c r="W561" s="165">
        <f>IFERROR(U561*V561,"0")</f>
      </c>
      <c r="X561" s="7"/>
      <c r="Y561" s="166">
        <f>IFERROR((O561/1000)*Masters!$C$3,"0")</f>
      </c>
      <c r="Z561" s="167"/>
      <c r="AA561" s="164">
        <f>IFERROR(VLOOKUP(L561,Masters!G:H,2,0),"0")</f>
      </c>
      <c r="AB561" s="166">
        <f>IFERROR(AA561*N561,"0")</f>
      </c>
      <c r="AC561" s="168"/>
      <c r="AD561" s="158"/>
      <c r="AE561" s="166">
        <f>W561+Y561+AB561+AD561</f>
      </c>
      <c r="AF561" s="167"/>
      <c r="AG561" s="169">
        <f>M561&amp;"-"&amp;F561</f>
      </c>
      <c r="AH561" s="166">
        <f>IFERROR(VLOOKUP(AG561,Masters!N:O,2,0),"0")</f>
      </c>
      <c r="AI561" s="166">
        <f>AH561*N561</f>
      </c>
      <c r="AJ561" s="158"/>
      <c r="AK561" s="170">
        <f>AI561-AE561</f>
      </c>
      <c r="AL561" s="167"/>
      <c r="AM561" s="147"/>
      <c r="AN561" s="171">
        <f>IFERROR(U561/2,"0")</f>
      </c>
    </row>
    <row x14ac:dyDescent="0.25" r="562" customHeight="1" ht="18.75">
      <c r="A562" s="158">
        <f>A561+1</f>
      </c>
      <c r="B562" s="159">
        <v>45944</v>
      </c>
      <c r="C562" s="147" t="s">
        <v>1289</v>
      </c>
      <c r="D562" s="159">
        <v>45944</v>
      </c>
      <c r="E562" s="198" t="s">
        <v>128</v>
      </c>
      <c r="F562" s="160" t="s">
        <v>32</v>
      </c>
      <c r="G562" s="147" t="s">
        <v>248</v>
      </c>
      <c r="H562" s="147" t="s">
        <v>303</v>
      </c>
      <c r="I562" s="158">
        <v>1109</v>
      </c>
      <c r="J562" s="147" t="s">
        <v>301</v>
      </c>
      <c r="K562" s="158">
        <v>510</v>
      </c>
      <c r="L562" s="147" t="s">
        <v>10</v>
      </c>
      <c r="M562" s="161">
        <f>IFERROR(VLOOKUP(L562,'Material Master'!B:C,2,0),"")</f>
      </c>
      <c r="N562" s="158">
        <v>100</v>
      </c>
      <c r="O562" s="162">
        <f>IFERROR(M562*N562,"")</f>
      </c>
      <c r="P562" s="147" t="s">
        <v>1242</v>
      </c>
      <c r="Q562" s="158" t="s">
        <v>1290</v>
      </c>
      <c r="R562" s="163" t="s">
        <v>1268</v>
      </c>
      <c r="S562" s="147"/>
      <c r="T562" s="147"/>
      <c r="U562" s="158"/>
      <c r="V562" s="164">
        <v>31</v>
      </c>
      <c r="W562" s="165">
        <f>IFERROR(U562*V562,"0")</f>
      </c>
      <c r="X562" s="7"/>
      <c r="Y562" s="166">
        <f>IFERROR((O562/1000)*Masters!$C$3,"0")</f>
      </c>
      <c r="Z562" s="167"/>
      <c r="AA562" s="164">
        <f>IFERROR(VLOOKUP(L562,Masters!G:H,2,0),"0")</f>
      </c>
      <c r="AB562" s="166">
        <f>IFERROR(AA562*N562,"0")</f>
      </c>
      <c r="AC562" s="168"/>
      <c r="AD562" s="158"/>
      <c r="AE562" s="166">
        <f>W562+Y562+AB562+AD562</f>
      </c>
      <c r="AF562" s="167"/>
      <c r="AG562" s="169">
        <f>M562&amp;"-"&amp;F562</f>
      </c>
      <c r="AH562" s="166">
        <f>IFERROR(VLOOKUP(AG562,Masters!N:O,2,0),"0")</f>
      </c>
      <c r="AI562" s="166">
        <f>AH562*N562</f>
      </c>
      <c r="AJ562" s="158"/>
      <c r="AK562" s="170">
        <f>AI562-AE562</f>
      </c>
      <c r="AL562" s="167"/>
      <c r="AM562" s="147"/>
      <c r="AN562" s="171">
        <f>IFERROR(U562/2,"0")</f>
      </c>
    </row>
    <row x14ac:dyDescent="0.25" r="563" customHeight="1" ht="18.75">
      <c r="A563" s="158">
        <f>A562+1</f>
      </c>
      <c r="B563" s="159">
        <v>45948</v>
      </c>
      <c r="C563" s="147" t="s">
        <v>1291</v>
      </c>
      <c r="D563" s="159">
        <v>45946</v>
      </c>
      <c r="E563" s="198" t="s">
        <v>93</v>
      </c>
      <c r="F563" s="160" t="s">
        <v>231</v>
      </c>
      <c r="G563" s="147" t="s">
        <v>1173</v>
      </c>
      <c r="H563" s="147" t="s">
        <v>305</v>
      </c>
      <c r="I563" s="158">
        <v>909</v>
      </c>
      <c r="J563" s="147" t="s">
        <v>301</v>
      </c>
      <c r="K563" s="158">
        <v>511</v>
      </c>
      <c r="L563" s="147" t="s">
        <v>10</v>
      </c>
      <c r="M563" s="161">
        <f>IFERROR(VLOOKUP(L563,'Material Master'!B:C,2,0),"")</f>
      </c>
      <c r="N563" s="158">
        <v>200</v>
      </c>
      <c r="O563" s="162">
        <f>IFERROR(M563*N563,"")</f>
      </c>
      <c r="P563" s="147" t="s">
        <v>1242</v>
      </c>
      <c r="Q563" s="158"/>
      <c r="R563" s="163" t="s">
        <v>1268</v>
      </c>
      <c r="S563" s="147"/>
      <c r="T563" s="147"/>
      <c r="U563" s="158"/>
      <c r="V563" s="164">
        <v>31</v>
      </c>
      <c r="W563" s="165">
        <f>IFERROR(U563*V563,"0")</f>
      </c>
      <c r="X563" s="7"/>
      <c r="Y563" s="166">
        <f>IFERROR((O563/1000)*Masters!$C$3,"0")</f>
      </c>
      <c r="Z563" s="167"/>
      <c r="AA563" s="164">
        <f>IFERROR(VLOOKUP(L563,Masters!G:H,2,0),"0")</f>
      </c>
      <c r="AB563" s="166">
        <f>IFERROR(AA563*N563,"0")</f>
      </c>
      <c r="AC563" s="168"/>
      <c r="AD563" s="158"/>
      <c r="AE563" s="166">
        <f>W563+Y563+AB563+AD563</f>
      </c>
      <c r="AF563" s="167"/>
      <c r="AG563" s="169">
        <f>M563&amp;"-"&amp;F563</f>
      </c>
      <c r="AH563" s="166">
        <f>IFERROR(VLOOKUP(AG563,Masters!N:O,2,0),"0")</f>
      </c>
      <c r="AI563" s="166">
        <f>AH563*N563</f>
      </c>
      <c r="AJ563" s="158"/>
      <c r="AK563" s="170">
        <f>AI563-AE563</f>
      </c>
      <c r="AL563" s="167"/>
      <c r="AM563" s="147"/>
      <c r="AN563" s="171">
        <f>IFERROR(U563/2,"0")</f>
      </c>
    </row>
    <row x14ac:dyDescent="0.25" r="564" customHeight="1" ht="18.75">
      <c r="A564" s="158">
        <f>A563+1</f>
      </c>
      <c r="B564" s="159">
        <v>45948</v>
      </c>
      <c r="C564" s="147" t="s">
        <v>1292</v>
      </c>
      <c r="D564" s="159"/>
      <c r="E564" s="198" t="s">
        <v>1197</v>
      </c>
      <c r="F564" s="160" t="s">
        <v>32</v>
      </c>
      <c r="G564" s="147" t="s">
        <v>117</v>
      </c>
      <c r="H564" s="147"/>
      <c r="I564" s="158">
        <v>709</v>
      </c>
      <c r="J564" s="147" t="s">
        <v>301</v>
      </c>
      <c r="K564" s="158"/>
      <c r="L564" s="147" t="s">
        <v>10</v>
      </c>
      <c r="M564" s="161">
        <f>IFERROR(VLOOKUP(L564,'Material Master'!B:C,2,0),"")</f>
      </c>
      <c r="N564" s="158">
        <v>100</v>
      </c>
      <c r="O564" s="162">
        <f>IFERROR(M564*N564,"")</f>
      </c>
      <c r="P564" s="147" t="s">
        <v>1242</v>
      </c>
      <c r="Q564" s="158"/>
      <c r="R564" s="163" t="s">
        <v>1268</v>
      </c>
      <c r="S564" s="147"/>
      <c r="T564" s="147"/>
      <c r="U564" s="158"/>
      <c r="V564" s="164">
        <v>31</v>
      </c>
      <c r="W564" s="165">
        <f>IFERROR(U564*V564,"0")</f>
      </c>
      <c r="X564" s="7"/>
      <c r="Y564" s="166">
        <f>IFERROR((O564/1000)*Masters!$C$3,"0")</f>
      </c>
      <c r="Z564" s="167"/>
      <c r="AA564" s="164">
        <f>IFERROR(VLOOKUP(L564,Masters!G:H,2,0),"0")</f>
      </c>
      <c r="AB564" s="166">
        <f>IFERROR(AA564*N564,"0")</f>
      </c>
      <c r="AC564" s="168"/>
      <c r="AD564" s="158"/>
      <c r="AE564" s="166">
        <f>W564+Y564+AB564+AD564</f>
      </c>
      <c r="AF564" s="167"/>
      <c r="AG564" s="169">
        <f>M564&amp;"-"&amp;F564</f>
      </c>
      <c r="AH564" s="166">
        <f>IFERROR(VLOOKUP(AG564,Masters!N:O,2,0),"0")</f>
      </c>
      <c r="AI564" s="166">
        <f>AH564*N564</f>
      </c>
      <c r="AJ564" s="158"/>
      <c r="AK564" s="170">
        <f>AI564-AE564</f>
      </c>
      <c r="AL564" s="167"/>
      <c r="AM564" s="147"/>
      <c r="AN564" s="171">
        <f>IFERROR(U564/2,"0")</f>
      </c>
    </row>
    <row x14ac:dyDescent="0.25" r="565" customHeight="1" ht="18.75">
      <c r="A565" s="158">
        <f>A564+1</f>
      </c>
      <c r="B565" s="159">
        <v>45948</v>
      </c>
      <c r="C565" s="147" t="s">
        <v>1293</v>
      </c>
      <c r="D565" s="159"/>
      <c r="E565" s="198" t="s">
        <v>237</v>
      </c>
      <c r="F565" s="160"/>
      <c r="G565" s="147" t="s">
        <v>238</v>
      </c>
      <c r="H565" s="147"/>
      <c r="I565" s="158">
        <v>709</v>
      </c>
      <c r="J565" s="147"/>
      <c r="K565" s="158"/>
      <c r="L565" s="147" t="s">
        <v>10</v>
      </c>
      <c r="M565" s="161">
        <f>IFERROR(VLOOKUP(L565,'Material Master'!B:C,2,0),"")</f>
      </c>
      <c r="N565" s="158">
        <v>100</v>
      </c>
      <c r="O565" s="162">
        <f>IFERROR(M565*N565,"")</f>
      </c>
      <c r="P565" s="147"/>
      <c r="Q565" s="158"/>
      <c r="R565" s="163" t="s">
        <v>1268</v>
      </c>
      <c r="S565" s="147"/>
      <c r="T565" s="147"/>
      <c r="U565" s="158"/>
      <c r="V565" s="164">
        <v>31</v>
      </c>
      <c r="W565" s="165">
        <f>IFERROR(U565*V565,"0")</f>
      </c>
      <c r="X565" s="7"/>
      <c r="Y565" s="166">
        <f>IFERROR((O565/1000)*Masters!$C$3,"0")</f>
      </c>
      <c r="Z565" s="167"/>
      <c r="AA565" s="164">
        <f>IFERROR(VLOOKUP(L565,Masters!G:H,2,0),"0")</f>
      </c>
      <c r="AB565" s="166">
        <f>IFERROR(AA565*N565,"0")</f>
      </c>
      <c r="AC565" s="168"/>
      <c r="AD565" s="158"/>
      <c r="AE565" s="166">
        <f>W565+Y565+AB565+AD565</f>
      </c>
      <c r="AF565" s="167"/>
      <c r="AG565" s="169">
        <f>M565&amp;"-"&amp;F565</f>
      </c>
      <c r="AH565" s="191">
        <f>IFERROR(VLOOKUP(AG565,Masters!N:O,2,0),"0")</f>
      </c>
      <c r="AI565" s="166">
        <f>AH565*N565</f>
      </c>
      <c r="AJ565" s="158"/>
      <c r="AK565" s="170">
        <f>AI565-AE565</f>
      </c>
      <c r="AL565" s="167"/>
      <c r="AM565" s="147"/>
      <c r="AN565" s="171">
        <f>IFERROR(U565/2,"0")</f>
      </c>
    </row>
    <row x14ac:dyDescent="0.25" r="566" customHeight="1" ht="18.75">
      <c r="A566" s="158">
        <f>A565+1</f>
      </c>
      <c r="B566" s="159"/>
      <c r="C566" s="147"/>
      <c r="D566" s="159"/>
      <c r="E566" s="198"/>
      <c r="F566" s="160"/>
      <c r="G566" s="147"/>
      <c r="H566" s="147"/>
      <c r="I566" s="158"/>
      <c r="J566" s="147"/>
      <c r="K566" s="158"/>
      <c r="L566" s="147"/>
      <c r="M566" s="161">
        <f>IFERROR(VLOOKUP(L566,'Material Master'!B:C,2,0),"")</f>
      </c>
      <c r="N566" s="158"/>
      <c r="O566" s="162">
        <f>IFERROR(M566*N566,"")</f>
      </c>
      <c r="P566" s="147"/>
      <c r="Q566" s="158"/>
      <c r="R566" s="163" t="s">
        <v>1268</v>
      </c>
      <c r="S566" s="147"/>
      <c r="T566" s="147"/>
      <c r="U566" s="158"/>
      <c r="V566" s="164">
        <v>31</v>
      </c>
      <c r="W566" s="165">
        <f>IFERROR(U566*V566,"0")</f>
      </c>
      <c r="X566" s="7"/>
      <c r="Y566" s="191">
        <f>IFERROR((O566/1000)*Masters!$C$3,"0")</f>
      </c>
      <c r="Z566" s="167"/>
      <c r="AA566" s="164">
        <f>IFERROR(VLOOKUP(L566,Masters!G:H,2,0),"0")</f>
      </c>
      <c r="AB566" s="166">
        <f>IFERROR(AA566*N566,"0")</f>
      </c>
      <c r="AC566" s="168"/>
      <c r="AD566" s="158"/>
      <c r="AE566" s="166">
        <f>W566+Y566+AB566+AD566</f>
      </c>
      <c r="AF566" s="167"/>
      <c r="AG566" s="169">
        <f>M566&amp;"-"&amp;F566</f>
      </c>
      <c r="AH566" s="191">
        <f>IFERROR(VLOOKUP(AG566,Masters!N:O,2,0),"0")</f>
      </c>
      <c r="AI566" s="166">
        <f>AH566*N566</f>
      </c>
      <c r="AJ566" s="158"/>
      <c r="AK566" s="170">
        <f>AI566-AE566</f>
      </c>
      <c r="AL566" s="167"/>
      <c r="AM566" s="147"/>
      <c r="AN566" s="171">
        <f>IFERROR(U566/2,"0")</f>
      </c>
    </row>
    <row x14ac:dyDescent="0.25" r="567" customHeight="1" ht="18.75">
      <c r="A567" s="158">
        <f>A566+1</f>
      </c>
      <c r="B567" s="159"/>
      <c r="C567" s="147"/>
      <c r="D567" s="159"/>
      <c r="E567" s="198"/>
      <c r="F567" s="160"/>
      <c r="G567" s="147"/>
      <c r="H567" s="147"/>
      <c r="I567" s="158"/>
      <c r="J567" s="147"/>
      <c r="K567" s="158"/>
      <c r="L567" s="147"/>
      <c r="M567" s="161">
        <f>IFERROR(VLOOKUP(L567,'Material Master'!B:C,2,0),"")</f>
      </c>
      <c r="N567" s="158"/>
      <c r="O567" s="162">
        <f>IFERROR(M567*N567,"")</f>
      </c>
      <c r="P567" s="147"/>
      <c r="Q567" s="158"/>
      <c r="R567" s="163" t="s">
        <v>1268</v>
      </c>
      <c r="S567" s="147"/>
      <c r="T567" s="147"/>
      <c r="U567" s="158"/>
      <c r="V567" s="164">
        <v>31</v>
      </c>
      <c r="W567" s="165">
        <f>IFERROR(U567*V567,"0")</f>
      </c>
      <c r="X567" s="7"/>
      <c r="Y567" s="191">
        <f>IFERROR((O567/1000)*Masters!$C$3,"0")</f>
      </c>
      <c r="Z567" s="167"/>
      <c r="AA567" s="164">
        <f>IFERROR(VLOOKUP(L567,Masters!G:H,2,0),"0")</f>
      </c>
      <c r="AB567" s="166">
        <f>IFERROR(AA567*N567,"0")</f>
      </c>
      <c r="AC567" s="168"/>
      <c r="AD567" s="158"/>
      <c r="AE567" s="166">
        <f>W567+Y567+AB567+AD567</f>
      </c>
      <c r="AF567" s="167"/>
      <c r="AG567" s="169">
        <f>M567&amp;"-"&amp;F567</f>
      </c>
      <c r="AH567" s="191">
        <f>IFERROR(VLOOKUP(AG567,Masters!N:O,2,0),"0")</f>
      </c>
      <c r="AI567" s="166">
        <f>AH567*N567</f>
      </c>
      <c r="AJ567" s="158"/>
      <c r="AK567" s="170">
        <f>AI567-AE567</f>
      </c>
      <c r="AL567" s="167"/>
      <c r="AM567" s="147"/>
      <c r="AN567" s="171">
        <f>IFERROR(U567/2,"0")</f>
      </c>
    </row>
    <row x14ac:dyDescent="0.25" r="568" customHeight="1" ht="18.75">
      <c r="A568" s="158">
        <f>A567+1</f>
      </c>
      <c r="B568" s="159"/>
      <c r="C568" s="147"/>
      <c r="D568" s="159"/>
      <c r="E568" s="198"/>
      <c r="F568" s="160"/>
      <c r="G568" s="147"/>
      <c r="H568" s="147"/>
      <c r="I568" s="158"/>
      <c r="J568" s="147"/>
      <c r="K568" s="158"/>
      <c r="L568" s="147"/>
      <c r="M568" s="161">
        <f>IFERROR(VLOOKUP(L568,'Material Master'!B:C,2,0),"")</f>
      </c>
      <c r="N568" s="158"/>
      <c r="O568" s="162">
        <f>IFERROR(M568*N568,"")</f>
      </c>
      <c r="P568" s="147"/>
      <c r="Q568" s="158"/>
      <c r="R568" s="163" t="s">
        <v>1268</v>
      </c>
      <c r="S568" s="147"/>
      <c r="T568" s="147"/>
      <c r="U568" s="158"/>
      <c r="V568" s="164">
        <v>31</v>
      </c>
      <c r="W568" s="165">
        <f>IFERROR(U568*V568,"0")</f>
      </c>
      <c r="X568" s="7"/>
      <c r="Y568" s="191">
        <f>IFERROR((O568/1000)*Masters!$C$3,"0")</f>
      </c>
      <c r="Z568" s="167"/>
      <c r="AA568" s="164">
        <f>IFERROR(VLOOKUP(L568,Masters!G:H,2,0),"0")</f>
      </c>
      <c r="AB568" s="166">
        <f>IFERROR(AA568*N568,"0")</f>
      </c>
      <c r="AC568" s="168"/>
      <c r="AD568" s="158"/>
      <c r="AE568" s="166">
        <f>W568+Y568+AB568+AD568</f>
      </c>
      <c r="AF568" s="167"/>
      <c r="AG568" s="169">
        <f>M568&amp;"-"&amp;F568</f>
      </c>
      <c r="AH568" s="191">
        <f>IFERROR(VLOOKUP(AG568,Masters!N:O,2,0),"0")</f>
      </c>
      <c r="AI568" s="166">
        <f>AH568*N568</f>
      </c>
      <c r="AJ568" s="158"/>
      <c r="AK568" s="170">
        <f>AI568-AE568</f>
      </c>
      <c r="AL568" s="167"/>
      <c r="AM568" s="147"/>
      <c r="AN568" s="171">
        <f>IFERROR(U568/2,"0")</f>
      </c>
    </row>
    <row x14ac:dyDescent="0.25" r="569" customHeight="1" ht="18.75">
      <c r="A569" s="158">
        <f>A568+1</f>
      </c>
      <c r="B569" s="159"/>
      <c r="C569" s="147"/>
      <c r="D569" s="159"/>
      <c r="E569" s="198"/>
      <c r="F569" s="160"/>
      <c r="G569" s="147"/>
      <c r="H569" s="147"/>
      <c r="I569" s="158"/>
      <c r="J569" s="147"/>
      <c r="K569" s="158"/>
      <c r="L569" s="147"/>
      <c r="M569" s="161">
        <f>IFERROR(VLOOKUP(L569,'Material Master'!B:C,2,0),"")</f>
      </c>
      <c r="N569" s="158"/>
      <c r="O569" s="162">
        <f>IFERROR(M569*N569,"")</f>
      </c>
      <c r="P569" s="147"/>
      <c r="Q569" s="158"/>
      <c r="R569" s="163" t="s">
        <v>1268</v>
      </c>
      <c r="S569" s="147"/>
      <c r="T569" s="147"/>
      <c r="U569" s="158"/>
      <c r="V569" s="164">
        <v>31</v>
      </c>
      <c r="W569" s="165">
        <f>IFERROR(U569*V569,"0")</f>
      </c>
      <c r="X569" s="7"/>
      <c r="Y569" s="191">
        <f>IFERROR((O569/1000)*Masters!$C$3,"0")</f>
      </c>
      <c r="Z569" s="167"/>
      <c r="AA569" s="164">
        <f>IFERROR(VLOOKUP(L569,Masters!G:H,2,0),"0")</f>
      </c>
      <c r="AB569" s="166">
        <f>IFERROR(AA569*N569,"0")</f>
      </c>
      <c r="AC569" s="168"/>
      <c r="AD569" s="158"/>
      <c r="AE569" s="166">
        <f>W569+Y569+AB569+AD569</f>
      </c>
      <c r="AF569" s="167"/>
      <c r="AG569" s="169">
        <f>M569&amp;"-"&amp;F569</f>
      </c>
      <c r="AH569" s="191">
        <f>IFERROR(VLOOKUP(AG569,Masters!N:O,2,0),"0")</f>
      </c>
      <c r="AI569" s="166">
        <f>AH569*N569</f>
      </c>
      <c r="AJ569" s="158"/>
      <c r="AK569" s="170">
        <f>AI569-AE569</f>
      </c>
      <c r="AL569" s="167"/>
      <c r="AM569" s="147"/>
      <c r="AN569" s="171">
        <f>IFERROR(U569/2,"0")</f>
      </c>
    </row>
    <row x14ac:dyDescent="0.25" r="570" customHeight="1" ht="18.75">
      <c r="A570" s="158">
        <f>A569+1</f>
      </c>
      <c r="B570" s="159"/>
      <c r="C570" s="147"/>
      <c r="D570" s="159"/>
      <c r="E570" s="198"/>
      <c r="F570" s="160"/>
      <c r="G570" s="147"/>
      <c r="H570" s="147"/>
      <c r="I570" s="158"/>
      <c r="J570" s="147"/>
      <c r="K570" s="158"/>
      <c r="L570" s="147"/>
      <c r="M570" s="161">
        <f>IFERROR(VLOOKUP(L570,'Material Master'!B:C,2,0),"")</f>
      </c>
      <c r="N570" s="158"/>
      <c r="O570" s="162">
        <f>IFERROR(M570*N570,"")</f>
      </c>
      <c r="P570" s="147"/>
      <c r="Q570" s="158"/>
      <c r="R570" s="163" t="s">
        <v>1268</v>
      </c>
      <c r="S570" s="147"/>
      <c r="T570" s="147"/>
      <c r="U570" s="158"/>
      <c r="V570" s="164">
        <v>31</v>
      </c>
      <c r="W570" s="165">
        <f>IFERROR(U570*V570,"0")</f>
      </c>
      <c r="X570" s="7"/>
      <c r="Y570" s="191">
        <f>IFERROR((O570/1000)*Masters!$C$3,"0")</f>
      </c>
      <c r="Z570" s="167"/>
      <c r="AA570" s="164">
        <f>IFERROR(VLOOKUP(L570,Masters!G:H,2,0),"0")</f>
      </c>
      <c r="AB570" s="166">
        <f>IFERROR(AA570*N570,"0")</f>
      </c>
      <c r="AC570" s="168"/>
      <c r="AD570" s="158"/>
      <c r="AE570" s="166">
        <f>W570+Y570+AB570+AD570</f>
      </c>
      <c r="AF570" s="167"/>
      <c r="AG570" s="169">
        <f>M570&amp;"-"&amp;F570</f>
      </c>
      <c r="AH570" s="191">
        <f>IFERROR(VLOOKUP(AG570,Masters!N:O,2,0),"0")</f>
      </c>
      <c r="AI570" s="166">
        <f>AH570*N570</f>
      </c>
      <c r="AJ570" s="158"/>
      <c r="AK570" s="170">
        <f>AI570-AE570</f>
      </c>
      <c r="AL570" s="167"/>
      <c r="AM570" s="147"/>
      <c r="AN570" s="171">
        <f>IFERROR(U570/2,"0")</f>
      </c>
    </row>
    <row x14ac:dyDescent="0.25" r="571" customHeight="1" ht="18.75">
      <c r="A571" s="158">
        <f>A570+1</f>
      </c>
      <c r="B571" s="159"/>
      <c r="C571" s="147"/>
      <c r="D571" s="159"/>
      <c r="E571" s="198"/>
      <c r="F571" s="160"/>
      <c r="G571" s="147"/>
      <c r="H571" s="147"/>
      <c r="I571" s="158"/>
      <c r="J571" s="147"/>
      <c r="K571" s="158"/>
      <c r="L571" s="147"/>
      <c r="M571" s="161">
        <f>IFERROR(VLOOKUP(L571,'Material Master'!B:C,2,0),"")</f>
      </c>
      <c r="N571" s="158"/>
      <c r="O571" s="162">
        <f>IFERROR(M571*N571,"")</f>
      </c>
      <c r="P571" s="147"/>
      <c r="Q571" s="158"/>
      <c r="R571" s="163" t="s">
        <v>1268</v>
      </c>
      <c r="S571" s="147"/>
      <c r="T571" s="147"/>
      <c r="U571" s="158"/>
      <c r="V571" s="164">
        <v>31</v>
      </c>
      <c r="W571" s="165">
        <f>IFERROR(U571*V571,"0")</f>
      </c>
      <c r="X571" s="7"/>
      <c r="Y571" s="191">
        <f>IFERROR((O571/1000)*Masters!$C$3,"0")</f>
      </c>
      <c r="Z571" s="167"/>
      <c r="AA571" s="164">
        <f>IFERROR(VLOOKUP(L571,Masters!G:H,2,0),"0")</f>
      </c>
      <c r="AB571" s="166">
        <f>IFERROR(AA571*N571,"0")</f>
      </c>
      <c r="AC571" s="168"/>
      <c r="AD571" s="158"/>
      <c r="AE571" s="166">
        <f>W571+Y571+AB571+AD571</f>
      </c>
      <c r="AF571" s="167"/>
      <c r="AG571" s="169">
        <f>M571&amp;"-"&amp;F571</f>
      </c>
      <c r="AH571" s="191">
        <f>IFERROR(VLOOKUP(AG571,Masters!N:O,2,0),"0")</f>
      </c>
      <c r="AI571" s="166">
        <f>AH571*N571</f>
      </c>
      <c r="AJ571" s="158"/>
      <c r="AK571" s="170">
        <f>AI571-AE571</f>
      </c>
      <c r="AL571" s="167"/>
      <c r="AM571" s="147"/>
      <c r="AN571" s="171">
        <f>IFERROR(U571/2,"0")</f>
      </c>
    </row>
    <row x14ac:dyDescent="0.25" r="572" customHeight="1" ht="18.75">
      <c r="A572" s="158">
        <f>A571+1</f>
      </c>
      <c r="B572" s="159"/>
      <c r="C572" s="147"/>
      <c r="D572" s="159"/>
      <c r="E572" s="198"/>
      <c r="F572" s="160"/>
      <c r="G572" s="147"/>
      <c r="H572" s="147"/>
      <c r="I572" s="158"/>
      <c r="J572" s="147"/>
      <c r="K572" s="158"/>
      <c r="L572" s="147"/>
      <c r="M572" s="161">
        <f>IFERROR(VLOOKUP(L572,'Material Master'!B:C,2,0),"")</f>
      </c>
      <c r="N572" s="158"/>
      <c r="O572" s="162">
        <f>IFERROR(M572*N572,"")</f>
      </c>
      <c r="P572" s="147"/>
      <c r="Q572" s="158"/>
      <c r="R572" s="163" t="s">
        <v>1268</v>
      </c>
      <c r="S572" s="147"/>
      <c r="T572" s="147"/>
      <c r="U572" s="158"/>
      <c r="V572" s="164">
        <v>31</v>
      </c>
      <c r="W572" s="165">
        <f>IFERROR(U572*V572,"0")</f>
      </c>
      <c r="X572" s="7"/>
      <c r="Y572" s="191">
        <f>IFERROR((O572/1000)*Masters!$C$3,"0")</f>
      </c>
      <c r="Z572" s="167"/>
      <c r="AA572" s="164">
        <f>IFERROR(VLOOKUP(L572,Masters!G:H,2,0),"0")</f>
      </c>
      <c r="AB572" s="166">
        <f>IFERROR(AA572*N572,"0")</f>
      </c>
      <c r="AC572" s="168"/>
      <c r="AD572" s="158"/>
      <c r="AE572" s="166">
        <f>W572+Y572+AB572+AD572</f>
      </c>
      <c r="AF572" s="167"/>
      <c r="AG572" s="169">
        <f>M572&amp;"-"&amp;F572</f>
      </c>
      <c r="AH572" s="191">
        <f>IFERROR(VLOOKUP(AG572,Masters!N:O,2,0),"0")</f>
      </c>
      <c r="AI572" s="166">
        <f>AH572*N572</f>
      </c>
      <c r="AJ572" s="158"/>
      <c r="AK572" s="170">
        <f>AI572-AE572</f>
      </c>
      <c r="AL572" s="167"/>
      <c r="AM572" s="147"/>
      <c r="AN572" s="171">
        <f>IFERROR(U572/2,"0")</f>
      </c>
    </row>
    <row x14ac:dyDescent="0.25" r="573" customHeight="1" ht="18.75">
      <c r="A573" s="158">
        <f>A572+1</f>
      </c>
      <c r="B573" s="159"/>
      <c r="C573" s="147"/>
      <c r="D573" s="159"/>
      <c r="E573" s="198"/>
      <c r="F573" s="160"/>
      <c r="G573" s="147"/>
      <c r="H573" s="147"/>
      <c r="I573" s="158"/>
      <c r="J573" s="147"/>
      <c r="K573" s="158"/>
      <c r="L573" s="147"/>
      <c r="M573" s="161">
        <f>IFERROR(VLOOKUP(L573,'Material Master'!B:C,2,0),"")</f>
      </c>
      <c r="N573" s="158"/>
      <c r="O573" s="162">
        <f>IFERROR(M573*N573,"")</f>
      </c>
      <c r="P573" s="147"/>
      <c r="Q573" s="158"/>
      <c r="R573" s="163" t="s">
        <v>1268</v>
      </c>
      <c r="S573" s="147"/>
      <c r="T573" s="147"/>
      <c r="U573" s="158"/>
      <c r="V573" s="164">
        <v>31</v>
      </c>
      <c r="W573" s="165">
        <f>IFERROR(U573*V573,"0")</f>
      </c>
      <c r="X573" s="7"/>
      <c r="Y573" s="191">
        <f>IFERROR((O573/1000)*Masters!$C$3,"0")</f>
      </c>
      <c r="Z573" s="167"/>
      <c r="AA573" s="164">
        <f>IFERROR(VLOOKUP(L573,Masters!G:H,2,0),"0")</f>
      </c>
      <c r="AB573" s="166">
        <f>IFERROR(AA573*N573,"0")</f>
      </c>
      <c r="AC573" s="168"/>
      <c r="AD573" s="158"/>
      <c r="AE573" s="166">
        <f>W573+Y573+AB573+AD573</f>
      </c>
      <c r="AF573" s="167"/>
      <c r="AG573" s="169">
        <f>M573&amp;"-"&amp;F573</f>
      </c>
      <c r="AH573" s="191">
        <f>IFERROR(VLOOKUP(AG573,Masters!N:O,2,0),"0")</f>
      </c>
      <c r="AI573" s="166">
        <f>AH573*N573</f>
      </c>
      <c r="AJ573" s="158"/>
      <c r="AK573" s="170">
        <f>AI573-AE573</f>
      </c>
      <c r="AL573" s="167"/>
      <c r="AM573" s="147"/>
      <c r="AN573" s="171">
        <f>IFERROR(U573/2,"0")</f>
      </c>
    </row>
    <row x14ac:dyDescent="0.25" r="574" customHeight="1" ht="18.75">
      <c r="A574" s="158">
        <f>A573+1</f>
      </c>
      <c r="B574" s="159"/>
      <c r="C574" s="147"/>
      <c r="D574" s="159"/>
      <c r="E574" s="198"/>
      <c r="F574" s="160"/>
      <c r="G574" s="147"/>
      <c r="H574" s="147"/>
      <c r="I574" s="158"/>
      <c r="J574" s="147"/>
      <c r="K574" s="158"/>
      <c r="L574" s="147"/>
      <c r="M574" s="161">
        <f>IFERROR(VLOOKUP(L574,'Material Master'!B:C,2,0),"")</f>
      </c>
      <c r="N574" s="158"/>
      <c r="O574" s="162">
        <f>IFERROR(M574*N574,"")</f>
      </c>
      <c r="P574" s="147"/>
      <c r="Q574" s="158"/>
      <c r="R574" s="163" t="s">
        <v>1268</v>
      </c>
      <c r="S574" s="147"/>
      <c r="T574" s="147"/>
      <c r="U574" s="158"/>
      <c r="V574" s="164">
        <v>31</v>
      </c>
      <c r="W574" s="165">
        <f>IFERROR(U574*V574,"0")</f>
      </c>
      <c r="X574" s="7"/>
      <c r="Y574" s="191">
        <f>IFERROR((O574/1000)*Masters!$C$3,"0")</f>
      </c>
      <c r="Z574" s="167"/>
      <c r="AA574" s="164">
        <f>IFERROR(VLOOKUP(L574,Masters!G:H,2,0),"0")</f>
      </c>
      <c r="AB574" s="166">
        <f>IFERROR(AA574*N574,"0")</f>
      </c>
      <c r="AC574" s="168"/>
      <c r="AD574" s="158"/>
      <c r="AE574" s="166">
        <f>W574+Y574+AB574+AD574</f>
      </c>
      <c r="AF574" s="167"/>
      <c r="AG574" s="169">
        <f>M574&amp;"-"&amp;F574</f>
      </c>
      <c r="AH574" s="191">
        <f>IFERROR(VLOOKUP(AG574,Masters!N:O,2,0),"0")</f>
      </c>
      <c r="AI574" s="166">
        <f>AH574*N574</f>
      </c>
      <c r="AJ574" s="158"/>
      <c r="AK574" s="170">
        <f>AI574-AE574</f>
      </c>
      <c r="AL574" s="167"/>
      <c r="AM574" s="147"/>
      <c r="AN574" s="171">
        <f>IFERROR(U574/2,"0")</f>
      </c>
    </row>
    <row x14ac:dyDescent="0.25" r="575" customHeight="1" ht="18.75">
      <c r="A575" s="158">
        <f>A574+1</f>
      </c>
      <c r="B575" s="159"/>
      <c r="C575" s="147"/>
      <c r="D575" s="159"/>
      <c r="E575" s="198"/>
      <c r="F575" s="160"/>
      <c r="G575" s="147"/>
      <c r="H575" s="147"/>
      <c r="I575" s="158"/>
      <c r="J575" s="147"/>
      <c r="K575" s="158"/>
      <c r="L575" s="147"/>
      <c r="M575" s="161">
        <f>IFERROR(VLOOKUP(L575,'Material Master'!B:C,2,0),"")</f>
      </c>
      <c r="N575" s="158"/>
      <c r="O575" s="162">
        <f>IFERROR(M575*N575,"")</f>
      </c>
      <c r="P575" s="147"/>
      <c r="Q575" s="158"/>
      <c r="R575" s="163" t="s">
        <v>1268</v>
      </c>
      <c r="S575" s="147"/>
      <c r="T575" s="147"/>
      <c r="U575" s="158"/>
      <c r="V575" s="164">
        <v>31</v>
      </c>
      <c r="W575" s="165">
        <f>IFERROR(U575*V575,"0")</f>
      </c>
      <c r="X575" s="7"/>
      <c r="Y575" s="191">
        <f>IFERROR((O575/1000)*Masters!$C$3,"0")</f>
      </c>
      <c r="Z575" s="167"/>
      <c r="AA575" s="164">
        <f>IFERROR(VLOOKUP(L575,Masters!G:H,2,0),"0")</f>
      </c>
      <c r="AB575" s="166">
        <f>IFERROR(AA575*N575,"0")</f>
      </c>
      <c r="AC575" s="168"/>
      <c r="AD575" s="158"/>
      <c r="AE575" s="166">
        <f>W575+Y575+AB575+AD575</f>
      </c>
      <c r="AF575" s="167"/>
      <c r="AG575" s="169">
        <f>M575&amp;"-"&amp;F575</f>
      </c>
      <c r="AH575" s="191">
        <f>IFERROR(VLOOKUP(AG575,Masters!N:O,2,0),"0")</f>
      </c>
      <c r="AI575" s="166">
        <f>AH575*N575</f>
      </c>
      <c r="AJ575" s="158"/>
      <c r="AK575" s="170">
        <f>AI575-AE575</f>
      </c>
      <c r="AL575" s="167"/>
      <c r="AM575" s="147"/>
      <c r="AN575" s="171">
        <f>IFERROR(U575/2,"0")</f>
      </c>
    </row>
    <row x14ac:dyDescent="0.25" r="576" customHeight="1" ht="18.75">
      <c r="A576" s="158">
        <f>A575+1</f>
      </c>
      <c r="B576" s="159"/>
      <c r="C576" s="147"/>
      <c r="D576" s="159"/>
      <c r="E576" s="198"/>
      <c r="F576" s="160"/>
      <c r="G576" s="147"/>
      <c r="H576" s="147"/>
      <c r="I576" s="158"/>
      <c r="J576" s="147"/>
      <c r="K576" s="158"/>
      <c r="L576" s="147"/>
      <c r="M576" s="161">
        <f>IFERROR(VLOOKUP(L576,'Material Master'!B:C,2,0),"")</f>
      </c>
      <c r="N576" s="158"/>
      <c r="O576" s="162">
        <f>IFERROR(M576*N576,"")</f>
      </c>
      <c r="P576" s="147"/>
      <c r="Q576" s="158"/>
      <c r="R576" s="163" t="s">
        <v>1268</v>
      </c>
      <c r="S576" s="147"/>
      <c r="T576" s="147"/>
      <c r="U576" s="158"/>
      <c r="V576" s="164">
        <v>31</v>
      </c>
      <c r="W576" s="165">
        <f>IFERROR(U576*V576,"0")</f>
      </c>
      <c r="X576" s="7"/>
      <c r="Y576" s="191">
        <f>IFERROR((O576/1000)*Masters!$C$3,"0")</f>
      </c>
      <c r="Z576" s="167"/>
      <c r="AA576" s="164">
        <f>IFERROR(VLOOKUP(L576,Masters!G:H,2,0),"0")</f>
      </c>
      <c r="AB576" s="166">
        <f>IFERROR(AA576*N576,"0")</f>
      </c>
      <c r="AC576" s="168"/>
      <c r="AD576" s="158"/>
      <c r="AE576" s="166">
        <f>W576+Y576+AB576+AD576</f>
      </c>
      <c r="AF576" s="167"/>
      <c r="AG576" s="169">
        <f>M576&amp;"-"&amp;F576</f>
      </c>
      <c r="AH576" s="191">
        <f>IFERROR(VLOOKUP(AG576,Masters!N:O,2,0),"0")</f>
      </c>
      <c r="AI576" s="166">
        <f>AH576*N576</f>
      </c>
      <c r="AJ576" s="158"/>
      <c r="AK576" s="170">
        <f>AI576-AE576</f>
      </c>
      <c r="AL576" s="167"/>
      <c r="AM576" s="147"/>
      <c r="AN576" s="171">
        <f>IFERROR(U576/2,"0")</f>
      </c>
    </row>
    <row x14ac:dyDescent="0.25" r="577" customHeight="1" ht="18.75">
      <c r="A577" s="158">
        <f>A576+1</f>
      </c>
      <c r="B577" s="159"/>
      <c r="C577" s="147"/>
      <c r="D577" s="159"/>
      <c r="E577" s="198"/>
      <c r="F577" s="160"/>
      <c r="G577" s="147"/>
      <c r="H577" s="147"/>
      <c r="I577" s="158"/>
      <c r="J577" s="147"/>
      <c r="K577" s="158"/>
      <c r="L577" s="147"/>
      <c r="M577" s="161">
        <f>IFERROR(VLOOKUP(L577,'Material Master'!B:C,2,0),"")</f>
      </c>
      <c r="N577" s="158"/>
      <c r="O577" s="162">
        <f>IFERROR(M577*N577,"")</f>
      </c>
      <c r="P577" s="147"/>
      <c r="Q577" s="158"/>
      <c r="R577" s="163" t="s">
        <v>1268</v>
      </c>
      <c r="S577" s="147"/>
      <c r="T577" s="147"/>
      <c r="U577" s="158"/>
      <c r="V577" s="164">
        <v>31</v>
      </c>
      <c r="W577" s="165">
        <f>IFERROR(U577*V577,"0")</f>
      </c>
      <c r="X577" s="7"/>
      <c r="Y577" s="191">
        <f>IFERROR((O577/1000)*Masters!$C$3,"0")</f>
      </c>
      <c r="Z577" s="167"/>
      <c r="AA577" s="164">
        <f>IFERROR(VLOOKUP(L577,Masters!G:H,2,0),"0")</f>
      </c>
      <c r="AB577" s="166">
        <f>IFERROR(AA577*N577,"0")</f>
      </c>
      <c r="AC577" s="168"/>
      <c r="AD577" s="158"/>
      <c r="AE577" s="166">
        <f>W577+Y577+AB577+AD577</f>
      </c>
      <c r="AF577" s="167"/>
      <c r="AG577" s="169">
        <f>M577&amp;"-"&amp;F577</f>
      </c>
      <c r="AH577" s="191">
        <f>IFERROR(VLOOKUP(AG577,Masters!N:O,2,0),"0")</f>
      </c>
      <c r="AI577" s="166">
        <f>AH577*N577</f>
      </c>
      <c r="AJ577" s="158"/>
      <c r="AK577" s="170">
        <f>AI577-AE577</f>
      </c>
      <c r="AL577" s="167"/>
      <c r="AM577" s="147"/>
      <c r="AN577" s="171">
        <f>IFERROR(U577/2,"0")</f>
      </c>
    </row>
    <row x14ac:dyDescent="0.25" r="578" customHeight="1" ht="18.75">
      <c r="A578" s="158">
        <f>A577+1</f>
      </c>
      <c r="B578" s="159"/>
      <c r="C578" s="147"/>
      <c r="D578" s="159"/>
      <c r="E578" s="198"/>
      <c r="F578" s="160"/>
      <c r="G578" s="147"/>
      <c r="H578" s="147"/>
      <c r="I578" s="158"/>
      <c r="J578" s="147"/>
      <c r="K578" s="158"/>
      <c r="L578" s="147"/>
      <c r="M578" s="161">
        <f>IFERROR(VLOOKUP(L578,'Material Master'!B:C,2,0),"")</f>
      </c>
      <c r="N578" s="158"/>
      <c r="O578" s="162">
        <f>IFERROR(M578*N578,"")</f>
      </c>
      <c r="P578" s="147"/>
      <c r="Q578" s="158"/>
      <c r="R578" s="163" t="s">
        <v>1268</v>
      </c>
      <c r="S578" s="147"/>
      <c r="T578" s="147"/>
      <c r="U578" s="158"/>
      <c r="V578" s="164">
        <v>31</v>
      </c>
      <c r="W578" s="165">
        <f>IFERROR(U578*V578,"0")</f>
      </c>
      <c r="X578" s="7"/>
      <c r="Y578" s="191">
        <f>IFERROR((O578/1000)*Masters!$C$3,"0")</f>
      </c>
      <c r="Z578" s="167"/>
      <c r="AA578" s="164">
        <f>IFERROR(VLOOKUP(L578,Masters!G:H,2,0),"0")</f>
      </c>
      <c r="AB578" s="166">
        <f>IFERROR(AA578*N578,"0")</f>
      </c>
      <c r="AC578" s="168"/>
      <c r="AD578" s="158"/>
      <c r="AE578" s="166">
        <f>W578+Y578+AB578+AD578</f>
      </c>
      <c r="AF578" s="167"/>
      <c r="AG578" s="169">
        <f>M578&amp;"-"&amp;F578</f>
      </c>
      <c r="AH578" s="191">
        <f>IFERROR(VLOOKUP(AG578,Masters!N:O,2,0),"0")</f>
      </c>
      <c r="AI578" s="166">
        <f>AH578*N578</f>
      </c>
      <c r="AJ578" s="158"/>
      <c r="AK578" s="170">
        <f>AI578-AE578</f>
      </c>
      <c r="AL578" s="167"/>
      <c r="AM578" s="147"/>
      <c r="AN578" s="171">
        <f>IFERROR(U578/2,"0")</f>
      </c>
    </row>
    <row x14ac:dyDescent="0.25" r="579" customHeight="1" ht="18.75">
      <c r="A579" s="158">
        <f>A578+1</f>
      </c>
      <c r="B579" s="159"/>
      <c r="C579" s="147"/>
      <c r="D579" s="159"/>
      <c r="E579" s="198"/>
      <c r="F579" s="160"/>
      <c r="G579" s="147"/>
      <c r="H579" s="147"/>
      <c r="I579" s="158"/>
      <c r="J579" s="147"/>
      <c r="K579" s="158"/>
      <c r="L579" s="147"/>
      <c r="M579" s="161">
        <f>IFERROR(VLOOKUP(L579,'Material Master'!B:C,2,0),"")</f>
      </c>
      <c r="N579" s="158"/>
      <c r="O579" s="162">
        <f>IFERROR(M579*N579,"")</f>
      </c>
      <c r="P579" s="147"/>
      <c r="Q579" s="158"/>
      <c r="R579" s="163" t="s">
        <v>1268</v>
      </c>
      <c r="S579" s="147"/>
      <c r="T579" s="147"/>
      <c r="U579" s="158"/>
      <c r="V579" s="164">
        <v>31</v>
      </c>
      <c r="W579" s="165">
        <f>IFERROR(U579*V579,"0")</f>
      </c>
      <c r="X579" s="7"/>
      <c r="Y579" s="191">
        <f>IFERROR((O579/1000)*Masters!$C$3,"0")</f>
      </c>
      <c r="Z579" s="167"/>
      <c r="AA579" s="164">
        <f>IFERROR(VLOOKUP(L579,Masters!G:H,2,0),"0")</f>
      </c>
      <c r="AB579" s="166">
        <f>IFERROR(AA579*N579,"0")</f>
      </c>
      <c r="AC579" s="168"/>
      <c r="AD579" s="158"/>
      <c r="AE579" s="166">
        <f>W579+Y579+AB579+AD579</f>
      </c>
      <c r="AF579" s="167"/>
      <c r="AG579" s="169">
        <f>M579&amp;"-"&amp;F579</f>
      </c>
      <c r="AH579" s="191">
        <f>IFERROR(VLOOKUP(AG579,Masters!N:O,2,0),"0")</f>
      </c>
      <c r="AI579" s="166">
        <f>AH579*N579</f>
      </c>
      <c r="AJ579" s="158"/>
      <c r="AK579" s="170">
        <f>AI579-AE579</f>
      </c>
      <c r="AL579" s="167"/>
      <c r="AM579" s="147"/>
      <c r="AN579" s="171">
        <f>IFERROR(U579/2,"0")</f>
      </c>
    </row>
    <row x14ac:dyDescent="0.25" r="580" customHeight="1" ht="18.75">
      <c r="A580" s="158">
        <f>A579+1</f>
      </c>
      <c r="B580" s="159"/>
      <c r="C580" s="147"/>
      <c r="D580" s="159"/>
      <c r="E580" s="198"/>
      <c r="F580" s="160"/>
      <c r="G580" s="147"/>
      <c r="H580" s="147"/>
      <c r="I580" s="158"/>
      <c r="J580" s="147"/>
      <c r="K580" s="158"/>
      <c r="L580" s="147"/>
      <c r="M580" s="161">
        <f>IFERROR(VLOOKUP(L580,'Material Master'!B:C,2,0),"")</f>
      </c>
      <c r="N580" s="158"/>
      <c r="O580" s="162">
        <f>IFERROR(M580*N580,"")</f>
      </c>
      <c r="P580" s="147"/>
      <c r="Q580" s="158"/>
      <c r="R580" s="163" t="s">
        <v>1268</v>
      </c>
      <c r="S580" s="147"/>
      <c r="T580" s="147"/>
      <c r="U580" s="158"/>
      <c r="V580" s="164">
        <v>31</v>
      </c>
      <c r="W580" s="165">
        <f>IFERROR(U580*V580,"0")</f>
      </c>
      <c r="X580" s="7"/>
      <c r="Y580" s="191">
        <f>IFERROR((O580/1000)*Masters!$C$3,"0")</f>
      </c>
      <c r="Z580" s="167"/>
      <c r="AA580" s="164">
        <f>IFERROR(VLOOKUP(L580,Masters!G:H,2,0),"0")</f>
      </c>
      <c r="AB580" s="166">
        <f>IFERROR(AA580*N580,"0")</f>
      </c>
      <c r="AC580" s="168"/>
      <c r="AD580" s="158"/>
      <c r="AE580" s="166">
        <f>W580+Y580+AB580+AD580</f>
      </c>
      <c r="AF580" s="167"/>
      <c r="AG580" s="169">
        <f>M580&amp;"-"&amp;F580</f>
      </c>
      <c r="AH580" s="191">
        <f>IFERROR(VLOOKUP(AG580,Masters!N:O,2,0),"0")</f>
      </c>
      <c r="AI580" s="166">
        <f>AH580*N580</f>
      </c>
      <c r="AJ580" s="158"/>
      <c r="AK580" s="170">
        <f>AI580-AE580</f>
      </c>
      <c r="AL580" s="167"/>
      <c r="AM580" s="147"/>
      <c r="AN580" s="171">
        <f>IFERROR(U580/2,"0")</f>
      </c>
    </row>
    <row x14ac:dyDescent="0.25" r="581" customHeight="1" ht="18.75">
      <c r="A581" s="158">
        <f>A580+1</f>
      </c>
      <c r="B581" s="159"/>
      <c r="C581" s="147"/>
      <c r="D581" s="159"/>
      <c r="E581" s="198"/>
      <c r="F581" s="160"/>
      <c r="G581" s="147"/>
      <c r="H581" s="147"/>
      <c r="I581" s="158"/>
      <c r="J581" s="147"/>
      <c r="K581" s="158"/>
      <c r="L581" s="147"/>
      <c r="M581" s="161">
        <f>IFERROR(VLOOKUP(L581,'Material Master'!B:C,2,0),"")</f>
      </c>
      <c r="N581" s="158"/>
      <c r="O581" s="162">
        <f>IFERROR(M581*N581,"")</f>
      </c>
      <c r="P581" s="147"/>
      <c r="Q581" s="158"/>
      <c r="R581" s="163" t="s">
        <v>1268</v>
      </c>
      <c r="S581" s="147"/>
      <c r="T581" s="147"/>
      <c r="U581" s="158"/>
      <c r="V581" s="164">
        <v>31</v>
      </c>
      <c r="W581" s="165">
        <f>IFERROR(U581*V581,"0")</f>
      </c>
      <c r="X581" s="7"/>
      <c r="Y581" s="191">
        <f>IFERROR((O581/1000)*Masters!$C$3,"0")</f>
      </c>
      <c r="Z581" s="167"/>
      <c r="AA581" s="164">
        <f>IFERROR(VLOOKUP(L581,Masters!G:H,2,0),"0")</f>
      </c>
      <c r="AB581" s="166">
        <f>IFERROR(AA581*N581,"0")</f>
      </c>
      <c r="AC581" s="168"/>
      <c r="AD581" s="158"/>
      <c r="AE581" s="166">
        <f>W581+Y581+AB581+AD581</f>
      </c>
      <c r="AF581" s="167"/>
      <c r="AG581" s="169">
        <f>M581&amp;"-"&amp;F581</f>
      </c>
      <c r="AH581" s="191">
        <f>IFERROR(VLOOKUP(AG581,Masters!N:O,2,0),"0")</f>
      </c>
      <c r="AI581" s="166">
        <f>AH581*N581</f>
      </c>
      <c r="AJ581" s="158"/>
      <c r="AK581" s="170">
        <f>AI581-AE581</f>
      </c>
      <c r="AL581" s="167"/>
      <c r="AM581" s="147"/>
      <c r="AN581" s="171">
        <f>IFERROR(U581/2,"0")</f>
      </c>
    </row>
    <row x14ac:dyDescent="0.25" r="582" customHeight="1" ht="18.75">
      <c r="A582" s="158">
        <f>A581+1</f>
      </c>
      <c r="B582" s="159"/>
      <c r="C582" s="147"/>
      <c r="D582" s="159"/>
      <c r="E582" s="198"/>
      <c r="F582" s="160"/>
      <c r="G582" s="147"/>
      <c r="H582" s="147"/>
      <c r="I582" s="158"/>
      <c r="J582" s="147"/>
      <c r="K582" s="158"/>
      <c r="L582" s="147"/>
      <c r="M582" s="161">
        <f>IFERROR(VLOOKUP(L582,'Material Master'!B:C,2,0),"")</f>
      </c>
      <c r="N582" s="158"/>
      <c r="O582" s="162">
        <f>IFERROR(M582*N582,"")</f>
      </c>
      <c r="P582" s="147"/>
      <c r="Q582" s="158"/>
      <c r="R582" s="163" t="s">
        <v>1268</v>
      </c>
      <c r="S582" s="147"/>
      <c r="T582" s="147"/>
      <c r="U582" s="158"/>
      <c r="V582" s="164">
        <v>31</v>
      </c>
      <c r="W582" s="165">
        <f>IFERROR(U582*V582,"0")</f>
      </c>
      <c r="X582" s="7"/>
      <c r="Y582" s="191">
        <f>IFERROR((O582/1000)*Masters!$C$3,"0")</f>
      </c>
      <c r="Z582" s="167"/>
      <c r="AA582" s="164">
        <f>IFERROR(VLOOKUP(L582,Masters!G:H,2,0),"0")</f>
      </c>
      <c r="AB582" s="166">
        <f>IFERROR(AA582*N582,"0")</f>
      </c>
      <c r="AC582" s="168"/>
      <c r="AD582" s="158"/>
      <c r="AE582" s="166">
        <f>W582+Y582+AB582+AD582</f>
      </c>
      <c r="AF582" s="167"/>
      <c r="AG582" s="169">
        <f>M582&amp;"-"&amp;F582</f>
      </c>
      <c r="AH582" s="191">
        <f>IFERROR(VLOOKUP(AG582,Masters!N:O,2,0),"0")</f>
      </c>
      <c r="AI582" s="166">
        <f>AH582*N582</f>
      </c>
      <c r="AJ582" s="158"/>
      <c r="AK582" s="170">
        <f>AI582-AE582</f>
      </c>
      <c r="AL582" s="167"/>
      <c r="AM582" s="147"/>
      <c r="AN582" s="171">
        <f>IFERROR(U582/2,"0")</f>
      </c>
    </row>
    <row x14ac:dyDescent="0.25" r="583" customHeight="1" ht="18.75">
      <c r="A583" s="158">
        <f>A582+1</f>
      </c>
      <c r="B583" s="159"/>
      <c r="C583" s="6"/>
      <c r="D583" s="159"/>
      <c r="E583" s="198"/>
      <c r="F583" s="160"/>
      <c r="G583" s="6"/>
      <c r="H583" s="6"/>
      <c r="I583" s="7"/>
      <c r="J583" s="147"/>
      <c r="K583" s="7"/>
      <c r="L583" s="147"/>
      <c r="M583" s="161">
        <f>IFERROR(VLOOKUP(L583,'Material Master'!B:C,2,0),"")</f>
      </c>
      <c r="N583" s="7"/>
      <c r="O583" s="162">
        <f>IFERROR(M583*N583,"")</f>
      </c>
      <c r="P583" s="6"/>
      <c r="Q583" s="158"/>
      <c r="R583" s="163" t="s">
        <v>1268</v>
      </c>
      <c r="S583" s="147"/>
      <c r="T583" s="6"/>
      <c r="U583" s="158"/>
      <c r="V583" s="164">
        <v>31</v>
      </c>
      <c r="W583" s="165">
        <f>IFERROR(U583*V583,"0")</f>
      </c>
      <c r="X583" s="7"/>
      <c r="Y583" s="191">
        <f>IFERROR((O583/1000)*Masters!$C$3,"0")</f>
      </c>
      <c r="Z583" s="195"/>
      <c r="AA583" s="164">
        <f>IFERROR(VLOOKUP(L583,Masters!G:H,2,0),"0")</f>
      </c>
      <c r="AB583" s="166">
        <f>IFERROR(AA583*N583,"0")</f>
      </c>
      <c r="AC583" s="196"/>
      <c r="AD583" s="7"/>
      <c r="AE583" s="166">
        <f>W583+Y583+AB583+AD583</f>
      </c>
      <c r="AF583" s="195"/>
      <c r="AG583" s="169">
        <f>M583&amp;"-"&amp;F583</f>
      </c>
      <c r="AH583" s="191">
        <f>IFERROR(VLOOKUP(AG583,Masters!N:O,2,0),"0")</f>
      </c>
      <c r="AI583" s="166">
        <f>AH583*N583</f>
      </c>
      <c r="AJ583" s="7"/>
      <c r="AK583" s="170">
        <f>AI583-AE583</f>
      </c>
      <c r="AL583" s="195"/>
      <c r="AM583" s="6"/>
      <c r="AN583" s="171">
        <f>IFERROR(U583/2,"0")</f>
      </c>
    </row>
    <row x14ac:dyDescent="0.25" r="584" customHeight="1" ht="18.75">
      <c r="A584" s="158">
        <f>A583+1</f>
      </c>
      <c r="B584" s="159"/>
      <c r="C584" s="6"/>
      <c r="D584" s="159"/>
      <c r="E584" s="198"/>
      <c r="F584" s="160"/>
      <c r="G584" s="6"/>
      <c r="H584" s="6"/>
      <c r="I584" s="7"/>
      <c r="J584" s="147"/>
      <c r="K584" s="7"/>
      <c r="L584" s="147"/>
      <c r="M584" s="161">
        <f>IFERROR(VLOOKUP(L584,'Material Master'!B:C,2,0),"")</f>
      </c>
      <c r="N584" s="7"/>
      <c r="O584" s="162">
        <f>IFERROR(M584*N584,"")</f>
      </c>
      <c r="P584" s="6"/>
      <c r="Q584" s="158"/>
      <c r="R584" s="163" t="s">
        <v>1268</v>
      </c>
      <c r="S584" s="147"/>
      <c r="T584" s="6"/>
      <c r="U584" s="158"/>
      <c r="V584" s="164">
        <v>31</v>
      </c>
      <c r="W584" s="165">
        <f>IFERROR(U584*V584,"0")</f>
      </c>
      <c r="X584" s="7"/>
      <c r="Y584" s="191">
        <f>IFERROR((O584/1000)*Masters!$C$3,"0")</f>
      </c>
      <c r="Z584" s="195"/>
      <c r="AA584" s="164">
        <f>IFERROR(VLOOKUP(L584,Masters!G:H,2,0),"0")</f>
      </c>
      <c r="AB584" s="166">
        <f>IFERROR(AA584*N584,"0")</f>
      </c>
      <c r="AC584" s="196"/>
      <c r="AD584" s="7"/>
      <c r="AE584" s="166">
        <f>W584+Y584+AB584+AD584</f>
      </c>
      <c r="AF584" s="195"/>
      <c r="AG584" s="169">
        <f>M584&amp;"-"&amp;F584</f>
      </c>
      <c r="AH584" s="191">
        <f>IFERROR(VLOOKUP(AG584,Masters!N:O,2,0),"0")</f>
      </c>
      <c r="AI584" s="166">
        <f>AH584*N584</f>
      </c>
      <c r="AJ584" s="7"/>
      <c r="AK584" s="170">
        <f>AI584-AE584</f>
      </c>
      <c r="AL584" s="195"/>
      <c r="AM584" s="6"/>
      <c r="AN584" s="171">
        <f>IFERROR(U584/2,"0")</f>
      </c>
    </row>
    <row x14ac:dyDescent="0.25" r="585" customHeight="1" ht="18.75">
      <c r="A585" s="158">
        <f>A584+1</f>
      </c>
      <c r="B585" s="159"/>
      <c r="C585" s="6"/>
      <c r="D585" s="159"/>
      <c r="E585" s="198"/>
      <c r="F585" s="160"/>
      <c r="G585" s="6"/>
      <c r="H585" s="6"/>
      <c r="I585" s="7"/>
      <c r="J585" s="147"/>
      <c r="K585" s="7"/>
      <c r="L585" s="147"/>
      <c r="M585" s="161">
        <f>IFERROR(VLOOKUP(L585,'Material Master'!B:C,2,0),"")</f>
      </c>
      <c r="N585" s="7"/>
      <c r="O585" s="162">
        <f>IFERROR(M585*N585,"")</f>
      </c>
      <c r="P585" s="6"/>
      <c r="Q585" s="158"/>
      <c r="R585" s="163" t="s">
        <v>1268</v>
      </c>
      <c r="S585" s="147"/>
      <c r="T585" s="6"/>
      <c r="U585" s="158"/>
      <c r="V585" s="164">
        <v>31</v>
      </c>
      <c r="W585" s="165">
        <f>IFERROR(U585*V585,"0")</f>
      </c>
      <c r="X585" s="7"/>
      <c r="Y585" s="191">
        <f>IFERROR((O585/1000)*Masters!$C$3,"0")</f>
      </c>
      <c r="Z585" s="195"/>
      <c r="AA585" s="164">
        <f>IFERROR(VLOOKUP(L585,Masters!G:H,2,0),"0")</f>
      </c>
      <c r="AB585" s="166">
        <f>IFERROR(AA585*N585,"0")</f>
      </c>
      <c r="AC585" s="196"/>
      <c r="AD585" s="7"/>
      <c r="AE585" s="166">
        <f>W585+Y585+AB585+AD585</f>
      </c>
      <c r="AF585" s="195"/>
      <c r="AG585" s="169">
        <f>M585&amp;"-"&amp;F585</f>
      </c>
      <c r="AH585" s="191">
        <f>IFERROR(VLOOKUP(AG585,Masters!N:O,2,0),"0")</f>
      </c>
      <c r="AI585" s="166">
        <f>AH585*N585</f>
      </c>
      <c r="AJ585" s="7"/>
      <c r="AK585" s="170">
        <f>AI585-AE585</f>
      </c>
      <c r="AL585" s="195"/>
      <c r="AM585" s="6"/>
      <c r="AN585" s="171">
        <f>IFERROR(U585/2,"0")</f>
      </c>
    </row>
    <row x14ac:dyDescent="0.25" r="586" customHeight="1" ht="18.75">
      <c r="A586" s="158">
        <f>A585+1</f>
      </c>
      <c r="B586" s="159"/>
      <c r="C586" s="6"/>
      <c r="D586" s="159"/>
      <c r="E586" s="198"/>
      <c r="F586" s="160"/>
      <c r="G586" s="6"/>
      <c r="H586" s="6"/>
      <c r="I586" s="7"/>
      <c r="J586" s="147"/>
      <c r="K586" s="7"/>
      <c r="L586" s="147"/>
      <c r="M586" s="161">
        <f>IFERROR(VLOOKUP(L586,'Material Master'!B:C,2,0),"")</f>
      </c>
      <c r="N586" s="7"/>
      <c r="O586" s="162">
        <f>IFERROR(M586*N586,"")</f>
      </c>
      <c r="P586" s="6"/>
      <c r="Q586" s="158"/>
      <c r="R586" s="163" t="s">
        <v>1268</v>
      </c>
      <c r="S586" s="147"/>
      <c r="T586" s="6"/>
      <c r="U586" s="158"/>
      <c r="V586" s="164">
        <v>31</v>
      </c>
      <c r="W586" s="165">
        <f>IFERROR(U586*V586,"0")</f>
      </c>
      <c r="X586" s="7"/>
      <c r="Y586" s="191">
        <f>IFERROR((O586/1000)*Masters!$C$3,"0")</f>
      </c>
      <c r="Z586" s="195"/>
      <c r="AA586" s="164">
        <f>IFERROR(VLOOKUP(L586,Masters!G:H,2,0),"0")</f>
      </c>
      <c r="AB586" s="166">
        <f>IFERROR(AA586*N586,"0")</f>
      </c>
      <c r="AC586" s="196"/>
      <c r="AD586" s="7"/>
      <c r="AE586" s="166">
        <f>W586+Y586+AB586+AD586</f>
      </c>
      <c r="AF586" s="195"/>
      <c r="AG586" s="169">
        <f>M586&amp;"-"&amp;F586</f>
      </c>
      <c r="AH586" s="191">
        <f>IFERROR(VLOOKUP(AG586,Masters!N:O,2,0),"0")</f>
      </c>
      <c r="AI586" s="166">
        <f>AH586*N586</f>
      </c>
      <c r="AJ586" s="7"/>
      <c r="AK586" s="170">
        <f>AI586-AE586</f>
      </c>
      <c r="AL586" s="195"/>
      <c r="AM586" s="6"/>
      <c r="AN586" s="171">
        <f>IFERROR(U586/2,"0")</f>
      </c>
    </row>
    <row x14ac:dyDescent="0.25" r="587" customHeight="1" ht="18.75">
      <c r="A587" s="158">
        <f>A586+1</f>
      </c>
      <c r="B587" s="159"/>
      <c r="C587" s="6"/>
      <c r="D587" s="159"/>
      <c r="E587" s="198"/>
      <c r="F587" s="160"/>
      <c r="G587" s="6"/>
      <c r="H587" s="6"/>
      <c r="I587" s="7"/>
      <c r="J587" s="147"/>
      <c r="K587" s="7"/>
      <c r="L587" s="147"/>
      <c r="M587" s="161">
        <f>IFERROR(VLOOKUP(L587,'Material Master'!B:C,2,0),"")</f>
      </c>
      <c r="N587" s="7"/>
      <c r="O587" s="162">
        <f>IFERROR(M587*N587,"")</f>
      </c>
      <c r="P587" s="6"/>
      <c r="Q587" s="158"/>
      <c r="R587" s="163" t="s">
        <v>1268</v>
      </c>
      <c r="S587" s="147"/>
      <c r="T587" s="6"/>
      <c r="U587" s="158"/>
      <c r="V587" s="164">
        <v>31</v>
      </c>
      <c r="W587" s="165">
        <f>IFERROR(U587*V587,"0")</f>
      </c>
      <c r="X587" s="7"/>
      <c r="Y587" s="191">
        <f>IFERROR((O587/1000)*Masters!$C$3,"0")</f>
      </c>
      <c r="Z587" s="195"/>
      <c r="AA587" s="164">
        <f>IFERROR(VLOOKUP(L587,Masters!G:H,2,0),"0")</f>
      </c>
      <c r="AB587" s="166">
        <f>IFERROR(AA587*N587,"0")</f>
      </c>
      <c r="AC587" s="196"/>
      <c r="AD587" s="7"/>
      <c r="AE587" s="166">
        <f>W587+Y587+AB587+AD587</f>
      </c>
      <c r="AF587" s="195"/>
      <c r="AG587" s="169">
        <f>M587&amp;"-"&amp;F587</f>
      </c>
      <c r="AH587" s="191">
        <f>IFERROR(VLOOKUP(AG587,Masters!N:O,2,0),"0")</f>
      </c>
      <c r="AI587" s="166">
        <f>AH587*N587</f>
      </c>
      <c r="AJ587" s="7"/>
      <c r="AK587" s="170">
        <f>AI587-AE587</f>
      </c>
      <c r="AL587" s="195"/>
      <c r="AM587" s="6"/>
      <c r="AN587" s="171">
        <f>IFERROR(U587/2,"0")</f>
      </c>
    </row>
    <row x14ac:dyDescent="0.25" r="588" customHeight="1" ht="18.75">
      <c r="A588" s="158">
        <f>A587+1</f>
      </c>
      <c r="B588" s="159"/>
      <c r="C588" s="6"/>
      <c r="D588" s="159"/>
      <c r="E588" s="198"/>
      <c r="F588" s="160"/>
      <c r="G588" s="6"/>
      <c r="H588" s="6"/>
      <c r="I588" s="7"/>
      <c r="J588" s="147"/>
      <c r="K588" s="7"/>
      <c r="L588" s="147"/>
      <c r="M588" s="161">
        <f>IFERROR(VLOOKUP(L588,'Material Master'!B:C,2,0),"")</f>
      </c>
      <c r="N588" s="7"/>
      <c r="O588" s="162">
        <f>IFERROR(M588*N588,"")</f>
      </c>
      <c r="P588" s="6"/>
      <c r="Q588" s="158"/>
      <c r="R588" s="163" t="s">
        <v>1268</v>
      </c>
      <c r="S588" s="147"/>
      <c r="T588" s="6"/>
      <c r="U588" s="158"/>
      <c r="V588" s="164">
        <v>31</v>
      </c>
      <c r="W588" s="165">
        <f>IFERROR(U588*V588,"0")</f>
      </c>
      <c r="X588" s="7"/>
      <c r="Y588" s="191">
        <f>IFERROR((O588/1000)*Masters!$C$3,"0")</f>
      </c>
      <c r="Z588" s="195"/>
      <c r="AA588" s="164">
        <f>IFERROR(VLOOKUP(L588,Masters!G:H,2,0),"0")</f>
      </c>
      <c r="AB588" s="166">
        <f>IFERROR(AA588*N588,"0")</f>
      </c>
      <c r="AC588" s="196"/>
      <c r="AD588" s="7"/>
      <c r="AE588" s="166">
        <f>W588+Y588+AB588+AD588</f>
      </c>
      <c r="AF588" s="195"/>
      <c r="AG588" s="169">
        <f>M588&amp;"-"&amp;F588</f>
      </c>
      <c r="AH588" s="191">
        <f>IFERROR(VLOOKUP(AG588,Masters!N:O,2,0),"0")</f>
      </c>
      <c r="AI588" s="166">
        <f>AH588*N588</f>
      </c>
      <c r="AJ588" s="7"/>
      <c r="AK588" s="170">
        <f>AI588-AE588</f>
      </c>
      <c r="AL588" s="195"/>
      <c r="AM588" s="6"/>
      <c r="AN588" s="171">
        <f>IFERROR(U588/2,"0")</f>
      </c>
    </row>
    <row x14ac:dyDescent="0.25" r="589" customHeight="1" ht="18.75">
      <c r="A589" s="158">
        <f>A588+1</f>
      </c>
      <c r="B589" s="159"/>
      <c r="C589" s="6"/>
      <c r="D589" s="159"/>
      <c r="E589" s="198"/>
      <c r="F589" s="160"/>
      <c r="G589" s="6"/>
      <c r="H589" s="6"/>
      <c r="I589" s="7"/>
      <c r="J589" s="147"/>
      <c r="K589" s="7"/>
      <c r="L589" s="147"/>
      <c r="M589" s="161">
        <f>IFERROR(VLOOKUP(L589,'Material Master'!B:C,2,0),"")</f>
      </c>
      <c r="N589" s="7"/>
      <c r="O589" s="162">
        <f>IFERROR(M589*N589,"")</f>
      </c>
      <c r="P589" s="6"/>
      <c r="Q589" s="158"/>
      <c r="R589" s="163" t="s">
        <v>1268</v>
      </c>
      <c r="S589" s="147"/>
      <c r="T589" s="6"/>
      <c r="U589" s="158"/>
      <c r="V589" s="164">
        <v>31</v>
      </c>
      <c r="W589" s="165">
        <f>IFERROR(U589*V589,"0")</f>
      </c>
      <c r="X589" s="7"/>
      <c r="Y589" s="191">
        <f>IFERROR((O589/1000)*Masters!$C$3,"0")</f>
      </c>
      <c r="Z589" s="195"/>
      <c r="AA589" s="164">
        <f>IFERROR(VLOOKUP(L589,Masters!G:H,2,0),"0")</f>
      </c>
      <c r="AB589" s="166">
        <f>IFERROR(AA589*N589,"0")</f>
      </c>
      <c r="AC589" s="196"/>
      <c r="AD589" s="7"/>
      <c r="AE589" s="166">
        <f>W589+Y589+AB589+AD589</f>
      </c>
      <c r="AF589" s="195"/>
      <c r="AG589" s="169">
        <f>M589&amp;"-"&amp;F589</f>
      </c>
      <c r="AH589" s="191">
        <f>IFERROR(VLOOKUP(AG589,Masters!N:O,2,0),"0")</f>
      </c>
      <c r="AI589" s="166">
        <f>AH589*N589</f>
      </c>
      <c r="AJ589" s="7"/>
      <c r="AK589" s="170">
        <f>AI589-AE589</f>
      </c>
      <c r="AL589" s="195"/>
      <c r="AM589" s="6"/>
      <c r="AN589" s="171">
        <f>IFERROR(U589/2,"0")</f>
      </c>
    </row>
    <row x14ac:dyDescent="0.25" r="590" customHeight="1" ht="18.75">
      <c r="A590" s="158">
        <f>A589+1</f>
      </c>
      <c r="B590" s="159"/>
      <c r="C590" s="6"/>
      <c r="D590" s="159"/>
      <c r="E590" s="198"/>
      <c r="F590" s="160"/>
      <c r="G590" s="6"/>
      <c r="H590" s="6"/>
      <c r="I590" s="7"/>
      <c r="J590" s="147"/>
      <c r="K590" s="7"/>
      <c r="L590" s="147"/>
      <c r="M590" s="161">
        <f>IFERROR(VLOOKUP(L590,'Material Master'!B:C,2,0),"")</f>
      </c>
      <c r="N590" s="7"/>
      <c r="O590" s="162">
        <f>IFERROR(M590*N590,"")</f>
      </c>
      <c r="P590" s="6"/>
      <c r="Q590" s="158"/>
      <c r="R590" s="163" t="s">
        <v>1268</v>
      </c>
      <c r="S590" s="147"/>
      <c r="T590" s="6"/>
      <c r="U590" s="158"/>
      <c r="V590" s="164">
        <v>31</v>
      </c>
      <c r="W590" s="165">
        <f>IFERROR(U590*V590,"0")</f>
      </c>
      <c r="X590" s="7"/>
      <c r="Y590" s="191">
        <f>IFERROR((O590/1000)*Masters!$C$3,"0")</f>
      </c>
      <c r="Z590" s="195"/>
      <c r="AA590" s="164">
        <f>IFERROR(VLOOKUP(L590,Masters!G:H,2,0),"0")</f>
      </c>
      <c r="AB590" s="166">
        <f>IFERROR(AA590*N590,"0")</f>
      </c>
      <c r="AC590" s="196"/>
      <c r="AD590" s="7"/>
      <c r="AE590" s="166">
        <f>W590+Y590+AB590+AD590</f>
      </c>
      <c r="AF590" s="195"/>
      <c r="AG590" s="169">
        <f>M590&amp;"-"&amp;F590</f>
      </c>
      <c r="AH590" s="191">
        <f>IFERROR(VLOOKUP(AG590,Masters!N:O,2,0),"0")</f>
      </c>
      <c r="AI590" s="166">
        <f>AH590*N590</f>
      </c>
      <c r="AJ590" s="7"/>
      <c r="AK590" s="170">
        <f>AI590-AE590</f>
      </c>
      <c r="AL590" s="195"/>
      <c r="AM590" s="6"/>
      <c r="AN590" s="171">
        <f>IFERROR(U590/2,"0")</f>
      </c>
    </row>
    <row x14ac:dyDescent="0.25" r="591" customHeight="1" ht="18.75">
      <c r="A591" s="158">
        <f>A590+1</f>
      </c>
      <c r="B591" s="159"/>
      <c r="C591" s="6"/>
      <c r="D591" s="159"/>
      <c r="E591" s="198"/>
      <c r="F591" s="160"/>
      <c r="G591" s="6"/>
      <c r="H591" s="6"/>
      <c r="I591" s="7"/>
      <c r="J591" s="147"/>
      <c r="K591" s="7"/>
      <c r="L591" s="147"/>
      <c r="M591" s="161">
        <f>IFERROR(VLOOKUP(L591,'Material Master'!B:C,2,0),"")</f>
      </c>
      <c r="N591" s="7"/>
      <c r="O591" s="162">
        <f>IFERROR(M591*N591,"")</f>
      </c>
      <c r="P591" s="6"/>
      <c r="Q591" s="158"/>
      <c r="R591" s="163" t="s">
        <v>1268</v>
      </c>
      <c r="S591" s="147"/>
      <c r="T591" s="6"/>
      <c r="U591" s="158"/>
      <c r="V591" s="164">
        <v>31</v>
      </c>
      <c r="W591" s="165">
        <f>IFERROR(U591*V591,"0")</f>
      </c>
      <c r="X591" s="7"/>
      <c r="Y591" s="191">
        <f>IFERROR((O591/1000)*Masters!$C$3,"0")</f>
      </c>
      <c r="Z591" s="195"/>
      <c r="AA591" s="164">
        <f>IFERROR(VLOOKUP(L591,Masters!G:H,2,0),"0")</f>
      </c>
      <c r="AB591" s="166">
        <f>IFERROR(AA591*N591,"0")</f>
      </c>
      <c r="AC591" s="196"/>
      <c r="AD591" s="7"/>
      <c r="AE591" s="166">
        <f>W591+Y591+AB591+AD591</f>
      </c>
      <c r="AF591" s="195"/>
      <c r="AG591" s="169">
        <f>M591&amp;"-"&amp;F591</f>
      </c>
      <c r="AH591" s="191">
        <f>IFERROR(VLOOKUP(AG591,Masters!N:O,2,0),"0")</f>
      </c>
      <c r="AI591" s="166">
        <f>AH591*N591</f>
      </c>
      <c r="AJ591" s="7"/>
      <c r="AK591" s="170">
        <f>AI591-AE591</f>
      </c>
      <c r="AL591" s="195"/>
      <c r="AM591" s="6"/>
      <c r="AN591" s="171">
        <f>IFERROR(U591/2,"0")</f>
      </c>
    </row>
    <row x14ac:dyDescent="0.25" r="592" customHeight="1" ht="18.75">
      <c r="A592" s="158">
        <f>A591+1</f>
      </c>
      <c r="B592" s="159"/>
      <c r="C592" s="6"/>
      <c r="D592" s="159"/>
      <c r="E592" s="198"/>
      <c r="F592" s="160"/>
      <c r="G592" s="6"/>
      <c r="H592" s="6"/>
      <c r="I592" s="7"/>
      <c r="J592" s="147"/>
      <c r="K592" s="7"/>
      <c r="L592" s="147"/>
      <c r="M592" s="161">
        <f>IFERROR(VLOOKUP(L592,'Material Master'!B:C,2,0),"")</f>
      </c>
      <c r="N592" s="7"/>
      <c r="O592" s="162">
        <f>IFERROR(M592*N592,"")</f>
      </c>
      <c r="P592" s="6"/>
      <c r="Q592" s="158"/>
      <c r="R592" s="163"/>
      <c r="S592" s="147"/>
      <c r="T592" s="6"/>
      <c r="U592" s="158"/>
      <c r="V592" s="164">
        <v>31</v>
      </c>
      <c r="W592" s="165">
        <f>IFERROR(U592*V592,"0")</f>
      </c>
      <c r="X592" s="7"/>
      <c r="Y592" s="191">
        <f>IFERROR((O592/1000)*Masters!$C$3,"0")</f>
      </c>
      <c r="Z592" s="195"/>
      <c r="AA592" s="164">
        <f>IFERROR(VLOOKUP(L592,Masters!G:H,2,0),"0")</f>
      </c>
      <c r="AB592" s="166">
        <f>IFERROR(AA592*N592,"0")</f>
      </c>
      <c r="AC592" s="196"/>
      <c r="AD592" s="7"/>
      <c r="AE592" s="166">
        <f>W592+Y592+AB592+AD592</f>
      </c>
      <c r="AF592" s="195"/>
      <c r="AG592" s="169">
        <f>M592&amp;"-"&amp;F592</f>
      </c>
      <c r="AH592" s="191">
        <f>IFERROR(VLOOKUP(AG592,Masters!N:O,2,0),"0")</f>
      </c>
      <c r="AI592" s="166">
        <f>AH592*N592</f>
      </c>
      <c r="AJ592" s="7"/>
      <c r="AK592" s="170">
        <f>AI592-AE592</f>
      </c>
      <c r="AL592" s="195"/>
      <c r="AM592" s="6"/>
      <c r="AN592" s="171">
        <f>IFERROR(U592/2,"0")</f>
      </c>
    </row>
    <row x14ac:dyDescent="0.25" r="593" customHeight="1" ht="18.75">
      <c r="A593" s="158">
        <f>A592+1</f>
      </c>
      <c r="B593" s="159"/>
      <c r="C593" s="6"/>
      <c r="D593" s="159"/>
      <c r="E593" s="198"/>
      <c r="F593" s="160"/>
      <c r="G593" s="6"/>
      <c r="H593" s="6"/>
      <c r="I593" s="7"/>
      <c r="J593" s="147"/>
      <c r="K593" s="7"/>
      <c r="L593" s="147"/>
      <c r="M593" s="161">
        <f>IFERROR(VLOOKUP(L593,'Material Master'!B:C,2,0),"")</f>
      </c>
      <c r="N593" s="7"/>
      <c r="O593" s="162">
        <f>IFERROR(M593*N593,"")</f>
      </c>
      <c r="P593" s="6"/>
      <c r="Q593" s="158"/>
      <c r="R593" s="163"/>
      <c r="S593" s="147"/>
      <c r="T593" s="6"/>
      <c r="U593" s="158"/>
      <c r="V593" s="164">
        <v>31</v>
      </c>
      <c r="W593" s="165">
        <f>IFERROR(U593*V593,"0")</f>
      </c>
      <c r="X593" s="7"/>
      <c r="Y593" s="191">
        <f>IFERROR((O593/1000)*Masters!$C$3,"0")</f>
      </c>
      <c r="Z593" s="195"/>
      <c r="AA593" s="164">
        <f>IFERROR(VLOOKUP(L593,Masters!G:H,2,0),"0")</f>
      </c>
      <c r="AB593" s="166">
        <f>IFERROR(AA593*N593,"0")</f>
      </c>
      <c r="AC593" s="196"/>
      <c r="AD593" s="7"/>
      <c r="AE593" s="166">
        <f>W593+Y593+AB593+AD593</f>
      </c>
      <c r="AF593" s="195"/>
      <c r="AG593" s="169">
        <f>M593&amp;"-"&amp;F593</f>
      </c>
      <c r="AH593" s="191">
        <f>IFERROR(VLOOKUP(AG593,Masters!N:O,2,0),"0")</f>
      </c>
      <c r="AI593" s="166">
        <f>AH593*N593</f>
      </c>
      <c r="AJ593" s="7"/>
      <c r="AK593" s="170">
        <f>AI593-AE593</f>
      </c>
      <c r="AL593" s="195"/>
      <c r="AM593" s="6"/>
      <c r="AN593" s="171">
        <f>IFERROR(U593/2,"0")</f>
      </c>
    </row>
    <row x14ac:dyDescent="0.25" r="594" customHeight="1" ht="18.75">
      <c r="A594" s="158">
        <f>A593+1</f>
      </c>
      <c r="B594" s="159"/>
      <c r="C594" s="6"/>
      <c r="D594" s="159"/>
      <c r="E594" s="198"/>
      <c r="F594" s="160"/>
      <c r="G594" s="6"/>
      <c r="H594" s="6"/>
      <c r="I594" s="7"/>
      <c r="J594" s="147"/>
      <c r="K594" s="7"/>
      <c r="L594" s="147"/>
      <c r="M594" s="161">
        <f>IFERROR(VLOOKUP(L594,'Material Master'!B:C,2,0),"")</f>
      </c>
      <c r="N594" s="7"/>
      <c r="O594" s="162">
        <f>IFERROR(M594*N594,"")</f>
      </c>
      <c r="P594" s="6"/>
      <c r="Q594" s="158"/>
      <c r="R594" s="163"/>
      <c r="S594" s="147"/>
      <c r="T594" s="6"/>
      <c r="U594" s="158"/>
      <c r="V594" s="164">
        <v>31</v>
      </c>
      <c r="W594" s="165">
        <f>IFERROR(U594*V594,"0")</f>
      </c>
      <c r="X594" s="7"/>
      <c r="Y594" s="191">
        <f>IFERROR((O594/1000)*Masters!$C$3,"0")</f>
      </c>
      <c r="Z594" s="195"/>
      <c r="AA594" s="164">
        <f>IFERROR(VLOOKUP(L594,Masters!G:H,2,0),"0")</f>
      </c>
      <c r="AB594" s="166">
        <f>IFERROR(AA594*N594,"0")</f>
      </c>
      <c r="AC594" s="196"/>
      <c r="AD594" s="7"/>
      <c r="AE594" s="166">
        <f>W594+Y594+AB594+AD594</f>
      </c>
      <c r="AF594" s="195"/>
      <c r="AG594" s="169">
        <f>M594&amp;"-"&amp;F594</f>
      </c>
      <c r="AH594" s="191">
        <f>IFERROR(VLOOKUP(AG594,Masters!N:O,2,0),"0")</f>
      </c>
      <c r="AI594" s="166">
        <f>AH594*N594</f>
      </c>
      <c r="AJ594" s="7"/>
      <c r="AK594" s="170">
        <f>AI594-AE594</f>
      </c>
      <c r="AL594" s="195"/>
      <c r="AM594" s="6"/>
      <c r="AN594" s="171">
        <f>IFERROR(U594/2,"0")</f>
      </c>
    </row>
    <row x14ac:dyDescent="0.25" r="595" customHeight="1" ht="18.75">
      <c r="A595" s="158">
        <f>A594+1</f>
      </c>
      <c r="B595" s="159"/>
      <c r="C595" s="6"/>
      <c r="D595" s="159"/>
      <c r="E595" s="198"/>
      <c r="F595" s="160"/>
      <c r="G595" s="6"/>
      <c r="H595" s="6"/>
      <c r="I595" s="7"/>
      <c r="J595" s="147"/>
      <c r="K595" s="7"/>
      <c r="L595" s="147"/>
      <c r="M595" s="161">
        <f>IFERROR(VLOOKUP(L595,'Material Master'!B:C,2,0),"")</f>
      </c>
      <c r="N595" s="7"/>
      <c r="O595" s="162">
        <f>IFERROR(M595*N595,"")</f>
      </c>
      <c r="P595" s="6"/>
      <c r="Q595" s="158"/>
      <c r="R595" s="163"/>
      <c r="S595" s="147"/>
      <c r="T595" s="6"/>
      <c r="U595" s="158"/>
      <c r="V595" s="164">
        <v>31</v>
      </c>
      <c r="W595" s="165">
        <f>IFERROR(U595*V595,"0")</f>
      </c>
      <c r="X595" s="7"/>
      <c r="Y595" s="191">
        <f>IFERROR((O595/1000)*Masters!$C$3,"0")</f>
      </c>
      <c r="Z595" s="195"/>
      <c r="AA595" s="164">
        <f>IFERROR(VLOOKUP(L595,Masters!G:H,2,0),"0")</f>
      </c>
      <c r="AB595" s="166">
        <f>IFERROR(AA595*N595,"0")</f>
      </c>
      <c r="AC595" s="196"/>
      <c r="AD595" s="7"/>
      <c r="AE595" s="166">
        <f>W595+Y595+AB595+AD595</f>
      </c>
      <c r="AF595" s="195"/>
      <c r="AG595" s="169">
        <f>M595&amp;"-"&amp;F595</f>
      </c>
      <c r="AH595" s="191">
        <f>IFERROR(VLOOKUP(AG595,Masters!N:O,2,0),"0")</f>
      </c>
      <c r="AI595" s="166">
        <f>AH595*N595</f>
      </c>
      <c r="AJ595" s="7"/>
      <c r="AK595" s="170">
        <f>AI595-AE595</f>
      </c>
      <c r="AL595" s="195"/>
      <c r="AM595" s="6"/>
      <c r="AN595" s="171">
        <f>IFERROR(U595/2,"0")</f>
      </c>
    </row>
    <row x14ac:dyDescent="0.25" r="596" customHeight="1" ht="18.75">
      <c r="A596" s="158">
        <f>A595+1</f>
      </c>
      <c r="B596" s="159"/>
      <c r="C596" s="6"/>
      <c r="D596" s="159"/>
      <c r="E596" s="198"/>
      <c r="F596" s="160"/>
      <c r="G596" s="6"/>
      <c r="H596" s="6"/>
      <c r="I596" s="7"/>
      <c r="J596" s="147"/>
      <c r="K596" s="7"/>
      <c r="L596" s="147"/>
      <c r="M596" s="161">
        <f>IFERROR(VLOOKUP(L596,'Material Master'!B:C,2,0),"")</f>
      </c>
      <c r="N596" s="7"/>
      <c r="O596" s="162">
        <f>IFERROR(M596*N596,"")</f>
      </c>
      <c r="P596" s="6"/>
      <c r="Q596" s="158"/>
      <c r="R596" s="163"/>
      <c r="S596" s="147"/>
      <c r="T596" s="6"/>
      <c r="U596" s="158"/>
      <c r="V596" s="164">
        <v>31</v>
      </c>
      <c r="W596" s="165">
        <f>IFERROR(U596*V596,"0")</f>
      </c>
      <c r="X596" s="7"/>
      <c r="Y596" s="191">
        <f>IFERROR((O596/1000)*Masters!$C$3,"0")</f>
      </c>
      <c r="Z596" s="195"/>
      <c r="AA596" s="164">
        <f>IFERROR(VLOOKUP(L596,Masters!G:H,2,0),"0")</f>
      </c>
      <c r="AB596" s="166">
        <f>IFERROR(AA596*N596,"0")</f>
      </c>
      <c r="AC596" s="196"/>
      <c r="AD596" s="7"/>
      <c r="AE596" s="166">
        <f>W596+Y596+AB596+AD596</f>
      </c>
      <c r="AF596" s="195"/>
      <c r="AG596" s="169">
        <f>M596&amp;"-"&amp;F596</f>
      </c>
      <c r="AH596" s="191">
        <f>IFERROR(VLOOKUP(AG596,Masters!N:O,2,0),"0")</f>
      </c>
      <c r="AI596" s="166">
        <f>AH596*N596</f>
      </c>
      <c r="AJ596" s="7"/>
      <c r="AK596" s="170">
        <f>AI596-AE596</f>
      </c>
      <c r="AL596" s="195"/>
      <c r="AM596" s="6"/>
      <c r="AN596" s="171">
        <f>IFERROR(U596/2,"0")</f>
      </c>
    </row>
    <row x14ac:dyDescent="0.25" r="597" customHeight="1" ht="18.75">
      <c r="A597" s="158">
        <f>A596+1</f>
      </c>
      <c r="B597" s="159"/>
      <c r="C597" s="6"/>
      <c r="D597" s="159"/>
      <c r="E597" s="198"/>
      <c r="F597" s="160"/>
      <c r="G597" s="6"/>
      <c r="H597" s="6"/>
      <c r="I597" s="7"/>
      <c r="J597" s="147"/>
      <c r="K597" s="7"/>
      <c r="L597" s="147"/>
      <c r="M597" s="161">
        <f>IFERROR(VLOOKUP(L597,'Material Master'!B:C,2,0),"")</f>
      </c>
      <c r="N597" s="7"/>
      <c r="O597" s="162">
        <f>IFERROR(M597*N597,"")</f>
      </c>
      <c r="P597" s="6"/>
      <c r="Q597" s="158"/>
      <c r="R597" s="163"/>
      <c r="S597" s="147"/>
      <c r="T597" s="6"/>
      <c r="U597" s="158"/>
      <c r="V597" s="164">
        <v>31</v>
      </c>
      <c r="W597" s="165">
        <f>IFERROR(U597*V597,"0")</f>
      </c>
      <c r="X597" s="7"/>
      <c r="Y597" s="191">
        <f>IFERROR((O597/1000)*Masters!$C$3,"0")</f>
      </c>
      <c r="Z597" s="195"/>
      <c r="AA597" s="164">
        <f>IFERROR(VLOOKUP(L597,Masters!G:H,2,0),"0")</f>
      </c>
      <c r="AB597" s="166">
        <f>IFERROR(AA597*N597,"0")</f>
      </c>
      <c r="AC597" s="196"/>
      <c r="AD597" s="7"/>
      <c r="AE597" s="166">
        <f>W597+Y597+AB597+AD597</f>
      </c>
      <c r="AF597" s="195"/>
      <c r="AG597" s="169">
        <f>M597&amp;"-"&amp;F597</f>
      </c>
      <c r="AH597" s="191">
        <f>IFERROR(VLOOKUP(AG597,Masters!N:O,2,0),"0")</f>
      </c>
      <c r="AI597" s="166">
        <f>AH597*N597</f>
      </c>
      <c r="AJ597" s="7"/>
      <c r="AK597" s="170">
        <f>AI597-AE597</f>
      </c>
      <c r="AL597" s="195"/>
      <c r="AM597" s="6"/>
      <c r="AN597" s="171">
        <f>IFERROR(U597/2,"0")</f>
      </c>
    </row>
    <row x14ac:dyDescent="0.25" r="598" customHeight="1" ht="18.75">
      <c r="A598" s="158">
        <f>A597+1</f>
      </c>
      <c r="B598" s="159"/>
      <c r="C598" s="6"/>
      <c r="D598" s="159"/>
      <c r="E598" s="198"/>
      <c r="F598" s="160"/>
      <c r="G598" s="6"/>
      <c r="H598" s="6"/>
      <c r="I598" s="7"/>
      <c r="J598" s="147"/>
      <c r="K598" s="7"/>
      <c r="L598" s="147"/>
      <c r="M598" s="161">
        <f>IFERROR(VLOOKUP(L598,'Material Master'!B:C,2,0),"")</f>
      </c>
      <c r="N598" s="7"/>
      <c r="O598" s="162">
        <f>IFERROR(M598*N598,"")</f>
      </c>
      <c r="P598" s="6"/>
      <c r="Q598" s="158"/>
      <c r="R598" s="163"/>
      <c r="S598" s="147"/>
      <c r="T598" s="6"/>
      <c r="U598" s="158"/>
      <c r="V598" s="164">
        <v>31</v>
      </c>
      <c r="W598" s="165">
        <f>IFERROR(U598*V598,"0")</f>
      </c>
      <c r="X598" s="7"/>
      <c r="Y598" s="191">
        <f>IFERROR((O598/1000)*Masters!$C$3,"0")</f>
      </c>
      <c r="Z598" s="195"/>
      <c r="AA598" s="164">
        <f>IFERROR(VLOOKUP(L598,Masters!G:H,2,0),"0")</f>
      </c>
      <c r="AB598" s="166">
        <f>IFERROR(AA598*N598,"0")</f>
      </c>
      <c r="AC598" s="196"/>
      <c r="AD598" s="7"/>
      <c r="AE598" s="166">
        <f>W598+Y598+AB598+AD598</f>
      </c>
      <c r="AF598" s="195"/>
      <c r="AG598" s="169">
        <f>M598&amp;"-"&amp;F598</f>
      </c>
      <c r="AH598" s="191">
        <f>IFERROR(VLOOKUP(AG598,Masters!N:O,2,0),"0")</f>
      </c>
      <c r="AI598" s="166">
        <f>AH598*N598</f>
      </c>
      <c r="AJ598" s="7"/>
      <c r="AK598" s="170">
        <f>AI598-AE598</f>
      </c>
      <c r="AL598" s="195"/>
      <c r="AM598" s="6"/>
      <c r="AN598" s="171">
        <f>IFERROR(U598/2,"0")</f>
      </c>
    </row>
    <row x14ac:dyDescent="0.25" r="599" customHeight="1" ht="18.75">
      <c r="A599" s="158">
        <f>A598+1</f>
      </c>
      <c r="B599" s="159"/>
      <c r="C599" s="6"/>
      <c r="D599" s="159"/>
      <c r="E599" s="198"/>
      <c r="F599" s="160"/>
      <c r="G599" s="6"/>
      <c r="H599" s="6"/>
      <c r="I599" s="7"/>
      <c r="J599" s="147"/>
      <c r="K599" s="7"/>
      <c r="L599" s="147"/>
      <c r="M599" s="161">
        <f>IFERROR(VLOOKUP(L599,'Material Master'!B:C,2,0),"")</f>
      </c>
      <c r="N599" s="7"/>
      <c r="O599" s="162">
        <f>IFERROR(M599*N599,"")</f>
      </c>
      <c r="P599" s="6"/>
      <c r="Q599" s="158"/>
      <c r="R599" s="163"/>
      <c r="S599" s="147"/>
      <c r="T599" s="6"/>
      <c r="U599" s="158"/>
      <c r="V599" s="164">
        <v>31</v>
      </c>
      <c r="W599" s="165">
        <f>IFERROR(U599*V599,"0")</f>
      </c>
      <c r="X599" s="7"/>
      <c r="Y599" s="191">
        <f>IFERROR((O599/1000)*Masters!$C$3,"0")</f>
      </c>
      <c r="Z599" s="195"/>
      <c r="AA599" s="164">
        <f>IFERROR(VLOOKUP(L599,Masters!G:H,2,0),"0")</f>
      </c>
      <c r="AB599" s="166">
        <f>IFERROR(AA599*N599,"0")</f>
      </c>
      <c r="AC599" s="196"/>
      <c r="AD599" s="7"/>
      <c r="AE599" s="166">
        <f>W599+Y599+AB599+AD599</f>
      </c>
      <c r="AF599" s="195"/>
      <c r="AG599" s="169">
        <f>M599&amp;"-"&amp;F599</f>
      </c>
      <c r="AH599" s="191">
        <f>IFERROR(VLOOKUP(AG599,Masters!N:O,2,0),"0")</f>
      </c>
      <c r="AI599" s="166">
        <f>AH599*N599</f>
      </c>
      <c r="AJ599" s="7"/>
      <c r="AK599" s="170">
        <f>AI599-AE599</f>
      </c>
      <c r="AL599" s="195"/>
      <c r="AM599" s="6"/>
      <c r="AN599" s="171">
        <f>IFERROR(U599/2,"0")</f>
      </c>
    </row>
    <row x14ac:dyDescent="0.25" r="600" customHeight="1" ht="18.75">
      <c r="A600" s="158">
        <f>A599+1</f>
      </c>
      <c r="B600" s="159"/>
      <c r="C600" s="6"/>
      <c r="D600" s="159"/>
      <c r="E600" s="198"/>
      <c r="F600" s="160"/>
      <c r="G600" s="6"/>
      <c r="H600" s="6"/>
      <c r="I600" s="7"/>
      <c r="J600" s="147"/>
      <c r="K600" s="7"/>
      <c r="L600" s="147"/>
      <c r="M600" s="161">
        <f>IFERROR(VLOOKUP(L600,'Material Master'!B:C,2,0),"")</f>
      </c>
      <c r="N600" s="7"/>
      <c r="O600" s="162">
        <f>IFERROR(M600*N600,"")</f>
      </c>
      <c r="P600" s="6"/>
      <c r="Q600" s="158"/>
      <c r="R600" s="163"/>
      <c r="S600" s="147"/>
      <c r="T600" s="6"/>
      <c r="U600" s="158"/>
      <c r="V600" s="164">
        <v>31</v>
      </c>
      <c r="W600" s="165">
        <f>IFERROR(U600*V600,"0")</f>
      </c>
      <c r="X600" s="7"/>
      <c r="Y600" s="191">
        <f>IFERROR((O600/1000)*Masters!$C$3,"0")</f>
      </c>
      <c r="Z600" s="195"/>
      <c r="AA600" s="164">
        <f>IFERROR(VLOOKUP(L600,Masters!G:H,2,0),"0")</f>
      </c>
      <c r="AB600" s="166">
        <f>IFERROR(AA600*N600,"0")</f>
      </c>
      <c r="AC600" s="196"/>
      <c r="AD600" s="7"/>
      <c r="AE600" s="166">
        <f>W600+Y600+AB600+AD600</f>
      </c>
      <c r="AF600" s="195"/>
      <c r="AG600" s="169">
        <f>M600&amp;"-"&amp;F600</f>
      </c>
      <c r="AH600" s="191">
        <f>IFERROR(VLOOKUP(AG600,Masters!N:O,2,0),"0")</f>
      </c>
      <c r="AI600" s="166">
        <f>AH600*N600</f>
      </c>
      <c r="AJ600" s="7"/>
      <c r="AK600" s="170">
        <f>AI600-AE600</f>
      </c>
      <c r="AL600" s="195"/>
      <c r="AM600" s="6"/>
      <c r="AN600" s="171">
        <f>IFERROR(U600/2,"0")</f>
      </c>
    </row>
    <row x14ac:dyDescent="0.25" r="601" customHeight="1" ht="18.75">
      <c r="A601" s="158">
        <f>A600+1</f>
      </c>
      <c r="B601" s="159"/>
      <c r="C601" s="6"/>
      <c r="D601" s="159"/>
      <c r="E601" s="198"/>
      <c r="F601" s="160"/>
      <c r="G601" s="6"/>
      <c r="H601" s="6"/>
      <c r="I601" s="7"/>
      <c r="J601" s="147"/>
      <c r="K601" s="7"/>
      <c r="L601" s="147"/>
      <c r="M601" s="161">
        <f>IFERROR(VLOOKUP(L601,'Material Master'!B:C,2,0),"")</f>
      </c>
      <c r="N601" s="7"/>
      <c r="O601" s="162">
        <f>IFERROR(M601*N601,"")</f>
      </c>
      <c r="P601" s="6"/>
      <c r="Q601" s="158"/>
      <c r="R601" s="163"/>
      <c r="S601" s="147"/>
      <c r="T601" s="6"/>
      <c r="U601" s="158"/>
      <c r="V601" s="164">
        <v>31</v>
      </c>
      <c r="W601" s="165">
        <f>IFERROR(U601*V601,"0")</f>
      </c>
      <c r="X601" s="7"/>
      <c r="Y601" s="191">
        <f>IFERROR((O601/1000)*Masters!$C$3,"0")</f>
      </c>
      <c r="Z601" s="195"/>
      <c r="AA601" s="164">
        <f>IFERROR(VLOOKUP(L601,Masters!G:H,2,0),"0")</f>
      </c>
      <c r="AB601" s="166">
        <f>IFERROR(AA601*N601,"0")</f>
      </c>
      <c r="AC601" s="196"/>
      <c r="AD601" s="7"/>
      <c r="AE601" s="166">
        <f>W601+Y601+AB601+AD601</f>
      </c>
      <c r="AF601" s="195"/>
      <c r="AG601" s="169">
        <f>M601&amp;"-"&amp;F601</f>
      </c>
      <c r="AH601" s="191">
        <f>IFERROR(VLOOKUP(AG601,Masters!N:O,2,0),"0")</f>
      </c>
      <c r="AI601" s="166">
        <f>AH601*N601</f>
      </c>
      <c r="AJ601" s="7"/>
      <c r="AK601" s="170">
        <f>AI601-AE601</f>
      </c>
      <c r="AL601" s="195"/>
      <c r="AM601" s="6"/>
      <c r="AN601" s="171">
        <f>IFERROR(U601/2,"0")</f>
      </c>
    </row>
    <row x14ac:dyDescent="0.25" r="602" customHeight="1" ht="18.75">
      <c r="A602" s="158">
        <f>A601+1</f>
      </c>
      <c r="B602" s="159"/>
      <c r="C602" s="6"/>
      <c r="D602" s="159"/>
      <c r="E602" s="198"/>
      <c r="F602" s="160"/>
      <c r="G602" s="6"/>
      <c r="H602" s="6"/>
      <c r="I602" s="7"/>
      <c r="J602" s="147"/>
      <c r="K602" s="7"/>
      <c r="L602" s="147"/>
      <c r="M602" s="161">
        <f>IFERROR(VLOOKUP(L602,'Material Master'!B:C,2,0),"")</f>
      </c>
      <c r="N602" s="7"/>
      <c r="O602" s="162">
        <f>IFERROR(M602*N602,"")</f>
      </c>
      <c r="P602" s="6"/>
      <c r="Q602" s="158"/>
      <c r="R602" s="163"/>
      <c r="S602" s="147"/>
      <c r="T602" s="6"/>
      <c r="U602" s="158"/>
      <c r="V602" s="164">
        <v>31</v>
      </c>
      <c r="W602" s="165">
        <f>IFERROR(U602*V602,"0")</f>
      </c>
      <c r="X602" s="7"/>
      <c r="Y602" s="191">
        <f>IFERROR((O602/1000)*Masters!$C$3,"0")</f>
      </c>
      <c r="Z602" s="195"/>
      <c r="AA602" s="164">
        <f>IFERROR(VLOOKUP(L602,Masters!G:H,2,0),"0")</f>
      </c>
      <c r="AB602" s="166">
        <f>IFERROR(AA602*N602,"0")</f>
      </c>
      <c r="AC602" s="196"/>
      <c r="AD602" s="7"/>
      <c r="AE602" s="166">
        <f>W602+Y602+AB602+AD602</f>
      </c>
      <c r="AF602" s="195"/>
      <c r="AG602" s="169">
        <f>M602&amp;"-"&amp;F602</f>
      </c>
      <c r="AH602" s="191">
        <f>IFERROR(VLOOKUP(AG602,Masters!N:O,2,0),"0")</f>
      </c>
      <c r="AI602" s="166">
        <f>AH602*N602</f>
      </c>
      <c r="AJ602" s="7"/>
      <c r="AK602" s="170">
        <f>AI602-AE602</f>
      </c>
      <c r="AL602" s="195"/>
      <c r="AM602" s="6"/>
      <c r="AN602" s="171">
        <f>IFERROR(U602/2,"0")</f>
      </c>
    </row>
    <row x14ac:dyDescent="0.25" r="603" customHeight="1" ht="18.75">
      <c r="A603" s="158">
        <f>A602+1</f>
      </c>
      <c r="B603" s="159"/>
      <c r="C603" s="6"/>
      <c r="D603" s="159"/>
      <c r="E603" s="198"/>
      <c r="F603" s="160"/>
      <c r="G603" s="6"/>
      <c r="H603" s="6"/>
      <c r="I603" s="7"/>
      <c r="J603" s="147"/>
      <c r="K603" s="7"/>
      <c r="L603" s="147"/>
      <c r="M603" s="161">
        <f>IFERROR(VLOOKUP(L603,'Material Master'!B:C,2,0),"")</f>
      </c>
      <c r="N603" s="7"/>
      <c r="O603" s="162">
        <f>IFERROR(M603*N603,"")</f>
      </c>
      <c r="P603" s="6"/>
      <c r="Q603" s="158"/>
      <c r="R603" s="163"/>
      <c r="S603" s="147"/>
      <c r="T603" s="6"/>
      <c r="U603" s="158"/>
      <c r="V603" s="164">
        <v>31</v>
      </c>
      <c r="W603" s="165">
        <f>IFERROR(U603*V603,"0")</f>
      </c>
      <c r="X603" s="7"/>
      <c r="Y603" s="191">
        <f>IFERROR((O603/1000)*Masters!$C$3,"0")</f>
      </c>
      <c r="Z603" s="195"/>
      <c r="AA603" s="164">
        <f>IFERROR(VLOOKUP(L603,Masters!G:H,2,0),"0")</f>
      </c>
      <c r="AB603" s="166">
        <f>IFERROR(AA603*N603,"0")</f>
      </c>
      <c r="AC603" s="196"/>
      <c r="AD603" s="7"/>
      <c r="AE603" s="166">
        <f>W603+Y603+AB603+AD603</f>
      </c>
      <c r="AF603" s="195"/>
      <c r="AG603" s="169">
        <f>M603&amp;"-"&amp;F603</f>
      </c>
      <c r="AH603" s="191">
        <f>IFERROR(VLOOKUP(AG603,Masters!N:O,2,0),"0")</f>
      </c>
      <c r="AI603" s="166">
        <f>AH603*N603</f>
      </c>
      <c r="AJ603" s="7"/>
      <c r="AK603" s="170">
        <f>AI603-AE603</f>
      </c>
      <c r="AL603" s="195"/>
      <c r="AM603" s="6"/>
      <c r="AN603" s="171">
        <f>IFERROR(U603/2,"0")</f>
      </c>
    </row>
    <row x14ac:dyDescent="0.25" r="604" customHeight="1" ht="18.75">
      <c r="A604" s="158">
        <f>A603+1</f>
      </c>
      <c r="B604" s="159"/>
      <c r="C604" s="6"/>
      <c r="D604" s="159"/>
      <c r="E604" s="198"/>
      <c r="F604" s="160"/>
      <c r="G604" s="6"/>
      <c r="H604" s="6"/>
      <c r="I604" s="7"/>
      <c r="J604" s="147"/>
      <c r="K604" s="7"/>
      <c r="L604" s="147"/>
      <c r="M604" s="161">
        <f>IFERROR(VLOOKUP(L604,'Material Master'!B:C,2,0),"")</f>
      </c>
      <c r="N604" s="7"/>
      <c r="O604" s="162">
        <f>IFERROR(M604*N604,"")</f>
      </c>
      <c r="P604" s="6"/>
      <c r="Q604" s="158"/>
      <c r="R604" s="163"/>
      <c r="S604" s="147"/>
      <c r="T604" s="6"/>
      <c r="U604" s="158"/>
      <c r="V604" s="164">
        <v>31</v>
      </c>
      <c r="W604" s="165">
        <f>IFERROR(U604*V604,"0")</f>
      </c>
      <c r="X604" s="7"/>
      <c r="Y604" s="191">
        <f>IFERROR((O604/1000)*Masters!$C$3,"0")</f>
      </c>
      <c r="Z604" s="195"/>
      <c r="AA604" s="164">
        <f>IFERROR(VLOOKUP(L604,Masters!G:H,2,0),"0")</f>
      </c>
      <c r="AB604" s="166">
        <f>IFERROR(AA604*N604,"0")</f>
      </c>
      <c r="AC604" s="196"/>
      <c r="AD604" s="7"/>
      <c r="AE604" s="166">
        <f>W604+Y604+AB604+AD604</f>
      </c>
      <c r="AF604" s="195"/>
      <c r="AG604" s="169">
        <f>M604&amp;"-"&amp;F604</f>
      </c>
      <c r="AH604" s="191">
        <f>IFERROR(VLOOKUP(AG604,Masters!N:O,2,0),"0")</f>
      </c>
      <c r="AI604" s="166">
        <f>AH604*N604</f>
      </c>
      <c r="AJ604" s="7"/>
      <c r="AK604" s="170">
        <f>AI604-AE604</f>
      </c>
      <c r="AL604" s="195"/>
      <c r="AM604" s="6"/>
      <c r="AN604" s="171">
        <f>IFERROR(U604/2,"0")</f>
      </c>
    </row>
    <row x14ac:dyDescent="0.25" r="605" customHeight="1" ht="18.75">
      <c r="A605" s="158">
        <f>A604+1</f>
      </c>
      <c r="B605" s="159"/>
      <c r="C605" s="6"/>
      <c r="D605" s="159"/>
      <c r="E605" s="198"/>
      <c r="F605" s="160"/>
      <c r="G605" s="6"/>
      <c r="H605" s="6"/>
      <c r="I605" s="7"/>
      <c r="J605" s="147"/>
      <c r="K605" s="7"/>
      <c r="L605" s="147"/>
      <c r="M605" s="161">
        <f>IFERROR(VLOOKUP(L605,'Material Master'!B:C,2,0),"")</f>
      </c>
      <c r="N605" s="7"/>
      <c r="O605" s="162">
        <f>IFERROR(M605*N605,"")</f>
      </c>
      <c r="P605" s="6"/>
      <c r="Q605" s="158"/>
      <c r="R605" s="163"/>
      <c r="S605" s="147"/>
      <c r="T605" s="6"/>
      <c r="U605" s="158"/>
      <c r="V605" s="164">
        <v>31</v>
      </c>
      <c r="W605" s="165">
        <f>IFERROR(U605*V605,"0")</f>
      </c>
      <c r="X605" s="7"/>
      <c r="Y605" s="191">
        <f>IFERROR((O605/1000)*Masters!$C$3,"0")</f>
      </c>
      <c r="Z605" s="195"/>
      <c r="AA605" s="164">
        <f>IFERROR(VLOOKUP(L605,Masters!G:H,2,0),"0")</f>
      </c>
      <c r="AB605" s="166">
        <f>IFERROR(AA605*N605,"0")</f>
      </c>
      <c r="AC605" s="196"/>
      <c r="AD605" s="7"/>
      <c r="AE605" s="166">
        <f>W605+Y605+AB605+AD605</f>
      </c>
      <c r="AF605" s="195"/>
      <c r="AG605" s="169">
        <f>M605&amp;"-"&amp;F605</f>
      </c>
      <c r="AH605" s="191">
        <f>IFERROR(VLOOKUP(AG605,Masters!N:O,2,0),"0")</f>
      </c>
      <c r="AI605" s="166">
        <f>AH605*N605</f>
      </c>
      <c r="AJ605" s="7"/>
      <c r="AK605" s="170">
        <f>AI605-AE605</f>
      </c>
      <c r="AL605" s="195"/>
      <c r="AM605" s="6"/>
      <c r="AN605" s="171">
        <f>IFERROR(U605/2,"0")</f>
      </c>
    </row>
    <row x14ac:dyDescent="0.25" r="606" customHeight="1" ht="18.75">
      <c r="A606" s="158">
        <f>A605+1</f>
      </c>
      <c r="B606" s="159"/>
      <c r="C606" s="6"/>
      <c r="D606" s="159"/>
      <c r="E606" s="198"/>
      <c r="F606" s="160"/>
      <c r="G606" s="6"/>
      <c r="H606" s="6"/>
      <c r="I606" s="7"/>
      <c r="J606" s="147"/>
      <c r="K606" s="7"/>
      <c r="L606" s="147"/>
      <c r="M606" s="161">
        <f>IFERROR(VLOOKUP(L606,'Material Master'!B:C,2,0),"")</f>
      </c>
      <c r="N606" s="7"/>
      <c r="O606" s="162">
        <f>IFERROR(M606*N606,"")</f>
      </c>
      <c r="P606" s="6"/>
      <c r="Q606" s="158"/>
      <c r="R606" s="163"/>
      <c r="S606" s="147"/>
      <c r="T606" s="6"/>
      <c r="U606" s="158"/>
      <c r="V606" s="164">
        <v>31</v>
      </c>
      <c r="W606" s="165">
        <f>IFERROR(U606*V606,"0")</f>
      </c>
      <c r="X606" s="7"/>
      <c r="Y606" s="191">
        <f>IFERROR((O606/1000)*Masters!$C$3,"0")</f>
      </c>
      <c r="Z606" s="195"/>
      <c r="AA606" s="164">
        <f>IFERROR(VLOOKUP(L606,Masters!G:H,2,0),"0")</f>
      </c>
      <c r="AB606" s="166">
        <f>IFERROR(AA606*N606,"0")</f>
      </c>
      <c r="AC606" s="196"/>
      <c r="AD606" s="7"/>
      <c r="AE606" s="166">
        <f>W606+Y606+AB606+AD606</f>
      </c>
      <c r="AF606" s="195"/>
      <c r="AG606" s="169">
        <f>M606&amp;"-"&amp;F606</f>
      </c>
      <c r="AH606" s="191">
        <f>IFERROR(VLOOKUP(AG606,Masters!N:O,2,0),"0")</f>
      </c>
      <c r="AI606" s="166">
        <f>AH606*N606</f>
      </c>
      <c r="AJ606" s="7"/>
      <c r="AK606" s="170">
        <f>AI606-AE606</f>
      </c>
      <c r="AL606" s="195"/>
      <c r="AM606" s="6"/>
      <c r="AN606" s="171">
        <f>IFERROR(U606/2,"0")</f>
      </c>
    </row>
    <row x14ac:dyDescent="0.25" r="607" customHeight="1" ht="18.75">
      <c r="A607" s="158">
        <f>A606+1</f>
      </c>
      <c r="B607" s="159"/>
      <c r="C607" s="6"/>
      <c r="D607" s="159"/>
      <c r="E607" s="198"/>
      <c r="F607" s="160"/>
      <c r="G607" s="6"/>
      <c r="H607" s="6"/>
      <c r="I607" s="7"/>
      <c r="J607" s="147"/>
      <c r="K607" s="7"/>
      <c r="L607" s="147"/>
      <c r="M607" s="161">
        <f>IFERROR(VLOOKUP(L607,'Material Master'!B:C,2,0),"")</f>
      </c>
      <c r="N607" s="7"/>
      <c r="O607" s="162">
        <f>IFERROR(M607*N607,"")</f>
      </c>
      <c r="P607" s="6"/>
      <c r="Q607" s="158"/>
      <c r="R607" s="163"/>
      <c r="S607" s="147"/>
      <c r="T607" s="6"/>
      <c r="U607" s="158"/>
      <c r="V607" s="164">
        <v>31</v>
      </c>
      <c r="W607" s="165">
        <f>IFERROR(U607*V607,"0")</f>
      </c>
      <c r="X607" s="7"/>
      <c r="Y607" s="191">
        <f>IFERROR((O607/1000)*Masters!$C$3,"0")</f>
      </c>
      <c r="Z607" s="195"/>
      <c r="AA607" s="164">
        <f>IFERROR(VLOOKUP(L607,Masters!G:H,2,0),"0")</f>
      </c>
      <c r="AB607" s="166">
        <f>IFERROR(AA607*N607,"0")</f>
      </c>
      <c r="AC607" s="196"/>
      <c r="AD607" s="7"/>
      <c r="AE607" s="166">
        <f>W607+Y607+AB607+AD607</f>
      </c>
      <c r="AF607" s="195"/>
      <c r="AG607" s="169">
        <f>M607&amp;"-"&amp;F607</f>
      </c>
      <c r="AH607" s="191">
        <f>IFERROR(VLOOKUP(AG607,Masters!N:O,2,0),"0")</f>
      </c>
      <c r="AI607" s="166">
        <f>AH607*N607</f>
      </c>
      <c r="AJ607" s="7"/>
      <c r="AK607" s="170">
        <f>AI607-AE607</f>
      </c>
      <c r="AL607" s="195"/>
      <c r="AM607" s="6"/>
      <c r="AN607" s="171">
        <f>IFERROR(U607/2,"0")</f>
      </c>
    </row>
    <row x14ac:dyDescent="0.25" r="608" customHeight="1" ht="18.75">
      <c r="A608" s="158">
        <f>A607+1</f>
      </c>
      <c r="B608" s="159"/>
      <c r="C608" s="6"/>
      <c r="D608" s="159"/>
      <c r="E608" s="198"/>
      <c r="F608" s="160"/>
      <c r="G608" s="6"/>
      <c r="H608" s="6"/>
      <c r="I608" s="7"/>
      <c r="J608" s="147"/>
      <c r="K608" s="7"/>
      <c r="L608" s="147"/>
      <c r="M608" s="161">
        <f>IFERROR(VLOOKUP(L608,'Material Master'!B:C,2,0),"")</f>
      </c>
      <c r="N608" s="7"/>
      <c r="O608" s="162">
        <f>IFERROR(M608*N608,"")</f>
      </c>
      <c r="P608" s="6"/>
      <c r="Q608" s="158"/>
      <c r="R608" s="163"/>
      <c r="S608" s="147"/>
      <c r="T608" s="6"/>
      <c r="U608" s="158"/>
      <c r="V608" s="164">
        <v>31</v>
      </c>
      <c r="W608" s="165">
        <f>IFERROR(U608*V608,"0")</f>
      </c>
      <c r="X608" s="7"/>
      <c r="Y608" s="191">
        <f>IFERROR((O608/1000)*Masters!$C$3,"0")</f>
      </c>
      <c r="Z608" s="195"/>
      <c r="AA608" s="164">
        <f>IFERROR(VLOOKUP(L608,Masters!G:H,2,0),"0")</f>
      </c>
      <c r="AB608" s="166">
        <f>IFERROR(AA608*N608,"0")</f>
      </c>
      <c r="AC608" s="196"/>
      <c r="AD608" s="7"/>
      <c r="AE608" s="166">
        <f>W608+Y608+AB608+AD608</f>
      </c>
      <c r="AF608" s="195"/>
      <c r="AG608" s="169">
        <f>M608&amp;"-"&amp;F608</f>
      </c>
      <c r="AH608" s="191">
        <f>IFERROR(VLOOKUP(AG608,Masters!N:O,2,0),"0")</f>
      </c>
      <c r="AI608" s="166">
        <f>AH608*N608</f>
      </c>
      <c r="AJ608" s="7"/>
      <c r="AK608" s="170">
        <f>AI608-AE608</f>
      </c>
      <c r="AL608" s="195"/>
      <c r="AM608" s="6"/>
      <c r="AN608" s="171">
        <f>IFERROR(U608/2,"0")</f>
      </c>
    </row>
    <row x14ac:dyDescent="0.25" r="609" customHeight="1" ht="18.75">
      <c r="A609" s="158">
        <f>A608+1</f>
      </c>
      <c r="B609" s="159"/>
      <c r="C609" s="6"/>
      <c r="D609" s="159"/>
      <c r="E609" s="198"/>
      <c r="F609" s="160"/>
      <c r="G609" s="6"/>
      <c r="H609" s="6"/>
      <c r="I609" s="7"/>
      <c r="J609" s="147"/>
      <c r="K609" s="7"/>
      <c r="L609" s="147"/>
      <c r="M609" s="161">
        <f>IFERROR(VLOOKUP(L609,'Material Master'!B:C,2,0),"")</f>
      </c>
      <c r="N609" s="7"/>
      <c r="O609" s="162">
        <f>IFERROR(M609*N609,"")</f>
      </c>
      <c r="P609" s="6"/>
      <c r="Q609" s="158"/>
      <c r="R609" s="163"/>
      <c r="S609" s="147"/>
      <c r="T609" s="6"/>
      <c r="U609" s="158"/>
      <c r="V609" s="164">
        <v>31</v>
      </c>
      <c r="W609" s="165">
        <f>IFERROR(U609*V609,"0")</f>
      </c>
      <c r="X609" s="7"/>
      <c r="Y609" s="191">
        <f>IFERROR((O609/1000)*Masters!$C$3,"0")</f>
      </c>
      <c r="Z609" s="195"/>
      <c r="AA609" s="164">
        <f>IFERROR(VLOOKUP(L609,Masters!G:H,2,0),"0")</f>
      </c>
      <c r="AB609" s="166">
        <f>IFERROR(AA609*N609,"0")</f>
      </c>
      <c r="AC609" s="196"/>
      <c r="AD609" s="7"/>
      <c r="AE609" s="166">
        <f>W609+Y609+AB609+AD609</f>
      </c>
      <c r="AF609" s="195"/>
      <c r="AG609" s="169">
        <f>M609&amp;"-"&amp;F609</f>
      </c>
      <c r="AH609" s="191">
        <f>IFERROR(VLOOKUP(AG609,Masters!N:O,2,0),"0")</f>
      </c>
      <c r="AI609" s="166">
        <f>AH609*N609</f>
      </c>
      <c r="AJ609" s="7"/>
      <c r="AK609" s="170">
        <f>AI609-AE609</f>
      </c>
      <c r="AL609" s="195"/>
      <c r="AM609" s="6"/>
      <c r="AN609" s="171">
        <f>IFERROR(U609/2,"0")</f>
      </c>
    </row>
    <row x14ac:dyDescent="0.25" r="610" customHeight="1" ht="18.75">
      <c r="A610" s="158">
        <f>A609+1</f>
      </c>
      <c r="B610" s="159"/>
      <c r="C610" s="6"/>
      <c r="D610" s="159"/>
      <c r="E610" s="198"/>
      <c r="F610" s="160"/>
      <c r="G610" s="6"/>
      <c r="H610" s="6"/>
      <c r="I610" s="7"/>
      <c r="J610" s="147"/>
      <c r="K610" s="7"/>
      <c r="L610" s="147"/>
      <c r="M610" s="161">
        <f>IFERROR(VLOOKUP(L610,'Material Master'!B:C,2,0),"")</f>
      </c>
      <c r="N610" s="7"/>
      <c r="O610" s="162">
        <f>IFERROR(M610*N610,"")</f>
      </c>
      <c r="P610" s="6"/>
      <c r="Q610" s="158"/>
      <c r="R610" s="163"/>
      <c r="S610" s="147"/>
      <c r="T610" s="6"/>
      <c r="U610" s="158"/>
      <c r="V610" s="164">
        <v>31</v>
      </c>
      <c r="W610" s="165">
        <f>IFERROR(U610*V610,"0")</f>
      </c>
      <c r="X610" s="7"/>
      <c r="Y610" s="191">
        <f>IFERROR((O610/1000)*Masters!$C$3,"0")</f>
      </c>
      <c r="Z610" s="195"/>
      <c r="AA610" s="164">
        <f>IFERROR(VLOOKUP(L610,Masters!G:H,2,0),"0")</f>
      </c>
      <c r="AB610" s="166">
        <f>IFERROR(AA610*N610,"0")</f>
      </c>
      <c r="AC610" s="196"/>
      <c r="AD610" s="7"/>
      <c r="AE610" s="166">
        <f>W610+Y610+AB610+AD610</f>
      </c>
      <c r="AF610" s="195"/>
      <c r="AG610" s="169">
        <f>M610&amp;"-"&amp;F610</f>
      </c>
      <c r="AH610" s="191">
        <f>IFERROR(VLOOKUP(AG610,Masters!N:O,2,0),"0")</f>
      </c>
      <c r="AI610" s="166">
        <f>AH610*N610</f>
      </c>
      <c r="AJ610" s="7"/>
      <c r="AK610" s="170">
        <f>AI610-AE610</f>
      </c>
      <c r="AL610" s="195"/>
      <c r="AM610" s="6"/>
      <c r="AN610" s="171">
        <f>IFERROR(U610/2,"0")</f>
      </c>
    </row>
    <row x14ac:dyDescent="0.25" r="611" customHeight="1" ht="18.75">
      <c r="A611" s="158">
        <f>A610+1</f>
      </c>
      <c r="B611" s="159"/>
      <c r="C611" s="6"/>
      <c r="D611" s="159"/>
      <c r="E611" s="198"/>
      <c r="F611" s="160"/>
      <c r="G611" s="6"/>
      <c r="H611" s="6"/>
      <c r="I611" s="7"/>
      <c r="J611" s="147"/>
      <c r="K611" s="7"/>
      <c r="L611" s="147"/>
      <c r="M611" s="161">
        <f>IFERROR(VLOOKUP(L611,'Material Master'!B:C,2,0),"")</f>
      </c>
      <c r="N611" s="7"/>
      <c r="O611" s="162">
        <f>IFERROR(M611*N611,"")</f>
      </c>
      <c r="P611" s="6"/>
      <c r="Q611" s="158"/>
      <c r="R611" s="163"/>
      <c r="S611" s="147"/>
      <c r="T611" s="6"/>
      <c r="U611" s="158"/>
      <c r="V611" s="164">
        <v>31</v>
      </c>
      <c r="W611" s="165">
        <f>IFERROR(U611*V611,"0")</f>
      </c>
      <c r="X611" s="7"/>
      <c r="Y611" s="191">
        <f>IFERROR((O611/1000)*Masters!$C$3,"0")</f>
      </c>
      <c r="Z611" s="195"/>
      <c r="AA611" s="164">
        <f>IFERROR(VLOOKUP(L611,Masters!G:H,2,0),"0")</f>
      </c>
      <c r="AB611" s="166">
        <f>IFERROR(AA611*N611,"0")</f>
      </c>
      <c r="AC611" s="196"/>
      <c r="AD611" s="7"/>
      <c r="AE611" s="166">
        <f>W611+Y611+AB611+AD611</f>
      </c>
      <c r="AF611" s="195"/>
      <c r="AG611" s="169">
        <f>M611&amp;"-"&amp;F611</f>
      </c>
      <c r="AH611" s="191">
        <f>IFERROR(VLOOKUP(AG611,Masters!N:O,2,0),"0")</f>
      </c>
      <c r="AI611" s="166">
        <f>AH611*N611</f>
      </c>
      <c r="AJ611" s="7"/>
      <c r="AK611" s="170">
        <f>AI611-AE611</f>
      </c>
      <c r="AL611" s="195"/>
      <c r="AM611" s="6"/>
      <c r="AN611" s="171">
        <f>IFERROR(U611/2,"0")</f>
      </c>
    </row>
    <row x14ac:dyDescent="0.25" r="612" customHeight="1" ht="18.75">
      <c r="A612" s="158">
        <f>A611+1</f>
      </c>
      <c r="B612" s="159"/>
      <c r="C612" s="6"/>
      <c r="D612" s="159"/>
      <c r="E612" s="198"/>
      <c r="F612" s="160"/>
      <c r="G612" s="6"/>
      <c r="H612" s="6"/>
      <c r="I612" s="7"/>
      <c r="J612" s="147"/>
      <c r="K612" s="7"/>
      <c r="L612" s="147"/>
      <c r="M612" s="161">
        <f>IFERROR(VLOOKUP(L612,'Material Master'!B:C,2,0),"")</f>
      </c>
      <c r="N612" s="7"/>
      <c r="O612" s="162">
        <f>IFERROR(M612*N612,"")</f>
      </c>
      <c r="P612" s="6"/>
      <c r="Q612" s="158"/>
      <c r="R612" s="163"/>
      <c r="S612" s="147"/>
      <c r="T612" s="6"/>
      <c r="U612" s="158"/>
      <c r="V612" s="164">
        <v>31</v>
      </c>
      <c r="W612" s="165">
        <f>IFERROR(U612*V612,"0")</f>
      </c>
      <c r="X612" s="7"/>
      <c r="Y612" s="191">
        <f>IFERROR((O612/1000)*Masters!$C$3,"0")</f>
      </c>
      <c r="Z612" s="195"/>
      <c r="AA612" s="164">
        <f>IFERROR(VLOOKUP(L612,Masters!G:H,2,0),"0")</f>
      </c>
      <c r="AB612" s="166">
        <f>IFERROR(AA612*N612,"0")</f>
      </c>
      <c r="AC612" s="196"/>
      <c r="AD612" s="7"/>
      <c r="AE612" s="166">
        <f>W612+Y612+AB612+AD612</f>
      </c>
      <c r="AF612" s="195"/>
      <c r="AG612" s="169">
        <f>M612&amp;"-"&amp;F612</f>
      </c>
      <c r="AH612" s="191">
        <f>IFERROR(VLOOKUP(AG612,Masters!N:O,2,0),"0")</f>
      </c>
      <c r="AI612" s="166">
        <f>AH612*N612</f>
      </c>
      <c r="AJ612" s="7"/>
      <c r="AK612" s="170">
        <f>AI612-AE612</f>
      </c>
      <c r="AL612" s="195"/>
      <c r="AM612" s="6"/>
      <c r="AN612" s="171">
        <f>IFERROR(U612/2,"0")</f>
      </c>
    </row>
    <row x14ac:dyDescent="0.25" r="613" customHeight="1" ht="18.75">
      <c r="A613" s="158">
        <f>A612+1</f>
      </c>
      <c r="B613" s="159"/>
      <c r="C613" s="6"/>
      <c r="D613" s="159"/>
      <c r="E613" s="198"/>
      <c r="F613" s="160"/>
      <c r="G613" s="6"/>
      <c r="H613" s="6"/>
      <c r="I613" s="7"/>
      <c r="J613" s="147"/>
      <c r="K613" s="7"/>
      <c r="L613" s="147"/>
      <c r="M613" s="161">
        <f>IFERROR(VLOOKUP(L613,'Material Master'!B:C,2,0),"")</f>
      </c>
      <c r="N613" s="7"/>
      <c r="O613" s="162">
        <f>IFERROR(M613*N613,"")</f>
      </c>
      <c r="P613" s="6"/>
      <c r="Q613" s="158"/>
      <c r="R613" s="163"/>
      <c r="S613" s="147"/>
      <c r="T613" s="6"/>
      <c r="U613" s="158"/>
      <c r="V613" s="164">
        <v>31</v>
      </c>
      <c r="W613" s="165">
        <f>IFERROR(U613*V613,"0")</f>
      </c>
      <c r="X613" s="7"/>
      <c r="Y613" s="191">
        <f>IFERROR((O613/1000)*Masters!$C$3,"0")</f>
      </c>
      <c r="Z613" s="195"/>
      <c r="AA613" s="164">
        <f>IFERROR(VLOOKUP(L613,Masters!G:H,2,0),"0")</f>
      </c>
      <c r="AB613" s="166">
        <f>IFERROR(AA613*N613,"0")</f>
      </c>
      <c r="AC613" s="196"/>
      <c r="AD613" s="7"/>
      <c r="AE613" s="166">
        <f>W613+Y613+AB613+AD613</f>
      </c>
      <c r="AF613" s="195"/>
      <c r="AG613" s="169">
        <f>M613&amp;"-"&amp;F613</f>
      </c>
      <c r="AH613" s="191">
        <f>IFERROR(VLOOKUP(AG613,Masters!N:O,2,0),"0")</f>
      </c>
      <c r="AI613" s="166">
        <f>AH613*N613</f>
      </c>
      <c r="AJ613" s="7"/>
      <c r="AK613" s="170">
        <f>AI613-AE613</f>
      </c>
      <c r="AL613" s="195"/>
      <c r="AM613" s="6"/>
      <c r="AN613" s="171">
        <f>IFERROR(U613/2,"0")</f>
      </c>
    </row>
    <row x14ac:dyDescent="0.25" r="614" customHeight="1" ht="18.75">
      <c r="A614" s="158">
        <f>A613+1</f>
      </c>
      <c r="B614" s="159"/>
      <c r="C614" s="6"/>
      <c r="D614" s="159"/>
      <c r="E614" s="198"/>
      <c r="F614" s="160"/>
      <c r="G614" s="6"/>
      <c r="H614" s="6"/>
      <c r="I614" s="7"/>
      <c r="J614" s="147"/>
      <c r="K614" s="7"/>
      <c r="L614" s="147"/>
      <c r="M614" s="161">
        <f>IFERROR(VLOOKUP(L614,'Material Master'!B:C,2,0),"")</f>
      </c>
      <c r="N614" s="7"/>
      <c r="O614" s="162">
        <f>IFERROR(M614*N614,"")</f>
      </c>
      <c r="P614" s="6"/>
      <c r="Q614" s="158"/>
      <c r="R614" s="163"/>
      <c r="S614" s="147"/>
      <c r="T614" s="6"/>
      <c r="U614" s="158"/>
      <c r="V614" s="164">
        <v>31</v>
      </c>
      <c r="W614" s="165">
        <f>IFERROR(U614*V614,"0")</f>
      </c>
      <c r="X614" s="7"/>
      <c r="Y614" s="191">
        <f>IFERROR((O614/1000)*Masters!$C$3,"0")</f>
      </c>
      <c r="Z614" s="195"/>
      <c r="AA614" s="164">
        <f>IFERROR(VLOOKUP(L614,Masters!G:H,2,0),"0")</f>
      </c>
      <c r="AB614" s="166">
        <f>IFERROR(AA614*N614,"0")</f>
      </c>
      <c r="AC614" s="196"/>
      <c r="AD614" s="7"/>
      <c r="AE614" s="166">
        <f>W614+Y614+AB614+AD614</f>
      </c>
      <c r="AF614" s="195"/>
      <c r="AG614" s="169">
        <f>M614&amp;"-"&amp;F614</f>
      </c>
      <c r="AH614" s="191">
        <f>IFERROR(VLOOKUP(AG614,Masters!N:O,2,0),"0")</f>
      </c>
      <c r="AI614" s="166">
        <f>AH614*N614</f>
      </c>
      <c r="AJ614" s="7"/>
      <c r="AK614" s="170">
        <f>AI614-AE614</f>
      </c>
      <c r="AL614" s="195"/>
      <c r="AM614" s="6"/>
      <c r="AN614" s="171">
        <f>IFERROR(U614/2,"0")</f>
      </c>
    </row>
    <row x14ac:dyDescent="0.25" r="615" customHeight="1" ht="18.75">
      <c r="A615" s="158">
        <f>A614+1</f>
      </c>
      <c r="B615" s="159"/>
      <c r="C615" s="6"/>
      <c r="D615" s="159"/>
      <c r="E615" s="198"/>
      <c r="F615" s="160"/>
      <c r="G615" s="6"/>
      <c r="H615" s="6"/>
      <c r="I615" s="7"/>
      <c r="J615" s="147"/>
      <c r="K615" s="7"/>
      <c r="L615" s="147"/>
      <c r="M615" s="161">
        <f>IFERROR(VLOOKUP(L615,'Material Master'!B:C,2,0),"")</f>
      </c>
      <c r="N615" s="7"/>
      <c r="O615" s="162">
        <f>IFERROR(M615*N615,"")</f>
      </c>
      <c r="P615" s="6"/>
      <c r="Q615" s="158"/>
      <c r="R615" s="163"/>
      <c r="S615" s="147"/>
      <c r="T615" s="6"/>
      <c r="U615" s="158"/>
      <c r="V615" s="164">
        <v>31</v>
      </c>
      <c r="W615" s="165">
        <f>IFERROR(U615*V615,"0")</f>
      </c>
      <c r="X615" s="7"/>
      <c r="Y615" s="191">
        <f>IFERROR((O615/1000)*Masters!$C$3,"0")</f>
      </c>
      <c r="Z615" s="195"/>
      <c r="AA615" s="164">
        <f>IFERROR(VLOOKUP(L615,Masters!G:H,2,0),"0")</f>
      </c>
      <c r="AB615" s="166">
        <f>IFERROR(AA615*N615,"0")</f>
      </c>
      <c r="AC615" s="196"/>
      <c r="AD615" s="7"/>
      <c r="AE615" s="166">
        <f>W615+Y615+AB615+AD615</f>
      </c>
      <c r="AF615" s="195"/>
      <c r="AG615" s="169">
        <f>M615&amp;"-"&amp;F615</f>
      </c>
      <c r="AH615" s="191">
        <f>IFERROR(VLOOKUP(AG615,Masters!N:O,2,0),"0")</f>
      </c>
      <c r="AI615" s="166">
        <f>AH615*N615</f>
      </c>
      <c r="AJ615" s="7"/>
      <c r="AK615" s="170">
        <f>AI615-AE615</f>
      </c>
      <c r="AL615" s="195"/>
      <c r="AM615" s="6"/>
      <c r="AN615" s="171">
        <f>IFERROR(U615/2,"0")</f>
      </c>
    </row>
    <row x14ac:dyDescent="0.25" r="616" customHeight="1" ht="18.75">
      <c r="A616" s="158">
        <f>A615+1</f>
      </c>
      <c r="B616" s="159"/>
      <c r="C616" s="6"/>
      <c r="D616" s="159"/>
      <c r="E616" s="198"/>
      <c r="F616" s="160"/>
      <c r="G616" s="6"/>
      <c r="H616" s="6"/>
      <c r="I616" s="7"/>
      <c r="J616" s="147"/>
      <c r="K616" s="7"/>
      <c r="L616" s="147"/>
      <c r="M616" s="161">
        <f>IFERROR(VLOOKUP(L616,'Material Master'!B:C,2,0),"")</f>
      </c>
      <c r="N616" s="7"/>
      <c r="O616" s="162">
        <f>IFERROR(M616*N616,"")</f>
      </c>
      <c r="P616" s="6"/>
      <c r="Q616" s="158"/>
      <c r="R616" s="163"/>
      <c r="S616" s="147"/>
      <c r="T616" s="6"/>
      <c r="U616" s="158"/>
      <c r="V616" s="164">
        <v>31</v>
      </c>
      <c r="W616" s="165">
        <f>IFERROR(U616*V616,"0")</f>
      </c>
      <c r="X616" s="7"/>
      <c r="Y616" s="191">
        <f>IFERROR((O616/1000)*Masters!$C$3,"0")</f>
      </c>
      <c r="Z616" s="195"/>
      <c r="AA616" s="164">
        <f>IFERROR(VLOOKUP(L616,Masters!G:H,2,0),"0")</f>
      </c>
      <c r="AB616" s="166">
        <f>IFERROR(AA616*N616,"0")</f>
      </c>
      <c r="AC616" s="196"/>
      <c r="AD616" s="7"/>
      <c r="AE616" s="166">
        <f>W616+Y616+AB616+AD616</f>
      </c>
      <c r="AF616" s="195"/>
      <c r="AG616" s="169">
        <f>M616&amp;"-"&amp;F616</f>
      </c>
      <c r="AH616" s="191">
        <f>IFERROR(VLOOKUP(AG616,Masters!N:O,2,0),"0")</f>
      </c>
      <c r="AI616" s="166">
        <f>AH616*N616</f>
      </c>
      <c r="AJ616" s="7"/>
      <c r="AK616" s="170">
        <f>AI616-AE616</f>
      </c>
      <c r="AL616" s="195"/>
      <c r="AM616" s="6"/>
      <c r="AN616" s="171">
        <f>IFERROR(U616/2,"0")</f>
      </c>
    </row>
    <row x14ac:dyDescent="0.25" r="617" customHeight="1" ht="18.75">
      <c r="A617" s="158">
        <f>A616+1</f>
      </c>
      <c r="B617" s="159"/>
      <c r="C617" s="6"/>
      <c r="D617" s="159"/>
      <c r="E617" s="198"/>
      <c r="F617" s="160"/>
      <c r="G617" s="6"/>
      <c r="H617" s="6"/>
      <c r="I617" s="7"/>
      <c r="J617" s="147"/>
      <c r="K617" s="7"/>
      <c r="L617" s="147"/>
      <c r="M617" s="161">
        <f>IFERROR(VLOOKUP(L617,'Material Master'!B:C,2,0),"")</f>
      </c>
      <c r="N617" s="7"/>
      <c r="O617" s="162">
        <f>IFERROR(M617*N617,"")</f>
      </c>
      <c r="P617" s="6"/>
      <c r="Q617" s="158"/>
      <c r="R617" s="163"/>
      <c r="S617" s="147"/>
      <c r="T617" s="6"/>
      <c r="U617" s="158"/>
      <c r="V617" s="164">
        <v>31</v>
      </c>
      <c r="W617" s="165">
        <f>IFERROR(U617*V617,"0")</f>
      </c>
      <c r="X617" s="7"/>
      <c r="Y617" s="191">
        <f>IFERROR((O617/1000)*Masters!$C$3,"0")</f>
      </c>
      <c r="Z617" s="195"/>
      <c r="AA617" s="164">
        <f>IFERROR(VLOOKUP(L617,Masters!G:H,2,0),"0")</f>
      </c>
      <c r="AB617" s="166">
        <f>IFERROR(AA617*N617,"0")</f>
      </c>
      <c r="AC617" s="196"/>
      <c r="AD617" s="7"/>
      <c r="AE617" s="166">
        <f>W617+Y617+AB617+AD617</f>
      </c>
      <c r="AF617" s="195"/>
      <c r="AG617" s="169">
        <f>M617&amp;"-"&amp;F617</f>
      </c>
      <c r="AH617" s="191">
        <f>IFERROR(VLOOKUP(AG617,Masters!N:O,2,0),"0")</f>
      </c>
      <c r="AI617" s="166">
        <f>AH617*N617</f>
      </c>
      <c r="AJ617" s="7"/>
      <c r="AK617" s="170">
        <f>AI617-AE617</f>
      </c>
      <c r="AL617" s="195"/>
      <c r="AM617" s="6"/>
      <c r="AN617" s="171">
        <f>IFERROR(U617/2,"0")</f>
      </c>
    </row>
    <row x14ac:dyDescent="0.25" r="618" customHeight="1" ht="18.75">
      <c r="A618" s="158">
        <f>A617+1</f>
      </c>
      <c r="B618" s="159"/>
      <c r="C618" s="6"/>
      <c r="D618" s="159"/>
      <c r="E618" s="198"/>
      <c r="F618" s="160"/>
      <c r="G618" s="6"/>
      <c r="H618" s="6"/>
      <c r="I618" s="7"/>
      <c r="J618" s="147"/>
      <c r="K618" s="7"/>
      <c r="L618" s="147"/>
      <c r="M618" s="161">
        <f>IFERROR(VLOOKUP(L618,'Material Master'!B:C,2,0),"")</f>
      </c>
      <c r="N618" s="7"/>
      <c r="O618" s="162">
        <f>IFERROR(M618*N618,"")</f>
      </c>
      <c r="P618" s="6"/>
      <c r="Q618" s="158"/>
      <c r="R618" s="163"/>
      <c r="S618" s="147"/>
      <c r="T618" s="6"/>
      <c r="U618" s="158"/>
      <c r="V618" s="164">
        <v>31</v>
      </c>
      <c r="W618" s="165">
        <f>IFERROR(U618*V618,"0")</f>
      </c>
      <c r="X618" s="7"/>
      <c r="Y618" s="191">
        <f>IFERROR((O618/1000)*Masters!$C$3,"0")</f>
      </c>
      <c r="Z618" s="195"/>
      <c r="AA618" s="164">
        <f>IFERROR(VLOOKUP(L618,Masters!G:H,2,0),"0")</f>
      </c>
      <c r="AB618" s="166">
        <f>IFERROR(AA618*N618,"0")</f>
      </c>
      <c r="AC618" s="196"/>
      <c r="AD618" s="7"/>
      <c r="AE618" s="166">
        <f>W618+Y618+AB618+AD618</f>
      </c>
      <c r="AF618" s="195"/>
      <c r="AG618" s="169">
        <f>M618&amp;"-"&amp;F618</f>
      </c>
      <c r="AH618" s="191">
        <f>IFERROR(VLOOKUP(AG618,Masters!N:O,2,0),"0")</f>
      </c>
      <c r="AI618" s="166">
        <f>AH618*N618</f>
      </c>
      <c r="AJ618" s="7"/>
      <c r="AK618" s="170">
        <f>AI618-AE618</f>
      </c>
      <c r="AL618" s="195"/>
      <c r="AM618" s="6"/>
      <c r="AN618" s="171">
        <f>IFERROR(U618/2,"0")</f>
      </c>
    </row>
    <row x14ac:dyDescent="0.25" r="619" customHeight="1" ht="18.75">
      <c r="A619" s="158">
        <f>A618+1</f>
      </c>
      <c r="B619" s="159"/>
      <c r="C619" s="6"/>
      <c r="D619" s="159"/>
      <c r="E619" s="198"/>
      <c r="F619" s="160"/>
      <c r="G619" s="6"/>
      <c r="H619" s="6"/>
      <c r="I619" s="7"/>
      <c r="J619" s="147"/>
      <c r="K619" s="7"/>
      <c r="L619" s="147"/>
      <c r="M619" s="161">
        <f>IFERROR(VLOOKUP(L619,'Material Master'!B:C,2,0),"")</f>
      </c>
      <c r="N619" s="7"/>
      <c r="O619" s="162">
        <f>IFERROR(M619*N619,"")</f>
      </c>
      <c r="P619" s="6"/>
      <c r="Q619" s="158"/>
      <c r="R619" s="163"/>
      <c r="S619" s="147"/>
      <c r="T619" s="6"/>
      <c r="U619" s="158"/>
      <c r="V619" s="164">
        <v>31</v>
      </c>
      <c r="W619" s="165">
        <f>IFERROR(U619*V619,"0")</f>
      </c>
      <c r="X619" s="7"/>
      <c r="Y619" s="191">
        <f>IFERROR((O619/1000)*Masters!$C$3,"0")</f>
      </c>
      <c r="Z619" s="195"/>
      <c r="AA619" s="164">
        <f>IFERROR(VLOOKUP(L619,Masters!G:H,2,0),"0")</f>
      </c>
      <c r="AB619" s="166">
        <f>IFERROR(AA619*N619,"0")</f>
      </c>
      <c r="AC619" s="196"/>
      <c r="AD619" s="7"/>
      <c r="AE619" s="166">
        <f>W619+Y619+AB619+AD619</f>
      </c>
      <c r="AF619" s="195"/>
      <c r="AG619" s="169">
        <f>M619&amp;"-"&amp;F619</f>
      </c>
      <c r="AH619" s="191">
        <f>IFERROR(VLOOKUP(AG619,Masters!N:O,2,0),"0")</f>
      </c>
      <c r="AI619" s="166">
        <f>AH619*N619</f>
      </c>
      <c r="AJ619" s="7"/>
      <c r="AK619" s="170">
        <f>AI619-AE619</f>
      </c>
      <c r="AL619" s="195"/>
      <c r="AM619" s="6"/>
      <c r="AN619" s="171">
        <f>IFERROR(U619/2,"0")</f>
      </c>
    </row>
    <row x14ac:dyDescent="0.25" r="620" customHeight="1" ht="18.75">
      <c r="A620" s="158">
        <f>A619+1</f>
      </c>
      <c r="B620" s="159"/>
      <c r="C620" s="6"/>
      <c r="D620" s="159"/>
      <c r="E620" s="198"/>
      <c r="F620" s="160"/>
      <c r="G620" s="6"/>
      <c r="H620" s="6"/>
      <c r="I620" s="7"/>
      <c r="J620" s="147"/>
      <c r="K620" s="7"/>
      <c r="L620" s="147"/>
      <c r="M620" s="161">
        <f>IFERROR(VLOOKUP(L620,'Material Master'!B:C,2,0),"")</f>
      </c>
      <c r="N620" s="7"/>
      <c r="O620" s="162">
        <f>IFERROR(M620*N620,"")</f>
      </c>
      <c r="P620" s="6"/>
      <c r="Q620" s="158"/>
      <c r="R620" s="163"/>
      <c r="S620" s="147"/>
      <c r="T620" s="6"/>
      <c r="U620" s="158"/>
      <c r="V620" s="164">
        <v>31</v>
      </c>
      <c r="W620" s="165">
        <f>IFERROR(U620*V620,"0")</f>
      </c>
      <c r="X620" s="7"/>
      <c r="Y620" s="191">
        <f>IFERROR((O620/1000)*Masters!$C$3,"0")</f>
      </c>
      <c r="Z620" s="195"/>
      <c r="AA620" s="164">
        <f>IFERROR(VLOOKUP(L620,Masters!G:H,2,0),"0")</f>
      </c>
      <c r="AB620" s="166">
        <f>IFERROR(AA620*N620,"0")</f>
      </c>
      <c r="AC620" s="196"/>
      <c r="AD620" s="7"/>
      <c r="AE620" s="166">
        <f>W620+Y620+AB620+AD620</f>
      </c>
      <c r="AF620" s="195"/>
      <c r="AG620" s="169">
        <f>M620&amp;"-"&amp;F620</f>
      </c>
      <c r="AH620" s="191">
        <f>IFERROR(VLOOKUP(AG620,Masters!N:O,2,0),"0")</f>
      </c>
      <c r="AI620" s="166">
        <f>AH620*N620</f>
      </c>
      <c r="AJ620" s="7"/>
      <c r="AK620" s="170">
        <f>AI620-AE620</f>
      </c>
      <c r="AL620" s="195"/>
      <c r="AM620" s="6"/>
      <c r="AN620" s="171">
        <f>IFERROR(U620/2,"0")</f>
      </c>
    </row>
    <row x14ac:dyDescent="0.25" r="621" customHeight="1" ht="18.75">
      <c r="A621" s="158">
        <f>A620+1</f>
      </c>
      <c r="B621" s="159"/>
      <c r="C621" s="6"/>
      <c r="D621" s="159"/>
      <c r="E621" s="198"/>
      <c r="F621" s="160"/>
      <c r="G621" s="6"/>
      <c r="H621" s="6"/>
      <c r="I621" s="7"/>
      <c r="J621" s="147"/>
      <c r="K621" s="7"/>
      <c r="L621" s="147"/>
      <c r="M621" s="161">
        <f>IFERROR(VLOOKUP(L621,'Material Master'!B:C,2,0),"")</f>
      </c>
      <c r="N621" s="7"/>
      <c r="O621" s="162">
        <f>IFERROR(M621*N621,"")</f>
      </c>
      <c r="P621" s="6"/>
      <c r="Q621" s="158"/>
      <c r="R621" s="163"/>
      <c r="S621" s="147"/>
      <c r="T621" s="6"/>
      <c r="U621" s="158"/>
      <c r="V621" s="164">
        <v>31</v>
      </c>
      <c r="W621" s="165">
        <f>IFERROR(U621*V621,"0")</f>
      </c>
      <c r="X621" s="7"/>
      <c r="Y621" s="191">
        <f>IFERROR((O621/1000)*Masters!$C$3,"0")</f>
      </c>
      <c r="Z621" s="195"/>
      <c r="AA621" s="164">
        <f>IFERROR(VLOOKUP(L621,Masters!G:H,2,0),"0")</f>
      </c>
      <c r="AB621" s="166">
        <f>IFERROR(AA621*N621,"0")</f>
      </c>
      <c r="AC621" s="196"/>
      <c r="AD621" s="7"/>
      <c r="AE621" s="166">
        <f>W621+Y621+AB621+AD621</f>
      </c>
      <c r="AF621" s="195"/>
      <c r="AG621" s="169">
        <f>M621&amp;"-"&amp;F621</f>
      </c>
      <c r="AH621" s="191">
        <f>IFERROR(VLOOKUP(AG621,Masters!N:O,2,0),"0")</f>
      </c>
      <c r="AI621" s="166">
        <f>AH621*N621</f>
      </c>
      <c r="AJ621" s="7"/>
      <c r="AK621" s="170">
        <f>AI621-AE621</f>
      </c>
      <c r="AL621" s="195"/>
      <c r="AM621" s="6"/>
      <c r="AN621" s="171">
        <f>IFERROR(U621/2,"0")</f>
      </c>
    </row>
    <row x14ac:dyDescent="0.25" r="622" customHeight="1" ht="18.75">
      <c r="A622" s="158">
        <f>A621+1</f>
      </c>
      <c r="B622" s="159"/>
      <c r="C622" s="6"/>
      <c r="D622" s="159"/>
      <c r="E622" s="198"/>
      <c r="F622" s="160"/>
      <c r="G622" s="6"/>
      <c r="H622" s="6"/>
      <c r="I622" s="7"/>
      <c r="J622" s="147"/>
      <c r="K622" s="7"/>
      <c r="L622" s="147"/>
      <c r="M622" s="161">
        <f>IFERROR(VLOOKUP(L622,'Material Master'!B:C,2,0),"")</f>
      </c>
      <c r="N622" s="7"/>
      <c r="O622" s="162">
        <f>IFERROR(M622*N622,"")</f>
      </c>
      <c r="P622" s="6"/>
      <c r="Q622" s="158"/>
      <c r="R622" s="163"/>
      <c r="S622" s="147"/>
      <c r="T622" s="6"/>
      <c r="U622" s="158"/>
      <c r="V622" s="164">
        <v>31</v>
      </c>
      <c r="W622" s="165">
        <f>IFERROR(U622*V622,"0")</f>
      </c>
      <c r="X622" s="7"/>
      <c r="Y622" s="191">
        <f>IFERROR((O622/1000)*Masters!$C$3,"0")</f>
      </c>
      <c r="Z622" s="195"/>
      <c r="AA622" s="164">
        <f>IFERROR(VLOOKUP(L622,Masters!G:H,2,0),"0")</f>
      </c>
      <c r="AB622" s="166">
        <f>IFERROR(AA622*N622,"0")</f>
      </c>
      <c r="AC622" s="196"/>
      <c r="AD622" s="7"/>
      <c r="AE622" s="166">
        <f>W622+Y622+AB622+AD622</f>
      </c>
      <c r="AF622" s="195"/>
      <c r="AG622" s="169">
        <f>M622&amp;"-"&amp;F622</f>
      </c>
      <c r="AH622" s="191">
        <f>IFERROR(VLOOKUP(AG622,Masters!N:O,2,0),"0")</f>
      </c>
      <c r="AI622" s="166">
        <f>AH622*N622</f>
      </c>
      <c r="AJ622" s="7"/>
      <c r="AK622" s="170">
        <f>AI622-AE622</f>
      </c>
      <c r="AL622" s="195"/>
      <c r="AM622" s="6"/>
      <c r="AN622" s="171">
        <f>IFERROR(U622/2,"0")</f>
      </c>
    </row>
    <row x14ac:dyDescent="0.25" r="623" customHeight="1" ht="18.75">
      <c r="A623" s="158">
        <f>A622+1</f>
      </c>
      <c r="B623" s="159"/>
      <c r="C623" s="6"/>
      <c r="D623" s="159"/>
      <c r="E623" s="198"/>
      <c r="F623" s="160"/>
      <c r="G623" s="6"/>
      <c r="H623" s="6"/>
      <c r="I623" s="7"/>
      <c r="J623" s="147"/>
      <c r="K623" s="7"/>
      <c r="L623" s="147"/>
      <c r="M623" s="161">
        <f>IFERROR(VLOOKUP(L623,'Material Master'!B:C,2,0),"")</f>
      </c>
      <c r="N623" s="7"/>
      <c r="O623" s="162">
        <f>IFERROR(M623*N623,"")</f>
      </c>
      <c r="P623" s="6"/>
      <c r="Q623" s="158"/>
      <c r="R623" s="163"/>
      <c r="S623" s="147"/>
      <c r="T623" s="6"/>
      <c r="U623" s="158"/>
      <c r="V623" s="164">
        <v>31</v>
      </c>
      <c r="W623" s="165">
        <f>IFERROR(U623*V623,"0")</f>
      </c>
      <c r="X623" s="7"/>
      <c r="Y623" s="191">
        <f>IFERROR((O623/1000)*Masters!$C$3,"0")</f>
      </c>
      <c r="Z623" s="195"/>
      <c r="AA623" s="164">
        <f>IFERROR(VLOOKUP(L623,Masters!G:H,2,0),"0")</f>
      </c>
      <c r="AB623" s="166">
        <f>IFERROR(AA623*N623,"0")</f>
      </c>
      <c r="AC623" s="196"/>
      <c r="AD623" s="7"/>
      <c r="AE623" s="166">
        <f>W623+Y623+AB623+AD623</f>
      </c>
      <c r="AF623" s="195"/>
      <c r="AG623" s="169">
        <f>M623&amp;"-"&amp;F623</f>
      </c>
      <c r="AH623" s="191">
        <f>IFERROR(VLOOKUP(AG623,Masters!N:O,2,0),"0")</f>
      </c>
      <c r="AI623" s="166">
        <f>AH623*N623</f>
      </c>
      <c r="AJ623" s="7"/>
      <c r="AK623" s="170">
        <f>AI623-AE623</f>
      </c>
      <c r="AL623" s="195"/>
      <c r="AM623" s="6"/>
      <c r="AN623" s="171">
        <f>IFERROR(U623/2,"0")</f>
      </c>
    </row>
    <row x14ac:dyDescent="0.25" r="624" customHeight="1" ht="18.75">
      <c r="A624" s="158">
        <f>A623+1</f>
      </c>
      <c r="B624" s="159"/>
      <c r="C624" s="6"/>
      <c r="D624" s="159"/>
      <c r="E624" s="198"/>
      <c r="F624" s="160"/>
      <c r="G624" s="6"/>
      <c r="H624" s="6"/>
      <c r="I624" s="7"/>
      <c r="J624" s="147"/>
      <c r="K624" s="7"/>
      <c r="L624" s="147"/>
      <c r="M624" s="161">
        <f>IFERROR(VLOOKUP(L624,'Material Master'!B:C,2,0),"")</f>
      </c>
      <c r="N624" s="7"/>
      <c r="O624" s="162">
        <f>IFERROR(M624*N624,"")</f>
      </c>
      <c r="P624" s="6"/>
      <c r="Q624" s="158"/>
      <c r="R624" s="163"/>
      <c r="S624" s="147"/>
      <c r="T624" s="6"/>
      <c r="U624" s="158"/>
      <c r="V624" s="164">
        <v>31</v>
      </c>
      <c r="W624" s="165">
        <f>IFERROR(U624*V624,"0")</f>
      </c>
      <c r="X624" s="7"/>
      <c r="Y624" s="191">
        <f>IFERROR((O624/1000)*Masters!$C$3,"0")</f>
      </c>
      <c r="Z624" s="195"/>
      <c r="AA624" s="164">
        <f>IFERROR(VLOOKUP(L624,Masters!G:H,2,0),"0")</f>
      </c>
      <c r="AB624" s="166">
        <f>IFERROR(AA624*N624,"0")</f>
      </c>
      <c r="AC624" s="196"/>
      <c r="AD624" s="7"/>
      <c r="AE624" s="166">
        <f>W624+Y624+AB624+AD624</f>
      </c>
      <c r="AF624" s="195"/>
      <c r="AG624" s="169">
        <f>M624&amp;"-"&amp;F624</f>
      </c>
      <c r="AH624" s="191">
        <f>IFERROR(VLOOKUP(AG624,Masters!N:O,2,0),"0")</f>
      </c>
      <c r="AI624" s="166">
        <f>AH624*N624</f>
      </c>
      <c r="AJ624" s="7"/>
      <c r="AK624" s="170">
        <f>AI624-AE624</f>
      </c>
      <c r="AL624" s="195"/>
      <c r="AM624" s="6"/>
      <c r="AN624" s="171">
        <f>IFERROR(U624/2,"0")</f>
      </c>
    </row>
    <row x14ac:dyDescent="0.25" r="625" customHeight="1" ht="18.75">
      <c r="A625" s="158">
        <f>A624+1</f>
      </c>
      <c r="B625" s="159"/>
      <c r="C625" s="6"/>
      <c r="D625" s="159"/>
      <c r="E625" s="198"/>
      <c r="F625" s="160"/>
      <c r="G625" s="6"/>
      <c r="H625" s="6"/>
      <c r="I625" s="7"/>
      <c r="J625" s="147"/>
      <c r="K625" s="7"/>
      <c r="L625" s="147"/>
      <c r="M625" s="161">
        <f>IFERROR(VLOOKUP(L625,'Material Master'!B:C,2,0),"")</f>
      </c>
      <c r="N625" s="7"/>
      <c r="O625" s="162">
        <f>IFERROR(M625*N625,"")</f>
      </c>
      <c r="P625" s="6"/>
      <c r="Q625" s="158"/>
      <c r="R625" s="163"/>
      <c r="S625" s="147"/>
      <c r="T625" s="6"/>
      <c r="U625" s="158"/>
      <c r="V625" s="164">
        <v>31</v>
      </c>
      <c r="W625" s="165">
        <f>IFERROR(U625*V625,"0")</f>
      </c>
      <c r="X625" s="7"/>
      <c r="Y625" s="191">
        <f>IFERROR((O625/1000)*Masters!$C$3,"0")</f>
      </c>
      <c r="Z625" s="195"/>
      <c r="AA625" s="164">
        <f>IFERROR(VLOOKUP(L625,Masters!G:H,2,0),"0")</f>
      </c>
      <c r="AB625" s="166">
        <f>IFERROR(AA625*N625,"0")</f>
      </c>
      <c r="AC625" s="196"/>
      <c r="AD625" s="7"/>
      <c r="AE625" s="166">
        <f>W625+Y625+AB625+AD625</f>
      </c>
      <c r="AF625" s="195"/>
      <c r="AG625" s="169">
        <f>M625&amp;"-"&amp;F625</f>
      </c>
      <c r="AH625" s="191">
        <f>IFERROR(VLOOKUP(AG625,Masters!N:O,2,0),"0")</f>
      </c>
      <c r="AI625" s="166">
        <f>AH625*N625</f>
      </c>
      <c r="AJ625" s="7"/>
      <c r="AK625" s="170">
        <f>AI625-AE625</f>
      </c>
      <c r="AL625" s="195"/>
      <c r="AM625" s="6"/>
      <c r="AN625" s="171">
        <f>IFERROR(U625/2,"0")</f>
      </c>
    </row>
    <row x14ac:dyDescent="0.25" r="626" customHeight="1" ht="18.75">
      <c r="A626" s="158">
        <f>A625+1</f>
      </c>
      <c r="B626" s="159"/>
      <c r="C626" s="6"/>
      <c r="D626" s="159"/>
      <c r="E626" s="198"/>
      <c r="F626" s="160"/>
      <c r="G626" s="6"/>
      <c r="H626" s="6"/>
      <c r="I626" s="7"/>
      <c r="J626" s="147"/>
      <c r="K626" s="7"/>
      <c r="L626" s="147"/>
      <c r="M626" s="161">
        <f>IFERROR(VLOOKUP(L626,'Material Master'!B:C,2,0),"")</f>
      </c>
      <c r="N626" s="7"/>
      <c r="O626" s="162">
        <f>IFERROR(M626*N626,"")</f>
      </c>
      <c r="P626" s="6"/>
      <c r="Q626" s="158"/>
      <c r="R626" s="163"/>
      <c r="S626" s="147"/>
      <c r="T626" s="6"/>
      <c r="U626" s="158"/>
      <c r="V626" s="164">
        <v>31</v>
      </c>
      <c r="W626" s="165">
        <f>IFERROR(U626*V626,"0")</f>
      </c>
      <c r="X626" s="7"/>
      <c r="Y626" s="191">
        <f>IFERROR((O626/1000)*Masters!$C$3,"0")</f>
      </c>
      <c r="Z626" s="195"/>
      <c r="AA626" s="164">
        <f>IFERROR(VLOOKUP(L626,Masters!G:H,2,0),"0")</f>
      </c>
      <c r="AB626" s="166">
        <f>IFERROR(AA626*N626,"0")</f>
      </c>
      <c r="AC626" s="196"/>
      <c r="AD626" s="7"/>
      <c r="AE626" s="166">
        <f>W626+Y626+AB626+AD626</f>
      </c>
      <c r="AF626" s="195"/>
      <c r="AG626" s="169">
        <f>M626&amp;"-"&amp;F626</f>
      </c>
      <c r="AH626" s="191">
        <f>IFERROR(VLOOKUP(AG626,Masters!N:O,2,0),"0")</f>
      </c>
      <c r="AI626" s="166">
        <f>AH626*N626</f>
      </c>
      <c r="AJ626" s="7"/>
      <c r="AK626" s="170">
        <f>AI626-AE626</f>
      </c>
      <c r="AL626" s="195"/>
      <c r="AM626" s="6"/>
      <c r="AN626" s="171">
        <f>IFERROR(U626/2,"0")</f>
      </c>
    </row>
    <row x14ac:dyDescent="0.25" r="627" customHeight="1" ht="18.75">
      <c r="A627" s="158">
        <f>A626+1</f>
      </c>
      <c r="B627" s="159"/>
      <c r="C627" s="6"/>
      <c r="D627" s="159"/>
      <c r="E627" s="198"/>
      <c r="F627" s="160"/>
      <c r="G627" s="6"/>
      <c r="H627" s="6"/>
      <c r="I627" s="7"/>
      <c r="J627" s="147"/>
      <c r="K627" s="7"/>
      <c r="L627" s="147"/>
      <c r="M627" s="161">
        <f>IFERROR(VLOOKUP(L627,'Material Master'!B:C,2,0),"")</f>
      </c>
      <c r="N627" s="7"/>
      <c r="O627" s="162">
        <f>IFERROR(M627*N627,"")</f>
      </c>
      <c r="P627" s="6"/>
      <c r="Q627" s="158"/>
      <c r="R627" s="163"/>
      <c r="S627" s="147"/>
      <c r="T627" s="6"/>
      <c r="U627" s="158"/>
      <c r="V627" s="164">
        <v>31</v>
      </c>
      <c r="W627" s="165">
        <f>IFERROR(U627*V627,"0")</f>
      </c>
      <c r="X627" s="7"/>
      <c r="Y627" s="191">
        <f>IFERROR((O627/1000)*Masters!$C$3,"0")</f>
      </c>
      <c r="Z627" s="195"/>
      <c r="AA627" s="164">
        <f>IFERROR(VLOOKUP(L627,Masters!G:H,2,0),"0")</f>
      </c>
      <c r="AB627" s="166">
        <f>IFERROR(AA627*N627,"0")</f>
      </c>
      <c r="AC627" s="196"/>
      <c r="AD627" s="7"/>
      <c r="AE627" s="166">
        <f>W627+Y627+AB627+AD627</f>
      </c>
      <c r="AF627" s="195"/>
      <c r="AG627" s="169">
        <f>M627&amp;"-"&amp;F627</f>
      </c>
      <c r="AH627" s="191">
        <f>IFERROR(VLOOKUP(AG627,Masters!N:O,2,0),"0")</f>
      </c>
      <c r="AI627" s="166">
        <f>AH627*N627</f>
      </c>
      <c r="AJ627" s="7"/>
      <c r="AK627" s="170">
        <f>AI627-AE627</f>
      </c>
      <c r="AL627" s="195"/>
      <c r="AM627" s="6"/>
      <c r="AN627" s="171">
        <f>IFERROR(U627/2,"0")</f>
      </c>
    </row>
    <row x14ac:dyDescent="0.25" r="628" customHeight="1" ht="18.75">
      <c r="A628" s="158">
        <f>A627+1</f>
      </c>
      <c r="B628" s="159"/>
      <c r="C628" s="6"/>
      <c r="D628" s="159"/>
      <c r="E628" s="198"/>
      <c r="F628" s="160"/>
      <c r="G628" s="6"/>
      <c r="H628" s="6"/>
      <c r="I628" s="7"/>
      <c r="J628" s="147"/>
      <c r="K628" s="7"/>
      <c r="L628" s="147"/>
      <c r="M628" s="161">
        <f>IFERROR(VLOOKUP(L628,'Material Master'!B:C,2,0),"")</f>
      </c>
      <c r="N628" s="7"/>
      <c r="O628" s="162">
        <f>IFERROR(M628*N628,"")</f>
      </c>
      <c r="P628" s="6"/>
      <c r="Q628" s="158"/>
      <c r="R628" s="163"/>
      <c r="S628" s="147"/>
      <c r="T628" s="6"/>
      <c r="U628" s="158"/>
      <c r="V628" s="164">
        <v>31</v>
      </c>
      <c r="W628" s="165">
        <f>IFERROR(U628*V628,"0")</f>
      </c>
      <c r="X628" s="7"/>
      <c r="Y628" s="191">
        <f>IFERROR((O628/1000)*Masters!$C$3,"0")</f>
      </c>
      <c r="Z628" s="195"/>
      <c r="AA628" s="164">
        <f>IFERROR(VLOOKUP(L628,Masters!G:H,2,0),"0")</f>
      </c>
      <c r="AB628" s="166">
        <f>IFERROR(AA628*N628,"0")</f>
      </c>
      <c r="AC628" s="196"/>
      <c r="AD628" s="7"/>
      <c r="AE628" s="166">
        <f>W628+Y628+AB628+AD628</f>
      </c>
      <c r="AF628" s="195"/>
      <c r="AG628" s="169">
        <f>M628&amp;"-"&amp;F628</f>
      </c>
      <c r="AH628" s="191">
        <f>IFERROR(VLOOKUP(AG628,Masters!N:O,2,0),"0")</f>
      </c>
      <c r="AI628" s="166">
        <f>AH628*N628</f>
      </c>
      <c r="AJ628" s="7"/>
      <c r="AK628" s="170">
        <f>AI628-AE628</f>
      </c>
      <c r="AL628" s="195"/>
      <c r="AM628" s="6"/>
      <c r="AN628" s="171">
        <f>IFERROR(U628/2,"0")</f>
      </c>
    </row>
    <row x14ac:dyDescent="0.25" r="629" customHeight="1" ht="18.75">
      <c r="A629" s="158">
        <f>A628+1</f>
      </c>
      <c r="B629" s="159"/>
      <c r="C629" s="6"/>
      <c r="D629" s="159"/>
      <c r="E629" s="198"/>
      <c r="F629" s="160"/>
      <c r="G629" s="6"/>
      <c r="H629" s="6"/>
      <c r="I629" s="7"/>
      <c r="J629" s="147"/>
      <c r="K629" s="7"/>
      <c r="L629" s="147"/>
      <c r="M629" s="161">
        <f>IFERROR(VLOOKUP(L629,'Material Master'!B:C,2,0),"")</f>
      </c>
      <c r="N629" s="7"/>
      <c r="O629" s="162">
        <f>IFERROR(M629*N629,"")</f>
      </c>
      <c r="P629" s="6"/>
      <c r="Q629" s="158"/>
      <c r="R629" s="163"/>
      <c r="S629" s="147"/>
      <c r="T629" s="6"/>
      <c r="U629" s="158"/>
      <c r="V629" s="164">
        <v>31</v>
      </c>
      <c r="W629" s="165">
        <f>IFERROR(U629*V629,"0")</f>
      </c>
      <c r="X629" s="7"/>
      <c r="Y629" s="191">
        <f>IFERROR((O629/1000)*Masters!$C$3,"0")</f>
      </c>
      <c r="Z629" s="195"/>
      <c r="AA629" s="164">
        <f>IFERROR(VLOOKUP(L629,Masters!G:H,2,0),"0")</f>
      </c>
      <c r="AB629" s="166">
        <f>IFERROR(AA629*N629,"0")</f>
      </c>
      <c r="AC629" s="196"/>
      <c r="AD629" s="7"/>
      <c r="AE629" s="166">
        <f>W629+Y629+AB629+AD629</f>
      </c>
      <c r="AF629" s="195"/>
      <c r="AG629" s="169">
        <f>M629&amp;"-"&amp;F629</f>
      </c>
      <c r="AH629" s="191">
        <f>IFERROR(VLOOKUP(AG629,Masters!N:O,2,0),"0")</f>
      </c>
      <c r="AI629" s="166">
        <f>AH629*N629</f>
      </c>
      <c r="AJ629" s="7"/>
      <c r="AK629" s="170">
        <f>AI629-AE629</f>
      </c>
      <c r="AL629" s="195"/>
      <c r="AM629" s="6"/>
      <c r="AN629" s="171">
        <f>IFERROR(U629/2,"0")</f>
      </c>
    </row>
    <row x14ac:dyDescent="0.25" r="630" customHeight="1" ht="18.75">
      <c r="A630" s="158">
        <f>A629+1</f>
      </c>
      <c r="B630" s="159"/>
      <c r="C630" s="6"/>
      <c r="D630" s="159"/>
      <c r="E630" s="198"/>
      <c r="F630" s="160"/>
      <c r="G630" s="6"/>
      <c r="H630" s="6"/>
      <c r="I630" s="7"/>
      <c r="J630" s="147"/>
      <c r="K630" s="7"/>
      <c r="L630" s="147"/>
      <c r="M630" s="161">
        <f>IFERROR(VLOOKUP(L630,'Material Master'!B:C,2,0),"")</f>
      </c>
      <c r="N630" s="7"/>
      <c r="O630" s="162">
        <f>IFERROR(M630*N630,"")</f>
      </c>
      <c r="P630" s="6"/>
      <c r="Q630" s="158"/>
      <c r="R630" s="163"/>
      <c r="S630" s="147"/>
      <c r="T630" s="6"/>
      <c r="U630" s="158"/>
      <c r="V630" s="164">
        <v>31</v>
      </c>
      <c r="W630" s="165">
        <f>IFERROR(U630*V630,"0")</f>
      </c>
      <c r="X630" s="7"/>
      <c r="Y630" s="191">
        <f>IFERROR((O630/1000)*Masters!$C$3,"0")</f>
      </c>
      <c r="Z630" s="195"/>
      <c r="AA630" s="164">
        <f>IFERROR(VLOOKUP(L630,Masters!G:H,2,0),"0")</f>
      </c>
      <c r="AB630" s="166">
        <f>IFERROR(AA630*N630,"0")</f>
      </c>
      <c r="AC630" s="196"/>
      <c r="AD630" s="7"/>
      <c r="AE630" s="166">
        <f>W630+Y630+AB630+AD630</f>
      </c>
      <c r="AF630" s="195"/>
      <c r="AG630" s="169">
        <f>M630&amp;"-"&amp;F630</f>
      </c>
      <c r="AH630" s="191">
        <f>IFERROR(VLOOKUP(AG630,Masters!N:O,2,0),"0")</f>
      </c>
      <c r="AI630" s="166">
        <f>AH630*N630</f>
      </c>
      <c r="AJ630" s="7"/>
      <c r="AK630" s="170">
        <f>AI630-AE630</f>
      </c>
      <c r="AL630" s="195"/>
      <c r="AM630" s="6"/>
      <c r="AN630" s="171">
        <f>IFERROR(U630/2,"0")</f>
      </c>
    </row>
    <row x14ac:dyDescent="0.25" r="631" customHeight="1" ht="18.75">
      <c r="A631" s="158">
        <f>A630+1</f>
      </c>
      <c r="B631" s="159"/>
      <c r="C631" s="6"/>
      <c r="D631" s="159"/>
      <c r="E631" s="198"/>
      <c r="F631" s="160"/>
      <c r="G631" s="6"/>
      <c r="H631" s="6"/>
      <c r="I631" s="7"/>
      <c r="J631" s="147"/>
      <c r="K631" s="7"/>
      <c r="L631" s="147"/>
      <c r="M631" s="161">
        <f>IFERROR(VLOOKUP(L631,'Material Master'!B:C,2,0),"")</f>
      </c>
      <c r="N631" s="7"/>
      <c r="O631" s="162">
        <f>IFERROR(M631*N631,"")</f>
      </c>
      <c r="P631" s="6"/>
      <c r="Q631" s="158"/>
      <c r="R631" s="163"/>
      <c r="S631" s="147"/>
      <c r="T631" s="6"/>
      <c r="U631" s="158"/>
      <c r="V631" s="164">
        <v>31</v>
      </c>
      <c r="W631" s="165">
        <f>IFERROR(U631*V631,"0")</f>
      </c>
      <c r="X631" s="7"/>
      <c r="Y631" s="191">
        <f>IFERROR((O631/1000)*Masters!$C$3,"0")</f>
      </c>
      <c r="Z631" s="195"/>
      <c r="AA631" s="164">
        <f>IFERROR(VLOOKUP(L631,Masters!G:H,2,0),"0")</f>
      </c>
      <c r="AB631" s="166">
        <f>IFERROR(AA631*N631,"0")</f>
      </c>
      <c r="AC631" s="196"/>
      <c r="AD631" s="7"/>
      <c r="AE631" s="166">
        <f>W631+Y631+AB631+AD631</f>
      </c>
      <c r="AF631" s="195"/>
      <c r="AG631" s="169">
        <f>M631&amp;"-"&amp;F631</f>
      </c>
      <c r="AH631" s="191">
        <f>IFERROR(VLOOKUP(AG631,Masters!N:O,2,0),"0")</f>
      </c>
      <c r="AI631" s="166">
        <f>AH631*N631</f>
      </c>
      <c r="AJ631" s="7"/>
      <c r="AK631" s="170">
        <f>AI631-AE631</f>
      </c>
      <c r="AL631" s="195"/>
      <c r="AM631" s="6"/>
      <c r="AN631" s="171">
        <f>IFERROR(U631/2,"0")</f>
      </c>
    </row>
    <row x14ac:dyDescent="0.25" r="632" customHeight="1" ht="18.75">
      <c r="A632" s="158">
        <f>A631+1</f>
      </c>
      <c r="B632" s="159"/>
      <c r="C632" s="6"/>
      <c r="D632" s="159"/>
      <c r="E632" s="198"/>
      <c r="F632" s="160"/>
      <c r="G632" s="6"/>
      <c r="H632" s="6"/>
      <c r="I632" s="7"/>
      <c r="J632" s="147"/>
      <c r="K632" s="7"/>
      <c r="L632" s="147"/>
      <c r="M632" s="161">
        <f>IFERROR(VLOOKUP(L632,'Material Master'!B:C,2,0),"")</f>
      </c>
      <c r="N632" s="7"/>
      <c r="O632" s="162">
        <f>IFERROR(M632*N632,"")</f>
      </c>
      <c r="P632" s="6"/>
      <c r="Q632" s="158"/>
      <c r="R632" s="163"/>
      <c r="S632" s="147"/>
      <c r="T632" s="6"/>
      <c r="U632" s="158"/>
      <c r="V632" s="164">
        <v>31</v>
      </c>
      <c r="W632" s="165">
        <f>IFERROR(U632*V632,"0")</f>
      </c>
      <c r="X632" s="7"/>
      <c r="Y632" s="191">
        <f>IFERROR((O632/1000)*Masters!$C$3,"0")</f>
      </c>
      <c r="Z632" s="195"/>
      <c r="AA632" s="164">
        <f>IFERROR(VLOOKUP(L632,Masters!G:H,2,0),"0")</f>
      </c>
      <c r="AB632" s="166">
        <f>IFERROR(AA632*N632,"0")</f>
      </c>
      <c r="AC632" s="196"/>
      <c r="AD632" s="7"/>
      <c r="AE632" s="166">
        <f>W632+Y632+AB632+AD632</f>
      </c>
      <c r="AF632" s="195"/>
      <c r="AG632" s="169">
        <f>M632&amp;"-"&amp;F632</f>
      </c>
      <c r="AH632" s="191">
        <f>IFERROR(VLOOKUP(AG632,Masters!N:O,2,0),"0")</f>
      </c>
      <c r="AI632" s="166">
        <f>AH632*N632</f>
      </c>
      <c r="AJ632" s="7"/>
      <c r="AK632" s="170">
        <f>AI632-AE632</f>
      </c>
      <c r="AL632" s="195"/>
      <c r="AM632" s="6"/>
      <c r="AN632" s="171">
        <f>IFERROR(U632/2,"0")</f>
      </c>
    </row>
    <row x14ac:dyDescent="0.25" r="633" customHeight="1" ht="18.75">
      <c r="A633" s="158">
        <f>A632+1</f>
      </c>
      <c r="B633" s="159"/>
      <c r="C633" s="6"/>
      <c r="D633" s="159"/>
      <c r="E633" s="198"/>
      <c r="F633" s="160"/>
      <c r="G633" s="6"/>
      <c r="H633" s="6"/>
      <c r="I633" s="7"/>
      <c r="J633" s="147"/>
      <c r="K633" s="7"/>
      <c r="L633" s="147"/>
      <c r="M633" s="161">
        <f>IFERROR(VLOOKUP(L633,'Material Master'!B:C,2,0),"")</f>
      </c>
      <c r="N633" s="7"/>
      <c r="O633" s="162">
        <f>IFERROR(M633*N633,"")</f>
      </c>
      <c r="P633" s="6"/>
      <c r="Q633" s="158"/>
      <c r="R633" s="163"/>
      <c r="S633" s="147"/>
      <c r="T633" s="6"/>
      <c r="U633" s="158"/>
      <c r="V633" s="164">
        <v>31</v>
      </c>
      <c r="W633" s="165">
        <f>IFERROR(U633*V633,"0")</f>
      </c>
      <c r="X633" s="7"/>
      <c r="Y633" s="191">
        <f>IFERROR((O633/1000)*Masters!$C$3,"0")</f>
      </c>
      <c r="Z633" s="195"/>
      <c r="AA633" s="164">
        <f>IFERROR(VLOOKUP(L633,Masters!G:H,2,0),"0")</f>
      </c>
      <c r="AB633" s="166">
        <f>IFERROR(AA633*N633,"0")</f>
      </c>
      <c r="AC633" s="196"/>
      <c r="AD633" s="7"/>
      <c r="AE633" s="166">
        <f>W633+Y633+AB633+AD633</f>
      </c>
      <c r="AF633" s="195"/>
      <c r="AG633" s="169">
        <f>M633&amp;"-"&amp;F633</f>
      </c>
      <c r="AH633" s="191">
        <f>IFERROR(VLOOKUP(AG633,Masters!N:O,2,0),"0")</f>
      </c>
      <c r="AI633" s="166">
        <f>AH633*N633</f>
      </c>
      <c r="AJ633" s="7"/>
      <c r="AK633" s="170">
        <f>AI633-AE633</f>
      </c>
      <c r="AL633" s="195"/>
      <c r="AM633" s="6"/>
      <c r="AN633" s="171">
        <f>IFERROR(U633/2,"0")</f>
      </c>
    </row>
    <row x14ac:dyDescent="0.25" r="634" customHeight="1" ht="18.75">
      <c r="A634" s="158">
        <f>A633+1</f>
      </c>
      <c r="B634" s="159"/>
      <c r="C634" s="6"/>
      <c r="D634" s="159"/>
      <c r="E634" s="198"/>
      <c r="F634" s="160"/>
      <c r="G634" s="6"/>
      <c r="H634" s="6"/>
      <c r="I634" s="7"/>
      <c r="J634" s="147"/>
      <c r="K634" s="7"/>
      <c r="L634" s="147"/>
      <c r="M634" s="161">
        <f>IFERROR(VLOOKUP(L634,'Material Master'!B:C,2,0),"")</f>
      </c>
      <c r="N634" s="7"/>
      <c r="O634" s="162">
        <f>IFERROR(M634*N634,"")</f>
      </c>
      <c r="P634" s="6"/>
      <c r="Q634" s="158"/>
      <c r="R634" s="163"/>
      <c r="S634" s="147"/>
      <c r="T634" s="6"/>
      <c r="U634" s="158"/>
      <c r="V634" s="164">
        <v>31</v>
      </c>
      <c r="W634" s="165">
        <f>IFERROR(U634*V634,"0")</f>
      </c>
      <c r="X634" s="7"/>
      <c r="Y634" s="191">
        <f>IFERROR((O634/1000)*Masters!$C$3,"0")</f>
      </c>
      <c r="Z634" s="195"/>
      <c r="AA634" s="164">
        <f>IFERROR(VLOOKUP(L634,Masters!G:H,2,0),"0")</f>
      </c>
      <c r="AB634" s="166">
        <f>IFERROR(AA634*N634,"0")</f>
      </c>
      <c r="AC634" s="196"/>
      <c r="AD634" s="7"/>
      <c r="AE634" s="166">
        <f>W634+Y634+AB634+AD634</f>
      </c>
      <c r="AF634" s="195"/>
      <c r="AG634" s="169">
        <f>M634&amp;"-"&amp;F634</f>
      </c>
      <c r="AH634" s="191">
        <f>IFERROR(VLOOKUP(AG634,Masters!N:O,2,0),"0")</f>
      </c>
      <c r="AI634" s="166">
        <f>AH634*N634</f>
      </c>
      <c r="AJ634" s="7"/>
      <c r="AK634" s="170">
        <f>AI634-AE634</f>
      </c>
      <c r="AL634" s="195"/>
      <c r="AM634" s="6"/>
      <c r="AN634" s="171">
        <f>IFERROR(U634/2,"0")</f>
      </c>
    </row>
    <row x14ac:dyDescent="0.25" r="635" customHeight="1" ht="18.75">
      <c r="A635" s="158">
        <f>A634+1</f>
      </c>
      <c r="B635" s="159"/>
      <c r="C635" s="6"/>
      <c r="D635" s="159"/>
      <c r="E635" s="198"/>
      <c r="F635" s="160"/>
      <c r="G635" s="6"/>
      <c r="H635" s="6"/>
      <c r="I635" s="7"/>
      <c r="J635" s="147"/>
      <c r="K635" s="7"/>
      <c r="L635" s="147"/>
      <c r="M635" s="161">
        <f>IFERROR(VLOOKUP(L635,'Material Master'!B:C,2,0),"")</f>
      </c>
      <c r="N635" s="7"/>
      <c r="O635" s="162">
        <f>IFERROR(M635*N635,"")</f>
      </c>
      <c r="P635" s="6"/>
      <c r="Q635" s="158"/>
      <c r="R635" s="163"/>
      <c r="S635" s="147"/>
      <c r="T635" s="6"/>
      <c r="U635" s="158"/>
      <c r="V635" s="164">
        <v>31</v>
      </c>
      <c r="W635" s="165">
        <f>IFERROR(U635*V635,"0")</f>
      </c>
      <c r="X635" s="7"/>
      <c r="Y635" s="191">
        <f>IFERROR((O635/1000)*Masters!$C$3,"0")</f>
      </c>
      <c r="Z635" s="195"/>
      <c r="AA635" s="164">
        <f>IFERROR(VLOOKUP(L635,Masters!G:H,2,0),"0")</f>
      </c>
      <c r="AB635" s="166">
        <f>IFERROR(AA635*N635,"0")</f>
      </c>
      <c r="AC635" s="196"/>
      <c r="AD635" s="7"/>
      <c r="AE635" s="166">
        <f>W635+Y635+AB635+AD635</f>
      </c>
      <c r="AF635" s="195"/>
      <c r="AG635" s="169">
        <f>M635&amp;"-"&amp;F635</f>
      </c>
      <c r="AH635" s="191">
        <f>IFERROR(VLOOKUP(AG635,Masters!N:O,2,0),"0")</f>
      </c>
      <c r="AI635" s="166">
        <f>AH635*N635</f>
      </c>
      <c r="AJ635" s="7"/>
      <c r="AK635" s="170">
        <f>AI635-AE635</f>
      </c>
      <c r="AL635" s="195"/>
      <c r="AM635" s="6"/>
      <c r="AN635" s="171">
        <f>IFERROR(U635/2,"0")</f>
      </c>
    </row>
    <row x14ac:dyDescent="0.25" r="636" customHeight="1" ht="18.75">
      <c r="A636" s="158">
        <f>A635+1</f>
      </c>
      <c r="B636" s="159"/>
      <c r="C636" s="6"/>
      <c r="D636" s="159"/>
      <c r="E636" s="198"/>
      <c r="F636" s="160"/>
      <c r="G636" s="6"/>
      <c r="H636" s="6"/>
      <c r="I636" s="7"/>
      <c r="J636" s="147"/>
      <c r="K636" s="7"/>
      <c r="L636" s="147"/>
      <c r="M636" s="161">
        <f>IFERROR(VLOOKUP(L636,'Material Master'!B:C,2,0),"")</f>
      </c>
      <c r="N636" s="7"/>
      <c r="O636" s="162">
        <f>IFERROR(M636*N636,"")</f>
      </c>
      <c r="P636" s="6"/>
      <c r="Q636" s="158"/>
      <c r="R636" s="163"/>
      <c r="S636" s="147"/>
      <c r="T636" s="6"/>
      <c r="U636" s="158"/>
      <c r="V636" s="164">
        <v>31</v>
      </c>
      <c r="W636" s="165">
        <f>IFERROR(U636*V636,"0")</f>
      </c>
      <c r="X636" s="7"/>
      <c r="Y636" s="191">
        <f>IFERROR((O636/1000)*Masters!$C$3,"0")</f>
      </c>
      <c r="Z636" s="195"/>
      <c r="AA636" s="164">
        <f>IFERROR(VLOOKUP(L636,Masters!G:H,2,0),"0")</f>
      </c>
      <c r="AB636" s="166">
        <f>IFERROR(AA636*N636,"0")</f>
      </c>
      <c r="AC636" s="196"/>
      <c r="AD636" s="7"/>
      <c r="AE636" s="166">
        <f>W636+Y636+AB636+AD636</f>
      </c>
      <c r="AF636" s="195"/>
      <c r="AG636" s="169">
        <f>M636&amp;"-"&amp;F636</f>
      </c>
      <c r="AH636" s="191">
        <f>IFERROR(VLOOKUP(AG636,Masters!N:O,2,0),"0")</f>
      </c>
      <c r="AI636" s="166">
        <f>AH636*N636</f>
      </c>
      <c r="AJ636" s="7"/>
      <c r="AK636" s="170">
        <f>AI636-AE636</f>
      </c>
      <c r="AL636" s="195"/>
      <c r="AM636" s="6"/>
      <c r="AN636" s="171">
        <f>IFERROR(U636/2,"0")</f>
      </c>
    </row>
    <row x14ac:dyDescent="0.25" r="637" customHeight="1" ht="18.75">
      <c r="A637" s="158">
        <f>A636+1</f>
      </c>
      <c r="B637" s="159"/>
      <c r="C637" s="6"/>
      <c r="D637" s="159"/>
      <c r="E637" s="198"/>
      <c r="F637" s="160"/>
      <c r="G637" s="6"/>
      <c r="H637" s="6"/>
      <c r="I637" s="7"/>
      <c r="J637" s="147"/>
      <c r="K637" s="7"/>
      <c r="L637" s="147"/>
      <c r="M637" s="161">
        <f>IFERROR(VLOOKUP(L637,'Material Master'!B:C,2,0),"")</f>
      </c>
      <c r="N637" s="7"/>
      <c r="O637" s="162">
        <f>IFERROR(M637*N637,"")</f>
      </c>
      <c r="P637" s="6"/>
      <c r="Q637" s="158"/>
      <c r="R637" s="163"/>
      <c r="S637" s="147"/>
      <c r="T637" s="6"/>
      <c r="U637" s="158"/>
      <c r="V637" s="164">
        <v>31</v>
      </c>
      <c r="W637" s="165">
        <f>IFERROR(U637*V637,"0")</f>
      </c>
      <c r="X637" s="7"/>
      <c r="Y637" s="191">
        <f>IFERROR((O637/1000)*Masters!$C$3,"0")</f>
      </c>
      <c r="Z637" s="195"/>
      <c r="AA637" s="164">
        <f>IFERROR(VLOOKUP(L637,Masters!G:H,2,0),"0")</f>
      </c>
      <c r="AB637" s="166">
        <f>IFERROR(AA637*N637,"0")</f>
      </c>
      <c r="AC637" s="196"/>
      <c r="AD637" s="7"/>
      <c r="AE637" s="166">
        <f>W637+Y637+AB637+AD637</f>
      </c>
      <c r="AF637" s="195"/>
      <c r="AG637" s="169">
        <f>M637&amp;"-"&amp;F637</f>
      </c>
      <c r="AH637" s="191">
        <f>IFERROR(VLOOKUP(AG637,Masters!N:O,2,0),"0")</f>
      </c>
      <c r="AI637" s="166">
        <f>AH637*N637</f>
      </c>
      <c r="AJ637" s="7"/>
      <c r="AK637" s="170">
        <f>AI637-AE637</f>
      </c>
      <c r="AL637" s="195"/>
      <c r="AM637" s="6"/>
      <c r="AN637" s="171">
        <f>IFERROR(U637/2,"0")</f>
      </c>
    </row>
    <row x14ac:dyDescent="0.25" r="638" customHeight="1" ht="18.75">
      <c r="A638" s="158">
        <f>A637+1</f>
      </c>
      <c r="B638" s="159"/>
      <c r="C638" s="6"/>
      <c r="D638" s="159"/>
      <c r="E638" s="198"/>
      <c r="F638" s="160"/>
      <c r="G638" s="6"/>
      <c r="H638" s="6"/>
      <c r="I638" s="7"/>
      <c r="J638" s="147"/>
      <c r="K638" s="7"/>
      <c r="L638" s="147"/>
      <c r="M638" s="161">
        <f>IFERROR(VLOOKUP(L638,'Material Master'!B:C,2,0),"")</f>
      </c>
      <c r="N638" s="7"/>
      <c r="O638" s="162">
        <f>IFERROR(M638*N638,"")</f>
      </c>
      <c r="P638" s="6"/>
      <c r="Q638" s="158"/>
      <c r="R638" s="163"/>
      <c r="S638" s="147"/>
      <c r="T638" s="6"/>
      <c r="U638" s="158"/>
      <c r="V638" s="164">
        <v>31</v>
      </c>
      <c r="W638" s="165">
        <f>IFERROR(U638*V638,"0")</f>
      </c>
      <c r="X638" s="7"/>
      <c r="Y638" s="191">
        <f>IFERROR((O638/1000)*Masters!$C$3,"0")</f>
      </c>
      <c r="Z638" s="195"/>
      <c r="AA638" s="164">
        <f>IFERROR(VLOOKUP(L638,Masters!G:H,2,0),"0")</f>
      </c>
      <c r="AB638" s="166">
        <f>IFERROR(AA638*N638,"0")</f>
      </c>
      <c r="AC638" s="196"/>
      <c r="AD638" s="7"/>
      <c r="AE638" s="166">
        <f>W638+Y638+AB638+AD638</f>
      </c>
      <c r="AF638" s="195"/>
      <c r="AG638" s="169">
        <f>M638&amp;"-"&amp;F638</f>
      </c>
      <c r="AH638" s="191">
        <f>IFERROR(VLOOKUP(AG638,Masters!N:O,2,0),"0")</f>
      </c>
      <c r="AI638" s="166">
        <f>AH638*N638</f>
      </c>
      <c r="AJ638" s="7"/>
      <c r="AK638" s="170">
        <f>AI638-AE638</f>
      </c>
      <c r="AL638" s="195"/>
      <c r="AM638" s="6"/>
      <c r="AN638" s="171">
        <f>IFERROR(U638/2,"0")</f>
      </c>
    </row>
    <row x14ac:dyDescent="0.25" r="639" customHeight="1" ht="18.75">
      <c r="A639" s="158">
        <f>A638+1</f>
      </c>
      <c r="B639" s="159"/>
      <c r="C639" s="6"/>
      <c r="D639" s="159"/>
      <c r="E639" s="198"/>
      <c r="F639" s="160"/>
      <c r="G639" s="6"/>
      <c r="H639" s="6"/>
      <c r="I639" s="7"/>
      <c r="J639" s="147"/>
      <c r="K639" s="7"/>
      <c r="L639" s="147"/>
      <c r="M639" s="161">
        <f>IFERROR(VLOOKUP(L639,'Material Master'!B:C,2,0),"")</f>
      </c>
      <c r="N639" s="7"/>
      <c r="O639" s="162">
        <f>IFERROR(M639*N639,"")</f>
      </c>
      <c r="P639" s="6"/>
      <c r="Q639" s="158"/>
      <c r="R639" s="163"/>
      <c r="S639" s="147"/>
      <c r="T639" s="6"/>
      <c r="U639" s="158"/>
      <c r="V639" s="164">
        <v>31</v>
      </c>
      <c r="W639" s="165">
        <f>IFERROR(U639*V639,"0")</f>
      </c>
      <c r="X639" s="7"/>
      <c r="Y639" s="191">
        <f>IFERROR((O639/1000)*Masters!$C$3,"0")</f>
      </c>
      <c r="Z639" s="195"/>
      <c r="AA639" s="164">
        <f>IFERROR(VLOOKUP(L639,Masters!G:H,2,0),"0")</f>
      </c>
      <c r="AB639" s="166">
        <f>IFERROR(AA639*N639,"0")</f>
      </c>
      <c r="AC639" s="196"/>
      <c r="AD639" s="7"/>
      <c r="AE639" s="166">
        <f>W639+Y639+AB639+AD639</f>
      </c>
      <c r="AF639" s="195"/>
      <c r="AG639" s="169">
        <f>M639&amp;"-"&amp;F639</f>
      </c>
      <c r="AH639" s="191">
        <f>IFERROR(VLOOKUP(AG639,Masters!N:O,2,0),"0")</f>
      </c>
      <c r="AI639" s="166">
        <f>AH639*N639</f>
      </c>
      <c r="AJ639" s="7"/>
      <c r="AK639" s="170">
        <f>AI639-AE639</f>
      </c>
      <c r="AL639" s="195"/>
      <c r="AM639" s="6"/>
      <c r="AN639" s="171">
        <f>IFERROR(U639/2,"0")</f>
      </c>
    </row>
    <row x14ac:dyDescent="0.25" r="640" customHeight="1" ht="18.75">
      <c r="A640" s="158">
        <f>A639+1</f>
      </c>
      <c r="B640" s="159"/>
      <c r="C640" s="6"/>
      <c r="D640" s="159"/>
      <c r="E640" s="198"/>
      <c r="F640" s="160"/>
      <c r="G640" s="6"/>
      <c r="H640" s="6"/>
      <c r="I640" s="7"/>
      <c r="J640" s="147"/>
      <c r="K640" s="7"/>
      <c r="L640" s="147"/>
      <c r="M640" s="161">
        <f>IFERROR(VLOOKUP(L640,'Material Master'!B:C,2,0),"")</f>
      </c>
      <c r="N640" s="7"/>
      <c r="O640" s="162">
        <f>IFERROR(M640*N640,"")</f>
      </c>
      <c r="P640" s="6"/>
      <c r="Q640" s="158"/>
      <c r="R640" s="163"/>
      <c r="S640" s="147"/>
      <c r="T640" s="6"/>
      <c r="U640" s="158"/>
      <c r="V640" s="164">
        <v>31</v>
      </c>
      <c r="W640" s="165">
        <f>IFERROR(U640*V640,"0")</f>
      </c>
      <c r="X640" s="7"/>
      <c r="Y640" s="191">
        <f>IFERROR((O640/1000)*Masters!$C$3,"0")</f>
      </c>
      <c r="Z640" s="195"/>
      <c r="AA640" s="164">
        <f>IFERROR(VLOOKUP(L640,Masters!G:H,2,0),"0")</f>
      </c>
      <c r="AB640" s="166">
        <f>IFERROR(AA640*N640,"0")</f>
      </c>
      <c r="AC640" s="196"/>
      <c r="AD640" s="7"/>
      <c r="AE640" s="166">
        <f>W640+Y640+AB640+AD640</f>
      </c>
      <c r="AF640" s="195"/>
      <c r="AG640" s="169">
        <f>M640&amp;"-"&amp;F640</f>
      </c>
      <c r="AH640" s="191">
        <f>IFERROR(VLOOKUP(AG640,Masters!N:O,2,0),"0")</f>
      </c>
      <c r="AI640" s="166">
        <f>AH640*N640</f>
      </c>
      <c r="AJ640" s="7"/>
      <c r="AK640" s="170">
        <f>AI640-AE640</f>
      </c>
      <c r="AL640" s="195"/>
      <c r="AM640" s="6"/>
      <c r="AN640" s="171">
        <f>IFERROR(U640/2,"0")</f>
      </c>
    </row>
    <row x14ac:dyDescent="0.25" r="641" customHeight="1" ht="18.75">
      <c r="A641" s="158">
        <f>A640+1</f>
      </c>
      <c r="B641" s="159"/>
      <c r="C641" s="6"/>
      <c r="D641" s="159"/>
      <c r="E641" s="198"/>
      <c r="F641" s="160"/>
      <c r="G641" s="6"/>
      <c r="H641" s="6"/>
      <c r="I641" s="7"/>
      <c r="J641" s="147"/>
      <c r="K641" s="7"/>
      <c r="L641" s="147"/>
      <c r="M641" s="161">
        <f>IFERROR(VLOOKUP(L641,'Material Master'!B:C,2,0),"")</f>
      </c>
      <c r="N641" s="7"/>
      <c r="O641" s="162">
        <f>IFERROR(M641*N641,"")</f>
      </c>
      <c r="P641" s="6"/>
      <c r="Q641" s="158"/>
      <c r="R641" s="163"/>
      <c r="S641" s="147"/>
      <c r="T641" s="6"/>
      <c r="U641" s="158"/>
      <c r="V641" s="164">
        <v>31</v>
      </c>
      <c r="W641" s="165">
        <f>IFERROR(U641*V641,"0")</f>
      </c>
      <c r="X641" s="7"/>
      <c r="Y641" s="191">
        <f>IFERROR((O641/1000)*Masters!$C$3,"0")</f>
      </c>
      <c r="Z641" s="195"/>
      <c r="AA641" s="164">
        <f>IFERROR(VLOOKUP(L641,Masters!G:H,2,0),"0")</f>
      </c>
      <c r="AB641" s="166">
        <f>IFERROR(AA641*N641,"0")</f>
      </c>
      <c r="AC641" s="196"/>
      <c r="AD641" s="7"/>
      <c r="AE641" s="166">
        <f>W641+Y641+AB641+AD641</f>
      </c>
      <c r="AF641" s="195"/>
      <c r="AG641" s="169">
        <f>M641&amp;"-"&amp;F641</f>
      </c>
      <c r="AH641" s="191">
        <f>IFERROR(VLOOKUP(AG641,Masters!N:O,2,0),"0")</f>
      </c>
      <c r="AI641" s="166">
        <f>AH641*N641</f>
      </c>
      <c r="AJ641" s="7"/>
      <c r="AK641" s="170">
        <f>AI641-AE641</f>
      </c>
      <c r="AL641" s="195"/>
      <c r="AM641" s="6"/>
      <c r="AN641" s="171">
        <f>IFERROR(U641/2,"0")</f>
      </c>
    </row>
    <row x14ac:dyDescent="0.25" r="642" customHeight="1" ht="18.75">
      <c r="A642" s="158">
        <f>A641+1</f>
      </c>
      <c r="B642" s="159"/>
      <c r="C642" s="6"/>
      <c r="D642" s="159"/>
      <c r="E642" s="198"/>
      <c r="F642" s="160"/>
      <c r="G642" s="6"/>
      <c r="H642" s="6"/>
      <c r="I642" s="7"/>
      <c r="J642" s="147"/>
      <c r="K642" s="7"/>
      <c r="L642" s="147"/>
      <c r="M642" s="161">
        <f>IFERROR(VLOOKUP(L642,'Material Master'!B:C,2,0),"")</f>
      </c>
      <c r="N642" s="7"/>
      <c r="O642" s="162">
        <f>IFERROR(M642*N642,"")</f>
      </c>
      <c r="P642" s="6"/>
      <c r="Q642" s="158"/>
      <c r="R642" s="163"/>
      <c r="S642" s="147"/>
      <c r="T642" s="6"/>
      <c r="U642" s="158"/>
      <c r="V642" s="164">
        <v>31</v>
      </c>
      <c r="W642" s="165">
        <f>IFERROR(U642*V642,"0")</f>
      </c>
      <c r="X642" s="7"/>
      <c r="Y642" s="191">
        <f>IFERROR((O642/1000)*Masters!$C$3,"0")</f>
      </c>
      <c r="Z642" s="195"/>
      <c r="AA642" s="164">
        <f>IFERROR(VLOOKUP(L642,Masters!G:H,2,0),"0")</f>
      </c>
      <c r="AB642" s="166">
        <f>IFERROR(AA642*N642,"0")</f>
      </c>
      <c r="AC642" s="196"/>
      <c r="AD642" s="7"/>
      <c r="AE642" s="166">
        <f>W642+Y642+AB642+AD642</f>
      </c>
      <c r="AF642" s="195"/>
      <c r="AG642" s="169">
        <f>M642&amp;"-"&amp;F642</f>
      </c>
      <c r="AH642" s="191">
        <f>IFERROR(VLOOKUP(AG642,Masters!N:O,2,0),"0")</f>
      </c>
      <c r="AI642" s="166">
        <f>AH642*N642</f>
      </c>
      <c r="AJ642" s="7"/>
      <c r="AK642" s="170">
        <f>AI642-AE642</f>
      </c>
      <c r="AL642" s="195"/>
      <c r="AM642" s="6"/>
      <c r="AN642" s="171">
        <f>IFERROR(U642/2,"0")</f>
      </c>
    </row>
    <row x14ac:dyDescent="0.25" r="643" customHeight="1" ht="18.75">
      <c r="A643" s="158">
        <f>A642+1</f>
      </c>
      <c r="B643" s="159"/>
      <c r="C643" s="6"/>
      <c r="D643" s="159"/>
      <c r="E643" s="198"/>
      <c r="F643" s="160"/>
      <c r="G643" s="6"/>
      <c r="H643" s="6"/>
      <c r="I643" s="7"/>
      <c r="J643" s="147"/>
      <c r="K643" s="7"/>
      <c r="L643" s="147"/>
      <c r="M643" s="161">
        <f>IFERROR(VLOOKUP(L643,'Material Master'!B:C,2,0),"")</f>
      </c>
      <c r="N643" s="7"/>
      <c r="O643" s="162">
        <f>IFERROR(M643*N643,"")</f>
      </c>
      <c r="P643" s="6"/>
      <c r="Q643" s="158"/>
      <c r="R643" s="163"/>
      <c r="S643" s="147"/>
      <c r="T643" s="6"/>
      <c r="U643" s="158"/>
      <c r="V643" s="164">
        <v>31</v>
      </c>
      <c r="W643" s="165">
        <f>IFERROR(U643*V643,"0")</f>
      </c>
      <c r="X643" s="7"/>
      <c r="Y643" s="191">
        <f>IFERROR((O643/1000)*Masters!$C$3,"0")</f>
      </c>
      <c r="Z643" s="195"/>
      <c r="AA643" s="164">
        <f>IFERROR(VLOOKUP(L643,Masters!G:H,2,0),"0")</f>
      </c>
      <c r="AB643" s="166">
        <f>IFERROR(AA643*N643,"0")</f>
      </c>
      <c r="AC643" s="196"/>
      <c r="AD643" s="7"/>
      <c r="AE643" s="166">
        <f>W643+Y643+AB643+AD643</f>
      </c>
      <c r="AF643" s="195"/>
      <c r="AG643" s="169">
        <f>M643&amp;"-"&amp;F643</f>
      </c>
      <c r="AH643" s="191">
        <f>IFERROR(VLOOKUP(AG643,Masters!N:O,2,0),"0")</f>
      </c>
      <c r="AI643" s="166">
        <f>AH643*N643</f>
      </c>
      <c r="AJ643" s="7"/>
      <c r="AK643" s="170">
        <f>AI643-AE643</f>
      </c>
      <c r="AL643" s="195"/>
      <c r="AM643" s="6"/>
      <c r="AN643" s="171">
        <f>IFERROR(U643/2,"0")</f>
      </c>
    </row>
    <row x14ac:dyDescent="0.25" r="644" customHeight="1" ht="18.75">
      <c r="A644" s="158">
        <f>A643+1</f>
      </c>
      <c r="B644" s="159"/>
      <c r="C644" s="6"/>
      <c r="D644" s="159"/>
      <c r="E644" s="198"/>
      <c r="F644" s="160"/>
      <c r="G644" s="6"/>
      <c r="H644" s="6"/>
      <c r="I644" s="7"/>
      <c r="J644" s="147"/>
      <c r="K644" s="7"/>
      <c r="L644" s="147"/>
      <c r="M644" s="161">
        <f>IFERROR(VLOOKUP(L644,'Material Master'!B:C,2,0),"")</f>
      </c>
      <c r="N644" s="7"/>
      <c r="O644" s="162">
        <f>IFERROR(M644*N644,"")</f>
      </c>
      <c r="P644" s="6"/>
      <c r="Q644" s="158"/>
      <c r="R644" s="163"/>
      <c r="S644" s="147"/>
      <c r="T644" s="6"/>
      <c r="U644" s="158"/>
      <c r="V644" s="164">
        <v>31</v>
      </c>
      <c r="W644" s="165">
        <f>IFERROR(U644*V644,"0")</f>
      </c>
      <c r="X644" s="7"/>
      <c r="Y644" s="191">
        <f>IFERROR((O644/1000)*Masters!$C$3,"0")</f>
      </c>
      <c r="Z644" s="195"/>
      <c r="AA644" s="164">
        <f>IFERROR(VLOOKUP(L644,Masters!G:H,2,0),"0")</f>
      </c>
      <c r="AB644" s="166">
        <f>IFERROR(AA644*N644,"0")</f>
      </c>
      <c r="AC644" s="196"/>
      <c r="AD644" s="7"/>
      <c r="AE644" s="166">
        <f>W644+Y644+AB644+AD644</f>
      </c>
      <c r="AF644" s="195"/>
      <c r="AG644" s="169">
        <f>M644&amp;"-"&amp;F644</f>
      </c>
      <c r="AH644" s="191">
        <f>IFERROR(VLOOKUP(AG644,Masters!N:O,2,0),"0")</f>
      </c>
      <c r="AI644" s="166">
        <f>AH644*N644</f>
      </c>
      <c r="AJ644" s="7"/>
      <c r="AK644" s="170">
        <f>AI644-AE644</f>
      </c>
      <c r="AL644" s="195"/>
      <c r="AM644" s="6"/>
      <c r="AN644" s="171">
        <f>IFERROR(U644/2,"0")</f>
      </c>
    </row>
    <row x14ac:dyDescent="0.25" r="645" customHeight="1" ht="18.75">
      <c r="A645" s="158">
        <f>A644+1</f>
      </c>
      <c r="B645" s="159"/>
      <c r="C645" s="6"/>
      <c r="D645" s="159"/>
      <c r="E645" s="198"/>
      <c r="F645" s="160"/>
      <c r="G645" s="6"/>
      <c r="H645" s="6"/>
      <c r="I645" s="7"/>
      <c r="J645" s="147"/>
      <c r="K645" s="7"/>
      <c r="L645" s="147"/>
      <c r="M645" s="161">
        <f>IFERROR(VLOOKUP(L645,'Material Master'!B:C,2,0),"")</f>
      </c>
      <c r="N645" s="7"/>
      <c r="O645" s="162">
        <f>IFERROR(M645*N645,"")</f>
      </c>
      <c r="P645" s="6"/>
      <c r="Q645" s="158"/>
      <c r="R645" s="163"/>
      <c r="S645" s="147"/>
      <c r="T645" s="6"/>
      <c r="U645" s="158"/>
      <c r="V645" s="164">
        <v>31</v>
      </c>
      <c r="W645" s="165">
        <f>IFERROR(U645*V645,"0")</f>
      </c>
      <c r="X645" s="7"/>
      <c r="Y645" s="191">
        <f>IFERROR((O645/1000)*Masters!$C$3,"0")</f>
      </c>
      <c r="Z645" s="195"/>
      <c r="AA645" s="164">
        <f>IFERROR(VLOOKUP(L645,Masters!G:H,2,0),"0")</f>
      </c>
      <c r="AB645" s="166">
        <f>IFERROR(AA645*N645,"0")</f>
      </c>
      <c r="AC645" s="196"/>
      <c r="AD645" s="7"/>
      <c r="AE645" s="166">
        <f>W645+Y645+AB645+AD645</f>
      </c>
      <c r="AF645" s="195"/>
      <c r="AG645" s="169">
        <f>M645&amp;"-"&amp;F645</f>
      </c>
      <c r="AH645" s="191">
        <f>IFERROR(VLOOKUP(AG645,Masters!N:O,2,0),"0")</f>
      </c>
      <c r="AI645" s="166">
        <f>AH645*N645</f>
      </c>
      <c r="AJ645" s="7"/>
      <c r="AK645" s="170">
        <f>AI645-AE645</f>
      </c>
      <c r="AL645" s="195"/>
      <c r="AM645" s="6"/>
      <c r="AN645" s="171">
        <f>IFERROR(U645/2,"0")</f>
      </c>
    </row>
    <row x14ac:dyDescent="0.25" r="646" customHeight="1" ht="18.75">
      <c r="A646" s="158">
        <f>A645+1</f>
      </c>
      <c r="B646" s="159"/>
      <c r="C646" s="6"/>
      <c r="D646" s="159"/>
      <c r="E646" s="198"/>
      <c r="F646" s="160"/>
      <c r="G646" s="6"/>
      <c r="H646" s="6"/>
      <c r="I646" s="7"/>
      <c r="J646" s="147"/>
      <c r="K646" s="7"/>
      <c r="L646" s="147"/>
      <c r="M646" s="161">
        <f>IFERROR(VLOOKUP(L646,'Material Master'!B:C,2,0),"")</f>
      </c>
      <c r="N646" s="7"/>
      <c r="O646" s="162">
        <f>IFERROR(M646*N646,"")</f>
      </c>
      <c r="P646" s="6"/>
      <c r="Q646" s="158"/>
      <c r="R646" s="163"/>
      <c r="S646" s="147"/>
      <c r="T646" s="6"/>
      <c r="U646" s="158"/>
      <c r="V646" s="164">
        <v>31</v>
      </c>
      <c r="W646" s="165">
        <f>IFERROR(U646*V646,"0")</f>
      </c>
      <c r="X646" s="7"/>
      <c r="Y646" s="191">
        <f>IFERROR((O646/1000)*Masters!$C$3,"0")</f>
      </c>
      <c r="Z646" s="195"/>
      <c r="AA646" s="164">
        <f>IFERROR(VLOOKUP(L646,Masters!G:H,2,0),"0")</f>
      </c>
      <c r="AB646" s="166">
        <f>IFERROR(AA646*N646,"0")</f>
      </c>
      <c r="AC646" s="196"/>
      <c r="AD646" s="7"/>
      <c r="AE646" s="166">
        <f>W646+Y646+AB646+AD646</f>
      </c>
      <c r="AF646" s="195"/>
      <c r="AG646" s="169">
        <f>M646&amp;"-"&amp;F646</f>
      </c>
      <c r="AH646" s="191">
        <f>IFERROR(VLOOKUP(AG646,Masters!N:O,2,0),"0")</f>
      </c>
      <c r="AI646" s="166">
        <f>AH646*N646</f>
      </c>
      <c r="AJ646" s="7"/>
      <c r="AK646" s="170">
        <f>AI646-AE646</f>
      </c>
      <c r="AL646" s="195"/>
      <c r="AM646" s="6"/>
      <c r="AN646" s="171">
        <f>IFERROR(U646/2,"0")</f>
      </c>
    </row>
    <row x14ac:dyDescent="0.25" r="647" customHeight="1" ht="18.75">
      <c r="A647" s="158">
        <f>A646+1</f>
      </c>
      <c r="B647" s="159"/>
      <c r="C647" s="6"/>
      <c r="D647" s="159"/>
      <c r="E647" s="198"/>
      <c r="F647" s="160"/>
      <c r="G647" s="6"/>
      <c r="H647" s="6"/>
      <c r="I647" s="7"/>
      <c r="J647" s="147"/>
      <c r="K647" s="7"/>
      <c r="L647" s="147"/>
      <c r="M647" s="161">
        <f>IFERROR(VLOOKUP(L647,'Material Master'!B:C,2,0),"")</f>
      </c>
      <c r="N647" s="7"/>
      <c r="O647" s="162">
        <f>IFERROR(M647*N647,"")</f>
      </c>
      <c r="P647" s="6"/>
      <c r="Q647" s="158"/>
      <c r="R647" s="163"/>
      <c r="S647" s="147"/>
      <c r="T647" s="6"/>
      <c r="U647" s="158"/>
      <c r="V647" s="164">
        <v>31</v>
      </c>
      <c r="W647" s="165">
        <f>IFERROR(U647*V647,"0")</f>
      </c>
      <c r="X647" s="7"/>
      <c r="Y647" s="191">
        <f>IFERROR((O647/1000)*Masters!$C$3,"0")</f>
      </c>
      <c r="Z647" s="195"/>
      <c r="AA647" s="164">
        <f>IFERROR(VLOOKUP(L647,Masters!G:H,2,0),"0")</f>
      </c>
      <c r="AB647" s="166">
        <f>IFERROR(AA647*N647,"0")</f>
      </c>
      <c r="AC647" s="196"/>
      <c r="AD647" s="7"/>
      <c r="AE647" s="166">
        <f>W647+Y647+AB647+AD647</f>
      </c>
      <c r="AF647" s="195"/>
      <c r="AG647" s="169">
        <f>M647&amp;"-"&amp;F647</f>
      </c>
      <c r="AH647" s="191">
        <f>IFERROR(VLOOKUP(AG647,Masters!N:O,2,0),"0")</f>
      </c>
      <c r="AI647" s="166">
        <f>AH647*N647</f>
      </c>
      <c r="AJ647" s="7"/>
      <c r="AK647" s="170">
        <f>AI647-AE647</f>
      </c>
      <c r="AL647" s="195"/>
      <c r="AM647" s="6"/>
      <c r="AN647" s="171">
        <f>IFERROR(U647/2,"0")</f>
      </c>
    </row>
    <row x14ac:dyDescent="0.25" r="648" customHeight="1" ht="18.75">
      <c r="A648" s="158">
        <f>A647+1</f>
      </c>
      <c r="B648" s="159"/>
      <c r="C648" s="6"/>
      <c r="D648" s="159"/>
      <c r="E648" s="198"/>
      <c r="F648" s="160"/>
      <c r="G648" s="6"/>
      <c r="H648" s="6"/>
      <c r="I648" s="7"/>
      <c r="J648" s="147"/>
      <c r="K648" s="7"/>
      <c r="L648" s="147"/>
      <c r="M648" s="161">
        <f>IFERROR(VLOOKUP(L648,'Material Master'!B:C,2,0),"")</f>
      </c>
      <c r="N648" s="7"/>
      <c r="O648" s="162">
        <f>IFERROR(M648*N648,"")</f>
      </c>
      <c r="P648" s="6"/>
      <c r="Q648" s="158"/>
      <c r="R648" s="163"/>
      <c r="S648" s="147"/>
      <c r="T648" s="6"/>
      <c r="U648" s="158"/>
      <c r="V648" s="164">
        <v>31</v>
      </c>
      <c r="W648" s="165">
        <f>IFERROR(U648*V648,"0")</f>
      </c>
      <c r="X648" s="7"/>
      <c r="Y648" s="191">
        <f>IFERROR((O648/1000)*Masters!$C$3,"0")</f>
      </c>
      <c r="Z648" s="195"/>
      <c r="AA648" s="164">
        <f>IFERROR(VLOOKUP(L648,Masters!G:H,2,0),"0")</f>
      </c>
      <c r="AB648" s="166">
        <f>IFERROR(AA648*N648,"0")</f>
      </c>
      <c r="AC648" s="196"/>
      <c r="AD648" s="7"/>
      <c r="AE648" s="166">
        <f>W648+Y648+AB648+AD648</f>
      </c>
      <c r="AF648" s="195"/>
      <c r="AG648" s="169">
        <f>M648&amp;"-"&amp;F648</f>
      </c>
      <c r="AH648" s="191">
        <f>IFERROR(VLOOKUP(AG648,Masters!N:O,2,0),"0")</f>
      </c>
      <c r="AI648" s="166">
        <f>AH648*N648</f>
      </c>
      <c r="AJ648" s="7"/>
      <c r="AK648" s="170">
        <f>AI648-AE648</f>
      </c>
      <c r="AL648" s="195"/>
      <c r="AM648" s="6"/>
      <c r="AN648" s="171">
        <f>IFERROR(U648/2,"0")</f>
      </c>
    </row>
    <row x14ac:dyDescent="0.25" r="649" customHeight="1" ht="18.75">
      <c r="A649" s="158">
        <f>A648+1</f>
      </c>
      <c r="B649" s="159"/>
      <c r="C649" s="6"/>
      <c r="D649" s="159"/>
      <c r="E649" s="198"/>
      <c r="F649" s="160"/>
      <c r="G649" s="6"/>
      <c r="H649" s="6"/>
      <c r="I649" s="7"/>
      <c r="J649" s="147"/>
      <c r="K649" s="7"/>
      <c r="L649" s="147"/>
      <c r="M649" s="161">
        <f>IFERROR(VLOOKUP(L649,'Material Master'!B:C,2,0),"")</f>
      </c>
      <c r="N649" s="7"/>
      <c r="O649" s="162">
        <f>IFERROR(M649*N649,"")</f>
      </c>
      <c r="P649" s="6"/>
      <c r="Q649" s="158"/>
      <c r="R649" s="163"/>
      <c r="S649" s="147"/>
      <c r="T649" s="6"/>
      <c r="U649" s="158"/>
      <c r="V649" s="164">
        <v>31</v>
      </c>
      <c r="W649" s="165">
        <f>IFERROR(U649*V649,"0")</f>
      </c>
      <c r="X649" s="7"/>
      <c r="Y649" s="191">
        <f>IFERROR((O649/1000)*Masters!$C$3,"0")</f>
      </c>
      <c r="Z649" s="195"/>
      <c r="AA649" s="164">
        <f>IFERROR(VLOOKUP(L649,Masters!G:H,2,0),"0")</f>
      </c>
      <c r="AB649" s="166">
        <f>IFERROR(AA649*N649,"0")</f>
      </c>
      <c r="AC649" s="196"/>
      <c r="AD649" s="7"/>
      <c r="AE649" s="166">
        <f>W649+Y649+AB649+AD649</f>
      </c>
      <c r="AF649" s="195"/>
      <c r="AG649" s="169">
        <f>M649&amp;"-"&amp;F649</f>
      </c>
      <c r="AH649" s="191">
        <f>IFERROR(VLOOKUP(AG649,Masters!N:O,2,0),"0")</f>
      </c>
      <c r="AI649" s="166">
        <f>AH649*N649</f>
      </c>
      <c r="AJ649" s="7"/>
      <c r="AK649" s="170">
        <f>AI649-AE649</f>
      </c>
      <c r="AL649" s="195"/>
      <c r="AM649" s="6"/>
      <c r="AN649" s="171">
        <f>IFERROR(U649/2,"0")</f>
      </c>
    </row>
    <row x14ac:dyDescent="0.25" r="650" customHeight="1" ht="18.75">
      <c r="A650" s="158">
        <f>A649+1</f>
      </c>
      <c r="B650" s="159"/>
      <c r="C650" s="6"/>
      <c r="D650" s="159"/>
      <c r="E650" s="198"/>
      <c r="F650" s="160"/>
      <c r="G650" s="6"/>
      <c r="H650" s="6"/>
      <c r="I650" s="7"/>
      <c r="J650" s="147"/>
      <c r="K650" s="7"/>
      <c r="L650" s="147"/>
      <c r="M650" s="161">
        <f>IFERROR(VLOOKUP(L650,'Material Master'!B:C,2,0),"")</f>
      </c>
      <c r="N650" s="7"/>
      <c r="O650" s="162">
        <f>IFERROR(M650*N650,"")</f>
      </c>
      <c r="P650" s="6"/>
      <c r="Q650" s="158"/>
      <c r="R650" s="163"/>
      <c r="S650" s="147"/>
      <c r="T650" s="6"/>
      <c r="U650" s="158"/>
      <c r="V650" s="164">
        <v>31</v>
      </c>
      <c r="W650" s="165">
        <f>IFERROR(U650*V650,"0")</f>
      </c>
      <c r="X650" s="7"/>
      <c r="Y650" s="191">
        <f>IFERROR((O650/1000)*Masters!$C$3,"0")</f>
      </c>
      <c r="Z650" s="195"/>
      <c r="AA650" s="164">
        <f>IFERROR(VLOOKUP(L650,Masters!G:H,2,0),"0")</f>
      </c>
      <c r="AB650" s="166">
        <f>IFERROR(AA650*N650,"0")</f>
      </c>
      <c r="AC650" s="196"/>
      <c r="AD650" s="7"/>
      <c r="AE650" s="166">
        <f>W650+Y650+AB650+AD650</f>
      </c>
      <c r="AF650" s="195"/>
      <c r="AG650" s="169">
        <f>M650&amp;"-"&amp;F650</f>
      </c>
      <c r="AH650" s="191">
        <f>IFERROR(VLOOKUP(AG650,Masters!N:O,2,0),"0")</f>
      </c>
      <c r="AI650" s="166">
        <f>AH650*N650</f>
      </c>
      <c r="AJ650" s="7"/>
      <c r="AK650" s="170">
        <f>AI650-AE650</f>
      </c>
      <c r="AL650" s="195"/>
      <c r="AM650" s="6"/>
      <c r="AN650" s="171">
        <f>IFERROR(U650/2,"0")</f>
      </c>
    </row>
    <row x14ac:dyDescent="0.25" r="651" customHeight="1" ht="18.75">
      <c r="A651" s="158">
        <f>A650+1</f>
      </c>
      <c r="B651" s="159"/>
      <c r="C651" s="6"/>
      <c r="D651" s="159"/>
      <c r="E651" s="198"/>
      <c r="F651" s="160"/>
      <c r="G651" s="6"/>
      <c r="H651" s="6"/>
      <c r="I651" s="7"/>
      <c r="J651" s="147"/>
      <c r="K651" s="7"/>
      <c r="L651" s="147"/>
      <c r="M651" s="161">
        <f>IFERROR(VLOOKUP(L651,'Material Master'!B:C,2,0),"")</f>
      </c>
      <c r="N651" s="7"/>
      <c r="O651" s="162">
        <f>IFERROR(M651*N651,"")</f>
      </c>
      <c r="P651" s="6"/>
      <c r="Q651" s="158"/>
      <c r="R651" s="163"/>
      <c r="S651" s="147"/>
      <c r="T651" s="6"/>
      <c r="U651" s="158"/>
      <c r="V651" s="164">
        <v>31</v>
      </c>
      <c r="W651" s="165">
        <f>IFERROR(U651*V651,"0")</f>
      </c>
      <c r="X651" s="7"/>
      <c r="Y651" s="191">
        <f>IFERROR((O651/1000)*Masters!$C$3,"0")</f>
      </c>
      <c r="Z651" s="195"/>
      <c r="AA651" s="164">
        <f>IFERROR(VLOOKUP(L651,Masters!G:H,2,0),"0")</f>
      </c>
      <c r="AB651" s="166">
        <f>IFERROR(AA651*N651,"0")</f>
      </c>
      <c r="AC651" s="196"/>
      <c r="AD651" s="7"/>
      <c r="AE651" s="166">
        <f>W651+Y651+AB651+AD651</f>
      </c>
      <c r="AF651" s="195"/>
      <c r="AG651" s="169">
        <f>M651&amp;"-"&amp;F651</f>
      </c>
      <c r="AH651" s="191">
        <f>IFERROR(VLOOKUP(AG651,Masters!N:O,2,0),"0")</f>
      </c>
      <c r="AI651" s="166">
        <f>AH651*N651</f>
      </c>
      <c r="AJ651" s="7"/>
      <c r="AK651" s="170">
        <f>AI651-AE651</f>
      </c>
      <c r="AL651" s="195"/>
      <c r="AM651" s="6"/>
      <c r="AN651" s="171">
        <f>IFERROR(U651/2,"0")</f>
      </c>
    </row>
    <row x14ac:dyDescent="0.25" r="652" customHeight="1" ht="18.75">
      <c r="A652" s="158">
        <f>A651+1</f>
      </c>
      <c r="B652" s="159"/>
      <c r="C652" s="6"/>
      <c r="D652" s="159"/>
      <c r="E652" s="198"/>
      <c r="F652" s="160"/>
      <c r="G652" s="6"/>
      <c r="H652" s="6"/>
      <c r="I652" s="7"/>
      <c r="J652" s="147"/>
      <c r="K652" s="7"/>
      <c r="L652" s="147"/>
      <c r="M652" s="161">
        <f>IFERROR(VLOOKUP(L652,'Material Master'!B:C,2,0),"")</f>
      </c>
      <c r="N652" s="7"/>
      <c r="O652" s="162">
        <f>IFERROR(M652*N652,"")</f>
      </c>
      <c r="P652" s="6"/>
      <c r="Q652" s="158"/>
      <c r="R652" s="163"/>
      <c r="S652" s="147"/>
      <c r="T652" s="6"/>
      <c r="U652" s="158"/>
      <c r="V652" s="164">
        <v>31</v>
      </c>
      <c r="W652" s="165">
        <f>IFERROR(U652*V652,"0")</f>
      </c>
      <c r="X652" s="7"/>
      <c r="Y652" s="191">
        <f>IFERROR((O652/1000)*Masters!$C$3,"0")</f>
      </c>
      <c r="Z652" s="195"/>
      <c r="AA652" s="164">
        <f>IFERROR(VLOOKUP(L652,Masters!G:H,2,0),"0")</f>
      </c>
      <c r="AB652" s="166">
        <f>IFERROR(AA652*N652,"0")</f>
      </c>
      <c r="AC652" s="196"/>
      <c r="AD652" s="7"/>
      <c r="AE652" s="166">
        <f>W652+Y652+AB652+AD652</f>
      </c>
      <c r="AF652" s="195"/>
      <c r="AG652" s="169">
        <f>M652&amp;"-"&amp;F652</f>
      </c>
      <c r="AH652" s="191">
        <f>IFERROR(VLOOKUP(AG652,Masters!N:O,2,0),"0")</f>
      </c>
      <c r="AI652" s="166">
        <f>AH652*N652</f>
      </c>
      <c r="AJ652" s="7"/>
      <c r="AK652" s="170">
        <f>AI652-AE652</f>
      </c>
      <c r="AL652" s="195"/>
      <c r="AM652" s="6"/>
      <c r="AN652" s="171">
        <f>IFERROR(U652/2,"0")</f>
      </c>
    </row>
    <row x14ac:dyDescent="0.25" r="653" customHeight="1" ht="18.75">
      <c r="A653" s="158">
        <f>A652+1</f>
      </c>
      <c r="B653" s="159"/>
      <c r="C653" s="6"/>
      <c r="D653" s="159"/>
      <c r="E653" s="198"/>
      <c r="F653" s="160"/>
      <c r="G653" s="6"/>
      <c r="H653" s="6"/>
      <c r="I653" s="7"/>
      <c r="J653" s="147"/>
      <c r="K653" s="7"/>
      <c r="L653" s="147"/>
      <c r="M653" s="161">
        <f>IFERROR(VLOOKUP(L653,'Material Master'!B:C,2,0),"")</f>
      </c>
      <c r="N653" s="7"/>
      <c r="O653" s="162">
        <f>IFERROR(M653*N653,"")</f>
      </c>
      <c r="P653" s="6"/>
      <c r="Q653" s="158"/>
      <c r="R653" s="163"/>
      <c r="S653" s="147"/>
      <c r="T653" s="6"/>
      <c r="U653" s="158"/>
      <c r="V653" s="164">
        <v>31</v>
      </c>
      <c r="W653" s="165">
        <f>IFERROR(U653*V653,"0")</f>
      </c>
      <c r="X653" s="7"/>
      <c r="Y653" s="191">
        <f>IFERROR((O653/1000)*Masters!$C$3,"0")</f>
      </c>
      <c r="Z653" s="195"/>
      <c r="AA653" s="164">
        <f>IFERROR(VLOOKUP(L653,Masters!G:H,2,0),"0")</f>
      </c>
      <c r="AB653" s="166">
        <f>IFERROR(AA653*N653,"0")</f>
      </c>
      <c r="AC653" s="196"/>
      <c r="AD653" s="7"/>
      <c r="AE653" s="166">
        <f>W653+Y653+AB653+AD653</f>
      </c>
      <c r="AF653" s="195"/>
      <c r="AG653" s="169">
        <f>M653&amp;"-"&amp;F653</f>
      </c>
      <c r="AH653" s="191">
        <f>IFERROR(VLOOKUP(AG653,Masters!N:O,2,0),"0")</f>
      </c>
      <c r="AI653" s="166">
        <f>AH653*N653</f>
      </c>
      <c r="AJ653" s="7"/>
      <c r="AK653" s="170">
        <f>AI653-AE653</f>
      </c>
      <c r="AL653" s="195"/>
      <c r="AM653" s="6"/>
      <c r="AN653" s="171">
        <f>IFERROR(U653/2,"0")</f>
      </c>
    </row>
    <row x14ac:dyDescent="0.25" r="654" customHeight="1" ht="18.75">
      <c r="A654" s="158">
        <f>A653+1</f>
      </c>
      <c r="B654" s="159"/>
      <c r="C654" s="6"/>
      <c r="D654" s="159"/>
      <c r="E654" s="198"/>
      <c r="F654" s="160"/>
      <c r="G654" s="6"/>
      <c r="H654" s="6"/>
      <c r="I654" s="7"/>
      <c r="J654" s="147"/>
      <c r="K654" s="7"/>
      <c r="L654" s="147"/>
      <c r="M654" s="161">
        <f>IFERROR(VLOOKUP(L654,'Material Master'!B:C,2,0),"")</f>
      </c>
      <c r="N654" s="7"/>
      <c r="O654" s="162">
        <f>IFERROR(M654*N654,"")</f>
      </c>
      <c r="P654" s="6"/>
      <c r="Q654" s="158"/>
      <c r="R654" s="163"/>
      <c r="S654" s="147"/>
      <c r="T654" s="6"/>
      <c r="U654" s="158"/>
      <c r="V654" s="164">
        <v>31</v>
      </c>
      <c r="W654" s="165">
        <f>IFERROR(U654*V654,"0")</f>
      </c>
      <c r="X654" s="7"/>
      <c r="Y654" s="191">
        <f>IFERROR((O654/1000)*Masters!$C$3,"0")</f>
      </c>
      <c r="Z654" s="195"/>
      <c r="AA654" s="164">
        <f>IFERROR(VLOOKUP(L654,Masters!G:H,2,0),"0")</f>
      </c>
      <c r="AB654" s="166">
        <f>IFERROR(AA654*N654,"0")</f>
      </c>
      <c r="AC654" s="196"/>
      <c r="AD654" s="7"/>
      <c r="AE654" s="166">
        <f>W654+Y654+AB654+AD654</f>
      </c>
      <c r="AF654" s="195"/>
      <c r="AG654" s="169">
        <f>M654&amp;"-"&amp;F654</f>
      </c>
      <c r="AH654" s="191">
        <f>IFERROR(VLOOKUP(AG654,Masters!N:O,2,0),"0")</f>
      </c>
      <c r="AI654" s="166">
        <f>AH654*N654</f>
      </c>
      <c r="AJ654" s="7"/>
      <c r="AK654" s="170">
        <f>AI654-AE654</f>
      </c>
      <c r="AL654" s="195"/>
      <c r="AM654" s="6"/>
      <c r="AN654" s="171">
        <f>IFERROR(U654/2,"0")</f>
      </c>
    </row>
    <row x14ac:dyDescent="0.25" r="655" customHeight="1" ht="18.75">
      <c r="A655" s="158">
        <f>A654+1</f>
      </c>
      <c r="B655" s="159"/>
      <c r="C655" s="6"/>
      <c r="D655" s="159"/>
      <c r="E655" s="198"/>
      <c r="F655" s="160"/>
      <c r="G655" s="6"/>
      <c r="H655" s="6"/>
      <c r="I655" s="7"/>
      <c r="J655" s="147"/>
      <c r="K655" s="7"/>
      <c r="L655" s="147"/>
      <c r="M655" s="161">
        <f>IFERROR(VLOOKUP(L655,'Material Master'!B:C,2,0),"")</f>
      </c>
      <c r="N655" s="7"/>
      <c r="O655" s="162">
        <f>IFERROR(M655*N655,"")</f>
      </c>
      <c r="P655" s="6"/>
      <c r="Q655" s="158"/>
      <c r="R655" s="163"/>
      <c r="S655" s="147"/>
      <c r="T655" s="6"/>
      <c r="U655" s="158"/>
      <c r="V655" s="164">
        <v>31</v>
      </c>
      <c r="W655" s="165">
        <f>IFERROR(U655*V655,"0")</f>
      </c>
      <c r="X655" s="7"/>
      <c r="Y655" s="191">
        <f>IFERROR((O655/1000)*Masters!$C$3,"0")</f>
      </c>
      <c r="Z655" s="195"/>
      <c r="AA655" s="164">
        <f>IFERROR(VLOOKUP(L655,Masters!G:H,2,0),"0")</f>
      </c>
      <c r="AB655" s="166">
        <f>IFERROR(AA655*N655,"0")</f>
      </c>
      <c r="AC655" s="196"/>
      <c r="AD655" s="7"/>
      <c r="AE655" s="166">
        <f>W655+Y655+AB655+AD655</f>
      </c>
      <c r="AF655" s="195"/>
      <c r="AG655" s="169">
        <f>M655&amp;"-"&amp;F655</f>
      </c>
      <c r="AH655" s="191">
        <f>IFERROR(VLOOKUP(AG655,Masters!N:O,2,0),"0")</f>
      </c>
      <c r="AI655" s="166">
        <f>AH655*N655</f>
      </c>
      <c r="AJ655" s="7"/>
      <c r="AK655" s="170">
        <f>AI655-AE655</f>
      </c>
      <c r="AL655" s="195"/>
      <c r="AM655" s="6"/>
      <c r="AN655" s="171">
        <f>IFERROR(U655/2,"0")</f>
      </c>
    </row>
    <row x14ac:dyDescent="0.25" r="656" customHeight="1" ht="18.75">
      <c r="A656" s="158">
        <f>A655+1</f>
      </c>
      <c r="B656" s="159"/>
      <c r="C656" s="6"/>
      <c r="D656" s="159"/>
      <c r="E656" s="198"/>
      <c r="F656" s="160"/>
      <c r="G656" s="6"/>
      <c r="H656" s="6"/>
      <c r="I656" s="7"/>
      <c r="J656" s="147"/>
      <c r="K656" s="7"/>
      <c r="L656" s="147"/>
      <c r="M656" s="161">
        <f>IFERROR(VLOOKUP(L656,'Material Master'!B:C,2,0),"")</f>
      </c>
      <c r="N656" s="7"/>
      <c r="O656" s="162">
        <f>IFERROR(M656*N656,"")</f>
      </c>
      <c r="P656" s="6"/>
      <c r="Q656" s="158"/>
      <c r="R656" s="163"/>
      <c r="S656" s="147"/>
      <c r="T656" s="6"/>
      <c r="U656" s="158"/>
      <c r="V656" s="164">
        <v>31</v>
      </c>
      <c r="W656" s="165">
        <f>IFERROR(U656*V656,"0")</f>
      </c>
      <c r="X656" s="7"/>
      <c r="Y656" s="191">
        <f>IFERROR((O656/1000)*Masters!$C$3,"0")</f>
      </c>
      <c r="Z656" s="195"/>
      <c r="AA656" s="164">
        <f>IFERROR(VLOOKUP(L656,Masters!G:H,2,0),"0")</f>
      </c>
      <c r="AB656" s="166">
        <f>IFERROR(AA656*N656,"0")</f>
      </c>
      <c r="AC656" s="196"/>
      <c r="AD656" s="7"/>
      <c r="AE656" s="166">
        <f>W656+Y656+AB656+AD656</f>
      </c>
      <c r="AF656" s="195"/>
      <c r="AG656" s="169">
        <f>M656&amp;"-"&amp;F656</f>
      </c>
      <c r="AH656" s="191">
        <f>IFERROR(VLOOKUP(AG656,Masters!N:O,2,0),"0")</f>
      </c>
      <c r="AI656" s="166">
        <f>AH656*N656</f>
      </c>
      <c r="AJ656" s="7"/>
      <c r="AK656" s="170">
        <f>AI656-AE656</f>
      </c>
      <c r="AL656" s="195"/>
      <c r="AM656" s="6"/>
      <c r="AN656" s="171">
        <f>IFERROR(U656/2,"0")</f>
      </c>
    </row>
    <row x14ac:dyDescent="0.25" r="657" customHeight="1" ht="18.75">
      <c r="A657" s="158">
        <f>A656+1</f>
      </c>
      <c r="B657" s="159"/>
      <c r="C657" s="6"/>
      <c r="D657" s="159"/>
      <c r="E657" s="198"/>
      <c r="F657" s="160"/>
      <c r="G657" s="6"/>
      <c r="H657" s="6"/>
      <c r="I657" s="7"/>
      <c r="J657" s="147"/>
      <c r="K657" s="7"/>
      <c r="L657" s="147"/>
      <c r="M657" s="161">
        <f>IFERROR(VLOOKUP(L657,'Material Master'!B:C,2,0),"")</f>
      </c>
      <c r="N657" s="7"/>
      <c r="O657" s="162">
        <f>IFERROR(M657*N657,"")</f>
      </c>
      <c r="P657" s="6"/>
      <c r="Q657" s="158"/>
      <c r="R657" s="163"/>
      <c r="S657" s="147"/>
      <c r="T657" s="6"/>
      <c r="U657" s="158"/>
      <c r="V657" s="164">
        <v>31</v>
      </c>
      <c r="W657" s="165">
        <f>IFERROR(U657*V657,"0")</f>
      </c>
      <c r="X657" s="7"/>
      <c r="Y657" s="191">
        <f>IFERROR((O657/1000)*Masters!$C$3,"0")</f>
      </c>
      <c r="Z657" s="195"/>
      <c r="AA657" s="164">
        <f>IFERROR(VLOOKUP(L657,Masters!G:H,2,0),"0")</f>
      </c>
      <c r="AB657" s="166">
        <f>IFERROR(AA657*N657,"0")</f>
      </c>
      <c r="AC657" s="196"/>
      <c r="AD657" s="7"/>
      <c r="AE657" s="166">
        <f>W657+Y657+AB657+AD657</f>
      </c>
      <c r="AF657" s="195"/>
      <c r="AG657" s="169">
        <f>M657&amp;"-"&amp;F657</f>
      </c>
      <c r="AH657" s="191">
        <f>IFERROR(VLOOKUP(AG657,Masters!N:O,2,0),"0")</f>
      </c>
      <c r="AI657" s="166">
        <f>AH657*N657</f>
      </c>
      <c r="AJ657" s="7"/>
      <c r="AK657" s="170">
        <f>AI657-AE657</f>
      </c>
      <c r="AL657" s="195"/>
      <c r="AM657" s="6"/>
      <c r="AN657" s="171">
        <f>IFERROR(U657/2,"0")</f>
      </c>
    </row>
    <row x14ac:dyDescent="0.25" r="658" customHeight="1" ht="18.75">
      <c r="A658" s="158">
        <f>A657+1</f>
      </c>
      <c r="B658" s="159"/>
      <c r="C658" s="6"/>
      <c r="D658" s="159"/>
      <c r="E658" s="198"/>
      <c r="F658" s="160"/>
      <c r="G658" s="6"/>
      <c r="H658" s="6"/>
      <c r="I658" s="7"/>
      <c r="J658" s="147"/>
      <c r="K658" s="7"/>
      <c r="L658" s="147"/>
      <c r="M658" s="161">
        <f>IFERROR(VLOOKUP(L658,'Material Master'!B:C,2,0),"")</f>
      </c>
      <c r="N658" s="7"/>
      <c r="O658" s="162">
        <f>IFERROR(M658*N658,"")</f>
      </c>
      <c r="P658" s="6"/>
      <c r="Q658" s="158"/>
      <c r="R658" s="163"/>
      <c r="S658" s="147"/>
      <c r="T658" s="6"/>
      <c r="U658" s="158"/>
      <c r="V658" s="164">
        <v>31</v>
      </c>
      <c r="W658" s="165">
        <f>IFERROR(U658*V658,"0")</f>
      </c>
      <c r="X658" s="7"/>
      <c r="Y658" s="191">
        <f>IFERROR((O658/1000)*Masters!$C$3,"0")</f>
      </c>
      <c r="Z658" s="195"/>
      <c r="AA658" s="164">
        <f>IFERROR(VLOOKUP(L658,Masters!G:H,2,0),"0")</f>
      </c>
      <c r="AB658" s="166">
        <f>IFERROR(AA658*N658,"0")</f>
      </c>
      <c r="AC658" s="196"/>
      <c r="AD658" s="7"/>
      <c r="AE658" s="166">
        <f>W658+Y658+AB658+AD658</f>
      </c>
      <c r="AF658" s="195"/>
      <c r="AG658" s="169">
        <f>M658&amp;"-"&amp;F658</f>
      </c>
      <c r="AH658" s="191">
        <f>IFERROR(VLOOKUP(AG658,Masters!N:O,2,0),"0")</f>
      </c>
      <c r="AI658" s="166">
        <f>AH658*N658</f>
      </c>
      <c r="AJ658" s="7"/>
      <c r="AK658" s="170">
        <f>AI658-AE658</f>
      </c>
      <c r="AL658" s="195"/>
      <c r="AM658" s="6"/>
      <c r="AN658" s="171">
        <f>IFERROR(U658/2,"0")</f>
      </c>
    </row>
    <row x14ac:dyDescent="0.25" r="659" customHeight="1" ht="18.75">
      <c r="A659" s="158">
        <f>A658+1</f>
      </c>
      <c r="B659" s="159"/>
      <c r="C659" s="6"/>
      <c r="D659" s="159"/>
      <c r="E659" s="198"/>
      <c r="F659" s="160"/>
      <c r="G659" s="6"/>
      <c r="H659" s="6"/>
      <c r="I659" s="7"/>
      <c r="J659" s="147"/>
      <c r="K659" s="7"/>
      <c r="L659" s="147"/>
      <c r="M659" s="161">
        <f>IFERROR(VLOOKUP(L659,'Material Master'!B:C,2,0),"")</f>
      </c>
      <c r="N659" s="7"/>
      <c r="O659" s="162">
        <f>IFERROR(M659*N659,"")</f>
      </c>
      <c r="P659" s="6"/>
      <c r="Q659" s="158"/>
      <c r="R659" s="163"/>
      <c r="S659" s="147"/>
      <c r="T659" s="6"/>
      <c r="U659" s="158"/>
      <c r="V659" s="164">
        <v>31</v>
      </c>
      <c r="W659" s="165">
        <f>IFERROR(U659*V659,"0")</f>
      </c>
      <c r="X659" s="7"/>
      <c r="Y659" s="191">
        <f>IFERROR((O659/1000)*Masters!$C$3,"0")</f>
      </c>
      <c r="Z659" s="195"/>
      <c r="AA659" s="164">
        <f>IFERROR(VLOOKUP(L659,Masters!G:H,2,0),"0")</f>
      </c>
      <c r="AB659" s="166">
        <f>IFERROR(AA659*N659,"0")</f>
      </c>
      <c r="AC659" s="196"/>
      <c r="AD659" s="7"/>
      <c r="AE659" s="166">
        <f>W659+Y659+AB659+AD659</f>
      </c>
      <c r="AF659" s="195"/>
      <c r="AG659" s="169">
        <f>M659&amp;"-"&amp;F659</f>
      </c>
      <c r="AH659" s="191">
        <f>IFERROR(VLOOKUP(AG659,Masters!N:O,2,0),"0")</f>
      </c>
      <c r="AI659" s="166">
        <f>AH659*N659</f>
      </c>
      <c r="AJ659" s="7"/>
      <c r="AK659" s="170">
        <f>AI659-AE659</f>
      </c>
      <c r="AL659" s="195"/>
      <c r="AM659" s="6"/>
      <c r="AN659" s="171">
        <f>IFERROR(U659/2,"0")</f>
      </c>
    </row>
    <row x14ac:dyDescent="0.25" r="660" customHeight="1" ht="18.75">
      <c r="A660" s="158">
        <f>A659+1</f>
      </c>
      <c r="B660" s="159"/>
      <c r="C660" s="6"/>
      <c r="D660" s="159"/>
      <c r="E660" s="198"/>
      <c r="F660" s="160"/>
      <c r="G660" s="6"/>
      <c r="H660" s="6"/>
      <c r="I660" s="7"/>
      <c r="J660" s="147"/>
      <c r="K660" s="7"/>
      <c r="L660" s="147"/>
      <c r="M660" s="161">
        <f>IFERROR(VLOOKUP(L660,'Material Master'!B:C,2,0),"")</f>
      </c>
      <c r="N660" s="7"/>
      <c r="O660" s="162">
        <f>IFERROR(M660*N660,"")</f>
      </c>
      <c r="P660" s="6"/>
      <c r="Q660" s="158"/>
      <c r="R660" s="163"/>
      <c r="S660" s="147"/>
      <c r="T660" s="6"/>
      <c r="U660" s="158"/>
      <c r="V660" s="164">
        <v>31</v>
      </c>
      <c r="W660" s="165">
        <f>IFERROR(U660*V660,"0")</f>
      </c>
      <c r="X660" s="7"/>
      <c r="Y660" s="191">
        <f>IFERROR((O660/1000)*Masters!$C$3,"0")</f>
      </c>
      <c r="Z660" s="195"/>
      <c r="AA660" s="164">
        <f>IFERROR(VLOOKUP(L660,Masters!G:H,2,0),"0")</f>
      </c>
      <c r="AB660" s="166">
        <f>IFERROR(AA660*N660,"0")</f>
      </c>
      <c r="AC660" s="196"/>
      <c r="AD660" s="7"/>
      <c r="AE660" s="166">
        <f>W660+Y660+AB660+AD660</f>
      </c>
      <c r="AF660" s="195"/>
      <c r="AG660" s="169">
        <f>M660&amp;"-"&amp;F660</f>
      </c>
      <c r="AH660" s="191">
        <f>IFERROR(VLOOKUP(AG660,Masters!N:O,2,0),"0")</f>
      </c>
      <c r="AI660" s="166">
        <f>AH660*N660</f>
      </c>
      <c r="AJ660" s="7"/>
      <c r="AK660" s="170">
        <f>AI660-AE660</f>
      </c>
      <c r="AL660" s="195"/>
      <c r="AM660" s="6"/>
      <c r="AN660" s="171">
        <f>IFERROR(U660/2,"0")</f>
      </c>
    </row>
    <row x14ac:dyDescent="0.25" r="661" customHeight="1" ht="18.75">
      <c r="A661" s="158">
        <f>A660+1</f>
      </c>
      <c r="B661" s="159"/>
      <c r="C661" s="6"/>
      <c r="D661" s="159"/>
      <c r="E661" s="198"/>
      <c r="F661" s="160"/>
      <c r="G661" s="6"/>
      <c r="H661" s="6"/>
      <c r="I661" s="7"/>
      <c r="J661" s="147"/>
      <c r="K661" s="7"/>
      <c r="L661" s="147"/>
      <c r="M661" s="161">
        <f>IFERROR(VLOOKUP(L661,'Material Master'!B:C,2,0),"")</f>
      </c>
      <c r="N661" s="7"/>
      <c r="O661" s="162">
        <f>IFERROR(M661*N661,"")</f>
      </c>
      <c r="P661" s="6"/>
      <c r="Q661" s="158"/>
      <c r="R661" s="163"/>
      <c r="S661" s="147"/>
      <c r="T661" s="6"/>
      <c r="U661" s="158"/>
      <c r="V661" s="164">
        <v>31</v>
      </c>
      <c r="W661" s="165">
        <f>IFERROR(U661*V661,"0")</f>
      </c>
      <c r="X661" s="7"/>
      <c r="Y661" s="191">
        <f>IFERROR((O661/1000)*Masters!$C$3,"0")</f>
      </c>
      <c r="Z661" s="195"/>
      <c r="AA661" s="164">
        <f>IFERROR(VLOOKUP(L661,Masters!G:H,2,0),"0")</f>
      </c>
      <c r="AB661" s="166">
        <f>IFERROR(AA661*N661,"0")</f>
      </c>
      <c r="AC661" s="196"/>
      <c r="AD661" s="7"/>
      <c r="AE661" s="166">
        <f>W661+Y661+AB661+AD661</f>
      </c>
      <c r="AF661" s="195"/>
      <c r="AG661" s="169">
        <f>M661&amp;"-"&amp;F661</f>
      </c>
      <c r="AH661" s="191">
        <f>IFERROR(VLOOKUP(AG661,Masters!N:O,2,0),"0")</f>
      </c>
      <c r="AI661" s="166">
        <f>AH661*N661</f>
      </c>
      <c r="AJ661" s="7"/>
      <c r="AK661" s="170">
        <f>AI661-AE661</f>
      </c>
      <c r="AL661" s="195"/>
      <c r="AM661" s="6"/>
      <c r="AN661" s="171">
        <f>IFERROR(U661/2,"0")</f>
      </c>
    </row>
    <row x14ac:dyDescent="0.25" r="662" customHeight="1" ht="18.75">
      <c r="A662" s="158">
        <f>A661+1</f>
      </c>
      <c r="B662" s="159"/>
      <c r="C662" s="6"/>
      <c r="D662" s="159"/>
      <c r="E662" s="198"/>
      <c r="F662" s="160"/>
      <c r="G662" s="6"/>
      <c r="H662" s="6"/>
      <c r="I662" s="7"/>
      <c r="J662" s="147"/>
      <c r="K662" s="7"/>
      <c r="L662" s="147"/>
      <c r="M662" s="161">
        <f>IFERROR(VLOOKUP(L662,'Material Master'!B:C,2,0),"")</f>
      </c>
      <c r="N662" s="7"/>
      <c r="O662" s="162">
        <f>IFERROR(M662*N662,"")</f>
      </c>
      <c r="P662" s="6"/>
      <c r="Q662" s="158"/>
      <c r="R662" s="163"/>
      <c r="S662" s="147"/>
      <c r="T662" s="6"/>
      <c r="U662" s="158"/>
      <c r="V662" s="164">
        <v>31</v>
      </c>
      <c r="W662" s="165">
        <f>IFERROR(U662*V662,"0")</f>
      </c>
      <c r="X662" s="7"/>
      <c r="Y662" s="191">
        <f>IFERROR((O662/1000)*Masters!$C$3,"0")</f>
      </c>
      <c r="Z662" s="195"/>
      <c r="AA662" s="164">
        <f>IFERROR(VLOOKUP(L662,Masters!G:H,2,0),"0")</f>
      </c>
      <c r="AB662" s="166">
        <f>IFERROR(AA662*N662,"0")</f>
      </c>
      <c r="AC662" s="196"/>
      <c r="AD662" s="7"/>
      <c r="AE662" s="166">
        <f>W662+Y662+AB662+AD662</f>
      </c>
      <c r="AF662" s="195"/>
      <c r="AG662" s="169">
        <f>M662&amp;"-"&amp;F662</f>
      </c>
      <c r="AH662" s="191">
        <f>IFERROR(VLOOKUP(AG662,Masters!N:O,2,0),"0")</f>
      </c>
      <c r="AI662" s="166">
        <f>AH662*N662</f>
      </c>
      <c r="AJ662" s="7"/>
      <c r="AK662" s="170">
        <f>AI662-AE662</f>
      </c>
      <c r="AL662" s="195"/>
      <c r="AM662" s="6"/>
      <c r="AN662" s="171">
        <f>IFERROR(U662/2,"0")</f>
      </c>
    </row>
    <row x14ac:dyDescent="0.25" r="663" customHeight="1" ht="18.75">
      <c r="A663" s="158">
        <f>A662+1</f>
      </c>
      <c r="B663" s="159"/>
      <c r="C663" s="6"/>
      <c r="D663" s="159"/>
      <c r="E663" s="198"/>
      <c r="F663" s="160"/>
      <c r="G663" s="6"/>
      <c r="H663" s="6"/>
      <c r="I663" s="7"/>
      <c r="J663" s="147"/>
      <c r="K663" s="7"/>
      <c r="L663" s="147"/>
      <c r="M663" s="161">
        <f>IFERROR(VLOOKUP(L663,'Material Master'!B:C,2,0),"")</f>
      </c>
      <c r="N663" s="7"/>
      <c r="O663" s="162">
        <f>IFERROR(M663*N663,"")</f>
      </c>
      <c r="P663" s="6"/>
      <c r="Q663" s="158"/>
      <c r="R663" s="163"/>
      <c r="S663" s="147"/>
      <c r="T663" s="6"/>
      <c r="U663" s="158"/>
      <c r="V663" s="164">
        <v>31</v>
      </c>
      <c r="W663" s="165">
        <f>IFERROR(U663*V663,"0")</f>
      </c>
      <c r="X663" s="7"/>
      <c r="Y663" s="191">
        <f>IFERROR((O663/1000)*Masters!$C$3,"0")</f>
      </c>
      <c r="Z663" s="195"/>
      <c r="AA663" s="164">
        <f>IFERROR(VLOOKUP(L663,Masters!G:H,2,0),"0")</f>
      </c>
      <c r="AB663" s="166">
        <f>IFERROR(AA663*N663,"0")</f>
      </c>
      <c r="AC663" s="196"/>
      <c r="AD663" s="7"/>
      <c r="AE663" s="166">
        <f>W663+Y663+AB663+AD663</f>
      </c>
      <c r="AF663" s="195"/>
      <c r="AG663" s="169">
        <f>M663&amp;"-"&amp;F663</f>
      </c>
      <c r="AH663" s="191">
        <f>IFERROR(VLOOKUP(AG663,Masters!N:O,2,0),"0")</f>
      </c>
      <c r="AI663" s="166">
        <f>AH663*N663</f>
      </c>
      <c r="AJ663" s="7"/>
      <c r="AK663" s="170">
        <f>AI663-AE663</f>
      </c>
      <c r="AL663" s="195"/>
      <c r="AM663" s="6"/>
      <c r="AN663" s="171">
        <f>IFERROR(U663/2,"0")</f>
      </c>
    </row>
    <row x14ac:dyDescent="0.25" r="664" customHeight="1" ht="18.75">
      <c r="A664" s="158">
        <f>A663+1</f>
      </c>
      <c r="B664" s="159"/>
      <c r="C664" s="6"/>
      <c r="D664" s="159"/>
      <c r="E664" s="198"/>
      <c r="F664" s="160"/>
      <c r="G664" s="6"/>
      <c r="H664" s="6"/>
      <c r="I664" s="7"/>
      <c r="J664" s="147"/>
      <c r="K664" s="7"/>
      <c r="L664" s="147"/>
      <c r="M664" s="161">
        <f>IFERROR(VLOOKUP(L664,'Material Master'!B:C,2,0),"")</f>
      </c>
      <c r="N664" s="7"/>
      <c r="O664" s="162">
        <f>IFERROR(M664*N664,"")</f>
      </c>
      <c r="P664" s="6"/>
      <c r="Q664" s="158"/>
      <c r="R664" s="163"/>
      <c r="S664" s="147"/>
      <c r="T664" s="6"/>
      <c r="U664" s="158"/>
      <c r="V664" s="164">
        <v>31</v>
      </c>
      <c r="W664" s="165">
        <f>IFERROR(U664*V664,"0")</f>
      </c>
      <c r="X664" s="7"/>
      <c r="Y664" s="191">
        <f>IFERROR((O664/1000)*Masters!$C$3,"0")</f>
      </c>
      <c r="Z664" s="195"/>
      <c r="AA664" s="164">
        <f>IFERROR(VLOOKUP(L664,Masters!G:H,2,0),"0")</f>
      </c>
      <c r="AB664" s="166">
        <f>IFERROR(AA664*N664,"0")</f>
      </c>
      <c r="AC664" s="196"/>
      <c r="AD664" s="7"/>
      <c r="AE664" s="166">
        <f>W664+Y664+AB664+AD664</f>
      </c>
      <c r="AF664" s="195"/>
      <c r="AG664" s="169">
        <f>M664&amp;"-"&amp;F664</f>
      </c>
      <c r="AH664" s="191">
        <f>IFERROR(VLOOKUP(AG664,Masters!N:O,2,0),"0")</f>
      </c>
      <c r="AI664" s="166">
        <f>AH664*N664</f>
      </c>
      <c r="AJ664" s="7"/>
      <c r="AK664" s="170">
        <f>AI664-AE664</f>
      </c>
      <c r="AL664" s="195"/>
      <c r="AM664" s="6"/>
      <c r="AN664" s="171">
        <f>IFERROR(U664/2,"0")</f>
      </c>
    </row>
    <row x14ac:dyDescent="0.25" r="665" customHeight="1" ht="18.75">
      <c r="A665" s="158">
        <f>A664+1</f>
      </c>
      <c r="B665" s="159"/>
      <c r="C665" s="6"/>
      <c r="D665" s="159"/>
      <c r="E665" s="198"/>
      <c r="F665" s="160"/>
      <c r="G665" s="6"/>
      <c r="H665" s="6"/>
      <c r="I665" s="7"/>
      <c r="J665" s="147"/>
      <c r="K665" s="7"/>
      <c r="L665" s="147"/>
      <c r="M665" s="161">
        <f>IFERROR(VLOOKUP(L665,'Material Master'!B:C,2,0),"")</f>
      </c>
      <c r="N665" s="7"/>
      <c r="O665" s="162">
        <f>IFERROR(M665*N665,"")</f>
      </c>
      <c r="P665" s="6"/>
      <c r="Q665" s="158"/>
      <c r="R665" s="163"/>
      <c r="S665" s="147"/>
      <c r="T665" s="6"/>
      <c r="U665" s="158"/>
      <c r="V665" s="164">
        <v>31</v>
      </c>
      <c r="W665" s="165">
        <f>IFERROR(U665*V665,"0")</f>
      </c>
      <c r="X665" s="7"/>
      <c r="Y665" s="191">
        <f>IFERROR((O665/1000)*Masters!$C$3,"0")</f>
      </c>
      <c r="Z665" s="195"/>
      <c r="AA665" s="164">
        <f>IFERROR(VLOOKUP(L665,Masters!G:H,2,0),"0")</f>
      </c>
      <c r="AB665" s="166">
        <f>IFERROR(AA665*N665,"0")</f>
      </c>
      <c r="AC665" s="196"/>
      <c r="AD665" s="7"/>
      <c r="AE665" s="166">
        <f>W665+Y665+AB665+AD665</f>
      </c>
      <c r="AF665" s="195"/>
      <c r="AG665" s="169">
        <f>M665&amp;"-"&amp;F665</f>
      </c>
      <c r="AH665" s="191">
        <f>IFERROR(VLOOKUP(AG665,Masters!N:O,2,0),"0")</f>
      </c>
      <c r="AI665" s="166">
        <f>AH665*N665</f>
      </c>
      <c r="AJ665" s="7"/>
      <c r="AK665" s="170">
        <f>AI665-AE665</f>
      </c>
      <c r="AL665" s="195"/>
      <c r="AM665" s="6"/>
      <c r="AN665" s="171">
        <f>IFERROR(U665/2,"0")</f>
      </c>
    </row>
    <row x14ac:dyDescent="0.25" r="666" customHeight="1" ht="18.75">
      <c r="A666" s="158">
        <f>A665+1</f>
      </c>
      <c r="B666" s="159"/>
      <c r="C666" s="6"/>
      <c r="D666" s="159"/>
      <c r="E666" s="198"/>
      <c r="F666" s="160"/>
      <c r="G666" s="6"/>
      <c r="H666" s="6"/>
      <c r="I666" s="7"/>
      <c r="J666" s="147"/>
      <c r="K666" s="7"/>
      <c r="L666" s="147"/>
      <c r="M666" s="161">
        <f>IFERROR(VLOOKUP(L666,'Material Master'!B:C,2,0),"")</f>
      </c>
      <c r="N666" s="7"/>
      <c r="O666" s="162">
        <f>IFERROR(M666*N666,"")</f>
      </c>
      <c r="P666" s="6"/>
      <c r="Q666" s="158"/>
      <c r="R666" s="163"/>
      <c r="S666" s="147"/>
      <c r="T666" s="6"/>
      <c r="U666" s="158"/>
      <c r="V666" s="164">
        <v>31</v>
      </c>
      <c r="W666" s="165">
        <f>IFERROR(U666*V666,"0")</f>
      </c>
      <c r="X666" s="7"/>
      <c r="Y666" s="191">
        <f>IFERROR((O666/1000)*Masters!$C$3,"0")</f>
      </c>
      <c r="Z666" s="195"/>
      <c r="AA666" s="164">
        <f>IFERROR(VLOOKUP(L666,Masters!G:H,2,0),"0")</f>
      </c>
      <c r="AB666" s="166">
        <f>IFERROR(AA666*N666,"0")</f>
      </c>
      <c r="AC666" s="196"/>
      <c r="AD666" s="7"/>
      <c r="AE666" s="166">
        <f>W666+Y666+AB666+AD666</f>
      </c>
      <c r="AF666" s="195"/>
      <c r="AG666" s="169">
        <f>M666&amp;"-"&amp;F666</f>
      </c>
      <c r="AH666" s="191">
        <f>IFERROR(VLOOKUP(AG666,Masters!N:O,2,0),"0")</f>
      </c>
      <c r="AI666" s="166">
        <f>AH666*N666</f>
      </c>
      <c r="AJ666" s="7"/>
      <c r="AK666" s="170">
        <f>AI666-AE666</f>
      </c>
      <c r="AL666" s="195"/>
      <c r="AM666" s="6"/>
      <c r="AN666" s="171">
        <f>IFERROR(U666/2,"0")</f>
      </c>
    </row>
    <row x14ac:dyDescent="0.25" r="667" customHeight="1" ht="18.75">
      <c r="A667" s="158">
        <f>A666+1</f>
      </c>
      <c r="B667" s="159"/>
      <c r="C667" s="6"/>
      <c r="D667" s="159"/>
      <c r="E667" s="198"/>
      <c r="F667" s="160"/>
      <c r="G667" s="6"/>
      <c r="H667" s="6"/>
      <c r="I667" s="7"/>
      <c r="J667" s="147"/>
      <c r="K667" s="7"/>
      <c r="L667" s="147"/>
      <c r="M667" s="161">
        <f>IFERROR(VLOOKUP(L667,'Material Master'!B:C,2,0),"")</f>
      </c>
      <c r="N667" s="7"/>
      <c r="O667" s="162">
        <f>IFERROR(M667*N667,"")</f>
      </c>
      <c r="P667" s="6"/>
      <c r="Q667" s="158"/>
      <c r="R667" s="163"/>
      <c r="S667" s="147"/>
      <c r="T667" s="6"/>
      <c r="U667" s="158"/>
      <c r="V667" s="164">
        <v>31</v>
      </c>
      <c r="W667" s="165">
        <f>IFERROR(U667*V667,"0")</f>
      </c>
      <c r="X667" s="7"/>
      <c r="Y667" s="191">
        <f>IFERROR((O667/1000)*Masters!$C$3,"0")</f>
      </c>
      <c r="Z667" s="195"/>
      <c r="AA667" s="164">
        <f>IFERROR(VLOOKUP(L667,Masters!G:H,2,0),"0")</f>
      </c>
      <c r="AB667" s="166">
        <f>IFERROR(AA667*N667,"0")</f>
      </c>
      <c r="AC667" s="196"/>
      <c r="AD667" s="7"/>
      <c r="AE667" s="166">
        <f>W667+Y667+AB667+AD667</f>
      </c>
      <c r="AF667" s="195"/>
      <c r="AG667" s="169">
        <f>M667&amp;"-"&amp;F667</f>
      </c>
      <c r="AH667" s="191">
        <f>IFERROR(VLOOKUP(AG667,Masters!N:O,2,0),"0")</f>
      </c>
      <c r="AI667" s="166">
        <f>AH667*N667</f>
      </c>
      <c r="AJ667" s="7"/>
      <c r="AK667" s="170">
        <f>AI667-AE667</f>
      </c>
      <c r="AL667" s="195"/>
      <c r="AM667" s="6"/>
      <c r="AN667" s="171">
        <f>IFERROR(U667/2,"0")</f>
      </c>
    </row>
    <row x14ac:dyDescent="0.25" r="668" customHeight="1" ht="18.75">
      <c r="A668" s="158">
        <f>A667+1</f>
      </c>
      <c r="B668" s="159"/>
      <c r="C668" s="6"/>
      <c r="D668" s="159"/>
      <c r="E668" s="198"/>
      <c r="F668" s="160"/>
      <c r="G668" s="6"/>
      <c r="H668" s="6"/>
      <c r="I668" s="7"/>
      <c r="J668" s="147"/>
      <c r="K668" s="7"/>
      <c r="L668" s="147"/>
      <c r="M668" s="161">
        <f>IFERROR(VLOOKUP(L668,'Material Master'!B:C,2,0),"")</f>
      </c>
      <c r="N668" s="7"/>
      <c r="O668" s="162">
        <f>IFERROR(M668*N668,"")</f>
      </c>
      <c r="P668" s="6"/>
      <c r="Q668" s="158"/>
      <c r="R668" s="163"/>
      <c r="S668" s="147"/>
      <c r="T668" s="6"/>
      <c r="U668" s="158"/>
      <c r="V668" s="164">
        <v>31</v>
      </c>
      <c r="W668" s="165">
        <f>IFERROR(U668*V668,"0")</f>
      </c>
      <c r="X668" s="7"/>
      <c r="Y668" s="191">
        <f>IFERROR((O668/1000)*Masters!$C$3,"0")</f>
      </c>
      <c r="Z668" s="195"/>
      <c r="AA668" s="164">
        <f>IFERROR(VLOOKUP(L668,Masters!G:H,2,0),"0")</f>
      </c>
      <c r="AB668" s="166">
        <f>IFERROR(AA668*N668,"0")</f>
      </c>
      <c r="AC668" s="196"/>
      <c r="AD668" s="7"/>
      <c r="AE668" s="166">
        <f>W668+Y668+AB668+AD668</f>
      </c>
      <c r="AF668" s="195"/>
      <c r="AG668" s="169">
        <f>M668&amp;"-"&amp;F668</f>
      </c>
      <c r="AH668" s="191">
        <f>IFERROR(VLOOKUP(AG668,Masters!N:O,2,0),"0")</f>
      </c>
      <c r="AI668" s="166">
        <f>AH668*N668</f>
      </c>
      <c r="AJ668" s="7"/>
      <c r="AK668" s="170">
        <f>AI668-AE668</f>
      </c>
      <c r="AL668" s="195"/>
      <c r="AM668" s="6"/>
      <c r="AN668" s="171">
        <f>IFERROR(U668/2,"0")</f>
      </c>
    </row>
    <row x14ac:dyDescent="0.25" r="669" customHeight="1" ht="18.75">
      <c r="A669" s="158">
        <f>A668+1</f>
      </c>
      <c r="B669" s="159"/>
      <c r="C669" s="6"/>
      <c r="D669" s="159"/>
      <c r="E669" s="198"/>
      <c r="F669" s="160"/>
      <c r="G669" s="6"/>
      <c r="H669" s="6"/>
      <c r="I669" s="7"/>
      <c r="J669" s="147"/>
      <c r="K669" s="7"/>
      <c r="L669" s="147"/>
      <c r="M669" s="161">
        <f>IFERROR(VLOOKUP(L669,'Material Master'!B:C,2,0),"")</f>
      </c>
      <c r="N669" s="7"/>
      <c r="O669" s="162">
        <f>IFERROR(M669*N669,"")</f>
      </c>
      <c r="P669" s="6"/>
      <c r="Q669" s="158"/>
      <c r="R669" s="163"/>
      <c r="S669" s="147"/>
      <c r="T669" s="6"/>
      <c r="U669" s="158"/>
      <c r="V669" s="164">
        <v>31</v>
      </c>
      <c r="W669" s="165">
        <f>IFERROR(U669*V669,"0")</f>
      </c>
      <c r="X669" s="7"/>
      <c r="Y669" s="191">
        <f>IFERROR((O669/1000)*Masters!$C$3,"0")</f>
      </c>
      <c r="Z669" s="195"/>
      <c r="AA669" s="164">
        <f>IFERROR(VLOOKUP(L669,Masters!G:H,2,0),"0")</f>
      </c>
      <c r="AB669" s="166">
        <f>IFERROR(AA669*N669,"0")</f>
      </c>
      <c r="AC669" s="196"/>
      <c r="AD669" s="7"/>
      <c r="AE669" s="166">
        <f>W669+Y669+AB669+AD669</f>
      </c>
      <c r="AF669" s="195"/>
      <c r="AG669" s="169">
        <f>M669&amp;"-"&amp;F669</f>
      </c>
      <c r="AH669" s="191">
        <f>IFERROR(VLOOKUP(AG669,Masters!N:O,2,0),"0")</f>
      </c>
      <c r="AI669" s="166">
        <f>AH669*N669</f>
      </c>
      <c r="AJ669" s="7"/>
      <c r="AK669" s="170">
        <f>AI669-AE669</f>
      </c>
      <c r="AL669" s="195"/>
      <c r="AM669" s="6"/>
      <c r="AN669" s="171">
        <f>IFERROR(U669/2,"0")</f>
      </c>
    </row>
    <row x14ac:dyDescent="0.25" r="670" customHeight="1" ht="18.75">
      <c r="A670" s="158">
        <f>A669+1</f>
      </c>
      <c r="B670" s="159"/>
      <c r="C670" s="6"/>
      <c r="D670" s="159"/>
      <c r="E670" s="198"/>
      <c r="F670" s="160"/>
      <c r="G670" s="6"/>
      <c r="H670" s="6"/>
      <c r="I670" s="7"/>
      <c r="J670" s="147"/>
      <c r="K670" s="7"/>
      <c r="L670" s="147"/>
      <c r="M670" s="161">
        <f>IFERROR(VLOOKUP(L670,'Material Master'!B:C,2,0),"")</f>
      </c>
      <c r="N670" s="7"/>
      <c r="O670" s="162">
        <f>IFERROR(M670*N670,"")</f>
      </c>
      <c r="P670" s="6"/>
      <c r="Q670" s="158"/>
      <c r="R670" s="163"/>
      <c r="S670" s="147"/>
      <c r="T670" s="6"/>
      <c r="U670" s="158"/>
      <c r="V670" s="164">
        <v>31</v>
      </c>
      <c r="W670" s="165">
        <f>IFERROR(U670*V670,"0")</f>
      </c>
      <c r="X670" s="7"/>
      <c r="Y670" s="191">
        <f>IFERROR((O670/1000)*Masters!$C$3,"0")</f>
      </c>
      <c r="Z670" s="195"/>
      <c r="AA670" s="164">
        <f>IFERROR(VLOOKUP(L670,Masters!G:H,2,0),"0")</f>
      </c>
      <c r="AB670" s="166">
        <f>IFERROR(AA670*N670,"0")</f>
      </c>
      <c r="AC670" s="196"/>
      <c r="AD670" s="7"/>
      <c r="AE670" s="166">
        <f>W670+Y670+AB670+AD670</f>
      </c>
      <c r="AF670" s="195"/>
      <c r="AG670" s="169">
        <f>M670&amp;"-"&amp;F670</f>
      </c>
      <c r="AH670" s="191">
        <f>IFERROR(VLOOKUP(AG670,Masters!N:O,2,0),"0")</f>
      </c>
      <c r="AI670" s="166">
        <f>AH670*N670</f>
      </c>
      <c r="AJ670" s="7"/>
      <c r="AK670" s="170">
        <f>AI670-AE670</f>
      </c>
      <c r="AL670" s="195"/>
      <c r="AM670" s="6"/>
      <c r="AN670" s="171">
        <f>IFERROR(U670/2,"0")</f>
      </c>
    </row>
    <row x14ac:dyDescent="0.25" r="671" customHeight="1" ht="18.75">
      <c r="A671" s="158">
        <f>A670+1</f>
      </c>
      <c r="B671" s="159"/>
      <c r="C671" s="6"/>
      <c r="D671" s="159"/>
      <c r="E671" s="198"/>
      <c r="F671" s="160"/>
      <c r="G671" s="6"/>
      <c r="H671" s="6"/>
      <c r="I671" s="7"/>
      <c r="J671" s="147"/>
      <c r="K671" s="7"/>
      <c r="L671" s="147"/>
      <c r="M671" s="161">
        <f>IFERROR(VLOOKUP(L671,'Material Master'!B:C,2,0),"")</f>
      </c>
      <c r="N671" s="7"/>
      <c r="O671" s="162">
        <f>IFERROR(M671*N671,"")</f>
      </c>
      <c r="P671" s="6"/>
      <c r="Q671" s="158"/>
      <c r="R671" s="163"/>
      <c r="S671" s="147"/>
      <c r="T671" s="6"/>
      <c r="U671" s="158"/>
      <c r="V671" s="164">
        <v>31</v>
      </c>
      <c r="W671" s="165">
        <f>IFERROR(U671*V671,"0")</f>
      </c>
      <c r="X671" s="7"/>
      <c r="Y671" s="191">
        <f>IFERROR((O671/1000)*Masters!$C$3,"0")</f>
      </c>
      <c r="Z671" s="195"/>
      <c r="AA671" s="164">
        <f>IFERROR(VLOOKUP(L671,Masters!G:H,2,0),"0")</f>
      </c>
      <c r="AB671" s="166">
        <f>IFERROR(AA671*N671,"0")</f>
      </c>
      <c r="AC671" s="196"/>
      <c r="AD671" s="7"/>
      <c r="AE671" s="166">
        <f>W671+Y671+AB671+AD671</f>
      </c>
      <c r="AF671" s="195"/>
      <c r="AG671" s="169">
        <f>M671&amp;"-"&amp;F671</f>
      </c>
      <c r="AH671" s="191">
        <f>IFERROR(VLOOKUP(AG671,Masters!N:O,2,0),"0")</f>
      </c>
      <c r="AI671" s="166">
        <f>AH671*N671</f>
      </c>
      <c r="AJ671" s="7"/>
      <c r="AK671" s="170">
        <f>AI671-AE671</f>
      </c>
      <c r="AL671" s="195"/>
      <c r="AM671" s="6"/>
      <c r="AN671" s="171">
        <f>IFERROR(U671/2,"0")</f>
      </c>
    </row>
    <row x14ac:dyDescent="0.25" r="672" customHeight="1" ht="18.75">
      <c r="A672" s="158">
        <f>A671+1</f>
      </c>
      <c r="B672" s="159"/>
      <c r="C672" s="6"/>
      <c r="D672" s="159"/>
      <c r="E672" s="198"/>
      <c r="F672" s="160"/>
      <c r="G672" s="6"/>
      <c r="H672" s="6"/>
      <c r="I672" s="7"/>
      <c r="J672" s="147"/>
      <c r="K672" s="7"/>
      <c r="L672" s="147"/>
      <c r="M672" s="161">
        <f>IFERROR(VLOOKUP(L672,'Material Master'!B:C,2,0),"")</f>
      </c>
      <c r="N672" s="7"/>
      <c r="O672" s="162">
        <f>IFERROR(M672*N672,"")</f>
      </c>
      <c r="P672" s="6"/>
      <c r="Q672" s="158"/>
      <c r="R672" s="163"/>
      <c r="S672" s="147"/>
      <c r="T672" s="6"/>
      <c r="U672" s="158"/>
      <c r="V672" s="164">
        <v>31</v>
      </c>
      <c r="W672" s="165">
        <f>IFERROR(U672*V672,"0")</f>
      </c>
      <c r="X672" s="7"/>
      <c r="Y672" s="191">
        <f>IFERROR((O672/1000)*Masters!$C$3,"0")</f>
      </c>
      <c r="Z672" s="195"/>
      <c r="AA672" s="164">
        <f>IFERROR(VLOOKUP(L672,Masters!G:H,2,0),"0")</f>
      </c>
      <c r="AB672" s="166">
        <f>IFERROR(AA672*N672,"0")</f>
      </c>
      <c r="AC672" s="196"/>
      <c r="AD672" s="7"/>
      <c r="AE672" s="166">
        <f>W672+Y672+AB672+AD672</f>
      </c>
      <c r="AF672" s="195"/>
      <c r="AG672" s="169">
        <f>M672&amp;"-"&amp;F672</f>
      </c>
      <c r="AH672" s="191">
        <f>IFERROR(VLOOKUP(AG672,Masters!N:O,2,0),"0")</f>
      </c>
      <c r="AI672" s="166">
        <f>AH672*N672</f>
      </c>
      <c r="AJ672" s="7"/>
      <c r="AK672" s="170">
        <f>AI672-AE672</f>
      </c>
      <c r="AL672" s="195"/>
      <c r="AM672" s="6"/>
      <c r="AN672" s="171">
        <f>IFERROR(U672/2,"0")</f>
      </c>
    </row>
    <row x14ac:dyDescent="0.25" r="673" customHeight="1" ht="18.75">
      <c r="A673" s="158">
        <f>A672+1</f>
      </c>
      <c r="B673" s="159"/>
      <c r="C673" s="6"/>
      <c r="D673" s="159"/>
      <c r="E673" s="198"/>
      <c r="F673" s="160"/>
      <c r="G673" s="6"/>
      <c r="H673" s="6"/>
      <c r="I673" s="7"/>
      <c r="J673" s="147"/>
      <c r="K673" s="7"/>
      <c r="L673" s="147"/>
      <c r="M673" s="161">
        <f>IFERROR(VLOOKUP(L673,'Material Master'!B:C,2,0),"")</f>
      </c>
      <c r="N673" s="7"/>
      <c r="O673" s="162">
        <f>IFERROR(M673*N673,"")</f>
      </c>
      <c r="P673" s="6"/>
      <c r="Q673" s="158"/>
      <c r="R673" s="163"/>
      <c r="S673" s="147"/>
      <c r="T673" s="6"/>
      <c r="U673" s="158"/>
      <c r="V673" s="164">
        <v>31</v>
      </c>
      <c r="W673" s="165">
        <f>IFERROR(U673*V673,"0")</f>
      </c>
      <c r="X673" s="7"/>
      <c r="Y673" s="191">
        <f>IFERROR((O673/1000)*Masters!$C$3,"0")</f>
      </c>
      <c r="Z673" s="195"/>
      <c r="AA673" s="164">
        <f>IFERROR(VLOOKUP(L673,Masters!G:H,2,0),"0")</f>
      </c>
      <c r="AB673" s="166">
        <f>IFERROR(AA673*N673,"0")</f>
      </c>
      <c r="AC673" s="196"/>
      <c r="AD673" s="7"/>
      <c r="AE673" s="166">
        <f>W673+Y673+AB673+AD673</f>
      </c>
      <c r="AF673" s="195"/>
      <c r="AG673" s="169">
        <f>M673&amp;"-"&amp;F673</f>
      </c>
      <c r="AH673" s="191">
        <f>IFERROR(VLOOKUP(AG673,Masters!N:O,2,0),"0")</f>
      </c>
      <c r="AI673" s="166">
        <f>AH673*N673</f>
      </c>
      <c r="AJ673" s="7"/>
      <c r="AK673" s="170">
        <f>AI673-AE673</f>
      </c>
      <c r="AL673" s="195"/>
      <c r="AM673" s="6"/>
      <c r="AN673" s="171">
        <f>IFERROR(U673/2,"0")</f>
      </c>
    </row>
    <row x14ac:dyDescent="0.25" r="674" customHeight="1" ht="18.75">
      <c r="A674" s="158">
        <f>A673+1</f>
      </c>
      <c r="B674" s="159"/>
      <c r="C674" s="6"/>
      <c r="D674" s="159"/>
      <c r="E674" s="198"/>
      <c r="F674" s="160"/>
      <c r="G674" s="6"/>
      <c r="H674" s="6"/>
      <c r="I674" s="7"/>
      <c r="J674" s="147"/>
      <c r="K674" s="7"/>
      <c r="L674" s="147"/>
      <c r="M674" s="161">
        <f>IFERROR(VLOOKUP(L674,'Material Master'!B:C,2,0),"")</f>
      </c>
      <c r="N674" s="7"/>
      <c r="O674" s="162">
        <f>IFERROR(M674*N674,"")</f>
      </c>
      <c r="P674" s="6"/>
      <c r="Q674" s="158"/>
      <c r="R674" s="163"/>
      <c r="S674" s="147"/>
      <c r="T674" s="6"/>
      <c r="U674" s="158"/>
      <c r="V674" s="164">
        <v>31</v>
      </c>
      <c r="W674" s="165">
        <f>IFERROR(U674*V674,"0")</f>
      </c>
      <c r="X674" s="7"/>
      <c r="Y674" s="191">
        <f>IFERROR((O674/1000)*Masters!$C$3,"0")</f>
      </c>
      <c r="Z674" s="195"/>
      <c r="AA674" s="164">
        <f>IFERROR(VLOOKUP(L674,Masters!G:H,2,0),"0")</f>
      </c>
      <c r="AB674" s="166">
        <f>IFERROR(AA674*N674,"0")</f>
      </c>
      <c r="AC674" s="196"/>
      <c r="AD674" s="7"/>
      <c r="AE674" s="166">
        <f>W674+Y674+AB674+AD674</f>
      </c>
      <c r="AF674" s="195"/>
      <c r="AG674" s="169">
        <f>M674&amp;"-"&amp;F674</f>
      </c>
      <c r="AH674" s="191">
        <f>IFERROR(VLOOKUP(AG674,Masters!N:O,2,0),"0")</f>
      </c>
      <c r="AI674" s="166">
        <f>AH674*N674</f>
      </c>
      <c r="AJ674" s="7"/>
      <c r="AK674" s="170">
        <f>AI674-AE674</f>
      </c>
      <c r="AL674" s="195"/>
      <c r="AM674" s="6"/>
      <c r="AN674" s="171">
        <f>IFERROR(U674/2,"0")</f>
      </c>
    </row>
    <row x14ac:dyDescent="0.25" r="675" customHeight="1" ht="18.75">
      <c r="A675" s="158">
        <f>A674+1</f>
      </c>
      <c r="B675" s="159"/>
      <c r="C675" s="6"/>
      <c r="D675" s="159"/>
      <c r="E675" s="198"/>
      <c r="F675" s="160"/>
      <c r="G675" s="6"/>
      <c r="H675" s="6"/>
      <c r="I675" s="7"/>
      <c r="J675" s="147"/>
      <c r="K675" s="7"/>
      <c r="L675" s="147"/>
      <c r="M675" s="161">
        <f>IFERROR(VLOOKUP(L675,'Material Master'!B:C,2,0),"")</f>
      </c>
      <c r="N675" s="7"/>
      <c r="O675" s="162">
        <f>IFERROR(M675*N675,"")</f>
      </c>
      <c r="P675" s="6"/>
      <c r="Q675" s="158"/>
      <c r="R675" s="163"/>
      <c r="S675" s="147"/>
      <c r="T675" s="6"/>
      <c r="U675" s="158"/>
      <c r="V675" s="164">
        <v>31</v>
      </c>
      <c r="W675" s="165">
        <f>IFERROR(U675*V675,"0")</f>
      </c>
      <c r="X675" s="7"/>
      <c r="Y675" s="191">
        <f>IFERROR((O675/1000)*Masters!$C$3,"0")</f>
      </c>
      <c r="Z675" s="195"/>
      <c r="AA675" s="164">
        <f>IFERROR(VLOOKUP(L675,Masters!G:H,2,0),"0")</f>
      </c>
      <c r="AB675" s="166">
        <f>IFERROR(AA675*N675,"0")</f>
      </c>
      <c r="AC675" s="196"/>
      <c r="AD675" s="7"/>
      <c r="AE675" s="166">
        <f>W675+Y675+AB675+AD675</f>
      </c>
      <c r="AF675" s="195"/>
      <c r="AG675" s="169">
        <f>M675&amp;"-"&amp;F675</f>
      </c>
      <c r="AH675" s="191">
        <f>IFERROR(VLOOKUP(AG675,Masters!N:O,2,0),"0")</f>
      </c>
      <c r="AI675" s="166">
        <f>AH675*N675</f>
      </c>
      <c r="AJ675" s="7"/>
      <c r="AK675" s="170">
        <f>AI675-AE675</f>
      </c>
      <c r="AL675" s="195"/>
      <c r="AM675" s="6"/>
      <c r="AN675" s="171">
        <f>IFERROR(U675/2,"0")</f>
      </c>
    </row>
    <row x14ac:dyDescent="0.25" r="676" customHeight="1" ht="18.75">
      <c r="A676" s="158">
        <f>A675+1</f>
      </c>
      <c r="B676" s="159"/>
      <c r="C676" s="6"/>
      <c r="D676" s="159"/>
      <c r="E676" s="198"/>
      <c r="F676" s="160"/>
      <c r="G676" s="6"/>
      <c r="H676" s="6"/>
      <c r="I676" s="7"/>
      <c r="J676" s="147"/>
      <c r="K676" s="7"/>
      <c r="L676" s="147"/>
      <c r="M676" s="161">
        <f>IFERROR(VLOOKUP(L676,'Material Master'!B:C,2,0),"")</f>
      </c>
      <c r="N676" s="7"/>
      <c r="O676" s="162">
        <f>IFERROR(M676*N676,"")</f>
      </c>
      <c r="P676" s="6"/>
      <c r="Q676" s="158"/>
      <c r="R676" s="163"/>
      <c r="S676" s="147"/>
      <c r="T676" s="6"/>
      <c r="U676" s="158"/>
      <c r="V676" s="164">
        <v>31</v>
      </c>
      <c r="W676" s="165">
        <f>IFERROR(U676*V676,"0")</f>
      </c>
      <c r="X676" s="7"/>
      <c r="Y676" s="191">
        <f>IFERROR((O676/1000)*Masters!$C$3,"0")</f>
      </c>
      <c r="Z676" s="195"/>
      <c r="AA676" s="164">
        <f>IFERROR(VLOOKUP(L676,Masters!G:H,2,0),"0")</f>
      </c>
      <c r="AB676" s="166">
        <f>IFERROR(AA676*N676,"0")</f>
      </c>
      <c r="AC676" s="196"/>
      <c r="AD676" s="7"/>
      <c r="AE676" s="166">
        <f>W676+Y676+AB676+AD676</f>
      </c>
      <c r="AF676" s="195"/>
      <c r="AG676" s="169">
        <f>M676&amp;"-"&amp;F676</f>
      </c>
      <c r="AH676" s="191">
        <f>IFERROR(VLOOKUP(AG676,Masters!N:O,2,0),"0")</f>
      </c>
      <c r="AI676" s="166">
        <f>AH676*N676</f>
      </c>
      <c r="AJ676" s="7"/>
      <c r="AK676" s="170">
        <f>AI676-AE676</f>
      </c>
      <c r="AL676" s="195"/>
      <c r="AM676" s="6"/>
      <c r="AN676" s="171">
        <f>IFERROR(U676/2,"0")</f>
      </c>
    </row>
    <row x14ac:dyDescent="0.25" r="677" customHeight="1" ht="18.75">
      <c r="A677" s="158">
        <f>A676+1</f>
      </c>
      <c r="B677" s="159"/>
      <c r="C677" s="6"/>
      <c r="D677" s="159"/>
      <c r="E677" s="198"/>
      <c r="F677" s="160"/>
      <c r="G677" s="6"/>
      <c r="H677" s="6"/>
      <c r="I677" s="7"/>
      <c r="J677" s="147"/>
      <c r="K677" s="7"/>
      <c r="L677" s="147"/>
      <c r="M677" s="161">
        <f>IFERROR(VLOOKUP(L677,'Material Master'!B:C,2,0),"")</f>
      </c>
      <c r="N677" s="7"/>
      <c r="O677" s="162">
        <f>IFERROR(M677*N677,"")</f>
      </c>
      <c r="P677" s="6"/>
      <c r="Q677" s="158"/>
      <c r="R677" s="163"/>
      <c r="S677" s="147"/>
      <c r="T677" s="6"/>
      <c r="U677" s="158"/>
      <c r="V677" s="164">
        <v>31</v>
      </c>
      <c r="W677" s="165">
        <f>IFERROR(U677*V677,"0")</f>
      </c>
      <c r="X677" s="7"/>
      <c r="Y677" s="191">
        <f>IFERROR((O677/1000)*Masters!$C$3,"0")</f>
      </c>
      <c r="Z677" s="195"/>
      <c r="AA677" s="164">
        <f>IFERROR(VLOOKUP(L677,Masters!G:H,2,0),"0")</f>
      </c>
      <c r="AB677" s="166">
        <f>IFERROR(AA677*N677,"0")</f>
      </c>
      <c r="AC677" s="196"/>
      <c r="AD677" s="7"/>
      <c r="AE677" s="166">
        <f>W677+Y677+AB677+AD677</f>
      </c>
      <c r="AF677" s="195"/>
      <c r="AG677" s="169">
        <f>M677&amp;"-"&amp;F677</f>
      </c>
      <c r="AH677" s="191">
        <f>IFERROR(VLOOKUP(AG677,Masters!N:O,2,0),"0")</f>
      </c>
      <c r="AI677" s="166">
        <f>AH677*N677</f>
      </c>
      <c r="AJ677" s="7"/>
      <c r="AK677" s="170">
        <f>AI677-AE677</f>
      </c>
      <c r="AL677" s="195"/>
      <c r="AM677" s="6"/>
      <c r="AN677" s="171">
        <f>IFERROR(U677/2,"0")</f>
      </c>
    </row>
    <row x14ac:dyDescent="0.25" r="678" customHeight="1" ht="18.75">
      <c r="A678" s="158">
        <f>A677+1</f>
      </c>
      <c r="B678" s="159"/>
      <c r="C678" s="6"/>
      <c r="D678" s="159"/>
      <c r="E678" s="198"/>
      <c r="F678" s="160"/>
      <c r="G678" s="6"/>
      <c r="H678" s="6"/>
      <c r="I678" s="7"/>
      <c r="J678" s="147"/>
      <c r="K678" s="7"/>
      <c r="L678" s="147"/>
      <c r="M678" s="161">
        <f>IFERROR(VLOOKUP(L678,'Material Master'!B:C,2,0),"")</f>
      </c>
      <c r="N678" s="7"/>
      <c r="O678" s="162">
        <f>IFERROR(M678*N678,"")</f>
      </c>
      <c r="P678" s="6"/>
      <c r="Q678" s="158"/>
      <c r="R678" s="163"/>
      <c r="S678" s="147"/>
      <c r="T678" s="6"/>
      <c r="U678" s="158"/>
      <c r="V678" s="164">
        <v>31</v>
      </c>
      <c r="W678" s="165">
        <f>IFERROR(U678*V678,"0")</f>
      </c>
      <c r="X678" s="7"/>
      <c r="Y678" s="191">
        <f>IFERROR((O678/1000)*Masters!$C$3,"0")</f>
      </c>
      <c r="Z678" s="195"/>
      <c r="AA678" s="164">
        <f>IFERROR(VLOOKUP(L678,Masters!G:H,2,0),"0")</f>
      </c>
      <c r="AB678" s="166">
        <f>IFERROR(AA678*N678,"0")</f>
      </c>
      <c r="AC678" s="196"/>
      <c r="AD678" s="7"/>
      <c r="AE678" s="166">
        <f>W678+Y678+AB678+AD678</f>
      </c>
      <c r="AF678" s="195"/>
      <c r="AG678" s="169">
        <f>M678&amp;"-"&amp;F678</f>
      </c>
      <c r="AH678" s="191">
        <f>IFERROR(VLOOKUP(AG678,Masters!N:O,2,0),"0")</f>
      </c>
      <c r="AI678" s="166">
        <f>AH678*N678</f>
      </c>
      <c r="AJ678" s="7"/>
      <c r="AK678" s="170">
        <f>AI678-AE678</f>
      </c>
      <c r="AL678" s="195"/>
      <c r="AM678" s="6"/>
      <c r="AN678" s="171">
        <f>IFERROR(U678/2,"0")</f>
      </c>
    </row>
    <row x14ac:dyDescent="0.25" r="679" customHeight="1" ht="18.75">
      <c r="A679" s="158">
        <f>A678+1</f>
      </c>
      <c r="B679" s="159"/>
      <c r="C679" s="6"/>
      <c r="D679" s="159"/>
      <c r="E679" s="198"/>
      <c r="F679" s="160"/>
      <c r="G679" s="6"/>
      <c r="H679" s="6"/>
      <c r="I679" s="7"/>
      <c r="J679" s="147"/>
      <c r="K679" s="7"/>
      <c r="L679" s="147"/>
      <c r="M679" s="161">
        <f>IFERROR(VLOOKUP(L679,'Material Master'!B:C,2,0),"")</f>
      </c>
      <c r="N679" s="7"/>
      <c r="O679" s="162">
        <f>IFERROR(M679*N679,"")</f>
      </c>
      <c r="P679" s="6"/>
      <c r="Q679" s="158"/>
      <c r="R679" s="163"/>
      <c r="S679" s="147"/>
      <c r="T679" s="6"/>
      <c r="U679" s="158"/>
      <c r="V679" s="164">
        <v>31</v>
      </c>
      <c r="W679" s="165">
        <f>IFERROR(U679*V679,"0")</f>
      </c>
      <c r="X679" s="7"/>
      <c r="Y679" s="191">
        <f>IFERROR((O679/1000)*Masters!$C$3,"0")</f>
      </c>
      <c r="Z679" s="195"/>
      <c r="AA679" s="164">
        <f>IFERROR(VLOOKUP(L679,Masters!G:H,2,0),"0")</f>
      </c>
      <c r="AB679" s="166">
        <f>IFERROR(AA679*N679,"0")</f>
      </c>
      <c r="AC679" s="196"/>
      <c r="AD679" s="7"/>
      <c r="AE679" s="166">
        <f>W679+Y679+AB679+AD679</f>
      </c>
      <c r="AF679" s="195"/>
      <c r="AG679" s="169">
        <f>M679&amp;"-"&amp;F679</f>
      </c>
      <c r="AH679" s="191">
        <f>IFERROR(VLOOKUP(AG679,Masters!N:O,2,0),"0")</f>
      </c>
      <c r="AI679" s="166">
        <f>AH679*N679</f>
      </c>
      <c r="AJ679" s="7"/>
      <c r="AK679" s="170">
        <f>AI679-AE679</f>
      </c>
      <c r="AL679" s="195"/>
      <c r="AM679" s="6"/>
      <c r="AN679" s="171">
        <f>IFERROR(U679/2,"0")</f>
      </c>
    </row>
    <row x14ac:dyDescent="0.25" r="680" customHeight="1" ht="18.75">
      <c r="A680" s="158">
        <f>A679+1</f>
      </c>
      <c r="B680" s="159"/>
      <c r="C680" s="6"/>
      <c r="D680" s="159"/>
      <c r="E680" s="198"/>
      <c r="F680" s="160"/>
      <c r="G680" s="6"/>
      <c r="H680" s="6"/>
      <c r="I680" s="7"/>
      <c r="J680" s="147"/>
      <c r="K680" s="7"/>
      <c r="L680" s="147"/>
      <c r="M680" s="161">
        <f>IFERROR(VLOOKUP(L680,'Material Master'!B:C,2,0),"")</f>
      </c>
      <c r="N680" s="7"/>
      <c r="O680" s="162">
        <f>IFERROR(M680*N680,"")</f>
      </c>
      <c r="P680" s="6"/>
      <c r="Q680" s="158"/>
      <c r="R680" s="163"/>
      <c r="S680" s="147"/>
      <c r="T680" s="6"/>
      <c r="U680" s="158"/>
      <c r="V680" s="164">
        <v>31</v>
      </c>
      <c r="W680" s="165">
        <f>IFERROR(U680*V680,"0")</f>
      </c>
      <c r="X680" s="7"/>
      <c r="Y680" s="191">
        <f>IFERROR((O680/1000)*Masters!$C$3,"0")</f>
      </c>
      <c r="Z680" s="195"/>
      <c r="AA680" s="164">
        <f>IFERROR(VLOOKUP(L680,Masters!G:H,2,0),"0")</f>
      </c>
      <c r="AB680" s="166">
        <f>IFERROR(AA680*N680,"0")</f>
      </c>
      <c r="AC680" s="196"/>
      <c r="AD680" s="7"/>
      <c r="AE680" s="166">
        <f>W680+Y680+AB680+AD680</f>
      </c>
      <c r="AF680" s="195"/>
      <c r="AG680" s="169">
        <f>M680&amp;"-"&amp;F680</f>
      </c>
      <c r="AH680" s="191">
        <f>IFERROR(VLOOKUP(AG680,Masters!N:O,2,0),"0")</f>
      </c>
      <c r="AI680" s="166">
        <f>AH680*N680</f>
      </c>
      <c r="AJ680" s="7"/>
      <c r="AK680" s="170">
        <f>AI680-AE680</f>
      </c>
      <c r="AL680" s="195"/>
      <c r="AM680" s="6"/>
      <c r="AN680" s="171">
        <f>IFERROR(U680/2,"0")</f>
      </c>
    </row>
    <row x14ac:dyDescent="0.25" r="681" customHeight="1" ht="18.75">
      <c r="A681" s="158">
        <f>A680+1</f>
      </c>
      <c r="B681" s="159"/>
      <c r="C681" s="6"/>
      <c r="D681" s="159"/>
      <c r="E681" s="198"/>
      <c r="F681" s="160"/>
      <c r="G681" s="6"/>
      <c r="H681" s="6"/>
      <c r="I681" s="7"/>
      <c r="J681" s="147"/>
      <c r="K681" s="7"/>
      <c r="L681" s="147"/>
      <c r="M681" s="161">
        <f>IFERROR(VLOOKUP(L681,'Material Master'!B:C,2,0),"")</f>
      </c>
      <c r="N681" s="7"/>
      <c r="O681" s="162">
        <f>IFERROR(M681*N681,"")</f>
      </c>
      <c r="P681" s="6"/>
      <c r="Q681" s="158"/>
      <c r="R681" s="163"/>
      <c r="S681" s="147"/>
      <c r="T681" s="6"/>
      <c r="U681" s="158"/>
      <c r="V681" s="164">
        <v>31</v>
      </c>
      <c r="W681" s="165">
        <f>IFERROR(U681*V681,"0")</f>
      </c>
      <c r="X681" s="7"/>
      <c r="Y681" s="191">
        <f>IFERROR((O681/1000)*Masters!$C$3,"0")</f>
      </c>
      <c r="Z681" s="195"/>
      <c r="AA681" s="164">
        <f>IFERROR(VLOOKUP(L681,Masters!G:H,2,0),"0")</f>
      </c>
      <c r="AB681" s="166">
        <f>IFERROR(AA681*N681,"0")</f>
      </c>
      <c r="AC681" s="196"/>
      <c r="AD681" s="7"/>
      <c r="AE681" s="166">
        <f>W681+Y681+AB681+AD681</f>
      </c>
      <c r="AF681" s="195"/>
      <c r="AG681" s="169">
        <f>M681&amp;"-"&amp;F681</f>
      </c>
      <c r="AH681" s="191">
        <f>IFERROR(VLOOKUP(AG681,Masters!N:O,2,0),"0")</f>
      </c>
      <c r="AI681" s="166">
        <f>AH681*N681</f>
      </c>
      <c r="AJ681" s="7"/>
      <c r="AK681" s="170">
        <f>AI681-AE681</f>
      </c>
      <c r="AL681" s="195"/>
      <c r="AM681" s="6"/>
      <c r="AN681" s="171">
        <f>IFERROR(U681/2,"0")</f>
      </c>
    </row>
    <row x14ac:dyDescent="0.25" r="682" customHeight="1" ht="18.75">
      <c r="A682" s="158">
        <f>A681+1</f>
      </c>
      <c r="B682" s="159"/>
      <c r="C682" s="6"/>
      <c r="D682" s="159"/>
      <c r="E682" s="198"/>
      <c r="F682" s="160"/>
      <c r="G682" s="6"/>
      <c r="H682" s="6"/>
      <c r="I682" s="7"/>
      <c r="J682" s="147"/>
      <c r="K682" s="7"/>
      <c r="L682" s="147"/>
      <c r="M682" s="161">
        <f>IFERROR(VLOOKUP(L682,'Material Master'!B:C,2,0),"")</f>
      </c>
      <c r="N682" s="7"/>
      <c r="O682" s="162">
        <f>IFERROR(M682*N682,"")</f>
      </c>
      <c r="P682" s="6"/>
      <c r="Q682" s="158"/>
      <c r="R682" s="163"/>
      <c r="S682" s="147"/>
      <c r="T682" s="6"/>
      <c r="U682" s="158"/>
      <c r="V682" s="164">
        <v>31</v>
      </c>
      <c r="W682" s="165">
        <f>IFERROR(U682*V682,"0")</f>
      </c>
      <c r="X682" s="7"/>
      <c r="Y682" s="191">
        <f>IFERROR((O682/1000)*Masters!$C$3,"0")</f>
      </c>
      <c r="Z682" s="195"/>
      <c r="AA682" s="164">
        <f>IFERROR(VLOOKUP(L682,Masters!G:H,2,0),"0")</f>
      </c>
      <c r="AB682" s="166">
        <f>IFERROR(AA682*N682,"0")</f>
      </c>
      <c r="AC682" s="196"/>
      <c r="AD682" s="7"/>
      <c r="AE682" s="166">
        <f>W682+Y682+AB682+AD682</f>
      </c>
      <c r="AF682" s="195"/>
      <c r="AG682" s="169">
        <f>M682&amp;"-"&amp;F682</f>
      </c>
      <c r="AH682" s="191">
        <f>IFERROR(VLOOKUP(AG682,Masters!N:O,2,0),"0")</f>
      </c>
      <c r="AI682" s="166">
        <f>AH682*N682</f>
      </c>
      <c r="AJ682" s="7"/>
      <c r="AK682" s="170">
        <f>AI682-AE682</f>
      </c>
      <c r="AL682" s="195"/>
      <c r="AM682" s="6"/>
      <c r="AN682" s="171">
        <f>IFERROR(U682/2,"0")</f>
      </c>
    </row>
    <row x14ac:dyDescent="0.25" r="683" customHeight="1" ht="18.75">
      <c r="A683" s="158">
        <f>A682+1</f>
      </c>
      <c r="B683" s="159"/>
      <c r="C683" s="6"/>
      <c r="D683" s="159"/>
      <c r="E683" s="198"/>
      <c r="F683" s="160"/>
      <c r="G683" s="6"/>
      <c r="H683" s="6"/>
      <c r="I683" s="7"/>
      <c r="J683" s="147"/>
      <c r="K683" s="7"/>
      <c r="L683" s="147"/>
      <c r="M683" s="161">
        <f>IFERROR(VLOOKUP(L683,'Material Master'!B:C,2,0),"")</f>
      </c>
      <c r="N683" s="7"/>
      <c r="O683" s="162">
        <f>IFERROR(M683*N683,"")</f>
      </c>
      <c r="P683" s="6"/>
      <c r="Q683" s="158"/>
      <c r="R683" s="163"/>
      <c r="S683" s="147"/>
      <c r="T683" s="6"/>
      <c r="U683" s="158"/>
      <c r="V683" s="164">
        <v>31</v>
      </c>
      <c r="W683" s="165">
        <f>IFERROR(U683*V683,"0")</f>
      </c>
      <c r="X683" s="7"/>
      <c r="Y683" s="191">
        <f>IFERROR((O683/1000)*Masters!$C$3,"0")</f>
      </c>
      <c r="Z683" s="195"/>
      <c r="AA683" s="164">
        <f>IFERROR(VLOOKUP(L683,Masters!G:H,2,0),"0")</f>
      </c>
      <c r="AB683" s="166">
        <f>IFERROR(AA683*N683,"0")</f>
      </c>
      <c r="AC683" s="196"/>
      <c r="AD683" s="7"/>
      <c r="AE683" s="166">
        <f>W683+Y683+AB683+AD683</f>
      </c>
      <c r="AF683" s="195"/>
      <c r="AG683" s="169">
        <f>M683&amp;"-"&amp;F683</f>
      </c>
      <c r="AH683" s="191">
        <f>IFERROR(VLOOKUP(AG683,Masters!N:O,2,0),"0")</f>
      </c>
      <c r="AI683" s="166">
        <f>AH683*N683</f>
      </c>
      <c r="AJ683" s="7"/>
      <c r="AK683" s="170">
        <f>AI683-AE683</f>
      </c>
      <c r="AL683" s="195"/>
      <c r="AM683" s="6"/>
      <c r="AN683" s="171">
        <f>IFERROR(U683/2,"0")</f>
      </c>
    </row>
    <row x14ac:dyDescent="0.25" r="684" customHeight="1" ht="18.75">
      <c r="A684" s="158">
        <f>A683+1</f>
      </c>
      <c r="B684" s="159"/>
      <c r="C684" s="6"/>
      <c r="D684" s="159"/>
      <c r="E684" s="198"/>
      <c r="F684" s="160"/>
      <c r="G684" s="6"/>
      <c r="H684" s="6"/>
      <c r="I684" s="7"/>
      <c r="J684" s="147"/>
      <c r="K684" s="7"/>
      <c r="L684" s="147"/>
      <c r="M684" s="161">
        <f>IFERROR(VLOOKUP(L684,'Material Master'!B:C,2,0),"")</f>
      </c>
      <c r="N684" s="7"/>
      <c r="O684" s="162">
        <f>IFERROR(M684*N684,"")</f>
      </c>
      <c r="P684" s="6"/>
      <c r="Q684" s="158"/>
      <c r="R684" s="163"/>
      <c r="S684" s="147"/>
      <c r="T684" s="6"/>
      <c r="U684" s="158"/>
      <c r="V684" s="164">
        <v>31</v>
      </c>
      <c r="W684" s="165">
        <f>IFERROR(U684*V684,"0")</f>
      </c>
      <c r="X684" s="7"/>
      <c r="Y684" s="191">
        <f>IFERROR((O684/1000)*Masters!$C$3,"0")</f>
      </c>
      <c r="Z684" s="195"/>
      <c r="AA684" s="164">
        <f>IFERROR(VLOOKUP(L684,Masters!G:H,2,0),"0")</f>
      </c>
      <c r="AB684" s="166">
        <f>IFERROR(AA684*N684,"0")</f>
      </c>
      <c r="AC684" s="196"/>
      <c r="AD684" s="7"/>
      <c r="AE684" s="166">
        <f>W684+Y684+AB684+AD684</f>
      </c>
      <c r="AF684" s="195"/>
      <c r="AG684" s="169">
        <f>M684&amp;"-"&amp;F684</f>
      </c>
      <c r="AH684" s="191">
        <f>IFERROR(VLOOKUP(AG684,Masters!N:O,2,0),"0")</f>
      </c>
      <c r="AI684" s="166">
        <f>AH684*N684</f>
      </c>
      <c r="AJ684" s="7"/>
      <c r="AK684" s="170">
        <f>AI684-AE684</f>
      </c>
      <c r="AL684" s="195"/>
      <c r="AM684" s="6"/>
      <c r="AN684" s="171">
        <f>IFERROR(U684/2,"0")</f>
      </c>
    </row>
    <row x14ac:dyDescent="0.25" r="685" customHeight="1" ht="18.75">
      <c r="A685" s="158">
        <f>A684+1</f>
      </c>
      <c r="B685" s="159"/>
      <c r="C685" s="6"/>
      <c r="D685" s="159"/>
      <c r="E685" s="198"/>
      <c r="F685" s="160"/>
      <c r="G685" s="6"/>
      <c r="H685" s="6"/>
      <c r="I685" s="7"/>
      <c r="J685" s="147"/>
      <c r="K685" s="7"/>
      <c r="L685" s="147"/>
      <c r="M685" s="161">
        <f>IFERROR(VLOOKUP(L685,'Material Master'!B:C,2,0),"")</f>
      </c>
      <c r="N685" s="7"/>
      <c r="O685" s="162">
        <f>IFERROR(M685*N685,"")</f>
      </c>
      <c r="P685" s="6"/>
      <c r="Q685" s="158"/>
      <c r="R685" s="163"/>
      <c r="S685" s="147"/>
      <c r="T685" s="6"/>
      <c r="U685" s="158"/>
      <c r="V685" s="164">
        <v>31</v>
      </c>
      <c r="W685" s="165">
        <f>IFERROR(U685*V685,"0")</f>
      </c>
      <c r="X685" s="7"/>
      <c r="Y685" s="191">
        <f>IFERROR((O685/1000)*Masters!$C$3,"0")</f>
      </c>
      <c r="Z685" s="195"/>
      <c r="AA685" s="164">
        <f>IFERROR(VLOOKUP(L685,Masters!G:H,2,0),"0")</f>
      </c>
      <c r="AB685" s="166">
        <f>IFERROR(AA685*N685,"0")</f>
      </c>
      <c r="AC685" s="196"/>
      <c r="AD685" s="7"/>
      <c r="AE685" s="166">
        <f>W685+Y685+AB685+AD685</f>
      </c>
      <c r="AF685" s="195"/>
      <c r="AG685" s="169">
        <f>M685&amp;"-"&amp;F685</f>
      </c>
      <c r="AH685" s="191">
        <f>IFERROR(VLOOKUP(AG685,Masters!N:O,2,0),"0")</f>
      </c>
      <c r="AI685" s="166">
        <f>AH685*N685</f>
      </c>
      <c r="AJ685" s="7"/>
      <c r="AK685" s="170">
        <f>AI685-AE685</f>
      </c>
      <c r="AL685" s="195"/>
      <c r="AM685" s="6"/>
      <c r="AN685" s="171">
        <f>IFERROR(U685/2,"0")</f>
      </c>
    </row>
    <row x14ac:dyDescent="0.25" r="686" customHeight="1" ht="18.75">
      <c r="A686" s="158">
        <f>A685+1</f>
      </c>
      <c r="B686" s="159"/>
      <c r="C686" s="6"/>
      <c r="D686" s="159"/>
      <c r="E686" s="198"/>
      <c r="F686" s="160"/>
      <c r="G686" s="6"/>
      <c r="H686" s="6"/>
      <c r="I686" s="7"/>
      <c r="J686" s="147"/>
      <c r="K686" s="7"/>
      <c r="L686" s="147"/>
      <c r="M686" s="161">
        <f>IFERROR(VLOOKUP(L686,'Material Master'!B:C,2,0),"")</f>
      </c>
      <c r="N686" s="7"/>
      <c r="O686" s="162">
        <f>IFERROR(M686*N686,"")</f>
      </c>
      <c r="P686" s="6"/>
      <c r="Q686" s="158"/>
      <c r="R686" s="163"/>
      <c r="S686" s="147"/>
      <c r="T686" s="6"/>
      <c r="U686" s="158"/>
      <c r="V686" s="164">
        <v>31</v>
      </c>
      <c r="W686" s="165">
        <f>IFERROR(U686*V686,"0")</f>
      </c>
      <c r="X686" s="7"/>
      <c r="Y686" s="191">
        <f>IFERROR((O686/1000)*Masters!$C$3,"0")</f>
      </c>
      <c r="Z686" s="195"/>
      <c r="AA686" s="164">
        <f>IFERROR(VLOOKUP(L686,Masters!G:H,2,0),"0")</f>
      </c>
      <c r="AB686" s="166">
        <f>IFERROR(AA686*N686,"0")</f>
      </c>
      <c r="AC686" s="196"/>
      <c r="AD686" s="7"/>
      <c r="AE686" s="166">
        <f>W686+Y686+AB686+AD686</f>
      </c>
      <c r="AF686" s="195"/>
      <c r="AG686" s="169">
        <f>M686&amp;"-"&amp;F686</f>
      </c>
      <c r="AH686" s="191">
        <f>IFERROR(VLOOKUP(AG686,Masters!N:O,2,0),"0")</f>
      </c>
      <c r="AI686" s="166">
        <f>AH686*N686</f>
      </c>
      <c r="AJ686" s="7"/>
      <c r="AK686" s="170">
        <f>AI686-AE686</f>
      </c>
      <c r="AL686" s="195"/>
      <c r="AM686" s="6"/>
      <c r="AN686" s="171">
        <f>IFERROR(U686/2,"0")</f>
      </c>
    </row>
    <row x14ac:dyDescent="0.25" r="687" customHeight="1" ht="18.75">
      <c r="A687" s="158">
        <f>A686+1</f>
      </c>
      <c r="B687" s="159"/>
      <c r="C687" s="6"/>
      <c r="D687" s="159"/>
      <c r="E687" s="198"/>
      <c r="F687" s="160"/>
      <c r="G687" s="6"/>
      <c r="H687" s="6"/>
      <c r="I687" s="7"/>
      <c r="J687" s="147"/>
      <c r="K687" s="7"/>
      <c r="L687" s="147"/>
      <c r="M687" s="161">
        <f>IFERROR(VLOOKUP(L687,'Material Master'!B:C,2,0),"")</f>
      </c>
      <c r="N687" s="7"/>
      <c r="O687" s="162">
        <f>IFERROR(M687*N687,"")</f>
      </c>
      <c r="P687" s="6"/>
      <c r="Q687" s="158"/>
      <c r="R687" s="163"/>
      <c r="S687" s="147"/>
      <c r="T687" s="6"/>
      <c r="U687" s="158"/>
      <c r="V687" s="164">
        <v>31</v>
      </c>
      <c r="W687" s="165">
        <f>IFERROR(U687*V687,"0")</f>
      </c>
      <c r="X687" s="7"/>
      <c r="Y687" s="191">
        <f>IFERROR((O687/1000)*Masters!$C$3,"0")</f>
      </c>
      <c r="Z687" s="195"/>
      <c r="AA687" s="164">
        <f>IFERROR(VLOOKUP(L687,Masters!G:H,2,0),"0")</f>
      </c>
      <c r="AB687" s="166">
        <f>IFERROR(AA687*N687,"0")</f>
      </c>
      <c r="AC687" s="196"/>
      <c r="AD687" s="7"/>
      <c r="AE687" s="166">
        <f>W687+Y687+AB687+AD687</f>
      </c>
      <c r="AF687" s="195"/>
      <c r="AG687" s="169">
        <f>M687&amp;"-"&amp;F687</f>
      </c>
      <c r="AH687" s="191">
        <f>IFERROR(VLOOKUP(AG687,Masters!N:O,2,0),"0")</f>
      </c>
      <c r="AI687" s="166">
        <f>AH687*N687</f>
      </c>
      <c r="AJ687" s="7"/>
      <c r="AK687" s="170">
        <f>AI687-AE687</f>
      </c>
      <c r="AL687" s="195"/>
      <c r="AM687" s="6"/>
      <c r="AN687" s="171">
        <f>IFERROR(U687/2,"0")</f>
      </c>
    </row>
    <row x14ac:dyDescent="0.25" r="688" customHeight="1" ht="18.75">
      <c r="A688" s="158">
        <f>A687+1</f>
      </c>
      <c r="B688" s="159"/>
      <c r="C688" s="6"/>
      <c r="D688" s="159"/>
      <c r="E688" s="198"/>
      <c r="F688" s="160"/>
      <c r="G688" s="6"/>
      <c r="H688" s="6"/>
      <c r="I688" s="7"/>
      <c r="J688" s="147"/>
      <c r="K688" s="7"/>
      <c r="L688" s="147"/>
      <c r="M688" s="161">
        <f>IFERROR(VLOOKUP(L688,'Material Master'!B:C,2,0),"")</f>
      </c>
      <c r="N688" s="7"/>
      <c r="O688" s="162">
        <f>IFERROR(M688*N688,"")</f>
      </c>
      <c r="P688" s="6"/>
      <c r="Q688" s="158"/>
      <c r="R688" s="163"/>
      <c r="S688" s="147"/>
      <c r="T688" s="6"/>
      <c r="U688" s="158"/>
      <c r="V688" s="164">
        <v>31</v>
      </c>
      <c r="W688" s="165">
        <f>IFERROR(U688*V688,"0")</f>
      </c>
      <c r="X688" s="7"/>
      <c r="Y688" s="191">
        <f>IFERROR((O688/1000)*Masters!$C$3,"0")</f>
      </c>
      <c r="Z688" s="195"/>
      <c r="AA688" s="164">
        <f>IFERROR(VLOOKUP(L688,Masters!G:H,2,0),"0")</f>
      </c>
      <c r="AB688" s="166">
        <f>IFERROR(AA688*N688,"0")</f>
      </c>
      <c r="AC688" s="196"/>
      <c r="AD688" s="7"/>
      <c r="AE688" s="166">
        <f>W688+Y688+AB688+AD688</f>
      </c>
      <c r="AF688" s="195"/>
      <c r="AG688" s="169">
        <f>M688&amp;"-"&amp;F688</f>
      </c>
      <c r="AH688" s="191">
        <f>IFERROR(VLOOKUP(AG688,Masters!N:O,2,0),"0")</f>
      </c>
      <c r="AI688" s="166">
        <f>AH688*N688</f>
      </c>
      <c r="AJ688" s="7"/>
      <c r="AK688" s="170">
        <f>AI688-AE688</f>
      </c>
      <c r="AL688" s="195"/>
      <c r="AM688" s="6"/>
      <c r="AN688" s="171">
        <f>IFERROR(U688/2,"0")</f>
      </c>
    </row>
    <row x14ac:dyDescent="0.25" r="689" customHeight="1" ht="18.75">
      <c r="A689" s="158">
        <f>A688+1</f>
      </c>
      <c r="B689" s="159"/>
      <c r="C689" s="6"/>
      <c r="D689" s="159"/>
      <c r="E689" s="198"/>
      <c r="F689" s="160"/>
      <c r="G689" s="6"/>
      <c r="H689" s="6"/>
      <c r="I689" s="7"/>
      <c r="J689" s="147"/>
      <c r="K689" s="7"/>
      <c r="L689" s="147"/>
      <c r="M689" s="161">
        <f>IFERROR(VLOOKUP(L689,'Material Master'!B:C,2,0),"")</f>
      </c>
      <c r="N689" s="7"/>
      <c r="O689" s="162">
        <f>IFERROR(M689*N689,"")</f>
      </c>
      <c r="P689" s="6"/>
      <c r="Q689" s="158"/>
      <c r="R689" s="163"/>
      <c r="S689" s="147"/>
      <c r="T689" s="6"/>
      <c r="U689" s="158"/>
      <c r="V689" s="164">
        <v>31</v>
      </c>
      <c r="W689" s="165">
        <f>IFERROR(U689*V689,"0")</f>
      </c>
      <c r="X689" s="7"/>
      <c r="Y689" s="191">
        <f>IFERROR((O689/1000)*Masters!$C$3,"0")</f>
      </c>
      <c r="Z689" s="195"/>
      <c r="AA689" s="164">
        <f>IFERROR(VLOOKUP(L689,Masters!G:H,2,0),"0")</f>
      </c>
      <c r="AB689" s="166">
        <f>IFERROR(AA689*N689,"0")</f>
      </c>
      <c r="AC689" s="196"/>
      <c r="AD689" s="7"/>
      <c r="AE689" s="166">
        <f>W689+Y689+AB689+AD689</f>
      </c>
      <c r="AF689" s="195"/>
      <c r="AG689" s="169">
        <f>M689&amp;"-"&amp;F689</f>
      </c>
      <c r="AH689" s="191">
        <f>IFERROR(VLOOKUP(AG689,Masters!N:O,2,0),"0")</f>
      </c>
      <c r="AI689" s="166">
        <f>AH689*N689</f>
      </c>
      <c r="AJ689" s="7"/>
      <c r="AK689" s="170">
        <f>AI689-AE689</f>
      </c>
      <c r="AL689" s="195"/>
      <c r="AM689" s="6"/>
      <c r="AN689" s="171">
        <f>IFERROR(U689/2,"0")</f>
      </c>
    </row>
    <row x14ac:dyDescent="0.25" r="690" customHeight="1" ht="18.75">
      <c r="A690" s="158">
        <f>A689+1</f>
      </c>
      <c r="B690" s="159"/>
      <c r="C690" s="6"/>
      <c r="D690" s="159"/>
      <c r="E690" s="198"/>
      <c r="F690" s="160"/>
      <c r="G690" s="6"/>
      <c r="H690" s="6"/>
      <c r="I690" s="7"/>
      <c r="J690" s="147"/>
      <c r="K690" s="7"/>
      <c r="L690" s="147"/>
      <c r="M690" s="161">
        <f>IFERROR(VLOOKUP(L690,'Material Master'!B:C,2,0),"")</f>
      </c>
      <c r="N690" s="7"/>
      <c r="O690" s="162">
        <f>IFERROR(M690*N690,"")</f>
      </c>
      <c r="P690" s="6"/>
      <c r="Q690" s="158"/>
      <c r="R690" s="163"/>
      <c r="S690" s="147"/>
      <c r="T690" s="6"/>
      <c r="U690" s="158"/>
      <c r="V690" s="164">
        <v>31</v>
      </c>
      <c r="W690" s="165">
        <f>IFERROR(U690*V690,"0")</f>
      </c>
      <c r="X690" s="7"/>
      <c r="Y690" s="191">
        <f>IFERROR((O690/1000)*Masters!$C$3,"0")</f>
      </c>
      <c r="Z690" s="195"/>
      <c r="AA690" s="164">
        <f>IFERROR(VLOOKUP(L690,Masters!G:H,2,0),"0")</f>
      </c>
      <c r="AB690" s="166">
        <f>IFERROR(AA690*N690,"0")</f>
      </c>
      <c r="AC690" s="196"/>
      <c r="AD690" s="7"/>
      <c r="AE690" s="166">
        <f>W690+Y690+AB690+AD690</f>
      </c>
      <c r="AF690" s="195"/>
      <c r="AG690" s="169">
        <f>M690&amp;"-"&amp;F690</f>
      </c>
      <c r="AH690" s="191">
        <f>IFERROR(VLOOKUP(AG690,Masters!N:O,2,0),"0")</f>
      </c>
      <c r="AI690" s="166">
        <f>AH690*N690</f>
      </c>
      <c r="AJ690" s="7"/>
      <c r="AK690" s="170">
        <f>AI690-AE690</f>
      </c>
      <c r="AL690" s="195"/>
      <c r="AM690" s="6"/>
      <c r="AN690" s="171">
        <f>IFERROR(U690/2,"0")</f>
      </c>
    </row>
    <row x14ac:dyDescent="0.25" r="691" customHeight="1" ht="18.75">
      <c r="A691" s="158">
        <f>A690+1</f>
      </c>
      <c r="B691" s="159"/>
      <c r="C691" s="6"/>
      <c r="D691" s="159"/>
      <c r="E691" s="198"/>
      <c r="F691" s="160"/>
      <c r="G691" s="6"/>
      <c r="H691" s="6"/>
      <c r="I691" s="7"/>
      <c r="J691" s="147"/>
      <c r="K691" s="7"/>
      <c r="L691" s="147"/>
      <c r="M691" s="161">
        <f>IFERROR(VLOOKUP(L691,'Material Master'!B:C,2,0),"")</f>
      </c>
      <c r="N691" s="7"/>
      <c r="O691" s="162">
        <f>IFERROR(M691*N691,"")</f>
      </c>
      <c r="P691" s="6"/>
      <c r="Q691" s="158"/>
      <c r="R691" s="163"/>
      <c r="S691" s="147"/>
      <c r="T691" s="6"/>
      <c r="U691" s="158"/>
      <c r="V691" s="164">
        <v>31</v>
      </c>
      <c r="W691" s="165">
        <f>IFERROR(U691*V691,"0")</f>
      </c>
      <c r="X691" s="7"/>
      <c r="Y691" s="191">
        <f>IFERROR((O691/1000)*Masters!$C$3,"0")</f>
      </c>
      <c r="Z691" s="195"/>
      <c r="AA691" s="164">
        <f>IFERROR(VLOOKUP(L691,Masters!G:H,2,0),"0")</f>
      </c>
      <c r="AB691" s="166">
        <f>IFERROR(AA691*N691,"0")</f>
      </c>
      <c r="AC691" s="196"/>
      <c r="AD691" s="7"/>
      <c r="AE691" s="166">
        <f>W691+Y691+AB691+AD691</f>
      </c>
      <c r="AF691" s="195"/>
      <c r="AG691" s="169">
        <f>M691&amp;"-"&amp;F691</f>
      </c>
      <c r="AH691" s="191">
        <f>IFERROR(VLOOKUP(AG691,Masters!N:O,2,0),"0")</f>
      </c>
      <c r="AI691" s="166">
        <f>AH691*N691</f>
      </c>
      <c r="AJ691" s="7"/>
      <c r="AK691" s="170">
        <f>AI691-AE691</f>
      </c>
      <c r="AL691" s="195"/>
      <c r="AM691" s="6"/>
      <c r="AN691" s="171">
        <f>IFERROR(U691/2,"0")</f>
      </c>
    </row>
    <row x14ac:dyDescent="0.25" r="692" customHeight="1" ht="18.75">
      <c r="A692" s="158">
        <f>A691+1</f>
      </c>
      <c r="B692" s="159"/>
      <c r="C692" s="6"/>
      <c r="D692" s="159"/>
      <c r="E692" s="198"/>
      <c r="F692" s="160"/>
      <c r="G692" s="6"/>
      <c r="H692" s="6"/>
      <c r="I692" s="7"/>
      <c r="J692" s="147"/>
      <c r="K692" s="7"/>
      <c r="L692" s="147"/>
      <c r="M692" s="161">
        <f>IFERROR(VLOOKUP(L692,'Material Master'!B:C,2,0),"")</f>
      </c>
      <c r="N692" s="7"/>
      <c r="O692" s="162">
        <f>IFERROR(M692*N692,"")</f>
      </c>
      <c r="P692" s="6"/>
      <c r="Q692" s="158"/>
      <c r="R692" s="163"/>
      <c r="S692" s="147"/>
      <c r="T692" s="6"/>
      <c r="U692" s="158"/>
      <c r="V692" s="164">
        <v>31</v>
      </c>
      <c r="W692" s="165">
        <f>IFERROR(U692*V692,"0")</f>
      </c>
      <c r="X692" s="7"/>
      <c r="Y692" s="191">
        <f>IFERROR((O692/1000)*Masters!$C$3,"0")</f>
      </c>
      <c r="Z692" s="195"/>
      <c r="AA692" s="164">
        <f>IFERROR(VLOOKUP(L692,Masters!G:H,2,0),"0")</f>
      </c>
      <c r="AB692" s="166">
        <f>IFERROR(AA692*N692,"0")</f>
      </c>
      <c r="AC692" s="196"/>
      <c r="AD692" s="7"/>
      <c r="AE692" s="166">
        <f>W692+Y692+AB692+AD692</f>
      </c>
      <c r="AF692" s="195"/>
      <c r="AG692" s="169">
        <f>M692&amp;"-"&amp;F692</f>
      </c>
      <c r="AH692" s="191">
        <f>IFERROR(VLOOKUP(AG692,Masters!N:O,2,0),"0")</f>
      </c>
      <c r="AI692" s="166">
        <f>AH692*N692</f>
      </c>
      <c r="AJ692" s="7"/>
      <c r="AK692" s="170">
        <f>AI692-AE692</f>
      </c>
      <c r="AL692" s="195"/>
      <c r="AM692" s="6"/>
      <c r="AN692" s="171">
        <f>IFERROR(U692/2,"0")</f>
      </c>
    </row>
    <row x14ac:dyDescent="0.25" r="693" customHeight="1" ht="18.75">
      <c r="A693" s="158">
        <f>A692+1</f>
      </c>
      <c r="B693" s="159"/>
      <c r="C693" s="6"/>
      <c r="D693" s="159"/>
      <c r="E693" s="198"/>
      <c r="F693" s="160"/>
      <c r="G693" s="6"/>
      <c r="H693" s="6"/>
      <c r="I693" s="7"/>
      <c r="J693" s="147"/>
      <c r="K693" s="7"/>
      <c r="L693" s="147"/>
      <c r="M693" s="161">
        <f>IFERROR(VLOOKUP(L693,'Material Master'!B:C,2,0),"")</f>
      </c>
      <c r="N693" s="7"/>
      <c r="O693" s="162">
        <f>IFERROR(M693*N693,"")</f>
      </c>
      <c r="P693" s="6"/>
      <c r="Q693" s="158"/>
      <c r="R693" s="163"/>
      <c r="S693" s="147"/>
      <c r="T693" s="6"/>
      <c r="U693" s="158"/>
      <c r="V693" s="164">
        <v>31</v>
      </c>
      <c r="W693" s="165">
        <f>IFERROR(U693*V693,"0")</f>
      </c>
      <c r="X693" s="7"/>
      <c r="Y693" s="191">
        <f>IFERROR((O693/1000)*Masters!$C$3,"0")</f>
      </c>
      <c r="Z693" s="195"/>
      <c r="AA693" s="164">
        <f>IFERROR(VLOOKUP(L693,Masters!G:H,2,0),"0")</f>
      </c>
      <c r="AB693" s="166">
        <f>IFERROR(AA693*N693,"0")</f>
      </c>
      <c r="AC693" s="196"/>
      <c r="AD693" s="7"/>
      <c r="AE693" s="166">
        <f>W693+Y693+AB693+AD693</f>
      </c>
      <c r="AF693" s="195"/>
      <c r="AG693" s="169">
        <f>M693&amp;"-"&amp;F693</f>
      </c>
      <c r="AH693" s="191">
        <f>IFERROR(VLOOKUP(AG693,Masters!N:O,2,0),"0")</f>
      </c>
      <c r="AI693" s="166">
        <f>AH693*N693</f>
      </c>
      <c r="AJ693" s="7"/>
      <c r="AK693" s="170">
        <f>AI693-AE693</f>
      </c>
      <c r="AL693" s="195"/>
      <c r="AM693" s="6"/>
      <c r="AN693" s="171">
        <f>IFERROR(U693/2,"0")</f>
      </c>
    </row>
    <row x14ac:dyDescent="0.25" r="694" customHeight="1" ht="18.75">
      <c r="A694" s="158">
        <f>A693+1</f>
      </c>
      <c r="B694" s="159"/>
      <c r="C694" s="6"/>
      <c r="D694" s="159"/>
      <c r="E694" s="198"/>
      <c r="F694" s="160"/>
      <c r="G694" s="6"/>
      <c r="H694" s="6"/>
      <c r="I694" s="7"/>
      <c r="J694" s="147"/>
      <c r="K694" s="7"/>
      <c r="L694" s="147"/>
      <c r="M694" s="161">
        <f>IFERROR(VLOOKUP(L694,'Material Master'!B:C,2,0),"")</f>
      </c>
      <c r="N694" s="7"/>
      <c r="O694" s="162">
        <f>IFERROR(M694*N694,"")</f>
      </c>
      <c r="P694" s="6"/>
      <c r="Q694" s="158"/>
      <c r="R694" s="163"/>
      <c r="S694" s="147"/>
      <c r="T694" s="6"/>
      <c r="U694" s="158"/>
      <c r="V694" s="164">
        <v>31</v>
      </c>
      <c r="W694" s="165">
        <f>IFERROR(U694*V694,"0")</f>
      </c>
      <c r="X694" s="7"/>
      <c r="Y694" s="191">
        <f>IFERROR((O694/1000)*Masters!$C$3,"0")</f>
      </c>
      <c r="Z694" s="195"/>
      <c r="AA694" s="164">
        <f>IFERROR(VLOOKUP(L694,Masters!G:H,2,0),"0")</f>
      </c>
      <c r="AB694" s="166">
        <f>IFERROR(AA694*N694,"0")</f>
      </c>
      <c r="AC694" s="196"/>
      <c r="AD694" s="7"/>
      <c r="AE694" s="166">
        <f>W694+Y694+AB694+AD694</f>
      </c>
      <c r="AF694" s="195"/>
      <c r="AG694" s="169">
        <f>M694&amp;"-"&amp;F694</f>
      </c>
      <c r="AH694" s="191">
        <f>IFERROR(VLOOKUP(AG694,Masters!N:O,2,0),"0")</f>
      </c>
      <c r="AI694" s="166">
        <f>AH694*N694</f>
      </c>
      <c r="AJ694" s="7"/>
      <c r="AK694" s="170">
        <f>AI694-AE694</f>
      </c>
      <c r="AL694" s="195"/>
      <c r="AM694" s="6"/>
      <c r="AN694" s="171">
        <f>IFERROR(U694/2,"0")</f>
      </c>
    </row>
    <row x14ac:dyDescent="0.25" r="695" customHeight="1" ht="18.75">
      <c r="A695" s="158">
        <f>A694+1</f>
      </c>
      <c r="B695" s="159"/>
      <c r="C695" s="6"/>
      <c r="D695" s="159"/>
      <c r="E695" s="198"/>
      <c r="F695" s="160"/>
      <c r="G695" s="6"/>
      <c r="H695" s="6"/>
      <c r="I695" s="7"/>
      <c r="J695" s="147"/>
      <c r="K695" s="7"/>
      <c r="L695" s="147"/>
      <c r="M695" s="161">
        <f>IFERROR(VLOOKUP(L695,'Material Master'!B:C,2,0),"")</f>
      </c>
      <c r="N695" s="7"/>
      <c r="O695" s="162">
        <f>IFERROR(M695*N695,"")</f>
      </c>
      <c r="P695" s="6"/>
      <c r="Q695" s="158"/>
      <c r="R695" s="163"/>
      <c r="S695" s="147"/>
      <c r="T695" s="6"/>
      <c r="U695" s="158"/>
      <c r="V695" s="164">
        <v>31</v>
      </c>
      <c r="W695" s="165">
        <f>IFERROR(U695*V695,"0")</f>
      </c>
      <c r="X695" s="7"/>
      <c r="Y695" s="191">
        <f>IFERROR((O695/1000)*Masters!$C$3,"0")</f>
      </c>
      <c r="Z695" s="195"/>
      <c r="AA695" s="164">
        <f>IFERROR(VLOOKUP(L695,Masters!G:H,2,0),"0")</f>
      </c>
      <c r="AB695" s="166">
        <f>IFERROR(AA695*N695,"0")</f>
      </c>
      <c r="AC695" s="196"/>
      <c r="AD695" s="7"/>
      <c r="AE695" s="166">
        <f>W695+Y695+AB695+AD695</f>
      </c>
      <c r="AF695" s="195"/>
      <c r="AG695" s="169">
        <f>M695&amp;"-"&amp;F695</f>
      </c>
      <c r="AH695" s="191">
        <f>IFERROR(VLOOKUP(AG695,Masters!N:O,2,0),"0")</f>
      </c>
      <c r="AI695" s="166">
        <f>AH695*N695</f>
      </c>
      <c r="AJ695" s="7"/>
      <c r="AK695" s="170">
        <f>AI695-AE695</f>
      </c>
      <c r="AL695" s="195"/>
      <c r="AM695" s="6"/>
      <c r="AN695" s="171">
        <f>IFERROR(U695/2,"0")</f>
      </c>
    </row>
    <row x14ac:dyDescent="0.25" r="696" customHeight="1" ht="18.75">
      <c r="A696" s="158">
        <f>A695+1</f>
      </c>
      <c r="B696" s="159"/>
      <c r="C696" s="6"/>
      <c r="D696" s="159"/>
      <c r="E696" s="198"/>
      <c r="F696" s="160"/>
      <c r="G696" s="6"/>
      <c r="H696" s="6"/>
      <c r="I696" s="7"/>
      <c r="J696" s="147"/>
      <c r="K696" s="7"/>
      <c r="L696" s="147"/>
      <c r="M696" s="161">
        <f>IFERROR(VLOOKUP(L696,'Material Master'!B:C,2,0),"")</f>
      </c>
      <c r="N696" s="7"/>
      <c r="O696" s="162">
        <f>IFERROR(M696*N696,"")</f>
      </c>
      <c r="P696" s="6"/>
      <c r="Q696" s="158"/>
      <c r="R696" s="163"/>
      <c r="S696" s="147"/>
      <c r="T696" s="6"/>
      <c r="U696" s="158"/>
      <c r="V696" s="164">
        <v>31</v>
      </c>
      <c r="W696" s="165">
        <f>IFERROR(U696*V696,"0")</f>
      </c>
      <c r="X696" s="7"/>
      <c r="Y696" s="191">
        <f>IFERROR((O696/1000)*Masters!$C$3,"0")</f>
      </c>
      <c r="Z696" s="195"/>
      <c r="AA696" s="164">
        <f>IFERROR(VLOOKUP(L696,Masters!G:H,2,0),"0")</f>
      </c>
      <c r="AB696" s="166">
        <f>IFERROR(AA696*N696,"0")</f>
      </c>
      <c r="AC696" s="196"/>
      <c r="AD696" s="7"/>
      <c r="AE696" s="166">
        <f>W696+Y696+AB696+AD696</f>
      </c>
      <c r="AF696" s="195"/>
      <c r="AG696" s="169">
        <f>M696&amp;"-"&amp;F696</f>
      </c>
      <c r="AH696" s="191">
        <f>IFERROR(VLOOKUP(AG696,Masters!N:O,2,0),"0")</f>
      </c>
      <c r="AI696" s="166">
        <f>AH696*N696</f>
      </c>
      <c r="AJ696" s="7"/>
      <c r="AK696" s="170">
        <f>AI696-AE696</f>
      </c>
      <c r="AL696" s="195"/>
      <c r="AM696" s="6"/>
      <c r="AN696" s="171">
        <f>IFERROR(U696/2,"0")</f>
      </c>
    </row>
    <row x14ac:dyDescent="0.25" r="697" customHeight="1" ht="18.75">
      <c r="A697" s="158">
        <f>A696+1</f>
      </c>
      <c r="B697" s="159"/>
      <c r="C697" s="6"/>
      <c r="D697" s="159"/>
      <c r="E697" s="198"/>
      <c r="F697" s="160"/>
      <c r="G697" s="6"/>
      <c r="H697" s="6"/>
      <c r="I697" s="7"/>
      <c r="J697" s="147"/>
      <c r="K697" s="7"/>
      <c r="L697" s="147"/>
      <c r="M697" s="161">
        <f>IFERROR(VLOOKUP(L697,'Material Master'!B:C,2,0),"")</f>
      </c>
      <c r="N697" s="7"/>
      <c r="O697" s="162">
        <f>IFERROR(M697*N697,"")</f>
      </c>
      <c r="P697" s="6"/>
      <c r="Q697" s="158"/>
      <c r="R697" s="163"/>
      <c r="S697" s="147"/>
      <c r="T697" s="6"/>
      <c r="U697" s="158"/>
      <c r="V697" s="164">
        <v>31</v>
      </c>
      <c r="W697" s="165">
        <f>IFERROR(U697*V697,"0")</f>
      </c>
      <c r="X697" s="7"/>
      <c r="Y697" s="191">
        <f>IFERROR((O697/1000)*Masters!$C$3,"0")</f>
      </c>
      <c r="Z697" s="195"/>
      <c r="AA697" s="164">
        <f>IFERROR(VLOOKUP(L697,Masters!G:H,2,0),"0")</f>
      </c>
      <c r="AB697" s="166">
        <f>IFERROR(AA697*N697,"0")</f>
      </c>
      <c r="AC697" s="196"/>
      <c r="AD697" s="7"/>
      <c r="AE697" s="166">
        <f>W697+Y697+AB697+AD697</f>
      </c>
      <c r="AF697" s="195"/>
      <c r="AG697" s="169">
        <f>M697&amp;"-"&amp;F697</f>
      </c>
      <c r="AH697" s="191">
        <f>IFERROR(VLOOKUP(AG697,Masters!N:O,2,0),"0")</f>
      </c>
      <c r="AI697" s="166">
        <f>AH697*N697</f>
      </c>
      <c r="AJ697" s="7"/>
      <c r="AK697" s="170">
        <f>AI697-AE697</f>
      </c>
      <c r="AL697" s="195"/>
      <c r="AM697" s="6"/>
      <c r="AN697" s="171">
        <f>IFERROR(U697/2,"0")</f>
      </c>
    </row>
    <row x14ac:dyDescent="0.25" r="698" customHeight="1" ht="18.75">
      <c r="A698" s="158">
        <f>A697+1</f>
      </c>
      <c r="B698" s="159"/>
      <c r="C698" s="6"/>
      <c r="D698" s="159"/>
      <c r="E698" s="198"/>
      <c r="F698" s="160"/>
      <c r="G698" s="6"/>
      <c r="H698" s="6"/>
      <c r="I698" s="7"/>
      <c r="J698" s="147"/>
      <c r="K698" s="7"/>
      <c r="L698" s="147"/>
      <c r="M698" s="161">
        <f>IFERROR(VLOOKUP(L698,'Material Master'!B:C,2,0),"")</f>
      </c>
      <c r="N698" s="7"/>
      <c r="O698" s="162">
        <f>IFERROR(M698*N698,"")</f>
      </c>
      <c r="P698" s="6"/>
      <c r="Q698" s="158"/>
      <c r="R698" s="163"/>
      <c r="S698" s="147"/>
      <c r="T698" s="6"/>
      <c r="U698" s="158"/>
      <c r="V698" s="164">
        <v>31</v>
      </c>
      <c r="W698" s="165">
        <f>IFERROR(U698*V698,"0")</f>
      </c>
      <c r="X698" s="7"/>
      <c r="Y698" s="191">
        <f>IFERROR((O698/1000)*Masters!$C$3,"0")</f>
      </c>
      <c r="Z698" s="195"/>
      <c r="AA698" s="164">
        <f>IFERROR(VLOOKUP(L698,Masters!G:H,2,0),"0")</f>
      </c>
      <c r="AB698" s="166">
        <f>IFERROR(AA698*N698,"0")</f>
      </c>
      <c r="AC698" s="196"/>
      <c r="AD698" s="7"/>
      <c r="AE698" s="166">
        <f>W698+Y698+AB698+AD698</f>
      </c>
      <c r="AF698" s="195"/>
      <c r="AG698" s="169">
        <f>M698&amp;"-"&amp;F698</f>
      </c>
      <c r="AH698" s="191">
        <f>IFERROR(VLOOKUP(AG698,Masters!N:O,2,0),"0")</f>
      </c>
      <c r="AI698" s="166">
        <f>AH698*N698</f>
      </c>
      <c r="AJ698" s="7"/>
      <c r="AK698" s="170">
        <f>AI698-AE698</f>
      </c>
      <c r="AL698" s="195"/>
      <c r="AM698" s="6"/>
      <c r="AN698" s="171">
        <f>IFERROR(U698/2,"0")</f>
      </c>
    </row>
    <row x14ac:dyDescent="0.25" r="699" customHeight="1" ht="18.75">
      <c r="A699" s="158">
        <f>A698+1</f>
      </c>
      <c r="B699" s="159"/>
      <c r="C699" s="6"/>
      <c r="D699" s="159"/>
      <c r="E699" s="198"/>
      <c r="F699" s="160"/>
      <c r="G699" s="6"/>
      <c r="H699" s="6"/>
      <c r="I699" s="7"/>
      <c r="J699" s="147"/>
      <c r="K699" s="7"/>
      <c r="L699" s="147"/>
      <c r="M699" s="161">
        <f>IFERROR(VLOOKUP(L699,'Material Master'!B:C,2,0),"")</f>
      </c>
      <c r="N699" s="7"/>
      <c r="O699" s="162">
        <f>IFERROR(M699*N699,"")</f>
      </c>
      <c r="P699" s="6"/>
      <c r="Q699" s="158"/>
      <c r="R699" s="163"/>
      <c r="S699" s="147"/>
      <c r="T699" s="6"/>
      <c r="U699" s="158"/>
      <c r="V699" s="164">
        <v>31</v>
      </c>
      <c r="W699" s="165">
        <f>IFERROR(U699*V699,"0")</f>
      </c>
      <c r="X699" s="7"/>
      <c r="Y699" s="191">
        <f>IFERROR((O699/1000)*Masters!$C$3,"0")</f>
      </c>
      <c r="Z699" s="195"/>
      <c r="AA699" s="164">
        <f>IFERROR(VLOOKUP(L699,Masters!G:H,2,0),"0")</f>
      </c>
      <c r="AB699" s="166">
        <f>IFERROR(AA699*N699,"0")</f>
      </c>
      <c r="AC699" s="196"/>
      <c r="AD699" s="7"/>
      <c r="AE699" s="166">
        <f>W699+Y699+AB699+AD699</f>
      </c>
      <c r="AF699" s="195"/>
      <c r="AG699" s="169">
        <f>M699&amp;"-"&amp;F699</f>
      </c>
      <c r="AH699" s="191">
        <f>IFERROR(VLOOKUP(AG699,Masters!N:O,2,0),"0")</f>
      </c>
      <c r="AI699" s="166">
        <f>AH699*N699</f>
      </c>
      <c r="AJ699" s="7"/>
      <c r="AK699" s="170">
        <f>AI699-AE699</f>
      </c>
      <c r="AL699" s="195"/>
      <c r="AM699" s="6"/>
      <c r="AN699" s="171">
        <f>IFERROR(U699/2,"0")</f>
      </c>
    </row>
    <row x14ac:dyDescent="0.25" r="700" customHeight="1" ht="18.75">
      <c r="A700" s="158">
        <f>A699+1</f>
      </c>
      <c r="B700" s="159"/>
      <c r="C700" s="6"/>
      <c r="D700" s="159"/>
      <c r="E700" s="198"/>
      <c r="F700" s="160"/>
      <c r="G700" s="6"/>
      <c r="H700" s="6"/>
      <c r="I700" s="7"/>
      <c r="J700" s="147"/>
      <c r="K700" s="7"/>
      <c r="L700" s="147"/>
      <c r="M700" s="161">
        <f>IFERROR(VLOOKUP(L700,'Material Master'!B:C,2,0),"")</f>
      </c>
      <c r="N700" s="7"/>
      <c r="O700" s="162">
        <f>IFERROR(M700*N700,"")</f>
      </c>
      <c r="P700" s="6"/>
      <c r="Q700" s="158"/>
      <c r="R700" s="163"/>
      <c r="S700" s="147"/>
      <c r="T700" s="6"/>
      <c r="U700" s="158"/>
      <c r="V700" s="164">
        <v>31</v>
      </c>
      <c r="W700" s="165">
        <f>IFERROR(U700*V700,"0")</f>
      </c>
      <c r="X700" s="7"/>
      <c r="Y700" s="191">
        <f>IFERROR((O700/1000)*Masters!$C$3,"0")</f>
      </c>
      <c r="Z700" s="195"/>
      <c r="AA700" s="164">
        <f>IFERROR(VLOOKUP(L700,Masters!G:H,2,0),"0")</f>
      </c>
      <c r="AB700" s="166">
        <f>IFERROR(AA700*N700,"0")</f>
      </c>
      <c r="AC700" s="196"/>
      <c r="AD700" s="7"/>
      <c r="AE700" s="166">
        <f>W700+Y700+AB700+AD700</f>
      </c>
      <c r="AF700" s="195"/>
      <c r="AG700" s="169">
        <f>M700&amp;"-"&amp;F700</f>
      </c>
      <c r="AH700" s="191">
        <f>IFERROR(VLOOKUP(AG700,Masters!N:O,2,0),"0")</f>
      </c>
      <c r="AI700" s="166">
        <f>AH700*N700</f>
      </c>
      <c r="AJ700" s="7"/>
      <c r="AK700" s="170">
        <f>AI700-AE700</f>
      </c>
      <c r="AL700" s="195"/>
      <c r="AM700" s="6"/>
      <c r="AN700" s="171">
        <f>IFERROR(U700/2,"0")</f>
      </c>
    </row>
    <row x14ac:dyDescent="0.25" r="701" customHeight="1" ht="18.75">
      <c r="A701" s="158">
        <f>A700+1</f>
      </c>
      <c r="B701" s="159"/>
      <c r="C701" s="6"/>
      <c r="D701" s="159"/>
      <c r="E701" s="198"/>
      <c r="F701" s="160"/>
      <c r="G701" s="6"/>
      <c r="H701" s="6"/>
      <c r="I701" s="7"/>
      <c r="J701" s="147"/>
      <c r="K701" s="7"/>
      <c r="L701" s="147"/>
      <c r="M701" s="161">
        <f>IFERROR(VLOOKUP(L701,'Material Master'!B:C,2,0),"")</f>
      </c>
      <c r="N701" s="7"/>
      <c r="O701" s="162">
        <f>IFERROR(M701*N701,"")</f>
      </c>
      <c r="P701" s="6"/>
      <c r="Q701" s="158"/>
      <c r="R701" s="163"/>
      <c r="S701" s="147"/>
      <c r="T701" s="6"/>
      <c r="U701" s="158"/>
      <c r="V701" s="164">
        <v>31</v>
      </c>
      <c r="W701" s="165">
        <f>IFERROR(U701*V701,"0")</f>
      </c>
      <c r="X701" s="7"/>
      <c r="Y701" s="191">
        <f>IFERROR((O701/1000)*Masters!$C$3,"0")</f>
      </c>
      <c r="Z701" s="195"/>
      <c r="AA701" s="164">
        <f>IFERROR(VLOOKUP(L701,Masters!G:H,2,0),"0")</f>
      </c>
      <c r="AB701" s="166">
        <f>IFERROR(AA701*N701,"0")</f>
      </c>
      <c r="AC701" s="196"/>
      <c r="AD701" s="7"/>
      <c r="AE701" s="166">
        <f>W701+Y701+AB701+AD701</f>
      </c>
      <c r="AF701" s="195"/>
      <c r="AG701" s="169">
        <f>M701&amp;"-"&amp;F701</f>
      </c>
      <c r="AH701" s="191">
        <f>IFERROR(VLOOKUP(AG701,Masters!N:O,2,0),"0")</f>
      </c>
      <c r="AI701" s="166">
        <f>AH701*N701</f>
      </c>
      <c r="AJ701" s="7"/>
      <c r="AK701" s="170">
        <f>AI701-AE701</f>
      </c>
      <c r="AL701" s="195"/>
      <c r="AM701" s="6"/>
      <c r="AN701" s="171">
        <f>IFERROR(U701/2,"0")</f>
      </c>
    </row>
    <row x14ac:dyDescent="0.25" r="702" customHeight="1" ht="18.75">
      <c r="A702" s="158">
        <f>A701+1</f>
      </c>
      <c r="B702" s="159"/>
      <c r="C702" s="6"/>
      <c r="D702" s="159"/>
      <c r="E702" s="198"/>
      <c r="F702" s="160"/>
      <c r="G702" s="6"/>
      <c r="H702" s="6"/>
      <c r="I702" s="7"/>
      <c r="J702" s="147"/>
      <c r="K702" s="7"/>
      <c r="L702" s="147"/>
      <c r="M702" s="161">
        <f>IFERROR(VLOOKUP(L702,'Material Master'!B:C,2,0),"")</f>
      </c>
      <c r="N702" s="7"/>
      <c r="O702" s="162">
        <f>IFERROR(M702*N702,"")</f>
      </c>
      <c r="P702" s="6"/>
      <c r="Q702" s="158"/>
      <c r="R702" s="163"/>
      <c r="S702" s="147"/>
      <c r="T702" s="6"/>
      <c r="U702" s="158"/>
      <c r="V702" s="164">
        <v>31</v>
      </c>
      <c r="W702" s="165">
        <f>IFERROR(U702*V702,"0")</f>
      </c>
      <c r="X702" s="7"/>
      <c r="Y702" s="191">
        <f>IFERROR((O702/1000)*Masters!$C$3,"0")</f>
      </c>
      <c r="Z702" s="195"/>
      <c r="AA702" s="164">
        <f>IFERROR(VLOOKUP(L702,Masters!G:H,2,0),"0")</f>
      </c>
      <c r="AB702" s="166">
        <f>IFERROR(AA702*N702,"0")</f>
      </c>
      <c r="AC702" s="196"/>
      <c r="AD702" s="7"/>
      <c r="AE702" s="166">
        <f>W702+Y702+AB702+AD702</f>
      </c>
      <c r="AF702" s="195"/>
      <c r="AG702" s="169">
        <f>M702&amp;"-"&amp;F702</f>
      </c>
      <c r="AH702" s="191">
        <f>IFERROR(VLOOKUP(AG702,Masters!N:O,2,0),"0")</f>
      </c>
      <c r="AI702" s="166">
        <f>AH702*N702</f>
      </c>
      <c r="AJ702" s="7"/>
      <c r="AK702" s="170">
        <f>AI702-AE702</f>
      </c>
      <c r="AL702" s="195"/>
      <c r="AM702" s="6"/>
      <c r="AN702" s="171">
        <f>IFERROR(U702/2,"0")</f>
      </c>
    </row>
    <row x14ac:dyDescent="0.25" r="703" customHeight="1" ht="18.75">
      <c r="A703" s="158">
        <f>A702+1</f>
      </c>
      <c r="B703" s="159"/>
      <c r="C703" s="6"/>
      <c r="D703" s="159"/>
      <c r="E703" s="198"/>
      <c r="F703" s="160"/>
      <c r="G703" s="6"/>
      <c r="H703" s="6"/>
      <c r="I703" s="7"/>
      <c r="J703" s="147"/>
      <c r="K703" s="7"/>
      <c r="L703" s="147"/>
      <c r="M703" s="161">
        <f>IFERROR(VLOOKUP(L703,'Material Master'!B:C,2,0),"")</f>
      </c>
      <c r="N703" s="7"/>
      <c r="O703" s="162">
        <f>IFERROR(M703*N703,"")</f>
      </c>
      <c r="P703" s="6"/>
      <c r="Q703" s="158"/>
      <c r="R703" s="163"/>
      <c r="S703" s="147"/>
      <c r="T703" s="6"/>
      <c r="U703" s="158"/>
      <c r="V703" s="164">
        <v>31</v>
      </c>
      <c r="W703" s="165">
        <f>IFERROR(U703*V703,"0")</f>
      </c>
      <c r="X703" s="7"/>
      <c r="Y703" s="191">
        <f>IFERROR((O703/1000)*Masters!$C$3,"0")</f>
      </c>
      <c r="Z703" s="195"/>
      <c r="AA703" s="164">
        <f>IFERROR(VLOOKUP(L703,Masters!G:H,2,0),"0")</f>
      </c>
      <c r="AB703" s="166">
        <f>IFERROR(AA703*N703,"0")</f>
      </c>
      <c r="AC703" s="196"/>
      <c r="AD703" s="7"/>
      <c r="AE703" s="166">
        <f>W703+Y703+AB703+AD703</f>
      </c>
      <c r="AF703" s="195"/>
      <c r="AG703" s="169">
        <f>M703&amp;"-"&amp;F703</f>
      </c>
      <c r="AH703" s="191">
        <f>IFERROR(VLOOKUP(AG703,Masters!N:O,2,0),"0")</f>
      </c>
      <c r="AI703" s="166">
        <f>AH703*N703</f>
      </c>
      <c r="AJ703" s="7"/>
      <c r="AK703" s="170">
        <f>AI703-AE703</f>
      </c>
      <c r="AL703" s="195"/>
      <c r="AM703" s="6"/>
      <c r="AN703" s="171">
        <f>IFERROR(U703/2,"0")</f>
      </c>
    </row>
    <row x14ac:dyDescent="0.25" r="704" customHeight="1" ht="18.75">
      <c r="A704" s="158">
        <f>A703+1</f>
      </c>
      <c r="B704" s="159"/>
      <c r="C704" s="6"/>
      <c r="D704" s="159"/>
      <c r="E704" s="198"/>
      <c r="F704" s="160"/>
      <c r="G704" s="6"/>
      <c r="H704" s="6"/>
      <c r="I704" s="7"/>
      <c r="J704" s="147"/>
      <c r="K704" s="7"/>
      <c r="L704" s="147"/>
      <c r="M704" s="161">
        <f>IFERROR(VLOOKUP(L704,'Material Master'!B:C,2,0),"")</f>
      </c>
      <c r="N704" s="7"/>
      <c r="O704" s="162">
        <f>IFERROR(M704*N704,"")</f>
      </c>
      <c r="P704" s="6"/>
      <c r="Q704" s="158"/>
      <c r="R704" s="163"/>
      <c r="S704" s="147"/>
      <c r="T704" s="6"/>
      <c r="U704" s="158"/>
      <c r="V704" s="164">
        <v>31</v>
      </c>
      <c r="W704" s="165">
        <f>IFERROR(U704*V704,"0")</f>
      </c>
      <c r="X704" s="7"/>
      <c r="Y704" s="191">
        <f>IFERROR((O704/1000)*Masters!$C$3,"0")</f>
      </c>
      <c r="Z704" s="195"/>
      <c r="AA704" s="164">
        <f>IFERROR(VLOOKUP(L704,Masters!G:H,2,0),"0")</f>
      </c>
      <c r="AB704" s="166">
        <f>IFERROR(AA704*N704,"0")</f>
      </c>
      <c r="AC704" s="196"/>
      <c r="AD704" s="7"/>
      <c r="AE704" s="166">
        <f>W704+Y704+AB704+AD704</f>
      </c>
      <c r="AF704" s="195"/>
      <c r="AG704" s="169">
        <f>M704&amp;"-"&amp;F704</f>
      </c>
      <c r="AH704" s="191">
        <f>IFERROR(VLOOKUP(AG704,Masters!N:O,2,0),"0")</f>
      </c>
      <c r="AI704" s="166">
        <f>AH704*N704</f>
      </c>
      <c r="AJ704" s="7"/>
      <c r="AK704" s="170">
        <f>AI704-AE704</f>
      </c>
      <c r="AL704" s="195"/>
      <c r="AM704" s="6"/>
      <c r="AN704" s="171">
        <f>IFERROR(U704/2,"0")</f>
      </c>
    </row>
    <row x14ac:dyDescent="0.25" r="705" customHeight="1" ht="18.75">
      <c r="A705" s="158">
        <f>A704+1</f>
      </c>
      <c r="B705" s="159"/>
      <c r="C705" s="6"/>
      <c r="D705" s="159"/>
      <c r="E705" s="198"/>
      <c r="F705" s="160"/>
      <c r="G705" s="6"/>
      <c r="H705" s="6"/>
      <c r="I705" s="7"/>
      <c r="J705" s="147"/>
      <c r="K705" s="7"/>
      <c r="L705" s="147"/>
      <c r="M705" s="161">
        <f>IFERROR(VLOOKUP(L705,'Material Master'!B:C,2,0),"")</f>
      </c>
      <c r="N705" s="7"/>
      <c r="O705" s="162">
        <f>IFERROR(M705*N705,"")</f>
      </c>
      <c r="P705" s="6"/>
      <c r="Q705" s="158"/>
      <c r="R705" s="163"/>
      <c r="S705" s="147"/>
      <c r="T705" s="6"/>
      <c r="U705" s="158"/>
      <c r="V705" s="164">
        <v>31</v>
      </c>
      <c r="W705" s="165">
        <f>IFERROR(U705*V705,"0")</f>
      </c>
      <c r="X705" s="7"/>
      <c r="Y705" s="191">
        <f>IFERROR((O705/1000)*Masters!$C$3,"0")</f>
      </c>
      <c r="Z705" s="195"/>
      <c r="AA705" s="164">
        <f>IFERROR(VLOOKUP(L705,Masters!G:H,2,0),"0")</f>
      </c>
      <c r="AB705" s="166">
        <f>IFERROR(AA705*N705,"0")</f>
      </c>
      <c r="AC705" s="196"/>
      <c r="AD705" s="7"/>
      <c r="AE705" s="166">
        <f>W705+Y705+AB705+AD705</f>
      </c>
      <c r="AF705" s="195"/>
      <c r="AG705" s="169">
        <f>M705&amp;"-"&amp;F705</f>
      </c>
      <c r="AH705" s="191">
        <f>IFERROR(VLOOKUP(AG705,Masters!N:O,2,0),"0")</f>
      </c>
      <c r="AI705" s="166">
        <f>AH705*N705</f>
      </c>
      <c r="AJ705" s="7"/>
      <c r="AK705" s="170">
        <f>AI705-AE705</f>
      </c>
      <c r="AL705" s="195"/>
      <c r="AM705" s="6"/>
      <c r="AN705" s="171">
        <f>IFERROR(U705/2,"0")</f>
      </c>
    </row>
    <row x14ac:dyDescent="0.25" r="706" customHeight="1" ht="18.75">
      <c r="A706" s="158">
        <f>A705+1</f>
      </c>
      <c r="B706" s="159"/>
      <c r="C706" s="6"/>
      <c r="D706" s="159"/>
      <c r="E706" s="198"/>
      <c r="F706" s="160"/>
      <c r="G706" s="6"/>
      <c r="H706" s="6"/>
      <c r="I706" s="7"/>
      <c r="J706" s="147"/>
      <c r="K706" s="7"/>
      <c r="L706" s="147"/>
      <c r="M706" s="161">
        <f>IFERROR(VLOOKUP(L706,'Material Master'!B:C,2,0),"")</f>
      </c>
      <c r="N706" s="7"/>
      <c r="O706" s="162">
        <f>IFERROR(M706*N706,"")</f>
      </c>
      <c r="P706" s="6"/>
      <c r="Q706" s="158"/>
      <c r="R706" s="163"/>
      <c r="S706" s="147"/>
      <c r="T706" s="6"/>
      <c r="U706" s="158"/>
      <c r="V706" s="164">
        <v>31</v>
      </c>
      <c r="W706" s="165">
        <f>IFERROR(U706*V706,"0")</f>
      </c>
      <c r="X706" s="7"/>
      <c r="Y706" s="191">
        <f>IFERROR((O706/1000)*Masters!$C$3,"0")</f>
      </c>
      <c r="Z706" s="195"/>
      <c r="AA706" s="164">
        <f>IFERROR(VLOOKUP(L706,Masters!G:H,2,0),"0")</f>
      </c>
      <c r="AB706" s="166">
        <f>IFERROR(AA706*N706,"0")</f>
      </c>
      <c r="AC706" s="196"/>
      <c r="AD706" s="7"/>
      <c r="AE706" s="166">
        <f>W706+Y706+AB706+AD706</f>
      </c>
      <c r="AF706" s="195"/>
      <c r="AG706" s="169">
        <f>M706&amp;"-"&amp;F706</f>
      </c>
      <c r="AH706" s="191">
        <f>IFERROR(VLOOKUP(AG706,Masters!N:O,2,0),"0")</f>
      </c>
      <c r="AI706" s="166">
        <f>AH706*N706</f>
      </c>
      <c r="AJ706" s="7"/>
      <c r="AK706" s="170">
        <f>AI706-AE706</f>
      </c>
      <c r="AL706" s="195"/>
      <c r="AM706" s="6"/>
      <c r="AN706" s="171">
        <f>IFERROR(U706/2,"0")</f>
      </c>
    </row>
    <row x14ac:dyDescent="0.25" r="707" customHeight="1" ht="18.75">
      <c r="A707" s="158">
        <f>A706+1</f>
      </c>
      <c r="B707" s="159"/>
      <c r="C707" s="6"/>
      <c r="D707" s="159"/>
      <c r="E707" s="198"/>
      <c r="F707" s="160"/>
      <c r="G707" s="6"/>
      <c r="H707" s="6"/>
      <c r="I707" s="7"/>
      <c r="J707" s="147"/>
      <c r="K707" s="7"/>
      <c r="L707" s="147"/>
      <c r="M707" s="161">
        <f>IFERROR(VLOOKUP(L707,'Material Master'!B:C,2,0),"")</f>
      </c>
      <c r="N707" s="7"/>
      <c r="O707" s="162">
        <f>IFERROR(M707*N707,"")</f>
      </c>
      <c r="P707" s="6"/>
      <c r="Q707" s="158"/>
      <c r="R707" s="163"/>
      <c r="S707" s="147"/>
      <c r="T707" s="6"/>
      <c r="U707" s="158"/>
      <c r="V707" s="164">
        <v>31</v>
      </c>
      <c r="W707" s="165">
        <f>IFERROR(U707*V707,"0")</f>
      </c>
      <c r="X707" s="7"/>
      <c r="Y707" s="191">
        <f>IFERROR((O707/1000)*Masters!$C$3,"0")</f>
      </c>
      <c r="Z707" s="195"/>
      <c r="AA707" s="164">
        <f>IFERROR(VLOOKUP(L707,Masters!G:H,2,0),"0")</f>
      </c>
      <c r="AB707" s="166">
        <f>IFERROR(AA707*N707,"0")</f>
      </c>
      <c r="AC707" s="196"/>
      <c r="AD707" s="7"/>
      <c r="AE707" s="166">
        <f>W707+Y707+AB707+AD707</f>
      </c>
      <c r="AF707" s="195"/>
      <c r="AG707" s="169">
        <f>M707&amp;"-"&amp;F707</f>
      </c>
      <c r="AH707" s="191">
        <f>IFERROR(VLOOKUP(AG707,Masters!N:O,2,0),"0")</f>
      </c>
      <c r="AI707" s="166">
        <f>AH707*N707</f>
      </c>
      <c r="AJ707" s="7"/>
      <c r="AK707" s="170">
        <f>AI707-AE707</f>
      </c>
      <c r="AL707" s="195"/>
      <c r="AM707" s="6"/>
      <c r="AN707" s="171">
        <f>IFERROR(U707/2,"0")</f>
      </c>
    </row>
    <row x14ac:dyDescent="0.25" r="708" customHeight="1" ht="18.75">
      <c r="A708" s="158">
        <f>A707+1</f>
      </c>
      <c r="B708" s="159"/>
      <c r="C708" s="6"/>
      <c r="D708" s="159"/>
      <c r="E708" s="198"/>
      <c r="F708" s="160"/>
      <c r="G708" s="6"/>
      <c r="H708" s="6"/>
      <c r="I708" s="7"/>
      <c r="J708" s="147"/>
      <c r="K708" s="7"/>
      <c r="L708" s="147"/>
      <c r="M708" s="161">
        <f>IFERROR(VLOOKUP(L708,'Material Master'!B:C,2,0),"")</f>
      </c>
      <c r="N708" s="7"/>
      <c r="O708" s="162">
        <f>IFERROR(M708*N708,"")</f>
      </c>
      <c r="P708" s="6"/>
      <c r="Q708" s="158"/>
      <c r="R708" s="163"/>
      <c r="S708" s="147"/>
      <c r="T708" s="6"/>
      <c r="U708" s="158"/>
      <c r="V708" s="164">
        <v>31</v>
      </c>
      <c r="W708" s="165">
        <f>IFERROR(U708*V708,"0")</f>
      </c>
      <c r="X708" s="7"/>
      <c r="Y708" s="191">
        <f>IFERROR((O708/1000)*Masters!$C$3,"0")</f>
      </c>
      <c r="Z708" s="195"/>
      <c r="AA708" s="164">
        <f>IFERROR(VLOOKUP(L708,Masters!G:H,2,0),"0")</f>
      </c>
      <c r="AB708" s="166">
        <f>IFERROR(AA708*N708,"0")</f>
      </c>
      <c r="AC708" s="196"/>
      <c r="AD708" s="7"/>
      <c r="AE708" s="166">
        <f>W708+Y708+AB708+AD708</f>
      </c>
      <c r="AF708" s="195"/>
      <c r="AG708" s="169">
        <f>M708&amp;"-"&amp;F708</f>
      </c>
      <c r="AH708" s="191">
        <f>IFERROR(VLOOKUP(AG708,Masters!N:O,2,0),"0")</f>
      </c>
      <c r="AI708" s="166">
        <f>AH708*N708</f>
      </c>
      <c r="AJ708" s="7"/>
      <c r="AK708" s="170">
        <f>AI708-AE708</f>
      </c>
      <c r="AL708" s="195"/>
      <c r="AM708" s="6"/>
      <c r="AN708" s="171">
        <f>IFERROR(U708/2,"0")</f>
      </c>
    </row>
    <row x14ac:dyDescent="0.25" r="709" customHeight="1" ht="18.75">
      <c r="A709" s="158">
        <f>A708+1</f>
      </c>
      <c r="B709" s="159"/>
      <c r="C709" s="6"/>
      <c r="D709" s="159"/>
      <c r="E709" s="198"/>
      <c r="F709" s="160"/>
      <c r="G709" s="6"/>
      <c r="H709" s="6"/>
      <c r="I709" s="7"/>
      <c r="J709" s="147"/>
      <c r="K709" s="7"/>
      <c r="L709" s="147"/>
      <c r="M709" s="161">
        <f>IFERROR(VLOOKUP(L709,'Material Master'!B:C,2,0),"")</f>
      </c>
      <c r="N709" s="7"/>
      <c r="O709" s="162">
        <f>IFERROR(M709*N709,"")</f>
      </c>
      <c r="P709" s="6"/>
      <c r="Q709" s="158"/>
      <c r="R709" s="163"/>
      <c r="S709" s="147"/>
      <c r="T709" s="6"/>
      <c r="U709" s="158"/>
      <c r="V709" s="164">
        <v>31</v>
      </c>
      <c r="W709" s="165">
        <f>IFERROR(U709*V709,"0")</f>
      </c>
      <c r="X709" s="7"/>
      <c r="Y709" s="191">
        <f>IFERROR((O709/1000)*Masters!$C$3,"0")</f>
      </c>
      <c r="Z709" s="195"/>
      <c r="AA709" s="164">
        <f>IFERROR(VLOOKUP(L709,Masters!G:H,2,0),"0")</f>
      </c>
      <c r="AB709" s="166">
        <f>IFERROR(AA709*N709,"0")</f>
      </c>
      <c r="AC709" s="196"/>
      <c r="AD709" s="7"/>
      <c r="AE709" s="166">
        <f>W709+Y709+AB709+AD709</f>
      </c>
      <c r="AF709" s="195"/>
      <c r="AG709" s="169">
        <f>M709&amp;"-"&amp;F709</f>
      </c>
      <c r="AH709" s="191">
        <f>IFERROR(VLOOKUP(AG709,Masters!N:O,2,0),"0")</f>
      </c>
      <c r="AI709" s="166">
        <f>AH709*N709</f>
      </c>
      <c r="AJ709" s="7"/>
      <c r="AK709" s="170">
        <f>AI709-AE709</f>
      </c>
      <c r="AL709" s="195"/>
      <c r="AM709" s="6"/>
      <c r="AN709" s="171">
        <f>IFERROR(U709/2,"0")</f>
      </c>
    </row>
    <row x14ac:dyDescent="0.25" r="710" customHeight="1" ht="18.75">
      <c r="A710" s="158">
        <f>A709+1</f>
      </c>
      <c r="B710" s="159"/>
      <c r="C710" s="6"/>
      <c r="D710" s="159"/>
      <c r="E710" s="198"/>
      <c r="F710" s="160"/>
      <c r="G710" s="6"/>
      <c r="H710" s="6"/>
      <c r="I710" s="7"/>
      <c r="J710" s="147"/>
      <c r="K710" s="7"/>
      <c r="L710" s="147"/>
      <c r="M710" s="161">
        <f>IFERROR(VLOOKUP(L710,'Material Master'!B:C,2,0),"")</f>
      </c>
      <c r="N710" s="7"/>
      <c r="O710" s="162">
        <f>IFERROR(M710*N710,"")</f>
      </c>
      <c r="P710" s="6"/>
      <c r="Q710" s="158"/>
      <c r="R710" s="163"/>
      <c r="S710" s="147"/>
      <c r="T710" s="6"/>
      <c r="U710" s="158"/>
      <c r="V710" s="164">
        <v>31</v>
      </c>
      <c r="W710" s="165">
        <f>IFERROR(U710*V710,"0")</f>
      </c>
      <c r="X710" s="7"/>
      <c r="Y710" s="191">
        <f>IFERROR((O710/1000)*Masters!$C$3,"0")</f>
      </c>
      <c r="Z710" s="195"/>
      <c r="AA710" s="164">
        <f>IFERROR(VLOOKUP(L710,Masters!G:H,2,0),"0")</f>
      </c>
      <c r="AB710" s="166">
        <f>IFERROR(AA710*N710,"0")</f>
      </c>
      <c r="AC710" s="196"/>
      <c r="AD710" s="7"/>
      <c r="AE710" s="166">
        <f>W710+Y710+AB710+AD710</f>
      </c>
      <c r="AF710" s="195"/>
      <c r="AG710" s="169">
        <f>M710&amp;"-"&amp;F710</f>
      </c>
      <c r="AH710" s="191">
        <f>IFERROR(VLOOKUP(AG710,Masters!N:O,2,0),"0")</f>
      </c>
      <c r="AI710" s="166">
        <f>AH710*N710</f>
      </c>
      <c r="AJ710" s="7"/>
      <c r="AK710" s="170">
        <f>AI710-AE710</f>
      </c>
      <c r="AL710" s="195"/>
      <c r="AM710" s="6"/>
      <c r="AN710" s="171">
        <f>IFERROR(U710/2,"0")</f>
      </c>
    </row>
    <row x14ac:dyDescent="0.25" r="711" customHeight="1" ht="18.75">
      <c r="A711" s="158">
        <f>A710+1</f>
      </c>
      <c r="B711" s="159"/>
      <c r="C711" s="6"/>
      <c r="D711" s="159"/>
      <c r="E711" s="198"/>
      <c r="F711" s="160"/>
      <c r="G711" s="6"/>
      <c r="H711" s="6"/>
      <c r="I711" s="7"/>
      <c r="J711" s="147"/>
      <c r="K711" s="7"/>
      <c r="L711" s="147"/>
      <c r="M711" s="161">
        <f>IFERROR(VLOOKUP(L711,'Material Master'!B:C,2,0),"")</f>
      </c>
      <c r="N711" s="7"/>
      <c r="O711" s="162">
        <f>IFERROR(M711*N711,"")</f>
      </c>
      <c r="P711" s="6"/>
      <c r="Q711" s="158"/>
      <c r="R711" s="163"/>
      <c r="S711" s="147"/>
      <c r="T711" s="6"/>
      <c r="U711" s="158"/>
      <c r="V711" s="164">
        <v>31</v>
      </c>
      <c r="W711" s="165">
        <f>IFERROR(U711*V711,"0")</f>
      </c>
      <c r="X711" s="7"/>
      <c r="Y711" s="191">
        <f>IFERROR((O711/1000)*Masters!$C$3,"0")</f>
      </c>
      <c r="Z711" s="195"/>
      <c r="AA711" s="164">
        <f>IFERROR(VLOOKUP(L711,Masters!G:H,2,0),"0")</f>
      </c>
      <c r="AB711" s="166">
        <f>IFERROR(AA711*N711,"0")</f>
      </c>
      <c r="AC711" s="196"/>
      <c r="AD711" s="7"/>
      <c r="AE711" s="166">
        <f>W711+Y711+AB711+AD711</f>
      </c>
      <c r="AF711" s="195"/>
      <c r="AG711" s="169">
        <f>M711&amp;"-"&amp;F711</f>
      </c>
      <c r="AH711" s="191">
        <f>IFERROR(VLOOKUP(AG711,Masters!N:O,2,0),"0")</f>
      </c>
      <c r="AI711" s="166">
        <f>AH711*N711</f>
      </c>
      <c r="AJ711" s="7"/>
      <c r="AK711" s="170">
        <f>AI711-AE711</f>
      </c>
      <c r="AL711" s="195"/>
      <c r="AM711" s="6"/>
      <c r="AN711" s="171">
        <f>IFERROR(U711/2,"0")</f>
      </c>
    </row>
    <row x14ac:dyDescent="0.25" r="712" customHeight="1" ht="18.75">
      <c r="A712" s="158">
        <f>A711+1</f>
      </c>
      <c r="B712" s="159"/>
      <c r="C712" s="6"/>
      <c r="D712" s="159"/>
      <c r="E712" s="198"/>
      <c r="F712" s="160"/>
      <c r="G712" s="6"/>
      <c r="H712" s="6"/>
      <c r="I712" s="7"/>
      <c r="J712" s="147"/>
      <c r="K712" s="7"/>
      <c r="L712" s="147"/>
      <c r="M712" s="161">
        <f>IFERROR(VLOOKUP(L712,'Material Master'!B:C,2,0),"")</f>
      </c>
      <c r="N712" s="7"/>
      <c r="O712" s="162">
        <f>IFERROR(M712*N712,"")</f>
      </c>
      <c r="P712" s="6"/>
      <c r="Q712" s="158"/>
      <c r="R712" s="163"/>
      <c r="S712" s="147"/>
      <c r="T712" s="6"/>
      <c r="U712" s="158"/>
      <c r="V712" s="164">
        <v>31</v>
      </c>
      <c r="W712" s="165">
        <f>IFERROR(U712*V712,"0")</f>
      </c>
      <c r="X712" s="7"/>
      <c r="Y712" s="191">
        <f>IFERROR((O712/1000)*Masters!$C$3,"0")</f>
      </c>
      <c r="Z712" s="195"/>
      <c r="AA712" s="164">
        <f>IFERROR(VLOOKUP(L712,Masters!G:H,2,0),"0")</f>
      </c>
      <c r="AB712" s="166">
        <f>IFERROR(AA712*N712,"0")</f>
      </c>
      <c r="AC712" s="196"/>
      <c r="AD712" s="7"/>
      <c r="AE712" s="166">
        <f>W712+Y712+AB712+AD712</f>
      </c>
      <c r="AF712" s="195"/>
      <c r="AG712" s="169">
        <f>M712&amp;"-"&amp;F712</f>
      </c>
      <c r="AH712" s="191">
        <f>IFERROR(VLOOKUP(AG712,Masters!N:O,2,0),"0")</f>
      </c>
      <c r="AI712" s="166">
        <f>AH712*N712</f>
      </c>
      <c r="AJ712" s="7"/>
      <c r="AK712" s="170">
        <f>AI712-AE712</f>
      </c>
      <c r="AL712" s="195"/>
      <c r="AM712" s="6"/>
      <c r="AN712" s="171">
        <f>IFERROR(U712/2,"0")</f>
      </c>
    </row>
    <row x14ac:dyDescent="0.25" r="713" customHeight="1" ht="18.75">
      <c r="A713" s="158">
        <f>A712+1</f>
      </c>
      <c r="B713" s="159"/>
      <c r="C713" s="6"/>
      <c r="D713" s="159"/>
      <c r="E713" s="198"/>
      <c r="F713" s="160"/>
      <c r="G713" s="6"/>
      <c r="H713" s="6"/>
      <c r="I713" s="7"/>
      <c r="J713" s="147"/>
      <c r="K713" s="7"/>
      <c r="L713" s="147"/>
      <c r="M713" s="161">
        <f>IFERROR(VLOOKUP(L713,'Material Master'!B:C,2,0),"")</f>
      </c>
      <c r="N713" s="7"/>
      <c r="O713" s="162">
        <f>IFERROR(M713*N713,"")</f>
      </c>
      <c r="P713" s="6"/>
      <c r="Q713" s="158"/>
      <c r="R713" s="163"/>
      <c r="S713" s="147"/>
      <c r="T713" s="6"/>
      <c r="U713" s="158"/>
      <c r="V713" s="164">
        <v>31</v>
      </c>
      <c r="W713" s="165">
        <f>IFERROR(U713*V713,"0")</f>
      </c>
      <c r="X713" s="7"/>
      <c r="Y713" s="191">
        <f>IFERROR((O713/1000)*Masters!$C$3,"0")</f>
      </c>
      <c r="Z713" s="195"/>
      <c r="AA713" s="164">
        <f>IFERROR(VLOOKUP(L713,Masters!G:H,2,0),"0")</f>
      </c>
      <c r="AB713" s="166">
        <f>IFERROR(AA713*N713,"0")</f>
      </c>
      <c r="AC713" s="196"/>
      <c r="AD713" s="7"/>
      <c r="AE713" s="166">
        <f>W713+Y713+AB713+AD713</f>
      </c>
      <c r="AF713" s="195"/>
      <c r="AG713" s="169">
        <f>M713&amp;"-"&amp;F713</f>
      </c>
      <c r="AH713" s="191">
        <f>IFERROR(VLOOKUP(AG713,Masters!N:O,2,0),"0")</f>
      </c>
      <c r="AI713" s="166">
        <f>AH713*N713</f>
      </c>
      <c r="AJ713" s="7"/>
      <c r="AK713" s="170">
        <f>AI713-AE713</f>
      </c>
      <c r="AL713" s="195"/>
      <c r="AM713" s="6"/>
      <c r="AN713" s="171">
        <f>IFERROR(U713/2,"0")</f>
      </c>
    </row>
    <row x14ac:dyDescent="0.25" r="714" customHeight="1" ht="18.75">
      <c r="A714" s="158">
        <f>A713+1</f>
      </c>
      <c r="B714" s="159"/>
      <c r="C714" s="6"/>
      <c r="D714" s="159"/>
      <c r="E714" s="198"/>
      <c r="F714" s="160"/>
      <c r="G714" s="6"/>
      <c r="H714" s="6"/>
      <c r="I714" s="7"/>
      <c r="J714" s="147"/>
      <c r="K714" s="7"/>
      <c r="L714" s="147"/>
      <c r="M714" s="161">
        <f>IFERROR(VLOOKUP(L714,'Material Master'!B:C,2,0),"")</f>
      </c>
      <c r="N714" s="7"/>
      <c r="O714" s="162">
        <f>IFERROR(M714*N714,"")</f>
      </c>
      <c r="P714" s="6"/>
      <c r="Q714" s="158"/>
      <c r="R714" s="163"/>
      <c r="S714" s="147"/>
      <c r="T714" s="6"/>
      <c r="U714" s="158"/>
      <c r="V714" s="164">
        <v>31</v>
      </c>
      <c r="W714" s="165">
        <f>IFERROR(U714*V714,"0")</f>
      </c>
      <c r="X714" s="7"/>
      <c r="Y714" s="191">
        <f>IFERROR((O714/1000)*Masters!$C$3,"0")</f>
      </c>
      <c r="Z714" s="195"/>
      <c r="AA714" s="164">
        <f>IFERROR(VLOOKUP(L714,Masters!G:H,2,0),"0")</f>
      </c>
      <c r="AB714" s="166">
        <f>IFERROR(AA714*N714,"0")</f>
      </c>
      <c r="AC714" s="196"/>
      <c r="AD714" s="7"/>
      <c r="AE714" s="166">
        <f>W714+Y714+AB714+AD714</f>
      </c>
      <c r="AF714" s="195"/>
      <c r="AG714" s="169">
        <f>M714&amp;"-"&amp;F714</f>
      </c>
      <c r="AH714" s="191">
        <f>IFERROR(VLOOKUP(AG714,Masters!N:O,2,0),"0")</f>
      </c>
      <c r="AI714" s="166">
        <f>AH714*N714</f>
      </c>
      <c r="AJ714" s="7"/>
      <c r="AK714" s="170">
        <f>AI714-AE714</f>
      </c>
      <c r="AL714" s="195"/>
      <c r="AM714" s="6"/>
      <c r="AN714" s="171">
        <f>IFERROR(U714/2,"0")</f>
      </c>
    </row>
    <row x14ac:dyDescent="0.25" r="715" customHeight="1" ht="18.75">
      <c r="A715" s="158">
        <f>A714+1</f>
      </c>
      <c r="B715" s="159"/>
      <c r="C715" s="6"/>
      <c r="D715" s="159"/>
      <c r="E715" s="198"/>
      <c r="F715" s="160"/>
      <c r="G715" s="6"/>
      <c r="H715" s="6"/>
      <c r="I715" s="7"/>
      <c r="J715" s="147"/>
      <c r="K715" s="7"/>
      <c r="L715" s="147"/>
      <c r="M715" s="161">
        <f>IFERROR(VLOOKUP(L715,'Material Master'!B:C,2,0),"")</f>
      </c>
      <c r="N715" s="7"/>
      <c r="O715" s="162">
        <f>IFERROR(M715*N715,"")</f>
      </c>
      <c r="P715" s="6"/>
      <c r="Q715" s="158"/>
      <c r="R715" s="163"/>
      <c r="S715" s="147"/>
      <c r="T715" s="6"/>
      <c r="U715" s="158"/>
      <c r="V715" s="164">
        <v>31</v>
      </c>
      <c r="W715" s="165">
        <f>IFERROR(U715*V715,"0")</f>
      </c>
      <c r="X715" s="7"/>
      <c r="Y715" s="191">
        <f>IFERROR((O715/1000)*Masters!$C$3,"0")</f>
      </c>
      <c r="Z715" s="195"/>
      <c r="AA715" s="164">
        <f>IFERROR(VLOOKUP(L715,Masters!G:H,2,0),"0")</f>
      </c>
      <c r="AB715" s="166">
        <f>IFERROR(AA715*N715,"0")</f>
      </c>
      <c r="AC715" s="196"/>
      <c r="AD715" s="7"/>
      <c r="AE715" s="166">
        <f>W715+Y715+AB715+AD715</f>
      </c>
      <c r="AF715" s="195"/>
      <c r="AG715" s="169">
        <f>M715&amp;"-"&amp;F715</f>
      </c>
      <c r="AH715" s="191">
        <f>IFERROR(VLOOKUP(AG715,Masters!N:O,2,0),"0")</f>
      </c>
      <c r="AI715" s="166">
        <f>AH715*N715</f>
      </c>
      <c r="AJ715" s="7"/>
      <c r="AK715" s="170">
        <f>AI715-AE715</f>
      </c>
      <c r="AL715" s="195"/>
      <c r="AM715" s="6"/>
      <c r="AN715" s="171">
        <f>IFERROR(U715/2,"0")</f>
      </c>
    </row>
    <row x14ac:dyDescent="0.25" r="716" customHeight="1" ht="18.75">
      <c r="A716" s="158">
        <f>A715+1</f>
      </c>
      <c r="B716" s="159"/>
      <c r="C716" s="6"/>
      <c r="D716" s="159"/>
      <c r="E716" s="198"/>
      <c r="F716" s="160"/>
      <c r="G716" s="6"/>
      <c r="H716" s="6"/>
      <c r="I716" s="7"/>
      <c r="J716" s="147"/>
      <c r="K716" s="7"/>
      <c r="L716" s="147"/>
      <c r="M716" s="161">
        <f>IFERROR(VLOOKUP(L716,'Material Master'!B:C,2,0),"")</f>
      </c>
      <c r="N716" s="7"/>
      <c r="O716" s="162">
        <f>IFERROR(M716*N716,"")</f>
      </c>
      <c r="P716" s="6"/>
      <c r="Q716" s="158"/>
      <c r="R716" s="163"/>
      <c r="S716" s="147"/>
      <c r="T716" s="6"/>
      <c r="U716" s="158"/>
      <c r="V716" s="164">
        <v>31</v>
      </c>
      <c r="W716" s="165">
        <f>IFERROR(U716*V716,"0")</f>
      </c>
      <c r="X716" s="7"/>
      <c r="Y716" s="191">
        <f>IFERROR((O716/1000)*Masters!$C$3,"0")</f>
      </c>
      <c r="Z716" s="195"/>
      <c r="AA716" s="164">
        <f>IFERROR(VLOOKUP(L716,Masters!G:H,2,0),"0")</f>
      </c>
      <c r="AB716" s="166">
        <f>IFERROR(AA716*N716,"0")</f>
      </c>
      <c r="AC716" s="196"/>
      <c r="AD716" s="7"/>
      <c r="AE716" s="166">
        <f>W716+Y716+AB716+AD716</f>
      </c>
      <c r="AF716" s="195"/>
      <c r="AG716" s="169">
        <f>M716&amp;"-"&amp;F716</f>
      </c>
      <c r="AH716" s="191">
        <f>IFERROR(VLOOKUP(AG716,Masters!N:O,2,0),"0")</f>
      </c>
      <c r="AI716" s="166">
        <f>AH716*N716</f>
      </c>
      <c r="AJ716" s="7"/>
      <c r="AK716" s="170">
        <f>AI716-AE716</f>
      </c>
      <c r="AL716" s="195"/>
      <c r="AM716" s="6"/>
      <c r="AN716" s="171">
        <f>IFERROR(U716/2,"0")</f>
      </c>
    </row>
    <row x14ac:dyDescent="0.25" r="717" customHeight="1" ht="18.75">
      <c r="A717" s="158">
        <f>A716+1</f>
      </c>
      <c r="B717" s="159"/>
      <c r="C717" s="6"/>
      <c r="D717" s="159"/>
      <c r="E717" s="198"/>
      <c r="F717" s="160"/>
      <c r="G717" s="6"/>
      <c r="H717" s="6"/>
      <c r="I717" s="7"/>
      <c r="J717" s="147"/>
      <c r="K717" s="7"/>
      <c r="L717" s="147"/>
      <c r="M717" s="161">
        <f>IFERROR(VLOOKUP(L717,'Material Master'!B:C,2,0),"")</f>
      </c>
      <c r="N717" s="7"/>
      <c r="O717" s="162">
        <f>IFERROR(M717*N717,"")</f>
      </c>
      <c r="P717" s="6"/>
      <c r="Q717" s="158"/>
      <c r="R717" s="163"/>
      <c r="S717" s="147"/>
      <c r="T717" s="6"/>
      <c r="U717" s="158"/>
      <c r="V717" s="164">
        <v>31</v>
      </c>
      <c r="W717" s="165">
        <f>IFERROR(U717*V717,"0")</f>
      </c>
      <c r="X717" s="7"/>
      <c r="Y717" s="191">
        <f>IFERROR((O717/1000)*Masters!$C$3,"0")</f>
      </c>
      <c r="Z717" s="195"/>
      <c r="AA717" s="164">
        <f>IFERROR(VLOOKUP(L717,Masters!G:H,2,0),"0")</f>
      </c>
      <c r="AB717" s="166">
        <f>IFERROR(AA717*N717,"0")</f>
      </c>
      <c r="AC717" s="196"/>
      <c r="AD717" s="7"/>
      <c r="AE717" s="166">
        <f>W717+Y717+AB717+AD717</f>
      </c>
      <c r="AF717" s="195"/>
      <c r="AG717" s="169">
        <f>M717&amp;"-"&amp;F717</f>
      </c>
      <c r="AH717" s="191">
        <f>IFERROR(VLOOKUP(AG717,Masters!N:O,2,0),"0")</f>
      </c>
      <c r="AI717" s="166">
        <f>AH717*N717</f>
      </c>
      <c r="AJ717" s="7"/>
      <c r="AK717" s="170">
        <f>AI717-AE717</f>
      </c>
      <c r="AL717" s="195"/>
      <c r="AM717" s="6"/>
      <c r="AN717" s="171">
        <f>IFERROR(U717/2,"0")</f>
      </c>
    </row>
    <row x14ac:dyDescent="0.25" r="718" customHeight="1" ht="18.75">
      <c r="A718" s="158">
        <f>A717+1</f>
      </c>
      <c r="B718" s="159"/>
      <c r="C718" s="6"/>
      <c r="D718" s="159"/>
      <c r="E718" s="198"/>
      <c r="F718" s="160"/>
      <c r="G718" s="6"/>
      <c r="H718" s="6"/>
      <c r="I718" s="7"/>
      <c r="J718" s="147"/>
      <c r="K718" s="7"/>
      <c r="L718" s="147"/>
      <c r="M718" s="161">
        <f>IFERROR(VLOOKUP(L718,'Material Master'!B:C,2,0),"")</f>
      </c>
      <c r="N718" s="7"/>
      <c r="O718" s="162">
        <f>IFERROR(M718*N718,"")</f>
      </c>
      <c r="P718" s="6"/>
      <c r="Q718" s="158"/>
      <c r="R718" s="163"/>
      <c r="S718" s="147"/>
      <c r="T718" s="6"/>
      <c r="U718" s="158"/>
      <c r="V718" s="164">
        <v>31</v>
      </c>
      <c r="W718" s="165">
        <f>IFERROR(U718*V718,"0")</f>
      </c>
      <c r="X718" s="7"/>
      <c r="Y718" s="191">
        <f>IFERROR((O718/1000)*Masters!$C$3,"0")</f>
      </c>
      <c r="Z718" s="195"/>
      <c r="AA718" s="164">
        <f>IFERROR(VLOOKUP(L718,Masters!G:H,2,0),"0")</f>
      </c>
      <c r="AB718" s="166">
        <f>IFERROR(AA718*N718,"0")</f>
      </c>
      <c r="AC718" s="196"/>
      <c r="AD718" s="7"/>
      <c r="AE718" s="166">
        <f>W718+Y718+AB718+AD718</f>
      </c>
      <c r="AF718" s="195"/>
      <c r="AG718" s="169">
        <f>M718&amp;"-"&amp;F718</f>
      </c>
      <c r="AH718" s="191">
        <f>IFERROR(VLOOKUP(AG718,Masters!N:O,2,0),"0")</f>
      </c>
      <c r="AI718" s="166">
        <f>AH718*N718</f>
      </c>
      <c r="AJ718" s="7"/>
      <c r="AK718" s="170">
        <f>AI718-AE718</f>
      </c>
      <c r="AL718" s="195"/>
      <c r="AM718" s="6"/>
      <c r="AN718" s="171">
        <f>IFERROR(U718/2,"0")</f>
      </c>
    </row>
    <row x14ac:dyDescent="0.25" r="719" customHeight="1" ht="18.75">
      <c r="A719" s="158">
        <f>A718+1</f>
      </c>
      <c r="B719" s="159"/>
      <c r="C719" s="6"/>
      <c r="D719" s="159"/>
      <c r="E719" s="198"/>
      <c r="F719" s="160"/>
      <c r="G719" s="6"/>
      <c r="H719" s="6"/>
      <c r="I719" s="7"/>
      <c r="J719" s="147"/>
      <c r="K719" s="7"/>
      <c r="L719" s="147"/>
      <c r="M719" s="161">
        <f>IFERROR(VLOOKUP(L719,'Material Master'!B:C,2,0),"")</f>
      </c>
      <c r="N719" s="7"/>
      <c r="O719" s="162">
        <f>IFERROR(M719*N719,"")</f>
      </c>
      <c r="P719" s="6"/>
      <c r="Q719" s="158"/>
      <c r="R719" s="163"/>
      <c r="S719" s="147"/>
      <c r="T719" s="6"/>
      <c r="U719" s="158"/>
      <c r="V719" s="164">
        <v>31</v>
      </c>
      <c r="W719" s="165">
        <f>IFERROR(U719*V719,"0")</f>
      </c>
      <c r="X719" s="7"/>
      <c r="Y719" s="191">
        <f>IFERROR((O719/1000)*Masters!$C$3,"0")</f>
      </c>
      <c r="Z719" s="195"/>
      <c r="AA719" s="164">
        <f>IFERROR(VLOOKUP(L719,Masters!G:H,2,0),"0")</f>
      </c>
      <c r="AB719" s="166">
        <f>IFERROR(AA719*N719,"0")</f>
      </c>
      <c r="AC719" s="196"/>
      <c r="AD719" s="7"/>
      <c r="AE719" s="166">
        <f>W719+Y719+AB719+AD719</f>
      </c>
      <c r="AF719" s="195"/>
      <c r="AG719" s="169">
        <f>M719&amp;"-"&amp;F719</f>
      </c>
      <c r="AH719" s="191">
        <f>IFERROR(VLOOKUP(AG719,Masters!N:O,2,0),"0")</f>
      </c>
      <c r="AI719" s="166">
        <f>AH719*N719</f>
      </c>
      <c r="AJ719" s="7"/>
      <c r="AK719" s="170">
        <f>AI719-AE719</f>
      </c>
      <c r="AL719" s="195"/>
      <c r="AM719" s="6"/>
      <c r="AN719" s="171">
        <f>IFERROR(U719/2,"0")</f>
      </c>
    </row>
    <row x14ac:dyDescent="0.25" r="720" customHeight="1" ht="18.75">
      <c r="A720" s="158">
        <f>A719+1</f>
      </c>
      <c r="B720" s="159"/>
      <c r="C720" s="6"/>
      <c r="D720" s="159"/>
      <c r="E720" s="198"/>
      <c r="F720" s="160"/>
      <c r="G720" s="6"/>
      <c r="H720" s="6"/>
      <c r="I720" s="7"/>
      <c r="J720" s="147"/>
      <c r="K720" s="7"/>
      <c r="L720" s="147"/>
      <c r="M720" s="161">
        <f>IFERROR(VLOOKUP(L720,'Material Master'!B:C,2,0),"")</f>
      </c>
      <c r="N720" s="7"/>
      <c r="O720" s="162">
        <f>IFERROR(M720*N720,"")</f>
      </c>
      <c r="P720" s="6"/>
      <c r="Q720" s="158"/>
      <c r="R720" s="163"/>
      <c r="S720" s="147"/>
      <c r="T720" s="6"/>
      <c r="U720" s="158"/>
      <c r="V720" s="164">
        <v>31</v>
      </c>
      <c r="W720" s="165">
        <f>IFERROR(U720*V720,"0")</f>
      </c>
      <c r="X720" s="7"/>
      <c r="Y720" s="191">
        <f>IFERROR((O720/1000)*Masters!$C$3,"0")</f>
      </c>
      <c r="Z720" s="195"/>
      <c r="AA720" s="164">
        <f>IFERROR(VLOOKUP(L720,Masters!G:H,2,0),"0")</f>
      </c>
      <c r="AB720" s="166">
        <f>IFERROR(AA720*N720,"0")</f>
      </c>
      <c r="AC720" s="196"/>
      <c r="AD720" s="7"/>
      <c r="AE720" s="166">
        <f>W720+Y720+AB720+AD720</f>
      </c>
      <c r="AF720" s="195"/>
      <c r="AG720" s="169">
        <f>M720&amp;"-"&amp;F720</f>
      </c>
      <c r="AH720" s="191">
        <f>IFERROR(VLOOKUP(AG720,Masters!N:O,2,0),"0")</f>
      </c>
      <c r="AI720" s="166">
        <f>AH720*N720</f>
      </c>
      <c r="AJ720" s="7"/>
      <c r="AK720" s="170">
        <f>AI720-AE720</f>
      </c>
      <c r="AL720" s="195"/>
      <c r="AM720" s="6"/>
      <c r="AN720" s="171">
        <f>IFERROR(U720/2,"0")</f>
      </c>
    </row>
    <row x14ac:dyDescent="0.25" r="721" customHeight="1" ht="18.75">
      <c r="A721" s="158">
        <f>A720+1</f>
      </c>
      <c r="B721" s="159"/>
      <c r="C721" s="6"/>
      <c r="D721" s="159"/>
      <c r="E721" s="198"/>
      <c r="F721" s="160"/>
      <c r="G721" s="6"/>
      <c r="H721" s="6"/>
      <c r="I721" s="7"/>
      <c r="J721" s="147"/>
      <c r="K721" s="7"/>
      <c r="L721" s="147"/>
      <c r="M721" s="161">
        <f>IFERROR(VLOOKUP(L721,'Material Master'!B:C,2,0),"")</f>
      </c>
      <c r="N721" s="7"/>
      <c r="O721" s="162">
        <f>IFERROR(M721*N721,"")</f>
      </c>
      <c r="P721" s="6"/>
      <c r="Q721" s="158"/>
      <c r="R721" s="163"/>
      <c r="S721" s="147"/>
      <c r="T721" s="6"/>
      <c r="U721" s="158"/>
      <c r="V721" s="164">
        <v>31</v>
      </c>
      <c r="W721" s="165">
        <f>IFERROR(U721*V721,"0")</f>
      </c>
      <c r="X721" s="7"/>
      <c r="Y721" s="191">
        <f>IFERROR((O721/1000)*Masters!$C$3,"0")</f>
      </c>
      <c r="Z721" s="195"/>
      <c r="AA721" s="164">
        <f>IFERROR(VLOOKUP(L721,Masters!G:H,2,0),"0")</f>
      </c>
      <c r="AB721" s="166">
        <f>IFERROR(AA721*N721,"0")</f>
      </c>
      <c r="AC721" s="196"/>
      <c r="AD721" s="7"/>
      <c r="AE721" s="166">
        <f>W721+Y721+AB721+AD721</f>
      </c>
      <c r="AF721" s="195"/>
      <c r="AG721" s="169">
        <f>M721&amp;"-"&amp;F721</f>
      </c>
      <c r="AH721" s="191">
        <f>IFERROR(VLOOKUP(AG721,Masters!N:O,2,0),"0")</f>
      </c>
      <c r="AI721" s="166">
        <f>AH721*N721</f>
      </c>
      <c r="AJ721" s="7"/>
      <c r="AK721" s="170">
        <f>AI721-AE721</f>
      </c>
      <c r="AL721" s="195"/>
      <c r="AM721" s="6"/>
      <c r="AN721" s="171">
        <f>IFERROR(U721/2,"0")</f>
      </c>
    </row>
    <row x14ac:dyDescent="0.25" r="722" customHeight="1" ht="18.75">
      <c r="A722" s="158">
        <f>A721+1</f>
      </c>
      <c r="B722" s="159"/>
      <c r="C722" s="6"/>
      <c r="D722" s="159"/>
      <c r="E722" s="198"/>
      <c r="F722" s="160"/>
      <c r="G722" s="6"/>
      <c r="H722" s="6"/>
      <c r="I722" s="7"/>
      <c r="J722" s="147"/>
      <c r="K722" s="7"/>
      <c r="L722" s="147"/>
      <c r="M722" s="161">
        <f>IFERROR(VLOOKUP(L722,'Material Master'!B:C,2,0),"")</f>
      </c>
      <c r="N722" s="7"/>
      <c r="O722" s="162">
        <f>IFERROR(M722*N722,"")</f>
      </c>
      <c r="P722" s="6"/>
      <c r="Q722" s="158"/>
      <c r="R722" s="163"/>
      <c r="S722" s="147"/>
      <c r="T722" s="6"/>
      <c r="U722" s="158"/>
      <c r="V722" s="164">
        <v>31</v>
      </c>
      <c r="W722" s="165">
        <f>IFERROR(U722*V722,"0")</f>
      </c>
      <c r="X722" s="7"/>
      <c r="Y722" s="191">
        <f>IFERROR((O722/1000)*Masters!$C$3,"0")</f>
      </c>
      <c r="Z722" s="195"/>
      <c r="AA722" s="164">
        <f>IFERROR(VLOOKUP(L722,Masters!G:H,2,0),"0")</f>
      </c>
      <c r="AB722" s="166">
        <f>IFERROR(AA722*N722,"0")</f>
      </c>
      <c r="AC722" s="196"/>
      <c r="AD722" s="7"/>
      <c r="AE722" s="166">
        <f>W722+Y722+AB722+AD722</f>
      </c>
      <c r="AF722" s="195"/>
      <c r="AG722" s="169">
        <f>M722&amp;"-"&amp;F722</f>
      </c>
      <c r="AH722" s="191">
        <f>IFERROR(VLOOKUP(AG722,Masters!N:O,2,0),"0")</f>
      </c>
      <c r="AI722" s="166">
        <f>AH722*N722</f>
      </c>
      <c r="AJ722" s="7"/>
      <c r="AK722" s="170">
        <f>AI722-AE722</f>
      </c>
      <c r="AL722" s="195"/>
      <c r="AM722" s="6"/>
      <c r="AN722" s="171">
        <f>IFERROR(U722/2,"0")</f>
      </c>
    </row>
    <row x14ac:dyDescent="0.25" r="723" customHeight="1" ht="18.75">
      <c r="A723" s="158">
        <f>A722+1</f>
      </c>
      <c r="B723" s="159"/>
      <c r="C723" s="6"/>
      <c r="D723" s="159"/>
      <c r="E723" s="198"/>
      <c r="F723" s="160"/>
      <c r="G723" s="6"/>
      <c r="H723" s="6"/>
      <c r="I723" s="7"/>
      <c r="J723" s="147"/>
      <c r="K723" s="7"/>
      <c r="L723" s="147"/>
      <c r="M723" s="161">
        <f>IFERROR(VLOOKUP(L723,'Material Master'!B:C,2,0),"")</f>
      </c>
      <c r="N723" s="7"/>
      <c r="O723" s="162">
        <f>IFERROR(M723*N723,"")</f>
      </c>
      <c r="P723" s="6"/>
      <c r="Q723" s="158"/>
      <c r="R723" s="163"/>
      <c r="S723" s="147"/>
      <c r="T723" s="6"/>
      <c r="U723" s="158"/>
      <c r="V723" s="164">
        <v>31</v>
      </c>
      <c r="W723" s="165">
        <f>IFERROR(U723*V723,"0")</f>
      </c>
      <c r="X723" s="7"/>
      <c r="Y723" s="191">
        <f>IFERROR((O723/1000)*Masters!$C$3,"0")</f>
      </c>
      <c r="Z723" s="195"/>
      <c r="AA723" s="164">
        <f>IFERROR(VLOOKUP(L723,Masters!G:H,2,0),"0")</f>
      </c>
      <c r="AB723" s="166">
        <f>IFERROR(AA723*N723,"0")</f>
      </c>
      <c r="AC723" s="196"/>
      <c r="AD723" s="7"/>
      <c r="AE723" s="166">
        <f>W723+Y723+AB723+AD723</f>
      </c>
      <c r="AF723" s="195"/>
      <c r="AG723" s="169">
        <f>M723&amp;"-"&amp;F723</f>
      </c>
      <c r="AH723" s="191">
        <f>IFERROR(VLOOKUP(AG723,Masters!N:O,2,0),"0")</f>
      </c>
      <c r="AI723" s="166">
        <f>AH723*N723</f>
      </c>
      <c r="AJ723" s="7"/>
      <c r="AK723" s="170">
        <f>AI723-AE723</f>
      </c>
      <c r="AL723" s="195"/>
      <c r="AM723" s="6"/>
      <c r="AN723" s="171">
        <f>IFERROR(U723/2,"0")</f>
      </c>
    </row>
    <row x14ac:dyDescent="0.25" r="724" customHeight="1" ht="18.75">
      <c r="A724" s="158">
        <f>A723+1</f>
      </c>
      <c r="B724" s="159"/>
      <c r="C724" s="6"/>
      <c r="D724" s="159"/>
      <c r="E724" s="198"/>
      <c r="F724" s="160"/>
      <c r="G724" s="6"/>
      <c r="H724" s="6"/>
      <c r="I724" s="7"/>
      <c r="J724" s="147"/>
      <c r="K724" s="7"/>
      <c r="L724" s="147"/>
      <c r="M724" s="161">
        <f>IFERROR(VLOOKUP(L724,'Material Master'!B:C,2,0),"")</f>
      </c>
      <c r="N724" s="7"/>
      <c r="O724" s="162">
        <f>IFERROR(M724*N724,"")</f>
      </c>
      <c r="P724" s="6"/>
      <c r="Q724" s="158"/>
      <c r="R724" s="163"/>
      <c r="S724" s="147"/>
      <c r="T724" s="6"/>
      <c r="U724" s="158"/>
      <c r="V724" s="164">
        <v>31</v>
      </c>
      <c r="W724" s="165">
        <f>IFERROR(U724*V724,"0")</f>
      </c>
      <c r="X724" s="7"/>
      <c r="Y724" s="191">
        <f>IFERROR((O724/1000)*Masters!$C$3,"0")</f>
      </c>
      <c r="Z724" s="195"/>
      <c r="AA724" s="164">
        <f>IFERROR(VLOOKUP(L724,Masters!G:H,2,0),"0")</f>
      </c>
      <c r="AB724" s="166">
        <f>IFERROR(AA724*N724,"0")</f>
      </c>
      <c r="AC724" s="196"/>
      <c r="AD724" s="7"/>
      <c r="AE724" s="166">
        <f>W724+Y724+AB724+AD724</f>
      </c>
      <c r="AF724" s="195"/>
      <c r="AG724" s="169">
        <f>M724&amp;"-"&amp;F724</f>
      </c>
      <c r="AH724" s="191">
        <f>IFERROR(VLOOKUP(AG724,Masters!N:O,2,0),"0")</f>
      </c>
      <c r="AI724" s="166">
        <f>AH724*N724</f>
      </c>
      <c r="AJ724" s="7"/>
      <c r="AK724" s="170">
        <f>AI724-AE724</f>
      </c>
      <c r="AL724" s="195"/>
      <c r="AM724" s="6"/>
      <c r="AN724" s="171">
        <f>IFERROR(U724/2,"0")</f>
      </c>
    </row>
    <row x14ac:dyDescent="0.25" r="725" customHeight="1" ht="18.75">
      <c r="A725" s="158">
        <f>A724+1</f>
      </c>
      <c r="B725" s="159"/>
      <c r="C725" s="6"/>
      <c r="D725" s="159"/>
      <c r="E725" s="198"/>
      <c r="F725" s="160"/>
      <c r="G725" s="6"/>
      <c r="H725" s="6"/>
      <c r="I725" s="7"/>
      <c r="J725" s="147"/>
      <c r="K725" s="7"/>
      <c r="L725" s="147"/>
      <c r="M725" s="161">
        <f>IFERROR(VLOOKUP(L725,'Material Master'!B:C,2,0),"")</f>
      </c>
      <c r="N725" s="7"/>
      <c r="O725" s="162">
        <f>IFERROR(M725*N725,"")</f>
      </c>
      <c r="P725" s="6"/>
      <c r="Q725" s="158"/>
      <c r="R725" s="163"/>
      <c r="S725" s="147"/>
      <c r="T725" s="6"/>
      <c r="U725" s="158"/>
      <c r="V725" s="164">
        <v>31</v>
      </c>
      <c r="W725" s="165">
        <f>IFERROR(U725*V725,"0")</f>
      </c>
      <c r="X725" s="7"/>
      <c r="Y725" s="191">
        <f>IFERROR((O725/1000)*Masters!$C$3,"0")</f>
      </c>
      <c r="Z725" s="195"/>
      <c r="AA725" s="164">
        <f>IFERROR(VLOOKUP(L725,Masters!G:H,2,0),"0")</f>
      </c>
      <c r="AB725" s="166">
        <f>IFERROR(AA725*N725,"0")</f>
      </c>
      <c r="AC725" s="196"/>
      <c r="AD725" s="7"/>
      <c r="AE725" s="166">
        <f>W725+Y725+AB725+AD725</f>
      </c>
      <c r="AF725" s="195"/>
      <c r="AG725" s="169">
        <f>M725&amp;"-"&amp;F725</f>
      </c>
      <c r="AH725" s="191">
        <f>IFERROR(VLOOKUP(AG725,Masters!N:O,2,0),"0")</f>
      </c>
      <c r="AI725" s="166">
        <f>AH725*N725</f>
      </c>
      <c r="AJ725" s="7"/>
      <c r="AK725" s="170">
        <f>AI725-AE725</f>
      </c>
      <c r="AL725" s="195"/>
      <c r="AM725" s="6"/>
      <c r="AN725" s="171">
        <f>IFERROR(U725/2,"0")</f>
      </c>
    </row>
    <row x14ac:dyDescent="0.25" r="726" customHeight="1" ht="18.75">
      <c r="A726" s="158">
        <f>A725+1</f>
      </c>
      <c r="B726" s="159"/>
      <c r="C726" s="6"/>
      <c r="D726" s="159"/>
      <c r="E726" s="198"/>
      <c r="F726" s="160"/>
      <c r="G726" s="6"/>
      <c r="H726" s="6"/>
      <c r="I726" s="7"/>
      <c r="J726" s="147"/>
      <c r="K726" s="7"/>
      <c r="L726" s="147"/>
      <c r="M726" s="161">
        <f>IFERROR(VLOOKUP(L726,'Material Master'!B:C,2,0),"")</f>
      </c>
      <c r="N726" s="7"/>
      <c r="O726" s="162">
        <f>IFERROR(M726*N726,"")</f>
      </c>
      <c r="P726" s="6"/>
      <c r="Q726" s="158"/>
      <c r="R726" s="163"/>
      <c r="S726" s="147"/>
      <c r="T726" s="6"/>
      <c r="U726" s="158"/>
      <c r="V726" s="164">
        <v>31</v>
      </c>
      <c r="W726" s="165">
        <f>IFERROR(U726*V726,"0")</f>
      </c>
      <c r="X726" s="7"/>
      <c r="Y726" s="191">
        <f>IFERROR((O726/1000)*Masters!$C$3,"0")</f>
      </c>
      <c r="Z726" s="195"/>
      <c r="AA726" s="164">
        <f>IFERROR(VLOOKUP(L726,Masters!G:H,2,0),"0")</f>
      </c>
      <c r="AB726" s="166">
        <f>IFERROR(AA726*N726,"0")</f>
      </c>
      <c r="AC726" s="196"/>
      <c r="AD726" s="7"/>
      <c r="AE726" s="166">
        <f>W726+Y726+AB726+AD726</f>
      </c>
      <c r="AF726" s="195"/>
      <c r="AG726" s="169">
        <f>M726&amp;"-"&amp;F726</f>
      </c>
      <c r="AH726" s="191">
        <f>IFERROR(VLOOKUP(AG726,Masters!N:O,2,0),"0")</f>
      </c>
      <c r="AI726" s="166">
        <f>AH726*N726</f>
      </c>
      <c r="AJ726" s="7"/>
      <c r="AK726" s="170">
        <f>AI726-AE726</f>
      </c>
      <c r="AL726" s="195"/>
      <c r="AM726" s="6"/>
      <c r="AN726" s="171">
        <f>IFERROR(U726/2,"0")</f>
      </c>
    </row>
    <row x14ac:dyDescent="0.25" r="727" customHeight="1" ht="18.75">
      <c r="A727" s="158">
        <f>A726+1</f>
      </c>
      <c r="B727" s="159"/>
      <c r="C727" s="6"/>
      <c r="D727" s="159"/>
      <c r="E727" s="198"/>
      <c r="F727" s="160"/>
      <c r="G727" s="6"/>
      <c r="H727" s="6"/>
      <c r="I727" s="7"/>
      <c r="J727" s="147"/>
      <c r="K727" s="7"/>
      <c r="L727" s="147"/>
      <c r="M727" s="161">
        <f>IFERROR(VLOOKUP(L727,'Material Master'!B:C,2,0),"")</f>
      </c>
      <c r="N727" s="7"/>
      <c r="O727" s="162">
        <f>IFERROR(M727*N727,"")</f>
      </c>
      <c r="P727" s="6"/>
      <c r="Q727" s="158"/>
      <c r="R727" s="163"/>
      <c r="S727" s="147"/>
      <c r="T727" s="6"/>
      <c r="U727" s="158"/>
      <c r="V727" s="164">
        <v>31</v>
      </c>
      <c r="W727" s="165">
        <f>IFERROR(U727*V727,"0")</f>
      </c>
      <c r="X727" s="7"/>
      <c r="Y727" s="191">
        <f>IFERROR((O727/1000)*Masters!$C$3,"0")</f>
      </c>
      <c r="Z727" s="195"/>
      <c r="AA727" s="164">
        <f>IFERROR(VLOOKUP(L727,Masters!G:H,2,0),"0")</f>
      </c>
      <c r="AB727" s="166">
        <f>IFERROR(AA727*N727,"0")</f>
      </c>
      <c r="AC727" s="196"/>
      <c r="AD727" s="7"/>
      <c r="AE727" s="166">
        <f>W727+Y727+AB727+AD727</f>
      </c>
      <c r="AF727" s="195"/>
      <c r="AG727" s="169">
        <f>M727&amp;"-"&amp;F727</f>
      </c>
      <c r="AH727" s="191">
        <f>IFERROR(VLOOKUP(AG727,Masters!N:O,2,0),"0")</f>
      </c>
      <c r="AI727" s="166">
        <f>AH727*N727</f>
      </c>
      <c r="AJ727" s="7"/>
      <c r="AK727" s="170">
        <f>AI727-AE727</f>
      </c>
      <c r="AL727" s="195"/>
      <c r="AM727" s="6"/>
      <c r="AN727" s="171">
        <f>IFERROR(U727/2,"0")</f>
      </c>
    </row>
    <row x14ac:dyDescent="0.25" r="728" customHeight="1" ht="18.75">
      <c r="A728" s="158">
        <f>A727+1</f>
      </c>
      <c r="B728" s="159"/>
      <c r="C728" s="6"/>
      <c r="D728" s="159"/>
      <c r="E728" s="198"/>
      <c r="F728" s="160"/>
      <c r="G728" s="6"/>
      <c r="H728" s="6"/>
      <c r="I728" s="7"/>
      <c r="J728" s="147"/>
      <c r="K728" s="7"/>
      <c r="L728" s="147"/>
      <c r="M728" s="161">
        <f>IFERROR(VLOOKUP(L728,'Material Master'!B:C,2,0),"")</f>
      </c>
      <c r="N728" s="7"/>
      <c r="O728" s="162">
        <f>IFERROR(M728*N728,"")</f>
      </c>
      <c r="P728" s="6"/>
      <c r="Q728" s="158"/>
      <c r="R728" s="163"/>
      <c r="S728" s="147"/>
      <c r="T728" s="6"/>
      <c r="U728" s="158"/>
      <c r="V728" s="164">
        <v>31</v>
      </c>
      <c r="W728" s="165">
        <f>IFERROR(U728*V728,"0")</f>
      </c>
      <c r="X728" s="7"/>
      <c r="Y728" s="191">
        <f>IFERROR((O728/1000)*Masters!$C$3,"0")</f>
      </c>
      <c r="Z728" s="195"/>
      <c r="AA728" s="164">
        <f>IFERROR(VLOOKUP(L728,Masters!G:H,2,0),"0")</f>
      </c>
      <c r="AB728" s="166">
        <f>IFERROR(AA728*N728,"0")</f>
      </c>
      <c r="AC728" s="196"/>
      <c r="AD728" s="7"/>
      <c r="AE728" s="166">
        <f>W728+Y728+AB728+AD728</f>
      </c>
      <c r="AF728" s="195"/>
      <c r="AG728" s="169">
        <f>M728&amp;"-"&amp;F728</f>
      </c>
      <c r="AH728" s="191">
        <f>IFERROR(VLOOKUP(AG728,Masters!N:O,2,0),"0")</f>
      </c>
      <c r="AI728" s="166">
        <f>AH728*N728</f>
      </c>
      <c r="AJ728" s="7"/>
      <c r="AK728" s="170">
        <f>AI728-AE728</f>
      </c>
      <c r="AL728" s="195"/>
      <c r="AM728" s="6"/>
      <c r="AN728" s="171">
        <f>IFERROR(U728/2,"0")</f>
      </c>
    </row>
    <row x14ac:dyDescent="0.25" r="729" customHeight="1" ht="18.75">
      <c r="A729" s="158">
        <f>A728+1</f>
      </c>
      <c r="B729" s="159"/>
      <c r="C729" s="6"/>
      <c r="D729" s="159"/>
      <c r="E729" s="198"/>
      <c r="F729" s="160"/>
      <c r="G729" s="6"/>
      <c r="H729" s="6"/>
      <c r="I729" s="7"/>
      <c r="J729" s="147"/>
      <c r="K729" s="7"/>
      <c r="L729" s="147"/>
      <c r="M729" s="161">
        <f>IFERROR(VLOOKUP(L729,'Material Master'!B:C,2,0),"")</f>
      </c>
      <c r="N729" s="7"/>
      <c r="O729" s="162">
        <f>IFERROR(M729*N729,"")</f>
      </c>
      <c r="P729" s="6"/>
      <c r="Q729" s="158"/>
      <c r="R729" s="163"/>
      <c r="S729" s="147"/>
      <c r="T729" s="6"/>
      <c r="U729" s="158"/>
      <c r="V729" s="164">
        <v>31</v>
      </c>
      <c r="W729" s="165">
        <f>IFERROR(U729*V729,"0")</f>
      </c>
      <c r="X729" s="7"/>
      <c r="Y729" s="191">
        <f>IFERROR((O729/1000)*Masters!$C$3,"0")</f>
      </c>
      <c r="Z729" s="195"/>
      <c r="AA729" s="164">
        <f>IFERROR(VLOOKUP(L729,Masters!G:H,2,0),"0")</f>
      </c>
      <c r="AB729" s="166">
        <f>IFERROR(AA729*N729,"0")</f>
      </c>
      <c r="AC729" s="196"/>
      <c r="AD729" s="7"/>
      <c r="AE729" s="166">
        <f>W729+Y729+AB729+AD729</f>
      </c>
      <c r="AF729" s="195"/>
      <c r="AG729" s="169">
        <f>M729&amp;"-"&amp;F729</f>
      </c>
      <c r="AH729" s="191">
        <f>IFERROR(VLOOKUP(AG729,Masters!N:O,2,0),"0")</f>
      </c>
      <c r="AI729" s="166">
        <f>AH729*N729</f>
      </c>
      <c r="AJ729" s="7"/>
      <c r="AK729" s="170">
        <f>AI729-AE729</f>
      </c>
      <c r="AL729" s="195"/>
      <c r="AM729" s="6"/>
      <c r="AN729" s="171">
        <f>IFERROR(U729/2,"0")</f>
      </c>
    </row>
    <row x14ac:dyDescent="0.25" r="730" customHeight="1" ht="18.75">
      <c r="A730" s="158">
        <f>A729+1</f>
      </c>
      <c r="B730" s="159"/>
      <c r="C730" s="6"/>
      <c r="D730" s="159"/>
      <c r="E730" s="198"/>
      <c r="F730" s="160"/>
      <c r="G730" s="6"/>
      <c r="H730" s="6"/>
      <c r="I730" s="7"/>
      <c r="J730" s="147"/>
      <c r="K730" s="7"/>
      <c r="L730" s="147"/>
      <c r="M730" s="161">
        <f>IFERROR(VLOOKUP(L730,'Material Master'!B:C,2,0),"")</f>
      </c>
      <c r="N730" s="7"/>
      <c r="O730" s="162">
        <f>IFERROR(M730*N730,"")</f>
      </c>
      <c r="P730" s="6"/>
      <c r="Q730" s="158"/>
      <c r="R730" s="163"/>
      <c r="S730" s="147"/>
      <c r="T730" s="6"/>
      <c r="U730" s="158"/>
      <c r="V730" s="164">
        <v>31</v>
      </c>
      <c r="W730" s="165">
        <f>IFERROR(U730*V730,"0")</f>
      </c>
      <c r="X730" s="7"/>
      <c r="Y730" s="191">
        <f>IFERROR((O730/1000)*Masters!$C$3,"0")</f>
      </c>
      <c r="Z730" s="195"/>
      <c r="AA730" s="164">
        <f>IFERROR(VLOOKUP(L730,Masters!G:H,2,0),"0")</f>
      </c>
      <c r="AB730" s="166">
        <f>IFERROR(AA730*N730,"0")</f>
      </c>
      <c r="AC730" s="196"/>
      <c r="AD730" s="7"/>
      <c r="AE730" s="166">
        <f>W730+Y730+AB730+AD730</f>
      </c>
      <c r="AF730" s="195"/>
      <c r="AG730" s="169">
        <f>M730&amp;"-"&amp;F730</f>
      </c>
      <c r="AH730" s="191">
        <f>IFERROR(VLOOKUP(AG730,Masters!N:O,2,0),"0")</f>
      </c>
      <c r="AI730" s="166">
        <f>AH730*N730</f>
      </c>
      <c r="AJ730" s="7"/>
      <c r="AK730" s="170">
        <f>AI730-AE730</f>
      </c>
      <c r="AL730" s="195"/>
      <c r="AM730" s="6"/>
      <c r="AN730" s="171">
        <f>IFERROR(U730/2,"0")</f>
      </c>
    </row>
    <row x14ac:dyDescent="0.25" r="731" customHeight="1" ht="18.75">
      <c r="A731" s="158">
        <f>A730+1</f>
      </c>
      <c r="B731" s="159"/>
      <c r="C731" s="6"/>
      <c r="D731" s="159"/>
      <c r="E731" s="198"/>
      <c r="F731" s="160"/>
      <c r="G731" s="6"/>
      <c r="H731" s="6"/>
      <c r="I731" s="7"/>
      <c r="J731" s="147"/>
      <c r="K731" s="7"/>
      <c r="L731" s="147"/>
      <c r="M731" s="161">
        <f>IFERROR(VLOOKUP(L731,'Material Master'!B:C,2,0),"")</f>
      </c>
      <c r="N731" s="7"/>
      <c r="O731" s="162">
        <f>IFERROR(M731*N731,"")</f>
      </c>
      <c r="P731" s="6"/>
      <c r="Q731" s="158"/>
      <c r="R731" s="163"/>
      <c r="S731" s="147"/>
      <c r="T731" s="6"/>
      <c r="U731" s="158"/>
      <c r="V731" s="164">
        <v>31</v>
      </c>
      <c r="W731" s="165">
        <f>IFERROR(U731*V731,"0")</f>
      </c>
      <c r="X731" s="7"/>
      <c r="Y731" s="191">
        <f>IFERROR((O731/1000)*Masters!$C$3,"0")</f>
      </c>
      <c r="Z731" s="195"/>
      <c r="AA731" s="164">
        <f>IFERROR(VLOOKUP(L731,Masters!G:H,2,0),"0")</f>
      </c>
      <c r="AB731" s="166">
        <f>IFERROR(AA731*N731,"0")</f>
      </c>
      <c r="AC731" s="196"/>
      <c r="AD731" s="7"/>
      <c r="AE731" s="166">
        <f>W731+Y731+AB731+AD731</f>
      </c>
      <c r="AF731" s="195"/>
      <c r="AG731" s="169">
        <f>M731&amp;"-"&amp;F731</f>
      </c>
      <c r="AH731" s="191">
        <f>IFERROR(VLOOKUP(AG731,Masters!N:O,2,0),"0")</f>
      </c>
      <c r="AI731" s="166">
        <f>AH731*N731</f>
      </c>
      <c r="AJ731" s="7"/>
      <c r="AK731" s="170">
        <f>AI731-AE731</f>
      </c>
      <c r="AL731" s="195"/>
      <c r="AM731" s="6"/>
      <c r="AN731" s="171">
        <f>IFERROR(U731/2,"0")</f>
      </c>
    </row>
    <row x14ac:dyDescent="0.25" r="732" customHeight="1" ht="18.75">
      <c r="A732" s="158">
        <f>A731+1</f>
      </c>
      <c r="B732" s="159"/>
      <c r="C732" s="6"/>
      <c r="D732" s="159"/>
      <c r="E732" s="198"/>
      <c r="F732" s="160"/>
      <c r="G732" s="6"/>
      <c r="H732" s="6"/>
      <c r="I732" s="7"/>
      <c r="J732" s="147"/>
      <c r="K732" s="7"/>
      <c r="L732" s="147"/>
      <c r="M732" s="161">
        <f>IFERROR(VLOOKUP(L732,'Material Master'!B:C,2,0),"")</f>
      </c>
      <c r="N732" s="7"/>
      <c r="O732" s="162">
        <f>IFERROR(M732*N732,"")</f>
      </c>
      <c r="P732" s="6"/>
      <c r="Q732" s="158"/>
      <c r="R732" s="163"/>
      <c r="S732" s="147"/>
      <c r="T732" s="6"/>
      <c r="U732" s="158"/>
      <c r="V732" s="164">
        <v>31</v>
      </c>
      <c r="W732" s="165">
        <f>IFERROR(U732*V732,"0")</f>
      </c>
      <c r="X732" s="7"/>
      <c r="Y732" s="191">
        <f>IFERROR((O732/1000)*Masters!$C$3,"0")</f>
      </c>
      <c r="Z732" s="195"/>
      <c r="AA732" s="164">
        <f>IFERROR(VLOOKUP(L732,Masters!G:H,2,0),"0")</f>
      </c>
      <c r="AB732" s="166">
        <f>IFERROR(AA732*N732,"0")</f>
      </c>
      <c r="AC732" s="196"/>
      <c r="AD732" s="7"/>
      <c r="AE732" s="166">
        <f>W732+Y732+AB732+AD732</f>
      </c>
      <c r="AF732" s="195"/>
      <c r="AG732" s="169">
        <f>M732&amp;"-"&amp;F732</f>
      </c>
      <c r="AH732" s="191">
        <f>IFERROR(VLOOKUP(AG732,Masters!N:O,2,0),"0")</f>
      </c>
      <c r="AI732" s="166">
        <f>AH732*N732</f>
      </c>
      <c r="AJ732" s="7"/>
      <c r="AK732" s="170">
        <f>AI732-AE732</f>
      </c>
      <c r="AL732" s="195"/>
      <c r="AM732" s="6"/>
      <c r="AN732" s="171">
        <f>IFERROR(U732/2,"0")</f>
      </c>
    </row>
    <row x14ac:dyDescent="0.25" r="733" customHeight="1" ht="18.75">
      <c r="A733" s="158">
        <f>A732+1</f>
      </c>
      <c r="B733" s="159"/>
      <c r="C733" s="6"/>
      <c r="D733" s="159"/>
      <c r="E733" s="198"/>
      <c r="F733" s="160"/>
      <c r="G733" s="6"/>
      <c r="H733" s="6"/>
      <c r="I733" s="7"/>
      <c r="J733" s="147"/>
      <c r="K733" s="7"/>
      <c r="L733" s="147"/>
      <c r="M733" s="161">
        <f>IFERROR(VLOOKUP(L733,'Material Master'!B:C,2,0),"")</f>
      </c>
      <c r="N733" s="7"/>
      <c r="O733" s="162">
        <f>IFERROR(M733*N733,"")</f>
      </c>
      <c r="P733" s="6"/>
      <c r="Q733" s="158"/>
      <c r="R733" s="163"/>
      <c r="S733" s="147"/>
      <c r="T733" s="6"/>
      <c r="U733" s="158"/>
      <c r="V733" s="164">
        <v>31</v>
      </c>
      <c r="W733" s="165">
        <f>IFERROR(U733*V733,"0")</f>
      </c>
      <c r="X733" s="7"/>
      <c r="Y733" s="191">
        <f>IFERROR((O733/1000)*Masters!$C$3,"0")</f>
      </c>
      <c r="Z733" s="195"/>
      <c r="AA733" s="164">
        <f>IFERROR(VLOOKUP(L733,Masters!G:H,2,0),"0")</f>
      </c>
      <c r="AB733" s="166">
        <f>IFERROR(AA733*N733,"0")</f>
      </c>
      <c r="AC733" s="196"/>
      <c r="AD733" s="7"/>
      <c r="AE733" s="166">
        <f>W733+Y733+AB733+AD733</f>
      </c>
      <c r="AF733" s="195"/>
      <c r="AG733" s="169">
        <f>M733&amp;"-"&amp;F733</f>
      </c>
      <c r="AH733" s="191">
        <f>IFERROR(VLOOKUP(AG733,Masters!N:O,2,0),"0")</f>
      </c>
      <c r="AI733" s="166">
        <f>AH733*N733</f>
      </c>
      <c r="AJ733" s="7"/>
      <c r="AK733" s="170">
        <f>AI733-AE733</f>
      </c>
      <c r="AL733" s="195"/>
      <c r="AM733" s="6"/>
      <c r="AN733" s="171">
        <f>IFERROR(U733/2,"0")</f>
      </c>
    </row>
    <row x14ac:dyDescent="0.25" r="734" customHeight="1" ht="18.75">
      <c r="A734" s="158">
        <f>A733+1</f>
      </c>
      <c r="B734" s="159"/>
      <c r="C734" s="6"/>
      <c r="D734" s="159"/>
      <c r="E734" s="198"/>
      <c r="F734" s="160"/>
      <c r="G734" s="6"/>
      <c r="H734" s="6"/>
      <c r="I734" s="7"/>
      <c r="J734" s="147"/>
      <c r="K734" s="7"/>
      <c r="L734" s="147"/>
      <c r="M734" s="161">
        <f>IFERROR(VLOOKUP(L734,'Material Master'!B:C,2,0),"")</f>
      </c>
      <c r="N734" s="7"/>
      <c r="O734" s="162">
        <f>IFERROR(M734*N734,"")</f>
      </c>
      <c r="P734" s="6"/>
      <c r="Q734" s="158"/>
      <c r="R734" s="163"/>
      <c r="S734" s="147"/>
      <c r="T734" s="6"/>
      <c r="U734" s="158"/>
      <c r="V734" s="164">
        <v>31</v>
      </c>
      <c r="W734" s="165">
        <f>IFERROR(U734*V734,"0")</f>
      </c>
      <c r="X734" s="7"/>
      <c r="Y734" s="191">
        <f>IFERROR((O734/1000)*Masters!$C$3,"0")</f>
      </c>
      <c r="Z734" s="195"/>
      <c r="AA734" s="164">
        <f>IFERROR(VLOOKUP(L734,Masters!G:H,2,0),"0")</f>
      </c>
      <c r="AB734" s="166">
        <f>IFERROR(AA734*N734,"0")</f>
      </c>
      <c r="AC734" s="196"/>
      <c r="AD734" s="7"/>
      <c r="AE734" s="166">
        <f>W734+Y734+AB734+AD734</f>
      </c>
      <c r="AF734" s="195"/>
      <c r="AG734" s="169">
        <f>M734&amp;"-"&amp;F734</f>
      </c>
      <c r="AH734" s="191">
        <f>IFERROR(VLOOKUP(AG734,Masters!N:O,2,0),"0")</f>
      </c>
      <c r="AI734" s="166">
        <f>AH734*N734</f>
      </c>
      <c r="AJ734" s="7"/>
      <c r="AK734" s="170">
        <f>AI734-AE734</f>
      </c>
      <c r="AL734" s="195"/>
      <c r="AM734" s="6"/>
      <c r="AN734" s="171">
        <f>IFERROR(U734/2,"0")</f>
      </c>
    </row>
    <row x14ac:dyDescent="0.25" r="735" customHeight="1" ht="18.75">
      <c r="A735" s="158">
        <f>A734+1</f>
      </c>
      <c r="B735" s="159"/>
      <c r="C735" s="6"/>
      <c r="D735" s="159"/>
      <c r="E735" s="198"/>
      <c r="F735" s="160"/>
      <c r="G735" s="6"/>
      <c r="H735" s="6"/>
      <c r="I735" s="7"/>
      <c r="J735" s="147"/>
      <c r="K735" s="7"/>
      <c r="L735" s="147"/>
      <c r="M735" s="161">
        <f>IFERROR(VLOOKUP(L735,'Material Master'!B:C,2,0),"")</f>
      </c>
      <c r="N735" s="7"/>
      <c r="O735" s="162">
        <f>IFERROR(M735*N735,"")</f>
      </c>
      <c r="P735" s="6"/>
      <c r="Q735" s="158"/>
      <c r="R735" s="163"/>
      <c r="S735" s="147"/>
      <c r="T735" s="6"/>
      <c r="U735" s="158"/>
      <c r="V735" s="164">
        <v>31</v>
      </c>
      <c r="W735" s="165">
        <f>IFERROR(U735*V735,"0")</f>
      </c>
      <c r="X735" s="7"/>
      <c r="Y735" s="191">
        <f>IFERROR((O735/1000)*Masters!$C$3,"0")</f>
      </c>
      <c r="Z735" s="195"/>
      <c r="AA735" s="164">
        <f>IFERROR(VLOOKUP(L735,Masters!G:H,2,0),"0")</f>
      </c>
      <c r="AB735" s="166">
        <f>IFERROR(AA735*N735,"0")</f>
      </c>
      <c r="AC735" s="196"/>
      <c r="AD735" s="7"/>
      <c r="AE735" s="166">
        <f>W735+Y735+AB735+AD735</f>
      </c>
      <c r="AF735" s="195"/>
      <c r="AG735" s="169">
        <f>M735&amp;"-"&amp;F735</f>
      </c>
      <c r="AH735" s="191">
        <f>IFERROR(VLOOKUP(AG735,Masters!N:O,2,0),"0")</f>
      </c>
      <c r="AI735" s="166">
        <f>AH735*N735</f>
      </c>
      <c r="AJ735" s="7"/>
      <c r="AK735" s="170">
        <f>AI735-AE735</f>
      </c>
      <c r="AL735" s="195"/>
      <c r="AM735" s="6"/>
      <c r="AN735" s="171">
        <f>IFERROR(U735/2,"0")</f>
      </c>
    </row>
    <row x14ac:dyDescent="0.25" r="736" customHeight="1" ht="18.75">
      <c r="A736" s="158">
        <f>A735+1</f>
      </c>
      <c r="B736" s="159"/>
      <c r="C736" s="6"/>
      <c r="D736" s="159"/>
      <c r="E736" s="198"/>
      <c r="F736" s="160"/>
      <c r="G736" s="6"/>
      <c r="H736" s="6"/>
      <c r="I736" s="7"/>
      <c r="J736" s="147"/>
      <c r="K736" s="7"/>
      <c r="L736" s="147"/>
      <c r="M736" s="161">
        <f>IFERROR(VLOOKUP(L736,'Material Master'!B:C,2,0),"")</f>
      </c>
      <c r="N736" s="7"/>
      <c r="O736" s="162">
        <f>IFERROR(M736*N736,"")</f>
      </c>
      <c r="P736" s="6"/>
      <c r="Q736" s="158"/>
      <c r="R736" s="163"/>
      <c r="S736" s="147"/>
      <c r="T736" s="6"/>
      <c r="U736" s="158"/>
      <c r="V736" s="164">
        <v>31</v>
      </c>
      <c r="W736" s="165">
        <f>IFERROR(U736*V736,"0")</f>
      </c>
      <c r="X736" s="7"/>
      <c r="Y736" s="191">
        <f>IFERROR((O736/1000)*Masters!$C$3,"0")</f>
      </c>
      <c r="Z736" s="195"/>
      <c r="AA736" s="164">
        <f>IFERROR(VLOOKUP(L736,Masters!G:H,2,0),"0")</f>
      </c>
      <c r="AB736" s="166">
        <f>IFERROR(AA736*N736,"0")</f>
      </c>
      <c r="AC736" s="196"/>
      <c r="AD736" s="7"/>
      <c r="AE736" s="166">
        <f>W736+Y736+AB736+AD736</f>
      </c>
      <c r="AF736" s="195"/>
      <c r="AG736" s="169">
        <f>M736&amp;"-"&amp;F736</f>
      </c>
      <c r="AH736" s="191">
        <f>IFERROR(VLOOKUP(AG736,Masters!N:O,2,0),"0")</f>
      </c>
      <c r="AI736" s="166">
        <f>AH736*N736</f>
      </c>
      <c r="AJ736" s="7"/>
      <c r="AK736" s="170">
        <f>AI736-AE736</f>
      </c>
      <c r="AL736" s="195"/>
      <c r="AM736" s="6"/>
      <c r="AN736" s="171">
        <f>IFERROR(U736/2,"0")</f>
      </c>
    </row>
    <row x14ac:dyDescent="0.25" r="737" customHeight="1" ht="18.75">
      <c r="A737" s="158">
        <f>A736+1</f>
      </c>
      <c r="B737" s="159"/>
      <c r="C737" s="6"/>
      <c r="D737" s="159"/>
      <c r="E737" s="198"/>
      <c r="F737" s="160"/>
      <c r="G737" s="6"/>
      <c r="H737" s="6"/>
      <c r="I737" s="7"/>
      <c r="J737" s="147"/>
      <c r="K737" s="7"/>
      <c r="L737" s="147"/>
      <c r="M737" s="161">
        <f>IFERROR(VLOOKUP(L737,'Material Master'!B:C,2,0),"")</f>
      </c>
      <c r="N737" s="7"/>
      <c r="O737" s="162">
        <f>IFERROR(M737*N737,"")</f>
      </c>
      <c r="P737" s="6"/>
      <c r="Q737" s="158"/>
      <c r="R737" s="163"/>
      <c r="S737" s="147"/>
      <c r="T737" s="6"/>
      <c r="U737" s="158"/>
      <c r="V737" s="164">
        <v>31</v>
      </c>
      <c r="W737" s="165">
        <f>IFERROR(U737*V737,"0")</f>
      </c>
      <c r="X737" s="7"/>
      <c r="Y737" s="191">
        <f>IFERROR((O737/1000)*Masters!$C$3,"0")</f>
      </c>
      <c r="Z737" s="195"/>
      <c r="AA737" s="164">
        <f>IFERROR(VLOOKUP(L737,Masters!G:H,2,0),"0")</f>
      </c>
      <c r="AB737" s="166">
        <f>IFERROR(AA737*N737,"0")</f>
      </c>
      <c r="AC737" s="196"/>
      <c r="AD737" s="7"/>
      <c r="AE737" s="166">
        <f>W737+Y737+AB737+AD737</f>
      </c>
      <c r="AF737" s="195"/>
      <c r="AG737" s="169">
        <f>M737&amp;"-"&amp;F737</f>
      </c>
      <c r="AH737" s="191">
        <f>IFERROR(VLOOKUP(AG737,Masters!N:O,2,0),"0")</f>
      </c>
      <c r="AI737" s="166">
        <f>AH737*N737</f>
      </c>
      <c r="AJ737" s="7"/>
      <c r="AK737" s="170">
        <f>AI737-AE737</f>
      </c>
      <c r="AL737" s="195"/>
      <c r="AM737" s="6"/>
      <c r="AN737" s="171">
        <f>IFERROR(U737/2,"0")</f>
      </c>
    </row>
    <row x14ac:dyDescent="0.25" r="738" customHeight="1" ht="18.75">
      <c r="A738" s="158">
        <f>A737+1</f>
      </c>
      <c r="B738" s="159"/>
      <c r="C738" s="6"/>
      <c r="D738" s="159"/>
      <c r="E738" s="198"/>
      <c r="F738" s="160"/>
      <c r="G738" s="6"/>
      <c r="H738" s="6"/>
      <c r="I738" s="7"/>
      <c r="J738" s="147"/>
      <c r="K738" s="7"/>
      <c r="L738" s="147"/>
      <c r="M738" s="161">
        <f>IFERROR(VLOOKUP(L738,'Material Master'!B:C,2,0),"")</f>
      </c>
      <c r="N738" s="7"/>
      <c r="O738" s="162">
        <f>IFERROR(M738*N738,"")</f>
      </c>
      <c r="P738" s="6"/>
      <c r="Q738" s="158"/>
      <c r="R738" s="163"/>
      <c r="S738" s="147"/>
      <c r="T738" s="6"/>
      <c r="U738" s="158"/>
      <c r="V738" s="164">
        <v>31</v>
      </c>
      <c r="W738" s="165">
        <f>IFERROR(U738*V738,"0")</f>
      </c>
      <c r="X738" s="7"/>
      <c r="Y738" s="191">
        <f>IFERROR((O738/1000)*Masters!$C$3,"0")</f>
      </c>
      <c r="Z738" s="195"/>
      <c r="AA738" s="164">
        <f>IFERROR(VLOOKUP(L738,Masters!G:H,2,0),"0")</f>
      </c>
      <c r="AB738" s="166">
        <f>IFERROR(AA738*N738,"0")</f>
      </c>
      <c r="AC738" s="196"/>
      <c r="AD738" s="7"/>
      <c r="AE738" s="166">
        <f>W738+Y738+AB738+AD738</f>
      </c>
      <c r="AF738" s="195"/>
      <c r="AG738" s="169">
        <f>M738&amp;"-"&amp;F738</f>
      </c>
      <c r="AH738" s="191">
        <f>IFERROR(VLOOKUP(AG738,Masters!N:O,2,0),"0")</f>
      </c>
      <c r="AI738" s="166">
        <f>AH738*N738</f>
      </c>
      <c r="AJ738" s="7"/>
      <c r="AK738" s="170">
        <f>AI738-AE738</f>
      </c>
      <c r="AL738" s="195"/>
      <c r="AM738" s="6"/>
      <c r="AN738" s="171">
        <f>IFERROR(U738/2,"0")</f>
      </c>
    </row>
    <row x14ac:dyDescent="0.25" r="739" customHeight="1" ht="18.75">
      <c r="A739" s="158">
        <f>A738+1</f>
      </c>
      <c r="B739" s="159"/>
      <c r="C739" s="6"/>
      <c r="D739" s="159"/>
      <c r="E739" s="198"/>
      <c r="F739" s="160"/>
      <c r="G739" s="6"/>
      <c r="H739" s="6"/>
      <c r="I739" s="7"/>
      <c r="J739" s="147"/>
      <c r="K739" s="7"/>
      <c r="L739" s="147"/>
      <c r="M739" s="161">
        <f>IFERROR(VLOOKUP(L739,'Material Master'!B:C,2,0),"")</f>
      </c>
      <c r="N739" s="7"/>
      <c r="O739" s="162">
        <f>IFERROR(M739*N739,"")</f>
      </c>
      <c r="P739" s="6"/>
      <c r="Q739" s="158"/>
      <c r="R739" s="163"/>
      <c r="S739" s="147"/>
      <c r="T739" s="6"/>
      <c r="U739" s="158"/>
      <c r="V739" s="164">
        <v>31</v>
      </c>
      <c r="W739" s="165">
        <f>IFERROR(U739*V739,"0")</f>
      </c>
      <c r="X739" s="7"/>
      <c r="Y739" s="191">
        <f>IFERROR((O739/1000)*Masters!$C$3,"0")</f>
      </c>
      <c r="Z739" s="195"/>
      <c r="AA739" s="164">
        <f>IFERROR(VLOOKUP(L739,Masters!G:H,2,0),"0")</f>
      </c>
      <c r="AB739" s="166">
        <f>IFERROR(AA739*N739,"0")</f>
      </c>
      <c r="AC739" s="196"/>
      <c r="AD739" s="7"/>
      <c r="AE739" s="166">
        <f>W739+Y739+AB739+AD739</f>
      </c>
      <c r="AF739" s="195"/>
      <c r="AG739" s="169">
        <f>M739&amp;"-"&amp;F739</f>
      </c>
      <c r="AH739" s="191">
        <f>IFERROR(VLOOKUP(AG739,Masters!N:O,2,0),"0")</f>
      </c>
      <c r="AI739" s="166">
        <f>AH739*N739</f>
      </c>
      <c r="AJ739" s="7"/>
      <c r="AK739" s="170">
        <f>AI739-AE739</f>
      </c>
      <c r="AL739" s="195"/>
      <c r="AM739" s="6"/>
      <c r="AN739" s="171">
        <f>IFERROR(U739/2,"0")</f>
      </c>
    </row>
    <row x14ac:dyDescent="0.25" r="740" customHeight="1" ht="18.75">
      <c r="A740" s="158">
        <f>A739+1</f>
      </c>
      <c r="B740" s="159"/>
      <c r="C740" s="6"/>
      <c r="D740" s="159"/>
      <c r="E740" s="198"/>
      <c r="F740" s="160"/>
      <c r="G740" s="6"/>
      <c r="H740" s="6"/>
      <c r="I740" s="7"/>
      <c r="J740" s="147"/>
      <c r="K740" s="7"/>
      <c r="L740" s="147"/>
      <c r="M740" s="161">
        <f>IFERROR(VLOOKUP(L740,'Material Master'!B:C,2,0),"")</f>
      </c>
      <c r="N740" s="7"/>
      <c r="O740" s="162">
        <f>IFERROR(M740*N740,"")</f>
      </c>
      <c r="P740" s="6"/>
      <c r="Q740" s="158"/>
      <c r="R740" s="163"/>
      <c r="S740" s="147"/>
      <c r="T740" s="6"/>
      <c r="U740" s="158"/>
      <c r="V740" s="164">
        <v>31</v>
      </c>
      <c r="W740" s="165">
        <f>IFERROR(U740*V740,"0")</f>
      </c>
      <c r="X740" s="7"/>
      <c r="Y740" s="191">
        <f>IFERROR((O740/1000)*Masters!$C$3,"0")</f>
      </c>
      <c r="Z740" s="195"/>
      <c r="AA740" s="164">
        <f>IFERROR(VLOOKUP(L740,Masters!G:H,2,0),"0")</f>
      </c>
      <c r="AB740" s="166">
        <f>IFERROR(AA740*N740,"0")</f>
      </c>
      <c r="AC740" s="196"/>
      <c r="AD740" s="7"/>
      <c r="AE740" s="166">
        <f>W740+Y740+AB740+AD740</f>
      </c>
      <c r="AF740" s="195"/>
      <c r="AG740" s="169">
        <f>M740&amp;"-"&amp;F740</f>
      </c>
      <c r="AH740" s="191">
        <f>IFERROR(VLOOKUP(AG740,Masters!N:O,2,0),"0")</f>
      </c>
      <c r="AI740" s="166">
        <f>AH740*N740</f>
      </c>
      <c r="AJ740" s="7"/>
      <c r="AK740" s="170">
        <f>AI740-AE740</f>
      </c>
      <c r="AL740" s="195"/>
      <c r="AM740" s="6"/>
      <c r="AN740" s="171">
        <f>IFERROR(U740/2,"0")</f>
      </c>
    </row>
    <row x14ac:dyDescent="0.25" r="741" customHeight="1" ht="18.75">
      <c r="A741" s="158">
        <f>A740+1</f>
      </c>
      <c r="B741" s="159"/>
      <c r="C741" s="6"/>
      <c r="D741" s="159"/>
      <c r="E741" s="198"/>
      <c r="F741" s="160"/>
      <c r="G741" s="6"/>
      <c r="H741" s="6"/>
      <c r="I741" s="7"/>
      <c r="J741" s="147"/>
      <c r="K741" s="7"/>
      <c r="L741" s="147"/>
      <c r="M741" s="161">
        <f>IFERROR(VLOOKUP(L741,'Material Master'!B:C,2,0),"")</f>
      </c>
      <c r="N741" s="7"/>
      <c r="O741" s="162">
        <f>IFERROR(M741*N741,"")</f>
      </c>
      <c r="P741" s="6"/>
      <c r="Q741" s="158"/>
      <c r="R741" s="163"/>
      <c r="S741" s="147"/>
      <c r="T741" s="6"/>
      <c r="U741" s="158"/>
      <c r="V741" s="164">
        <v>31</v>
      </c>
      <c r="W741" s="165">
        <f>IFERROR(U741*V741,"0")</f>
      </c>
      <c r="X741" s="7"/>
      <c r="Y741" s="191">
        <f>IFERROR((O741/1000)*Masters!$C$3,"0")</f>
      </c>
      <c r="Z741" s="195"/>
      <c r="AA741" s="164">
        <f>IFERROR(VLOOKUP(L741,Masters!G:H,2,0),"0")</f>
      </c>
      <c r="AB741" s="166">
        <f>IFERROR(AA741*N741,"0")</f>
      </c>
      <c r="AC741" s="196"/>
      <c r="AD741" s="7"/>
      <c r="AE741" s="166">
        <f>W741+Y741+AB741+AD741</f>
      </c>
      <c r="AF741" s="195"/>
      <c r="AG741" s="169">
        <f>M741&amp;"-"&amp;F741</f>
      </c>
      <c r="AH741" s="191">
        <f>IFERROR(VLOOKUP(AG741,Masters!N:O,2,0),"0")</f>
      </c>
      <c r="AI741" s="166">
        <f>AH741*N741</f>
      </c>
      <c r="AJ741" s="7"/>
      <c r="AK741" s="170">
        <f>AI741-AE741</f>
      </c>
      <c r="AL741" s="195"/>
      <c r="AM741" s="6"/>
      <c r="AN741" s="171">
        <f>IFERROR(U741/2,"0")</f>
      </c>
    </row>
    <row x14ac:dyDescent="0.25" r="742" customHeight="1" ht="18.75">
      <c r="A742" s="158">
        <f>A741+1</f>
      </c>
      <c r="B742" s="159"/>
      <c r="C742" s="6"/>
      <c r="D742" s="159"/>
      <c r="E742" s="198"/>
      <c r="F742" s="160"/>
      <c r="G742" s="6"/>
      <c r="H742" s="6"/>
      <c r="I742" s="7"/>
      <c r="J742" s="147"/>
      <c r="K742" s="7"/>
      <c r="L742" s="147"/>
      <c r="M742" s="161">
        <f>IFERROR(VLOOKUP(L742,'Material Master'!B:C,2,0),"")</f>
      </c>
      <c r="N742" s="7"/>
      <c r="O742" s="162">
        <f>IFERROR(M742*N742,"")</f>
      </c>
      <c r="P742" s="6"/>
      <c r="Q742" s="158"/>
      <c r="R742" s="163"/>
      <c r="S742" s="147"/>
      <c r="T742" s="6"/>
      <c r="U742" s="158"/>
      <c r="V742" s="164">
        <v>31</v>
      </c>
      <c r="W742" s="165">
        <f>IFERROR(U742*V742,"0")</f>
      </c>
      <c r="X742" s="7"/>
      <c r="Y742" s="191">
        <f>IFERROR((O742/1000)*Masters!$C$3,"0")</f>
      </c>
      <c r="Z742" s="195"/>
      <c r="AA742" s="164">
        <f>IFERROR(VLOOKUP(L742,Masters!G:H,2,0),"0")</f>
      </c>
      <c r="AB742" s="166">
        <f>IFERROR(AA742*N742,"0")</f>
      </c>
      <c r="AC742" s="196"/>
      <c r="AD742" s="7"/>
      <c r="AE742" s="166">
        <f>W742+Y742+AB742+AD742</f>
      </c>
      <c r="AF742" s="195"/>
      <c r="AG742" s="169">
        <f>M742&amp;"-"&amp;F742</f>
      </c>
      <c r="AH742" s="191">
        <f>IFERROR(VLOOKUP(AG742,Masters!N:O,2,0),"0")</f>
      </c>
      <c r="AI742" s="166">
        <f>AH742*N742</f>
      </c>
      <c r="AJ742" s="7"/>
      <c r="AK742" s="170">
        <f>AI742-AE742</f>
      </c>
      <c r="AL742" s="195"/>
      <c r="AM742" s="6"/>
      <c r="AN742" s="171">
        <f>IFERROR(U742/2,"0")</f>
      </c>
    </row>
    <row x14ac:dyDescent="0.25" r="743" customHeight="1" ht="18.75">
      <c r="A743" s="158">
        <f>A742+1</f>
      </c>
      <c r="B743" s="159"/>
      <c r="C743" s="6"/>
      <c r="D743" s="159"/>
      <c r="E743" s="198"/>
      <c r="F743" s="160"/>
      <c r="G743" s="6"/>
      <c r="H743" s="6"/>
      <c r="I743" s="7"/>
      <c r="J743" s="147"/>
      <c r="K743" s="7"/>
      <c r="L743" s="147"/>
      <c r="M743" s="161">
        <f>IFERROR(VLOOKUP(L743,'Material Master'!B:C,2,0),"")</f>
      </c>
      <c r="N743" s="7"/>
      <c r="O743" s="162">
        <f>IFERROR(M743*N743,"")</f>
      </c>
      <c r="P743" s="6"/>
      <c r="Q743" s="158"/>
      <c r="R743" s="163"/>
      <c r="S743" s="147"/>
      <c r="T743" s="6"/>
      <c r="U743" s="158"/>
      <c r="V743" s="164">
        <v>31</v>
      </c>
      <c r="W743" s="165">
        <f>IFERROR(U743*V743,"0")</f>
      </c>
      <c r="X743" s="7"/>
      <c r="Y743" s="191">
        <f>IFERROR((O743/1000)*Masters!$C$3,"0")</f>
      </c>
      <c r="Z743" s="195"/>
      <c r="AA743" s="164">
        <f>IFERROR(VLOOKUP(L743,Masters!G:H,2,0),"0")</f>
      </c>
      <c r="AB743" s="166">
        <f>IFERROR(AA743*N743,"0")</f>
      </c>
      <c r="AC743" s="196"/>
      <c r="AD743" s="7"/>
      <c r="AE743" s="166">
        <f>W743+Y743+AB743+AD743</f>
      </c>
      <c r="AF743" s="195"/>
      <c r="AG743" s="169">
        <f>M743&amp;"-"&amp;F743</f>
      </c>
      <c r="AH743" s="191">
        <f>IFERROR(VLOOKUP(AG743,Masters!N:O,2,0),"0")</f>
      </c>
      <c r="AI743" s="166">
        <f>AH743*N743</f>
      </c>
      <c r="AJ743" s="7"/>
      <c r="AK743" s="170">
        <f>AI743-AE743</f>
      </c>
      <c r="AL743" s="195"/>
      <c r="AM743" s="6"/>
      <c r="AN743" s="171">
        <f>IFERROR(U743/2,"0")</f>
      </c>
    </row>
    <row x14ac:dyDescent="0.25" r="744" customHeight="1" ht="18.75">
      <c r="A744" s="158">
        <f>A743+1</f>
      </c>
      <c r="B744" s="159"/>
      <c r="C744" s="6"/>
      <c r="D744" s="159"/>
      <c r="E744" s="198"/>
      <c r="F744" s="160"/>
      <c r="G744" s="6"/>
      <c r="H744" s="6"/>
      <c r="I744" s="7"/>
      <c r="J744" s="147"/>
      <c r="K744" s="7"/>
      <c r="L744" s="147"/>
      <c r="M744" s="161">
        <f>IFERROR(VLOOKUP(L744,'Material Master'!B:C,2,0),"")</f>
      </c>
      <c r="N744" s="7"/>
      <c r="O744" s="162">
        <f>IFERROR(M744*N744,"")</f>
      </c>
      <c r="P744" s="6"/>
      <c r="Q744" s="158"/>
      <c r="R744" s="163"/>
      <c r="S744" s="147"/>
      <c r="T744" s="6"/>
      <c r="U744" s="158"/>
      <c r="V744" s="164">
        <v>31</v>
      </c>
      <c r="W744" s="165">
        <f>IFERROR(U744*V744,"0")</f>
      </c>
      <c r="X744" s="7"/>
      <c r="Y744" s="191">
        <f>IFERROR((O744/1000)*Masters!$C$3,"0")</f>
      </c>
      <c r="Z744" s="195"/>
      <c r="AA744" s="164">
        <f>IFERROR(VLOOKUP(L744,Masters!G:H,2,0),"0")</f>
      </c>
      <c r="AB744" s="166">
        <f>IFERROR(AA744*N744,"0")</f>
      </c>
      <c r="AC744" s="196"/>
      <c r="AD744" s="7"/>
      <c r="AE744" s="166">
        <f>W744+Y744+AB744+AD744</f>
      </c>
      <c r="AF744" s="195"/>
      <c r="AG744" s="169">
        <f>M744&amp;"-"&amp;F744</f>
      </c>
      <c r="AH744" s="191">
        <f>IFERROR(VLOOKUP(AG744,Masters!N:O,2,0),"0")</f>
      </c>
      <c r="AI744" s="166">
        <f>AH744*N744</f>
      </c>
      <c r="AJ744" s="7"/>
      <c r="AK744" s="170">
        <f>AI744-AE744</f>
      </c>
      <c r="AL744" s="195"/>
      <c r="AM744" s="6"/>
      <c r="AN744" s="171">
        <f>IFERROR(U744/2,"0")</f>
      </c>
    </row>
    <row x14ac:dyDescent="0.25" r="745" customHeight="1" ht="18.75">
      <c r="A745" s="158">
        <f>A744+1</f>
      </c>
      <c r="B745" s="159"/>
      <c r="C745" s="6"/>
      <c r="D745" s="159"/>
      <c r="E745" s="198"/>
      <c r="F745" s="160"/>
      <c r="G745" s="6"/>
      <c r="H745" s="6"/>
      <c r="I745" s="7"/>
      <c r="J745" s="147"/>
      <c r="K745" s="7"/>
      <c r="L745" s="147"/>
      <c r="M745" s="161">
        <f>IFERROR(VLOOKUP(L745,'Material Master'!B:C,2,0),"")</f>
      </c>
      <c r="N745" s="7"/>
      <c r="O745" s="162">
        <f>IFERROR(M745*N745,"")</f>
      </c>
      <c r="P745" s="6"/>
      <c r="Q745" s="158"/>
      <c r="R745" s="163"/>
      <c r="S745" s="147"/>
      <c r="T745" s="6"/>
      <c r="U745" s="158"/>
      <c r="V745" s="164">
        <v>31</v>
      </c>
      <c r="W745" s="165">
        <f>IFERROR(U745*V745,"0")</f>
      </c>
      <c r="X745" s="7"/>
      <c r="Y745" s="191">
        <f>IFERROR((O745/1000)*Masters!$C$3,"0")</f>
      </c>
      <c r="Z745" s="195"/>
      <c r="AA745" s="164">
        <f>IFERROR(VLOOKUP(L745,Masters!G:H,2,0),"0")</f>
      </c>
      <c r="AB745" s="166">
        <f>IFERROR(AA745*N745,"0")</f>
      </c>
      <c r="AC745" s="196"/>
      <c r="AD745" s="7"/>
      <c r="AE745" s="166">
        <f>W745+Y745+AB745+AD745</f>
      </c>
      <c r="AF745" s="195"/>
      <c r="AG745" s="169">
        <f>M745&amp;"-"&amp;F745</f>
      </c>
      <c r="AH745" s="191">
        <f>IFERROR(VLOOKUP(AG745,Masters!N:O,2,0),"0")</f>
      </c>
      <c r="AI745" s="166">
        <f>AH745*N745</f>
      </c>
      <c r="AJ745" s="7"/>
      <c r="AK745" s="170">
        <f>AI745-AE745</f>
      </c>
      <c r="AL745" s="195"/>
      <c r="AM745" s="6"/>
      <c r="AN745" s="171">
        <f>IFERROR(U745/2,"0")</f>
      </c>
    </row>
    <row x14ac:dyDescent="0.25" r="746" customHeight="1" ht="18.75">
      <c r="A746" s="158">
        <f>A745+1</f>
      </c>
      <c r="B746" s="159"/>
      <c r="C746" s="6"/>
      <c r="D746" s="159"/>
      <c r="E746" s="198"/>
      <c r="F746" s="160"/>
      <c r="G746" s="6"/>
      <c r="H746" s="6"/>
      <c r="I746" s="7"/>
      <c r="J746" s="147"/>
      <c r="K746" s="7"/>
      <c r="L746" s="147"/>
      <c r="M746" s="161">
        <f>IFERROR(VLOOKUP(L746,'Material Master'!B:C,2,0),"")</f>
      </c>
      <c r="N746" s="7"/>
      <c r="O746" s="162">
        <f>IFERROR(M746*N746,"")</f>
      </c>
      <c r="P746" s="6"/>
      <c r="Q746" s="158"/>
      <c r="R746" s="163"/>
      <c r="S746" s="147"/>
      <c r="T746" s="6"/>
      <c r="U746" s="158"/>
      <c r="V746" s="164">
        <v>31</v>
      </c>
      <c r="W746" s="165">
        <f>IFERROR(U746*V746,"0")</f>
      </c>
      <c r="X746" s="7"/>
      <c r="Y746" s="191">
        <f>IFERROR((O746/1000)*Masters!$C$3,"0")</f>
      </c>
      <c r="Z746" s="195"/>
      <c r="AA746" s="164">
        <f>IFERROR(VLOOKUP(L746,Masters!G:H,2,0),"0")</f>
      </c>
      <c r="AB746" s="166">
        <f>IFERROR(AA746*N746,"0")</f>
      </c>
      <c r="AC746" s="196"/>
      <c r="AD746" s="7"/>
      <c r="AE746" s="166">
        <f>W746+Y746+AB746+AD746</f>
      </c>
      <c r="AF746" s="195"/>
      <c r="AG746" s="169">
        <f>M746&amp;"-"&amp;F746</f>
      </c>
      <c r="AH746" s="191">
        <f>IFERROR(VLOOKUP(AG746,Masters!N:O,2,0),"0")</f>
      </c>
      <c r="AI746" s="166">
        <f>AH746*N746</f>
      </c>
      <c r="AJ746" s="7"/>
      <c r="AK746" s="170">
        <f>AI746-AE746</f>
      </c>
      <c r="AL746" s="195"/>
      <c r="AM746" s="6"/>
      <c r="AN746" s="171">
        <f>IFERROR(U746/2,"0")</f>
      </c>
    </row>
    <row x14ac:dyDescent="0.25" r="747" customHeight="1" ht="18.75">
      <c r="A747" s="158">
        <f>A746+1</f>
      </c>
      <c r="B747" s="159"/>
      <c r="C747" s="6"/>
      <c r="D747" s="159"/>
      <c r="E747" s="198"/>
      <c r="F747" s="160"/>
      <c r="G747" s="6"/>
      <c r="H747" s="6"/>
      <c r="I747" s="7"/>
      <c r="J747" s="147"/>
      <c r="K747" s="7"/>
      <c r="L747" s="147"/>
      <c r="M747" s="161">
        <f>IFERROR(VLOOKUP(L747,'Material Master'!B:C,2,0),"")</f>
      </c>
      <c r="N747" s="7"/>
      <c r="O747" s="162">
        <f>IFERROR(M747*N747,"")</f>
      </c>
      <c r="P747" s="6"/>
      <c r="Q747" s="158"/>
      <c r="R747" s="163"/>
      <c r="S747" s="147"/>
      <c r="T747" s="6"/>
      <c r="U747" s="158"/>
      <c r="V747" s="164">
        <v>31</v>
      </c>
      <c r="W747" s="165">
        <f>IFERROR(U747*V747,"0")</f>
      </c>
      <c r="X747" s="7"/>
      <c r="Y747" s="191">
        <f>IFERROR((O747/1000)*Masters!$C$3,"0")</f>
      </c>
      <c r="Z747" s="195"/>
      <c r="AA747" s="164">
        <f>IFERROR(VLOOKUP(L747,Masters!G:H,2,0),"0")</f>
      </c>
      <c r="AB747" s="166">
        <f>IFERROR(AA747*N747,"0")</f>
      </c>
      <c r="AC747" s="196"/>
      <c r="AD747" s="7"/>
      <c r="AE747" s="166">
        <f>W747+Y747+AB747+AD747</f>
      </c>
      <c r="AF747" s="195"/>
      <c r="AG747" s="169">
        <f>M747&amp;"-"&amp;F747</f>
      </c>
      <c r="AH747" s="191">
        <f>IFERROR(VLOOKUP(AG747,Masters!N:O,2,0),"0")</f>
      </c>
      <c r="AI747" s="166">
        <f>AH747*N747</f>
      </c>
      <c r="AJ747" s="7"/>
      <c r="AK747" s="170">
        <f>AI747-AE747</f>
      </c>
      <c r="AL747" s="195"/>
      <c r="AM747" s="6"/>
      <c r="AN747" s="171">
        <f>IFERROR(U747/2,"0")</f>
      </c>
    </row>
    <row x14ac:dyDescent="0.25" r="748" customHeight="1" ht="18.75">
      <c r="A748" s="158">
        <f>A747+1</f>
      </c>
      <c r="B748" s="159"/>
      <c r="C748" s="6"/>
      <c r="D748" s="159"/>
      <c r="E748" s="198"/>
      <c r="F748" s="160"/>
      <c r="G748" s="6"/>
      <c r="H748" s="6"/>
      <c r="I748" s="7"/>
      <c r="J748" s="147"/>
      <c r="K748" s="7"/>
      <c r="L748" s="147"/>
      <c r="M748" s="161">
        <f>IFERROR(VLOOKUP(L748,'Material Master'!B:C,2,0),"")</f>
      </c>
      <c r="N748" s="7"/>
      <c r="O748" s="162">
        <f>IFERROR(M748*N748,"")</f>
      </c>
      <c r="P748" s="6"/>
      <c r="Q748" s="158"/>
      <c r="R748" s="163"/>
      <c r="S748" s="147"/>
      <c r="T748" s="6"/>
      <c r="U748" s="158"/>
      <c r="V748" s="164">
        <v>31</v>
      </c>
      <c r="W748" s="165">
        <f>IFERROR(U748*V748,"0")</f>
      </c>
      <c r="X748" s="7"/>
      <c r="Y748" s="191">
        <f>IFERROR((O748/1000)*Masters!$C$3,"0")</f>
      </c>
      <c r="Z748" s="195"/>
      <c r="AA748" s="164">
        <f>IFERROR(VLOOKUP(L748,Masters!G:H,2,0),"0")</f>
      </c>
      <c r="AB748" s="166">
        <f>IFERROR(AA748*N748,"0")</f>
      </c>
      <c r="AC748" s="196"/>
      <c r="AD748" s="7"/>
      <c r="AE748" s="166">
        <f>W748+Y748+AB748+AD748</f>
      </c>
      <c r="AF748" s="195"/>
      <c r="AG748" s="169">
        <f>M748&amp;"-"&amp;F748</f>
      </c>
      <c r="AH748" s="191">
        <f>IFERROR(VLOOKUP(AG748,Masters!N:O,2,0),"0")</f>
      </c>
      <c r="AI748" s="166">
        <f>AH748*N748</f>
      </c>
      <c r="AJ748" s="7"/>
      <c r="AK748" s="170">
        <f>AI748-AE748</f>
      </c>
      <c r="AL748" s="195"/>
      <c r="AM748" s="6"/>
      <c r="AN748" s="171">
        <f>IFERROR(U748/2,"0")</f>
      </c>
    </row>
    <row x14ac:dyDescent="0.25" r="749" customHeight="1" ht="18.75">
      <c r="A749" s="158">
        <f>A748+1</f>
      </c>
      <c r="B749" s="159"/>
      <c r="C749" s="6"/>
      <c r="D749" s="159"/>
      <c r="E749" s="198"/>
      <c r="F749" s="160"/>
      <c r="G749" s="6"/>
      <c r="H749" s="6"/>
      <c r="I749" s="7"/>
      <c r="J749" s="147"/>
      <c r="K749" s="7"/>
      <c r="L749" s="147"/>
      <c r="M749" s="161">
        <f>IFERROR(VLOOKUP(L749,'Material Master'!B:C,2,0),"")</f>
      </c>
      <c r="N749" s="7"/>
      <c r="O749" s="162">
        <f>IFERROR(M749*N749,"")</f>
      </c>
      <c r="P749" s="6"/>
      <c r="Q749" s="158"/>
      <c r="R749" s="163"/>
      <c r="S749" s="147"/>
      <c r="T749" s="6"/>
      <c r="U749" s="158"/>
      <c r="V749" s="164">
        <v>31</v>
      </c>
      <c r="W749" s="165">
        <f>IFERROR(U749*V749,"0")</f>
      </c>
      <c r="X749" s="7"/>
      <c r="Y749" s="191">
        <f>IFERROR((O749/1000)*Masters!$C$3,"0")</f>
      </c>
      <c r="Z749" s="195"/>
      <c r="AA749" s="164">
        <f>IFERROR(VLOOKUP(L749,Masters!G:H,2,0),"0")</f>
      </c>
      <c r="AB749" s="166">
        <f>IFERROR(AA749*N749,"0")</f>
      </c>
      <c r="AC749" s="196"/>
      <c r="AD749" s="7"/>
      <c r="AE749" s="166">
        <f>W749+Y749+AB749+AD749</f>
      </c>
      <c r="AF749" s="195"/>
      <c r="AG749" s="169">
        <f>M749&amp;"-"&amp;F749</f>
      </c>
      <c r="AH749" s="191">
        <f>IFERROR(VLOOKUP(AG749,Masters!N:O,2,0),"0")</f>
      </c>
      <c r="AI749" s="166">
        <f>AH749*N749</f>
      </c>
      <c r="AJ749" s="7"/>
      <c r="AK749" s="170">
        <f>AI749-AE749</f>
      </c>
      <c r="AL749" s="195"/>
      <c r="AM749" s="6"/>
      <c r="AN749" s="171">
        <f>IFERROR(U749/2,"0")</f>
      </c>
    </row>
    <row x14ac:dyDescent="0.25" r="750" customHeight="1" ht="18.75">
      <c r="A750" s="158">
        <f>A749+1</f>
      </c>
      <c r="B750" s="159"/>
      <c r="C750" s="6"/>
      <c r="D750" s="159"/>
      <c r="E750" s="198"/>
      <c r="F750" s="160"/>
      <c r="G750" s="6"/>
      <c r="H750" s="6"/>
      <c r="I750" s="7"/>
      <c r="J750" s="147"/>
      <c r="K750" s="7"/>
      <c r="L750" s="147"/>
      <c r="M750" s="161">
        <f>IFERROR(VLOOKUP(L750,'Material Master'!B:C,2,0),"")</f>
      </c>
      <c r="N750" s="7"/>
      <c r="O750" s="162">
        <f>IFERROR(M750*N750,"")</f>
      </c>
      <c r="P750" s="6"/>
      <c r="Q750" s="158"/>
      <c r="R750" s="163"/>
      <c r="S750" s="147"/>
      <c r="T750" s="6"/>
      <c r="U750" s="158"/>
      <c r="V750" s="164">
        <v>31</v>
      </c>
      <c r="W750" s="165">
        <f>IFERROR(U750*V750,"0")</f>
      </c>
      <c r="X750" s="7"/>
      <c r="Y750" s="191">
        <f>IFERROR((O750/1000)*Masters!$C$3,"0")</f>
      </c>
      <c r="Z750" s="195"/>
      <c r="AA750" s="164">
        <f>IFERROR(VLOOKUP(L750,Masters!G:H,2,0),"0")</f>
      </c>
      <c r="AB750" s="166">
        <f>IFERROR(AA750*N750,"0")</f>
      </c>
      <c r="AC750" s="196"/>
      <c r="AD750" s="7"/>
      <c r="AE750" s="166">
        <f>W750+Y750+AB750+AD750</f>
      </c>
      <c r="AF750" s="195"/>
      <c r="AG750" s="169">
        <f>M750&amp;"-"&amp;F750</f>
      </c>
      <c r="AH750" s="191">
        <f>IFERROR(VLOOKUP(AG750,Masters!N:O,2,0),"0")</f>
      </c>
      <c r="AI750" s="166">
        <f>AH750*N750</f>
      </c>
      <c r="AJ750" s="7"/>
      <c r="AK750" s="170">
        <f>AI750-AE750</f>
      </c>
      <c r="AL750" s="195"/>
      <c r="AM750" s="6"/>
      <c r="AN750" s="171">
        <f>IFERROR(U750/2,"0")</f>
      </c>
    </row>
    <row x14ac:dyDescent="0.25" r="751" customHeight="1" ht="18.75">
      <c r="A751" s="158">
        <f>A750+1</f>
      </c>
      <c r="B751" s="159"/>
      <c r="C751" s="6"/>
      <c r="D751" s="159"/>
      <c r="E751" s="198"/>
      <c r="F751" s="160"/>
      <c r="G751" s="6"/>
      <c r="H751" s="6"/>
      <c r="I751" s="7"/>
      <c r="J751" s="147"/>
      <c r="K751" s="7"/>
      <c r="L751" s="147"/>
      <c r="M751" s="161">
        <f>IFERROR(VLOOKUP(L751,'Material Master'!B:C,2,0),"")</f>
      </c>
      <c r="N751" s="7"/>
      <c r="O751" s="162">
        <f>IFERROR(M751*N751,"")</f>
      </c>
      <c r="P751" s="6"/>
      <c r="Q751" s="158"/>
      <c r="R751" s="163"/>
      <c r="S751" s="147"/>
      <c r="T751" s="6"/>
      <c r="U751" s="158"/>
      <c r="V751" s="164">
        <v>31</v>
      </c>
      <c r="W751" s="165">
        <f>IFERROR(U751*V751,"0")</f>
      </c>
      <c r="X751" s="7"/>
      <c r="Y751" s="191">
        <f>IFERROR((O751/1000)*Masters!$C$3,"0")</f>
      </c>
      <c r="Z751" s="195"/>
      <c r="AA751" s="164">
        <f>IFERROR(VLOOKUP(L751,Masters!G:H,2,0),"0")</f>
      </c>
      <c r="AB751" s="166">
        <f>IFERROR(AA751*N751,"0")</f>
      </c>
      <c r="AC751" s="196"/>
      <c r="AD751" s="7"/>
      <c r="AE751" s="166">
        <f>W751+Y751+AB751+AD751</f>
      </c>
      <c r="AF751" s="195"/>
      <c r="AG751" s="169">
        <f>M751&amp;"-"&amp;F751</f>
      </c>
      <c r="AH751" s="191">
        <f>IFERROR(VLOOKUP(AG751,Masters!N:O,2,0),"0")</f>
      </c>
      <c r="AI751" s="166">
        <f>AH751*N751</f>
      </c>
      <c r="AJ751" s="7"/>
      <c r="AK751" s="170">
        <f>AI751-AE751</f>
      </c>
      <c r="AL751" s="195"/>
      <c r="AM751" s="6"/>
      <c r="AN751" s="171">
        <f>IFERROR(U751/2,"0")</f>
      </c>
    </row>
    <row x14ac:dyDescent="0.25" r="752" customHeight="1" ht="18.75">
      <c r="A752" s="158">
        <f>A751+1</f>
      </c>
      <c r="B752" s="159"/>
      <c r="C752" s="6"/>
      <c r="D752" s="159"/>
      <c r="E752" s="198"/>
      <c r="F752" s="160"/>
      <c r="G752" s="6"/>
      <c r="H752" s="6"/>
      <c r="I752" s="7"/>
      <c r="J752" s="147"/>
      <c r="K752" s="7"/>
      <c r="L752" s="147"/>
      <c r="M752" s="161">
        <f>IFERROR(VLOOKUP(L752,'Material Master'!B:C,2,0),"")</f>
      </c>
      <c r="N752" s="7"/>
      <c r="O752" s="162">
        <f>IFERROR(M752*N752,"")</f>
      </c>
      <c r="P752" s="6"/>
      <c r="Q752" s="158"/>
      <c r="R752" s="163"/>
      <c r="S752" s="147"/>
      <c r="T752" s="6"/>
      <c r="U752" s="158"/>
      <c r="V752" s="164">
        <v>31</v>
      </c>
      <c r="W752" s="165">
        <f>IFERROR(U752*V752,"0")</f>
      </c>
      <c r="X752" s="7"/>
      <c r="Y752" s="191">
        <f>IFERROR((O752/1000)*Masters!$C$3,"0")</f>
      </c>
      <c r="Z752" s="195"/>
      <c r="AA752" s="164">
        <f>IFERROR(VLOOKUP(L752,Masters!G:H,2,0),"0")</f>
      </c>
      <c r="AB752" s="166">
        <f>IFERROR(AA752*N752,"0")</f>
      </c>
      <c r="AC752" s="196"/>
      <c r="AD752" s="7"/>
      <c r="AE752" s="166">
        <f>W752+Y752+AB752+AD752</f>
      </c>
      <c r="AF752" s="195"/>
      <c r="AG752" s="169">
        <f>M752&amp;"-"&amp;F752</f>
      </c>
      <c r="AH752" s="191">
        <f>IFERROR(VLOOKUP(AG752,Masters!N:O,2,0),"0")</f>
      </c>
      <c r="AI752" s="166">
        <f>AH752*N752</f>
      </c>
      <c r="AJ752" s="7"/>
      <c r="AK752" s="170">
        <f>AI752-AE752</f>
      </c>
      <c r="AL752" s="195"/>
      <c r="AM752" s="6"/>
      <c r="AN752" s="171">
        <f>IFERROR(U752/2,"0")</f>
      </c>
    </row>
    <row x14ac:dyDescent="0.25" r="753" customHeight="1" ht="18.75">
      <c r="A753" s="158">
        <f>A752+1</f>
      </c>
      <c r="B753" s="159"/>
      <c r="C753" s="6"/>
      <c r="D753" s="159"/>
      <c r="E753" s="198"/>
      <c r="F753" s="160"/>
      <c r="G753" s="6"/>
      <c r="H753" s="6"/>
      <c r="I753" s="7"/>
      <c r="J753" s="147"/>
      <c r="K753" s="7"/>
      <c r="L753" s="147"/>
      <c r="M753" s="161">
        <f>IFERROR(VLOOKUP(L753,'Material Master'!B:C,2,0),"")</f>
      </c>
      <c r="N753" s="7"/>
      <c r="O753" s="162">
        <f>IFERROR(M753*N753,"")</f>
      </c>
      <c r="P753" s="6"/>
      <c r="Q753" s="158"/>
      <c r="R753" s="163"/>
      <c r="S753" s="147"/>
      <c r="T753" s="6"/>
      <c r="U753" s="158"/>
      <c r="V753" s="164">
        <v>31</v>
      </c>
      <c r="W753" s="165">
        <f>IFERROR(U753*V753,"0")</f>
      </c>
      <c r="X753" s="7"/>
      <c r="Y753" s="191">
        <f>IFERROR((O753/1000)*Masters!$C$3,"0")</f>
      </c>
      <c r="Z753" s="195"/>
      <c r="AA753" s="164">
        <f>IFERROR(VLOOKUP(L753,Masters!G:H,2,0),"0")</f>
      </c>
      <c r="AB753" s="166">
        <f>IFERROR(AA753*N753,"0")</f>
      </c>
      <c r="AC753" s="196"/>
      <c r="AD753" s="7"/>
      <c r="AE753" s="166">
        <f>W753+Y753+AB753+AD753</f>
      </c>
      <c r="AF753" s="195"/>
      <c r="AG753" s="169">
        <f>M753&amp;"-"&amp;F753</f>
      </c>
      <c r="AH753" s="191">
        <f>IFERROR(VLOOKUP(AG753,Masters!N:O,2,0),"0")</f>
      </c>
      <c r="AI753" s="166">
        <f>AH753*N753</f>
      </c>
      <c r="AJ753" s="7"/>
      <c r="AK753" s="170">
        <f>AI753-AE753</f>
      </c>
      <c r="AL753" s="195"/>
      <c r="AM753" s="6"/>
      <c r="AN753" s="171">
        <f>IFERROR(U753/2,"0")</f>
      </c>
    </row>
    <row x14ac:dyDescent="0.25" r="754" customHeight="1" ht="18.75">
      <c r="A754" s="158">
        <f>A753+1</f>
      </c>
      <c r="B754" s="159"/>
      <c r="C754" s="6"/>
      <c r="D754" s="159"/>
      <c r="E754" s="198"/>
      <c r="F754" s="160"/>
      <c r="G754" s="6"/>
      <c r="H754" s="6"/>
      <c r="I754" s="7"/>
      <c r="J754" s="147"/>
      <c r="K754" s="7"/>
      <c r="L754" s="147"/>
      <c r="M754" s="161">
        <f>IFERROR(VLOOKUP(L754,'Material Master'!B:C,2,0),"")</f>
      </c>
      <c r="N754" s="7"/>
      <c r="O754" s="162">
        <f>IFERROR(M754*N754,"")</f>
      </c>
      <c r="P754" s="6"/>
      <c r="Q754" s="158"/>
      <c r="R754" s="163"/>
      <c r="S754" s="147"/>
      <c r="T754" s="6"/>
      <c r="U754" s="158"/>
      <c r="V754" s="164">
        <v>31</v>
      </c>
      <c r="W754" s="165">
        <f>IFERROR(U754*V754,"0")</f>
      </c>
      <c r="X754" s="7"/>
      <c r="Y754" s="191">
        <f>IFERROR((O754/1000)*Masters!$C$3,"0")</f>
      </c>
      <c r="Z754" s="195"/>
      <c r="AA754" s="164">
        <f>IFERROR(VLOOKUP(L754,Masters!G:H,2,0),"0")</f>
      </c>
      <c r="AB754" s="166">
        <f>IFERROR(AA754*N754,"0")</f>
      </c>
      <c r="AC754" s="196"/>
      <c r="AD754" s="7"/>
      <c r="AE754" s="166">
        <f>W754+Y754+AB754+AD754</f>
      </c>
      <c r="AF754" s="195"/>
      <c r="AG754" s="169">
        <f>M754&amp;"-"&amp;F754</f>
      </c>
      <c r="AH754" s="191">
        <f>IFERROR(VLOOKUP(AG754,Masters!N:O,2,0),"0")</f>
      </c>
      <c r="AI754" s="166">
        <f>AH754*N754</f>
      </c>
      <c r="AJ754" s="7"/>
      <c r="AK754" s="170">
        <f>AI754-AE754</f>
      </c>
      <c r="AL754" s="195"/>
      <c r="AM754" s="6"/>
      <c r="AN754" s="171">
        <f>IFERROR(U754/2,"0")</f>
      </c>
    </row>
    <row x14ac:dyDescent="0.25" r="755" customHeight="1" ht="18.75">
      <c r="A755" s="158">
        <f>A754+1</f>
      </c>
      <c r="B755" s="159"/>
      <c r="C755" s="6"/>
      <c r="D755" s="159"/>
      <c r="E755" s="198"/>
      <c r="F755" s="160"/>
      <c r="G755" s="6"/>
      <c r="H755" s="6"/>
      <c r="I755" s="7"/>
      <c r="J755" s="147"/>
      <c r="K755" s="7"/>
      <c r="L755" s="147"/>
      <c r="M755" s="161">
        <f>IFERROR(VLOOKUP(L755,'Material Master'!B:C,2,0),"")</f>
      </c>
      <c r="N755" s="7"/>
      <c r="O755" s="162">
        <f>IFERROR(M755*N755,"")</f>
      </c>
      <c r="P755" s="6"/>
      <c r="Q755" s="158"/>
      <c r="R755" s="163"/>
      <c r="S755" s="147"/>
      <c r="T755" s="6"/>
      <c r="U755" s="158"/>
      <c r="V755" s="164">
        <v>31</v>
      </c>
      <c r="W755" s="165">
        <f>IFERROR(U755*V755,"0")</f>
      </c>
      <c r="X755" s="7"/>
      <c r="Y755" s="191">
        <f>IFERROR((O755/1000)*Masters!$C$3,"0")</f>
      </c>
      <c r="Z755" s="195"/>
      <c r="AA755" s="164">
        <f>IFERROR(VLOOKUP(L755,Masters!G:H,2,0),"0")</f>
      </c>
      <c r="AB755" s="166">
        <f>IFERROR(AA755*N755,"0")</f>
      </c>
      <c r="AC755" s="196"/>
      <c r="AD755" s="7"/>
      <c r="AE755" s="166">
        <f>W755+Y755+AB755+AD755</f>
      </c>
      <c r="AF755" s="195"/>
      <c r="AG755" s="169">
        <f>M755&amp;"-"&amp;F755</f>
      </c>
      <c r="AH755" s="191">
        <f>IFERROR(VLOOKUP(AG755,Masters!N:O,2,0),"0")</f>
      </c>
      <c r="AI755" s="166">
        <f>AH755*N755</f>
      </c>
      <c r="AJ755" s="7"/>
      <c r="AK755" s="170">
        <f>AI755-AE755</f>
      </c>
      <c r="AL755" s="195"/>
      <c r="AM755" s="6"/>
      <c r="AN755" s="171">
        <f>IFERROR(U755/2,"0")</f>
      </c>
    </row>
    <row x14ac:dyDescent="0.25" r="756" customHeight="1" ht="18.75">
      <c r="A756" s="158">
        <f>A755+1</f>
      </c>
      <c r="B756" s="159"/>
      <c r="C756" s="6"/>
      <c r="D756" s="159"/>
      <c r="E756" s="198"/>
      <c r="F756" s="160"/>
      <c r="G756" s="6"/>
      <c r="H756" s="6"/>
      <c r="I756" s="7"/>
      <c r="J756" s="147"/>
      <c r="K756" s="7"/>
      <c r="L756" s="147"/>
      <c r="M756" s="161">
        <f>IFERROR(VLOOKUP(L756,'Material Master'!B:C,2,0),"")</f>
      </c>
      <c r="N756" s="7"/>
      <c r="O756" s="162">
        <f>IFERROR(M756*N756,"")</f>
      </c>
      <c r="P756" s="6"/>
      <c r="Q756" s="158"/>
      <c r="R756" s="163"/>
      <c r="S756" s="147"/>
      <c r="T756" s="6"/>
      <c r="U756" s="158"/>
      <c r="V756" s="164">
        <v>31</v>
      </c>
      <c r="W756" s="165">
        <f>IFERROR(U756*V756,"0")</f>
      </c>
      <c r="X756" s="7"/>
      <c r="Y756" s="191">
        <f>IFERROR((O756/1000)*Masters!$C$3,"0")</f>
      </c>
      <c r="Z756" s="195"/>
      <c r="AA756" s="164">
        <f>IFERROR(VLOOKUP(L756,Masters!G:H,2,0),"0")</f>
      </c>
      <c r="AB756" s="166">
        <f>IFERROR(AA756*N756,"0")</f>
      </c>
      <c r="AC756" s="196"/>
      <c r="AD756" s="7"/>
      <c r="AE756" s="166">
        <f>W756+Y756+AB756+AD756</f>
      </c>
      <c r="AF756" s="195"/>
      <c r="AG756" s="169">
        <f>M756&amp;"-"&amp;F756</f>
      </c>
      <c r="AH756" s="191">
        <f>IFERROR(VLOOKUP(AG756,Masters!N:O,2,0),"0")</f>
      </c>
      <c r="AI756" s="166">
        <f>AH756*N756</f>
      </c>
      <c r="AJ756" s="7"/>
      <c r="AK756" s="170">
        <f>AI756-AE756</f>
      </c>
      <c r="AL756" s="195"/>
      <c r="AM756" s="6"/>
      <c r="AN756" s="171">
        <f>IFERROR(U756/2,"0")</f>
      </c>
    </row>
    <row x14ac:dyDescent="0.25" r="757" customHeight="1" ht="18.75">
      <c r="A757" s="158">
        <f>A756+1</f>
      </c>
      <c r="B757" s="159"/>
      <c r="C757" s="6"/>
      <c r="D757" s="159"/>
      <c r="E757" s="198"/>
      <c r="F757" s="160"/>
      <c r="G757" s="6"/>
      <c r="H757" s="6"/>
      <c r="I757" s="7"/>
      <c r="J757" s="147"/>
      <c r="K757" s="7"/>
      <c r="L757" s="147"/>
      <c r="M757" s="161">
        <f>IFERROR(VLOOKUP(L757,'Material Master'!B:C,2,0),"")</f>
      </c>
      <c r="N757" s="7"/>
      <c r="O757" s="162">
        <f>IFERROR(M757*N757,"")</f>
      </c>
      <c r="P757" s="6"/>
      <c r="Q757" s="158"/>
      <c r="R757" s="163"/>
      <c r="S757" s="147"/>
      <c r="T757" s="6"/>
      <c r="U757" s="158"/>
      <c r="V757" s="164">
        <v>31</v>
      </c>
      <c r="W757" s="165">
        <f>IFERROR(U757*V757,"0")</f>
      </c>
      <c r="X757" s="7"/>
      <c r="Y757" s="191">
        <f>IFERROR((O757/1000)*Masters!$C$3,"0")</f>
      </c>
      <c r="Z757" s="195"/>
      <c r="AA757" s="164">
        <f>IFERROR(VLOOKUP(L757,Masters!G:H,2,0),"0")</f>
      </c>
      <c r="AB757" s="166">
        <f>IFERROR(AA757*N757,"0")</f>
      </c>
      <c r="AC757" s="196"/>
      <c r="AD757" s="7"/>
      <c r="AE757" s="166">
        <f>W757+Y757+AB757+AD757</f>
      </c>
      <c r="AF757" s="195"/>
      <c r="AG757" s="169">
        <f>M757&amp;"-"&amp;F757</f>
      </c>
      <c r="AH757" s="191">
        <f>IFERROR(VLOOKUP(AG757,Masters!N:O,2,0),"0")</f>
      </c>
      <c r="AI757" s="166">
        <f>AH757*N757</f>
      </c>
      <c r="AJ757" s="7"/>
      <c r="AK757" s="170">
        <f>AI757-AE757</f>
      </c>
      <c r="AL757" s="195"/>
      <c r="AM757" s="6"/>
      <c r="AN757" s="171">
        <f>IFERROR(U757/2,"0")</f>
      </c>
    </row>
    <row x14ac:dyDescent="0.25" r="758" customHeight="1" ht="18.75">
      <c r="A758" s="158">
        <f>A757+1</f>
      </c>
      <c r="B758" s="159"/>
      <c r="C758" s="6"/>
      <c r="D758" s="159"/>
      <c r="E758" s="198"/>
      <c r="F758" s="160"/>
      <c r="G758" s="6"/>
      <c r="H758" s="6"/>
      <c r="I758" s="7"/>
      <c r="J758" s="147"/>
      <c r="K758" s="7"/>
      <c r="L758" s="147"/>
      <c r="M758" s="161">
        <f>IFERROR(VLOOKUP(L758,'Material Master'!B:C,2,0),"")</f>
      </c>
      <c r="N758" s="7"/>
      <c r="O758" s="162">
        <f>IFERROR(M758*N758,"")</f>
      </c>
      <c r="P758" s="6"/>
      <c r="Q758" s="158"/>
      <c r="R758" s="163"/>
      <c r="S758" s="147"/>
      <c r="T758" s="6"/>
      <c r="U758" s="158"/>
      <c r="V758" s="164">
        <v>31</v>
      </c>
      <c r="W758" s="165">
        <f>IFERROR(U758*V758,"0")</f>
      </c>
      <c r="X758" s="7"/>
      <c r="Y758" s="191">
        <f>IFERROR((O758/1000)*Masters!$C$3,"0")</f>
      </c>
      <c r="Z758" s="195"/>
      <c r="AA758" s="164">
        <f>IFERROR(VLOOKUP(L758,Masters!G:H,2,0),"0")</f>
      </c>
      <c r="AB758" s="166">
        <f>IFERROR(AA758*N758,"0")</f>
      </c>
      <c r="AC758" s="196"/>
      <c r="AD758" s="7"/>
      <c r="AE758" s="166">
        <f>W758+Y758+AB758+AD758</f>
      </c>
      <c r="AF758" s="195"/>
      <c r="AG758" s="169">
        <f>M758&amp;"-"&amp;F758</f>
      </c>
      <c r="AH758" s="191">
        <f>IFERROR(VLOOKUP(AG758,Masters!N:O,2,0),"0")</f>
      </c>
      <c r="AI758" s="166">
        <f>AH758*N758</f>
      </c>
      <c r="AJ758" s="7"/>
      <c r="AK758" s="170">
        <f>AI758-AE758</f>
      </c>
      <c r="AL758" s="195"/>
      <c r="AM758" s="6"/>
      <c r="AN758" s="171">
        <f>IFERROR(U758/2,"0")</f>
      </c>
    </row>
    <row x14ac:dyDescent="0.25" r="759" customHeight="1" ht="18.75">
      <c r="A759" s="158">
        <f>A758+1</f>
      </c>
      <c r="B759" s="159"/>
      <c r="C759" s="6"/>
      <c r="D759" s="159"/>
      <c r="E759" s="198"/>
      <c r="F759" s="160"/>
      <c r="G759" s="6"/>
      <c r="H759" s="6"/>
      <c r="I759" s="7"/>
      <c r="J759" s="147"/>
      <c r="K759" s="7"/>
      <c r="L759" s="147"/>
      <c r="M759" s="161">
        <f>IFERROR(VLOOKUP(L759,'Material Master'!B:C,2,0),"")</f>
      </c>
      <c r="N759" s="7"/>
      <c r="O759" s="162">
        <f>IFERROR(M759*N759,"")</f>
      </c>
      <c r="P759" s="6"/>
      <c r="Q759" s="158"/>
      <c r="R759" s="163"/>
      <c r="S759" s="147"/>
      <c r="T759" s="6"/>
      <c r="U759" s="158"/>
      <c r="V759" s="164">
        <v>31</v>
      </c>
      <c r="W759" s="165">
        <f>IFERROR(U759*V759,"0")</f>
      </c>
      <c r="X759" s="7"/>
      <c r="Y759" s="191">
        <f>IFERROR((O759/1000)*Masters!$C$3,"0")</f>
      </c>
      <c r="Z759" s="195"/>
      <c r="AA759" s="164">
        <f>IFERROR(VLOOKUP(L759,Masters!G:H,2,0),"0")</f>
      </c>
      <c r="AB759" s="166">
        <f>IFERROR(AA759*N759,"0")</f>
      </c>
      <c r="AC759" s="196"/>
      <c r="AD759" s="7"/>
      <c r="AE759" s="166">
        <f>W759+Y759+AB759+AD759</f>
      </c>
      <c r="AF759" s="195"/>
      <c r="AG759" s="169">
        <f>M759&amp;"-"&amp;F759</f>
      </c>
      <c r="AH759" s="191">
        <f>IFERROR(VLOOKUP(AG759,Masters!N:O,2,0),"0")</f>
      </c>
      <c r="AI759" s="166">
        <f>AH759*N759</f>
      </c>
      <c r="AJ759" s="7"/>
      <c r="AK759" s="170">
        <f>AI759-AE759</f>
      </c>
      <c r="AL759" s="195"/>
      <c r="AM759" s="6"/>
      <c r="AN759" s="171">
        <f>IFERROR(U759/2,"0")</f>
      </c>
    </row>
    <row x14ac:dyDescent="0.25" r="760" customHeight="1" ht="18.75">
      <c r="A760" s="158">
        <f>A759+1</f>
      </c>
      <c r="B760" s="159"/>
      <c r="C760" s="6"/>
      <c r="D760" s="159"/>
      <c r="E760" s="198"/>
      <c r="F760" s="160"/>
      <c r="G760" s="6"/>
      <c r="H760" s="6"/>
      <c r="I760" s="7"/>
      <c r="J760" s="147"/>
      <c r="K760" s="7"/>
      <c r="L760" s="147"/>
      <c r="M760" s="161">
        <f>IFERROR(VLOOKUP(L760,'Material Master'!B:C,2,0),"")</f>
      </c>
      <c r="N760" s="7"/>
      <c r="O760" s="162">
        <f>IFERROR(M760*N760,"")</f>
      </c>
      <c r="P760" s="6"/>
      <c r="Q760" s="158"/>
      <c r="R760" s="163"/>
      <c r="S760" s="147"/>
      <c r="T760" s="6"/>
      <c r="U760" s="158"/>
      <c r="V760" s="164">
        <v>31</v>
      </c>
      <c r="W760" s="165">
        <f>IFERROR(U760*V760,"0")</f>
      </c>
      <c r="X760" s="7"/>
      <c r="Y760" s="191">
        <f>IFERROR((O760/1000)*Masters!$C$3,"0")</f>
      </c>
      <c r="Z760" s="195"/>
      <c r="AA760" s="164">
        <f>IFERROR(VLOOKUP(L760,Masters!G:H,2,0),"0")</f>
      </c>
      <c r="AB760" s="166">
        <f>IFERROR(AA760*N760,"0")</f>
      </c>
      <c r="AC760" s="196"/>
      <c r="AD760" s="7"/>
      <c r="AE760" s="166">
        <f>W760+Y760+AB760+AD760</f>
      </c>
      <c r="AF760" s="195"/>
      <c r="AG760" s="169">
        <f>M760&amp;"-"&amp;F760</f>
      </c>
      <c r="AH760" s="191">
        <f>IFERROR(VLOOKUP(AG760,Masters!N:O,2,0),"0")</f>
      </c>
      <c r="AI760" s="166">
        <f>AH760*N760</f>
      </c>
      <c r="AJ760" s="7"/>
      <c r="AK760" s="170">
        <f>AI760-AE760</f>
      </c>
      <c r="AL760" s="195"/>
      <c r="AM760" s="6"/>
      <c r="AN760" s="171">
        <f>IFERROR(U760/2,"0")</f>
      </c>
    </row>
    <row x14ac:dyDescent="0.25" r="761" customHeight="1" ht="18.75">
      <c r="A761" s="158">
        <f>A760+1</f>
      </c>
      <c r="B761" s="159"/>
      <c r="C761" s="6"/>
      <c r="D761" s="159"/>
      <c r="E761" s="198"/>
      <c r="F761" s="160"/>
      <c r="G761" s="6"/>
      <c r="H761" s="6"/>
      <c r="I761" s="7"/>
      <c r="J761" s="147"/>
      <c r="K761" s="7"/>
      <c r="L761" s="147"/>
      <c r="M761" s="161">
        <f>IFERROR(VLOOKUP(L761,'Material Master'!B:C,2,0),"")</f>
      </c>
      <c r="N761" s="7"/>
      <c r="O761" s="162">
        <f>IFERROR(M761*N761,"")</f>
      </c>
      <c r="P761" s="6"/>
      <c r="Q761" s="158"/>
      <c r="R761" s="163"/>
      <c r="S761" s="147"/>
      <c r="T761" s="6"/>
      <c r="U761" s="158"/>
      <c r="V761" s="164">
        <v>31</v>
      </c>
      <c r="W761" s="165">
        <f>IFERROR(U761*V761,"0")</f>
      </c>
      <c r="X761" s="7"/>
      <c r="Y761" s="191">
        <f>IFERROR((O761/1000)*Masters!$C$3,"0")</f>
      </c>
      <c r="Z761" s="195"/>
      <c r="AA761" s="164">
        <f>IFERROR(VLOOKUP(L761,Masters!G:H,2,0),"0")</f>
      </c>
      <c r="AB761" s="166">
        <f>IFERROR(AA761*N761,"0")</f>
      </c>
      <c r="AC761" s="196"/>
      <c r="AD761" s="7"/>
      <c r="AE761" s="166">
        <f>W761+Y761+AB761+AD761</f>
      </c>
      <c r="AF761" s="195"/>
      <c r="AG761" s="169">
        <f>M761&amp;"-"&amp;F761</f>
      </c>
      <c r="AH761" s="191">
        <f>IFERROR(VLOOKUP(AG761,Masters!N:O,2,0),"0")</f>
      </c>
      <c r="AI761" s="166">
        <f>AH761*N761</f>
      </c>
      <c r="AJ761" s="7"/>
      <c r="AK761" s="170">
        <f>AI761-AE761</f>
      </c>
      <c r="AL761" s="195"/>
      <c r="AM761" s="6"/>
      <c r="AN761" s="171">
        <f>IFERROR(U761/2,"0")</f>
      </c>
    </row>
    <row x14ac:dyDescent="0.25" r="762" customHeight="1" ht="18.75">
      <c r="A762" s="158">
        <f>A761+1</f>
      </c>
      <c r="B762" s="159"/>
      <c r="C762" s="6"/>
      <c r="D762" s="159"/>
      <c r="E762" s="198"/>
      <c r="F762" s="160"/>
      <c r="G762" s="6"/>
      <c r="H762" s="6"/>
      <c r="I762" s="7"/>
      <c r="J762" s="147"/>
      <c r="K762" s="7"/>
      <c r="L762" s="147"/>
      <c r="M762" s="161">
        <f>IFERROR(VLOOKUP(L762,'Material Master'!B:C,2,0),"")</f>
      </c>
      <c r="N762" s="7"/>
      <c r="O762" s="162">
        <f>IFERROR(M762*N762,"")</f>
      </c>
      <c r="P762" s="6"/>
      <c r="Q762" s="158"/>
      <c r="R762" s="163"/>
      <c r="S762" s="147"/>
      <c r="T762" s="6"/>
      <c r="U762" s="158"/>
      <c r="V762" s="164">
        <v>31</v>
      </c>
      <c r="W762" s="165">
        <f>IFERROR(U762*V762,"0")</f>
      </c>
      <c r="X762" s="7"/>
      <c r="Y762" s="191">
        <f>IFERROR((O762/1000)*Masters!$C$3,"0")</f>
      </c>
      <c r="Z762" s="195"/>
      <c r="AA762" s="164">
        <f>IFERROR(VLOOKUP(L762,Masters!G:H,2,0),"0")</f>
      </c>
      <c r="AB762" s="166">
        <f>IFERROR(AA762*N762,"0")</f>
      </c>
      <c r="AC762" s="196"/>
      <c r="AD762" s="7"/>
      <c r="AE762" s="166">
        <f>W762+Y762+AB762+AD762</f>
      </c>
      <c r="AF762" s="195"/>
      <c r="AG762" s="169">
        <f>M762&amp;"-"&amp;F762</f>
      </c>
      <c r="AH762" s="191">
        <f>IFERROR(VLOOKUP(AG762,Masters!N:O,2,0),"0")</f>
      </c>
      <c r="AI762" s="166">
        <f>AH762*N762</f>
      </c>
      <c r="AJ762" s="7"/>
      <c r="AK762" s="170">
        <f>AI762-AE762</f>
      </c>
      <c r="AL762" s="195"/>
      <c r="AM762" s="6"/>
      <c r="AN762" s="171">
        <f>IFERROR(U762/2,"0")</f>
      </c>
    </row>
    <row x14ac:dyDescent="0.25" r="763" customHeight="1" ht="18.75">
      <c r="A763" s="158">
        <f>A762+1</f>
      </c>
      <c r="B763" s="159"/>
      <c r="C763" s="6"/>
      <c r="D763" s="159"/>
      <c r="E763" s="198"/>
      <c r="F763" s="160"/>
      <c r="G763" s="6"/>
      <c r="H763" s="6"/>
      <c r="I763" s="7"/>
      <c r="J763" s="147"/>
      <c r="K763" s="7"/>
      <c r="L763" s="147"/>
      <c r="M763" s="161">
        <f>IFERROR(VLOOKUP(L763,'Material Master'!B:C,2,0),"")</f>
      </c>
      <c r="N763" s="7"/>
      <c r="O763" s="162">
        <f>IFERROR(M763*N763,"")</f>
      </c>
      <c r="P763" s="6"/>
      <c r="Q763" s="158"/>
      <c r="R763" s="163"/>
      <c r="S763" s="147"/>
      <c r="T763" s="6"/>
      <c r="U763" s="158"/>
      <c r="V763" s="164">
        <v>31</v>
      </c>
      <c r="W763" s="165">
        <f>IFERROR(U763*V763,"0")</f>
      </c>
      <c r="X763" s="7"/>
      <c r="Y763" s="191">
        <f>IFERROR((O763/1000)*Masters!$C$3,"0")</f>
      </c>
      <c r="Z763" s="195"/>
      <c r="AA763" s="164">
        <f>IFERROR(VLOOKUP(L763,Masters!G:H,2,0),"0")</f>
      </c>
      <c r="AB763" s="166">
        <f>IFERROR(AA763*N763,"0")</f>
      </c>
      <c r="AC763" s="196"/>
      <c r="AD763" s="7"/>
      <c r="AE763" s="166">
        <f>W763+Y763+AB763+AD763</f>
      </c>
      <c r="AF763" s="195"/>
      <c r="AG763" s="169">
        <f>M763&amp;"-"&amp;F763</f>
      </c>
      <c r="AH763" s="191">
        <f>IFERROR(VLOOKUP(AG763,Masters!N:O,2,0),"0")</f>
      </c>
      <c r="AI763" s="166">
        <f>AH763*N763</f>
      </c>
      <c r="AJ763" s="7"/>
      <c r="AK763" s="170">
        <f>AI763-AE763</f>
      </c>
      <c r="AL763" s="195"/>
      <c r="AM763" s="6"/>
      <c r="AN763" s="171">
        <f>IFERROR(U763/2,"0")</f>
      </c>
    </row>
    <row x14ac:dyDescent="0.25" r="764" customHeight="1" ht="18.75">
      <c r="A764" s="158">
        <f>A763+1</f>
      </c>
      <c r="B764" s="159"/>
      <c r="C764" s="6"/>
      <c r="D764" s="159"/>
      <c r="E764" s="198"/>
      <c r="F764" s="160"/>
      <c r="G764" s="6"/>
      <c r="H764" s="6"/>
      <c r="I764" s="7"/>
      <c r="J764" s="147"/>
      <c r="K764" s="7"/>
      <c r="L764" s="147"/>
      <c r="M764" s="161">
        <f>IFERROR(VLOOKUP(L764,'Material Master'!B:C,2,0),"")</f>
      </c>
      <c r="N764" s="7"/>
      <c r="O764" s="162">
        <f>IFERROR(M764*N764,"")</f>
      </c>
      <c r="P764" s="6"/>
      <c r="Q764" s="158"/>
      <c r="R764" s="163"/>
      <c r="S764" s="147"/>
      <c r="T764" s="6"/>
      <c r="U764" s="158"/>
      <c r="V764" s="164">
        <v>31</v>
      </c>
      <c r="W764" s="165">
        <f>IFERROR(U764*V764,"0")</f>
      </c>
      <c r="X764" s="7"/>
      <c r="Y764" s="191">
        <f>IFERROR((O764/1000)*Masters!$C$3,"0")</f>
      </c>
      <c r="Z764" s="195"/>
      <c r="AA764" s="164">
        <f>IFERROR(VLOOKUP(L764,Masters!G:H,2,0),"0")</f>
      </c>
      <c r="AB764" s="166">
        <f>IFERROR(AA764*N764,"0")</f>
      </c>
      <c r="AC764" s="196"/>
      <c r="AD764" s="7"/>
      <c r="AE764" s="166">
        <f>W764+Y764+AB764+AD764</f>
      </c>
      <c r="AF764" s="195"/>
      <c r="AG764" s="169">
        <f>M764&amp;"-"&amp;F764</f>
      </c>
      <c r="AH764" s="191">
        <f>IFERROR(VLOOKUP(AG764,Masters!N:O,2,0),"0")</f>
      </c>
      <c r="AI764" s="166">
        <f>AH764*N764</f>
      </c>
      <c r="AJ764" s="7"/>
      <c r="AK764" s="170">
        <f>AI764-AE764</f>
      </c>
      <c r="AL764" s="195"/>
      <c r="AM764" s="6"/>
      <c r="AN764" s="171">
        <f>IFERROR(U764/2,"0")</f>
      </c>
    </row>
    <row x14ac:dyDescent="0.25" r="765" customHeight="1" ht="18.75">
      <c r="A765" s="158">
        <f>A764+1</f>
      </c>
      <c r="B765" s="159"/>
      <c r="C765" s="6"/>
      <c r="D765" s="159"/>
      <c r="E765" s="198"/>
      <c r="F765" s="160"/>
      <c r="G765" s="6"/>
      <c r="H765" s="6"/>
      <c r="I765" s="7"/>
      <c r="J765" s="147"/>
      <c r="K765" s="7"/>
      <c r="L765" s="147"/>
      <c r="M765" s="161">
        <f>IFERROR(VLOOKUP(L765,'Material Master'!B:C,2,0),"")</f>
      </c>
      <c r="N765" s="7"/>
      <c r="O765" s="162">
        <f>IFERROR(M765*N765,"")</f>
      </c>
      <c r="P765" s="6"/>
      <c r="Q765" s="158"/>
      <c r="R765" s="163"/>
      <c r="S765" s="147"/>
      <c r="T765" s="6"/>
      <c r="U765" s="158"/>
      <c r="V765" s="164">
        <v>31</v>
      </c>
      <c r="W765" s="165">
        <f>IFERROR(U765*V765,"0")</f>
      </c>
      <c r="X765" s="7"/>
      <c r="Y765" s="191">
        <f>IFERROR((O765/1000)*Masters!$C$3,"0")</f>
      </c>
      <c r="Z765" s="195"/>
      <c r="AA765" s="164">
        <f>IFERROR(VLOOKUP(L765,Masters!G:H,2,0),"0")</f>
      </c>
      <c r="AB765" s="166">
        <f>IFERROR(AA765*N765,"0")</f>
      </c>
      <c r="AC765" s="196"/>
      <c r="AD765" s="7"/>
      <c r="AE765" s="166">
        <f>W765+Y765+AB765+AD765</f>
      </c>
      <c r="AF765" s="195"/>
      <c r="AG765" s="169">
        <f>M765&amp;"-"&amp;F765</f>
      </c>
      <c r="AH765" s="191">
        <f>IFERROR(VLOOKUP(AG765,Masters!N:O,2,0),"0")</f>
      </c>
      <c r="AI765" s="166">
        <f>AH765*N765</f>
      </c>
      <c r="AJ765" s="7"/>
      <c r="AK765" s="170">
        <f>AI765-AE765</f>
      </c>
      <c r="AL765" s="195"/>
      <c r="AM765" s="6"/>
      <c r="AN765" s="171">
        <f>IFERROR(U765/2,"0")</f>
      </c>
    </row>
    <row x14ac:dyDescent="0.25" r="766" customHeight="1" ht="18.75">
      <c r="A766" s="158">
        <f>A765+1</f>
      </c>
      <c r="B766" s="159"/>
      <c r="C766" s="6"/>
      <c r="D766" s="159"/>
      <c r="E766" s="198"/>
      <c r="F766" s="160"/>
      <c r="G766" s="6"/>
      <c r="H766" s="6"/>
      <c r="I766" s="7"/>
      <c r="J766" s="147"/>
      <c r="K766" s="7"/>
      <c r="L766" s="147"/>
      <c r="M766" s="161">
        <f>IFERROR(VLOOKUP(L766,'Material Master'!B:C,2,0),"")</f>
      </c>
      <c r="N766" s="7"/>
      <c r="O766" s="162">
        <f>IFERROR(M766*N766,"")</f>
      </c>
      <c r="P766" s="6"/>
      <c r="Q766" s="158"/>
      <c r="R766" s="163"/>
      <c r="S766" s="147"/>
      <c r="T766" s="6"/>
      <c r="U766" s="158"/>
      <c r="V766" s="164">
        <v>31</v>
      </c>
      <c r="W766" s="165">
        <f>IFERROR(U766*V766,"0")</f>
      </c>
      <c r="X766" s="7"/>
      <c r="Y766" s="191">
        <f>IFERROR((O766/1000)*Masters!$C$3,"0")</f>
      </c>
      <c r="Z766" s="195"/>
      <c r="AA766" s="164">
        <f>IFERROR(VLOOKUP(L766,Masters!G:H,2,0),"0")</f>
      </c>
      <c r="AB766" s="166">
        <f>IFERROR(AA766*N766,"0")</f>
      </c>
      <c r="AC766" s="196"/>
      <c r="AD766" s="7"/>
      <c r="AE766" s="166">
        <f>W766+Y766+AB766+AD766</f>
      </c>
      <c r="AF766" s="195"/>
      <c r="AG766" s="169">
        <f>M766&amp;"-"&amp;F766</f>
      </c>
      <c r="AH766" s="191">
        <f>IFERROR(VLOOKUP(AG766,Masters!N:O,2,0),"0")</f>
      </c>
      <c r="AI766" s="166">
        <f>AH766*N766</f>
      </c>
      <c r="AJ766" s="7"/>
      <c r="AK766" s="170">
        <f>AI766-AE766</f>
      </c>
      <c r="AL766" s="195"/>
      <c r="AM766" s="6"/>
      <c r="AN766" s="171">
        <f>IFERROR(U766/2,"0")</f>
      </c>
    </row>
    <row x14ac:dyDescent="0.25" r="767" customHeight="1" ht="18.75">
      <c r="A767" s="158">
        <f>A766+1</f>
      </c>
      <c r="B767" s="159"/>
      <c r="C767" s="6"/>
      <c r="D767" s="159"/>
      <c r="E767" s="198"/>
      <c r="F767" s="160"/>
      <c r="G767" s="6"/>
      <c r="H767" s="6"/>
      <c r="I767" s="7"/>
      <c r="J767" s="147"/>
      <c r="K767" s="7"/>
      <c r="L767" s="147"/>
      <c r="M767" s="161">
        <f>IFERROR(VLOOKUP(L767,'Material Master'!B:C,2,0),"")</f>
      </c>
      <c r="N767" s="7"/>
      <c r="O767" s="162">
        <f>IFERROR(M767*N767,"")</f>
      </c>
      <c r="P767" s="6"/>
      <c r="Q767" s="158"/>
      <c r="R767" s="163"/>
      <c r="S767" s="147"/>
      <c r="T767" s="6"/>
      <c r="U767" s="158"/>
      <c r="V767" s="164">
        <v>31</v>
      </c>
      <c r="W767" s="165">
        <f>IFERROR(U767*V767,"0")</f>
      </c>
      <c r="X767" s="7"/>
      <c r="Y767" s="191">
        <f>IFERROR((O767/1000)*Masters!$C$3,"0")</f>
      </c>
      <c r="Z767" s="195"/>
      <c r="AA767" s="164">
        <f>IFERROR(VLOOKUP(L767,Masters!G:H,2,0),"0")</f>
      </c>
      <c r="AB767" s="166">
        <f>IFERROR(AA767*N767,"0")</f>
      </c>
      <c r="AC767" s="196"/>
      <c r="AD767" s="7"/>
      <c r="AE767" s="166">
        <f>W767+Y767+AB767+AD767</f>
      </c>
      <c r="AF767" s="195"/>
      <c r="AG767" s="169">
        <f>M767&amp;"-"&amp;F767</f>
      </c>
      <c r="AH767" s="191">
        <f>IFERROR(VLOOKUP(AG767,Masters!N:O,2,0),"0")</f>
      </c>
      <c r="AI767" s="166">
        <f>AH767*N767</f>
      </c>
      <c r="AJ767" s="7"/>
      <c r="AK767" s="170">
        <f>AI767-AE767</f>
      </c>
      <c r="AL767" s="195"/>
      <c r="AM767" s="6"/>
      <c r="AN767" s="171">
        <f>IFERROR(U767/2,"0")</f>
      </c>
    </row>
    <row x14ac:dyDescent="0.25" r="768" customHeight="1" ht="18.75">
      <c r="A768" s="158">
        <f>A767+1</f>
      </c>
      <c r="B768" s="159"/>
      <c r="C768" s="6"/>
      <c r="D768" s="159"/>
      <c r="E768" s="198"/>
      <c r="F768" s="160"/>
      <c r="G768" s="6"/>
      <c r="H768" s="6"/>
      <c r="I768" s="7"/>
      <c r="J768" s="147"/>
      <c r="K768" s="7"/>
      <c r="L768" s="147"/>
      <c r="M768" s="161">
        <f>IFERROR(VLOOKUP(L768,'Material Master'!B:C,2,0),"")</f>
      </c>
      <c r="N768" s="7"/>
      <c r="O768" s="162">
        <f>IFERROR(M768*N768,"")</f>
      </c>
      <c r="P768" s="6"/>
      <c r="Q768" s="158"/>
      <c r="R768" s="163"/>
      <c r="S768" s="147"/>
      <c r="T768" s="6"/>
      <c r="U768" s="158"/>
      <c r="V768" s="164">
        <v>31</v>
      </c>
      <c r="W768" s="165">
        <f>IFERROR(U768*V768,"0")</f>
      </c>
      <c r="X768" s="7"/>
      <c r="Y768" s="191">
        <f>IFERROR((O768/1000)*Masters!$C$3,"0")</f>
      </c>
      <c r="Z768" s="195"/>
      <c r="AA768" s="164">
        <f>IFERROR(VLOOKUP(L768,Masters!G:H,2,0),"0")</f>
      </c>
      <c r="AB768" s="166">
        <f>IFERROR(AA768*N768,"0")</f>
      </c>
      <c r="AC768" s="196"/>
      <c r="AD768" s="7"/>
      <c r="AE768" s="166">
        <f>W768+Y768+AB768+AD768</f>
      </c>
      <c r="AF768" s="195"/>
      <c r="AG768" s="169">
        <f>M768&amp;"-"&amp;F768</f>
      </c>
      <c r="AH768" s="191">
        <f>IFERROR(VLOOKUP(AG768,Masters!N:O,2,0),"0")</f>
      </c>
      <c r="AI768" s="166">
        <f>AH768*N768</f>
      </c>
      <c r="AJ768" s="7"/>
      <c r="AK768" s="170">
        <f>AI768-AE768</f>
      </c>
      <c r="AL768" s="195"/>
      <c r="AM768" s="6"/>
      <c r="AN768" s="171">
        <f>IFERROR(U768/2,"0")</f>
      </c>
    </row>
    <row x14ac:dyDescent="0.25" r="769" customHeight="1" ht="18.75">
      <c r="A769" s="158">
        <f>A768+1</f>
      </c>
      <c r="B769" s="159"/>
      <c r="C769" s="6"/>
      <c r="D769" s="159"/>
      <c r="E769" s="198"/>
      <c r="F769" s="160"/>
      <c r="G769" s="6"/>
      <c r="H769" s="6"/>
      <c r="I769" s="7"/>
      <c r="J769" s="147"/>
      <c r="K769" s="7"/>
      <c r="L769" s="147"/>
      <c r="M769" s="161">
        <f>IFERROR(VLOOKUP(L769,'Material Master'!B:C,2,0),"")</f>
      </c>
      <c r="N769" s="7"/>
      <c r="O769" s="162">
        <f>IFERROR(M769*N769,"")</f>
      </c>
      <c r="P769" s="6"/>
      <c r="Q769" s="158"/>
      <c r="R769" s="163"/>
      <c r="S769" s="147"/>
      <c r="T769" s="6"/>
      <c r="U769" s="158"/>
      <c r="V769" s="164">
        <v>31</v>
      </c>
      <c r="W769" s="165">
        <f>IFERROR(U769*V769,"0")</f>
      </c>
      <c r="X769" s="7"/>
      <c r="Y769" s="191">
        <f>IFERROR((O769/1000)*Masters!$C$3,"0")</f>
      </c>
      <c r="Z769" s="195"/>
      <c r="AA769" s="164">
        <f>IFERROR(VLOOKUP(L769,Masters!G:H,2,0),"0")</f>
      </c>
      <c r="AB769" s="166">
        <f>IFERROR(AA769*N769,"0")</f>
      </c>
      <c r="AC769" s="196"/>
      <c r="AD769" s="7"/>
      <c r="AE769" s="166">
        <f>W769+Y769+AB769+AD769</f>
      </c>
      <c r="AF769" s="195"/>
      <c r="AG769" s="169">
        <f>M769&amp;"-"&amp;F769</f>
      </c>
      <c r="AH769" s="191">
        <f>IFERROR(VLOOKUP(AG769,Masters!N:O,2,0),"0")</f>
      </c>
      <c r="AI769" s="166">
        <f>AH769*N769</f>
      </c>
      <c r="AJ769" s="7"/>
      <c r="AK769" s="170">
        <f>AI769-AE769</f>
      </c>
      <c r="AL769" s="195"/>
      <c r="AM769" s="6"/>
      <c r="AN769" s="171">
        <f>IFERROR(U769/2,"0")</f>
      </c>
    </row>
    <row x14ac:dyDescent="0.25" r="770" customHeight="1" ht="18.75">
      <c r="A770" s="158">
        <f>A769+1</f>
      </c>
      <c r="B770" s="159"/>
      <c r="C770" s="6"/>
      <c r="D770" s="159"/>
      <c r="E770" s="198"/>
      <c r="F770" s="160"/>
      <c r="G770" s="6"/>
      <c r="H770" s="6"/>
      <c r="I770" s="7"/>
      <c r="J770" s="147"/>
      <c r="K770" s="7"/>
      <c r="L770" s="147"/>
      <c r="M770" s="161">
        <f>IFERROR(VLOOKUP(L770,'Material Master'!B:C,2,0),"")</f>
      </c>
      <c r="N770" s="7"/>
      <c r="O770" s="162">
        <f>IFERROR(M770*N770,"")</f>
      </c>
      <c r="P770" s="6"/>
      <c r="Q770" s="158"/>
      <c r="R770" s="163"/>
      <c r="S770" s="147"/>
      <c r="T770" s="6"/>
      <c r="U770" s="158"/>
      <c r="V770" s="164">
        <v>31</v>
      </c>
      <c r="W770" s="165">
        <f>IFERROR(U770*V770,"0")</f>
      </c>
      <c r="X770" s="7"/>
      <c r="Y770" s="191">
        <f>IFERROR((O770/1000)*Masters!$C$3,"0")</f>
      </c>
      <c r="Z770" s="195"/>
      <c r="AA770" s="164">
        <f>IFERROR(VLOOKUP(L770,Masters!G:H,2,0),"0")</f>
      </c>
      <c r="AB770" s="166">
        <f>IFERROR(AA770*N770,"0")</f>
      </c>
      <c r="AC770" s="196"/>
      <c r="AD770" s="7"/>
      <c r="AE770" s="166">
        <f>W770+Y770+AB770+AD770</f>
      </c>
      <c r="AF770" s="195"/>
      <c r="AG770" s="169">
        <f>M770&amp;"-"&amp;F770</f>
      </c>
      <c r="AH770" s="191">
        <f>IFERROR(VLOOKUP(AG770,Masters!N:O,2,0),"0")</f>
      </c>
      <c r="AI770" s="166">
        <f>AH770*N770</f>
      </c>
      <c r="AJ770" s="7"/>
      <c r="AK770" s="170">
        <f>AI770-AE770</f>
      </c>
      <c r="AL770" s="195"/>
      <c r="AM770" s="6"/>
      <c r="AN770" s="171">
        <f>IFERROR(U770/2,"0")</f>
      </c>
    </row>
    <row x14ac:dyDescent="0.25" r="771" customHeight="1" ht="18.75">
      <c r="A771" s="158">
        <f>A770+1</f>
      </c>
      <c r="B771" s="159"/>
      <c r="C771" s="6"/>
      <c r="D771" s="159"/>
      <c r="E771" s="198"/>
      <c r="F771" s="160"/>
      <c r="G771" s="6"/>
      <c r="H771" s="6"/>
      <c r="I771" s="7"/>
      <c r="J771" s="147"/>
      <c r="K771" s="7"/>
      <c r="L771" s="147"/>
      <c r="M771" s="161">
        <f>IFERROR(VLOOKUP(L771,'Material Master'!B:C,2,0),"")</f>
      </c>
      <c r="N771" s="7"/>
      <c r="O771" s="162">
        <f>IFERROR(M771*N771,"")</f>
      </c>
      <c r="P771" s="6"/>
      <c r="Q771" s="158"/>
      <c r="R771" s="163"/>
      <c r="S771" s="147"/>
      <c r="T771" s="6"/>
      <c r="U771" s="158"/>
      <c r="V771" s="164">
        <v>31</v>
      </c>
      <c r="W771" s="165">
        <f>IFERROR(U771*V771,"0")</f>
      </c>
      <c r="X771" s="7"/>
      <c r="Y771" s="191">
        <f>IFERROR((O771/1000)*Masters!$C$3,"0")</f>
      </c>
      <c r="Z771" s="195"/>
      <c r="AA771" s="164">
        <f>IFERROR(VLOOKUP(L771,Masters!G:H,2,0),"0")</f>
      </c>
      <c r="AB771" s="166">
        <f>IFERROR(AA771*N771,"0")</f>
      </c>
      <c r="AC771" s="196"/>
      <c r="AD771" s="7"/>
      <c r="AE771" s="166">
        <f>W771+Y771+AB771+AD771</f>
      </c>
      <c r="AF771" s="195"/>
      <c r="AG771" s="169">
        <f>M771&amp;"-"&amp;F771</f>
      </c>
      <c r="AH771" s="191">
        <f>IFERROR(VLOOKUP(AG771,Masters!N:O,2,0),"0")</f>
      </c>
      <c r="AI771" s="166">
        <f>AH771*N771</f>
      </c>
      <c r="AJ771" s="7"/>
      <c r="AK771" s="170">
        <f>AI771-AE771</f>
      </c>
      <c r="AL771" s="195"/>
      <c r="AM771" s="6"/>
      <c r="AN771" s="171">
        <f>IFERROR(U771/2,"0")</f>
      </c>
    </row>
    <row x14ac:dyDescent="0.25" r="772" customHeight="1" ht="18.75">
      <c r="A772" s="158">
        <f>A771+1</f>
      </c>
      <c r="B772" s="159"/>
      <c r="C772" s="6"/>
      <c r="D772" s="159"/>
      <c r="E772" s="198"/>
      <c r="F772" s="160"/>
      <c r="G772" s="6"/>
      <c r="H772" s="6"/>
      <c r="I772" s="7"/>
      <c r="J772" s="147"/>
      <c r="K772" s="7"/>
      <c r="L772" s="147"/>
      <c r="M772" s="161">
        <f>IFERROR(VLOOKUP(L772,'Material Master'!B:C,2,0),"")</f>
      </c>
      <c r="N772" s="7"/>
      <c r="O772" s="162">
        <f>IFERROR(M772*N772,"")</f>
      </c>
      <c r="P772" s="6"/>
      <c r="Q772" s="158"/>
      <c r="R772" s="163"/>
      <c r="S772" s="147"/>
      <c r="T772" s="6"/>
      <c r="U772" s="158"/>
      <c r="V772" s="164">
        <v>31</v>
      </c>
      <c r="W772" s="165">
        <f>IFERROR(U772*V772,"0")</f>
      </c>
      <c r="X772" s="7"/>
      <c r="Y772" s="191">
        <f>IFERROR((O772/1000)*Masters!$C$3,"0")</f>
      </c>
      <c r="Z772" s="195"/>
      <c r="AA772" s="164">
        <f>IFERROR(VLOOKUP(L772,Masters!G:H,2,0),"0")</f>
      </c>
      <c r="AB772" s="166">
        <f>IFERROR(AA772*N772,"0")</f>
      </c>
      <c r="AC772" s="196"/>
      <c r="AD772" s="7"/>
      <c r="AE772" s="166">
        <f>W772+Y772+AB772+AD772</f>
      </c>
      <c r="AF772" s="195"/>
      <c r="AG772" s="169">
        <f>M772&amp;"-"&amp;F772</f>
      </c>
      <c r="AH772" s="191">
        <f>IFERROR(VLOOKUP(AG772,Masters!N:O,2,0),"0")</f>
      </c>
      <c r="AI772" s="166">
        <f>AH772*N772</f>
      </c>
      <c r="AJ772" s="7"/>
      <c r="AK772" s="170">
        <f>AI772-AE772</f>
      </c>
      <c r="AL772" s="195"/>
      <c r="AM772" s="6"/>
      <c r="AN772" s="171">
        <f>IFERROR(U772/2,"0")</f>
      </c>
    </row>
    <row x14ac:dyDescent="0.25" r="773" customHeight="1" ht="18.75">
      <c r="A773" s="158">
        <f>A772+1</f>
      </c>
      <c r="B773" s="159"/>
      <c r="C773" s="6"/>
      <c r="D773" s="159"/>
      <c r="E773" s="198"/>
      <c r="F773" s="160"/>
      <c r="G773" s="6"/>
      <c r="H773" s="6"/>
      <c r="I773" s="7"/>
      <c r="J773" s="147"/>
      <c r="K773" s="7"/>
      <c r="L773" s="147"/>
      <c r="M773" s="161">
        <f>IFERROR(VLOOKUP(L773,'Material Master'!B:C,2,0),"")</f>
      </c>
      <c r="N773" s="7"/>
      <c r="O773" s="162">
        <f>IFERROR(M773*N773,"")</f>
      </c>
      <c r="P773" s="6"/>
      <c r="Q773" s="158"/>
      <c r="R773" s="163"/>
      <c r="S773" s="147"/>
      <c r="T773" s="6"/>
      <c r="U773" s="158"/>
      <c r="V773" s="164">
        <v>31</v>
      </c>
      <c r="W773" s="165">
        <f>IFERROR(U773*V773,"0")</f>
      </c>
      <c r="X773" s="7"/>
      <c r="Y773" s="191">
        <f>IFERROR((O773/1000)*Masters!$C$3,"0")</f>
      </c>
      <c r="Z773" s="195"/>
      <c r="AA773" s="164">
        <f>IFERROR(VLOOKUP(L773,Masters!G:H,2,0),"0")</f>
      </c>
      <c r="AB773" s="166">
        <f>IFERROR(AA773*N773,"0")</f>
      </c>
      <c r="AC773" s="196"/>
      <c r="AD773" s="7"/>
      <c r="AE773" s="166">
        <f>W773+Y773+AB773+AD773</f>
      </c>
      <c r="AF773" s="195"/>
      <c r="AG773" s="169">
        <f>M773&amp;"-"&amp;F773</f>
      </c>
      <c r="AH773" s="191">
        <f>IFERROR(VLOOKUP(AG773,Masters!N:O,2,0),"0")</f>
      </c>
      <c r="AI773" s="166">
        <f>AH773*N773</f>
      </c>
      <c r="AJ773" s="7"/>
      <c r="AK773" s="170">
        <f>AI773-AE773</f>
      </c>
      <c r="AL773" s="195"/>
      <c r="AM773" s="6"/>
      <c r="AN773" s="171">
        <f>IFERROR(U773/2,"0")</f>
      </c>
    </row>
    <row x14ac:dyDescent="0.25" r="774" customHeight="1" ht="18.75">
      <c r="A774" s="158">
        <f>A773+1</f>
      </c>
      <c r="B774" s="159"/>
      <c r="C774" s="6"/>
      <c r="D774" s="159"/>
      <c r="E774" s="198"/>
      <c r="F774" s="160"/>
      <c r="G774" s="6"/>
      <c r="H774" s="6"/>
      <c r="I774" s="7"/>
      <c r="J774" s="147"/>
      <c r="K774" s="7"/>
      <c r="L774" s="147"/>
      <c r="M774" s="161">
        <f>IFERROR(VLOOKUP(L774,'Material Master'!B:C,2,0),"")</f>
      </c>
      <c r="N774" s="7"/>
      <c r="O774" s="162">
        <f>IFERROR(M774*N774,"")</f>
      </c>
      <c r="P774" s="6"/>
      <c r="Q774" s="158"/>
      <c r="R774" s="163"/>
      <c r="S774" s="147"/>
      <c r="T774" s="6"/>
      <c r="U774" s="158"/>
      <c r="V774" s="164">
        <v>31</v>
      </c>
      <c r="W774" s="165">
        <f>IFERROR(U774*V774,"0")</f>
      </c>
      <c r="X774" s="7"/>
      <c r="Y774" s="191">
        <f>IFERROR((O774/1000)*Masters!$C$3,"0")</f>
      </c>
      <c r="Z774" s="195"/>
      <c r="AA774" s="164">
        <f>IFERROR(VLOOKUP(L774,Masters!G:H,2,0),"0")</f>
      </c>
      <c r="AB774" s="166">
        <f>IFERROR(AA774*N774,"0")</f>
      </c>
      <c r="AC774" s="196"/>
      <c r="AD774" s="7"/>
      <c r="AE774" s="166">
        <f>W774+Y774+AB774+AD774</f>
      </c>
      <c r="AF774" s="195"/>
      <c r="AG774" s="169">
        <f>M774&amp;"-"&amp;F774</f>
      </c>
      <c r="AH774" s="191">
        <f>IFERROR(VLOOKUP(AG774,Masters!N:O,2,0),"0")</f>
      </c>
      <c r="AI774" s="166">
        <f>AH774*N774</f>
      </c>
      <c r="AJ774" s="7"/>
      <c r="AK774" s="170">
        <f>AI774-AE774</f>
      </c>
      <c r="AL774" s="195"/>
      <c r="AM774" s="6"/>
      <c r="AN774" s="171">
        <f>IFERROR(U774/2,"0")</f>
      </c>
    </row>
    <row x14ac:dyDescent="0.25" r="775" customHeight="1" ht="18.75">
      <c r="A775" s="158">
        <f>A774+1</f>
      </c>
      <c r="B775" s="159"/>
      <c r="C775" s="6"/>
      <c r="D775" s="159"/>
      <c r="E775" s="198"/>
      <c r="F775" s="160"/>
      <c r="G775" s="6"/>
      <c r="H775" s="6"/>
      <c r="I775" s="7"/>
      <c r="J775" s="147"/>
      <c r="K775" s="7"/>
      <c r="L775" s="147"/>
      <c r="M775" s="161">
        <f>IFERROR(VLOOKUP(L775,'Material Master'!B:C,2,0),"")</f>
      </c>
      <c r="N775" s="7"/>
      <c r="O775" s="162">
        <f>IFERROR(M775*N775,"")</f>
      </c>
      <c r="P775" s="6"/>
      <c r="Q775" s="158"/>
      <c r="R775" s="163"/>
      <c r="S775" s="147"/>
      <c r="T775" s="6"/>
      <c r="U775" s="158"/>
      <c r="V775" s="164">
        <v>31</v>
      </c>
      <c r="W775" s="165">
        <f>IFERROR(U775*V775,"0")</f>
      </c>
      <c r="X775" s="7"/>
      <c r="Y775" s="191">
        <f>IFERROR((O775/1000)*Masters!$C$3,"0")</f>
      </c>
      <c r="Z775" s="195"/>
      <c r="AA775" s="164">
        <f>IFERROR(VLOOKUP(L775,Masters!G:H,2,0),"0")</f>
      </c>
      <c r="AB775" s="166">
        <f>IFERROR(AA775*N775,"0")</f>
      </c>
      <c r="AC775" s="196"/>
      <c r="AD775" s="7"/>
      <c r="AE775" s="166">
        <f>W775+Y775+AB775+AD775</f>
      </c>
      <c r="AF775" s="195"/>
      <c r="AG775" s="169">
        <f>M775&amp;"-"&amp;F775</f>
      </c>
      <c r="AH775" s="191">
        <f>IFERROR(VLOOKUP(AG775,Masters!N:O,2,0),"0")</f>
      </c>
      <c r="AI775" s="166">
        <f>AH775*N775</f>
      </c>
      <c r="AJ775" s="7"/>
      <c r="AK775" s="170">
        <f>AI775-AE775</f>
      </c>
      <c r="AL775" s="195"/>
      <c r="AM775" s="6"/>
      <c r="AN775" s="171">
        <f>IFERROR(U775/2,"0")</f>
      </c>
    </row>
    <row x14ac:dyDescent="0.25" r="776" customHeight="1" ht="18.75">
      <c r="A776" s="158">
        <f>A775+1</f>
      </c>
      <c r="B776" s="159"/>
      <c r="C776" s="6"/>
      <c r="D776" s="159"/>
      <c r="E776" s="198"/>
      <c r="F776" s="160"/>
      <c r="G776" s="6"/>
      <c r="H776" s="6"/>
      <c r="I776" s="7"/>
      <c r="J776" s="147"/>
      <c r="K776" s="7"/>
      <c r="L776" s="147"/>
      <c r="M776" s="161">
        <f>IFERROR(VLOOKUP(L776,'Material Master'!B:C,2,0),"")</f>
      </c>
      <c r="N776" s="7"/>
      <c r="O776" s="162">
        <f>IFERROR(M776*N776,"")</f>
      </c>
      <c r="P776" s="6"/>
      <c r="Q776" s="158"/>
      <c r="R776" s="163"/>
      <c r="S776" s="147"/>
      <c r="T776" s="6"/>
      <c r="U776" s="158"/>
      <c r="V776" s="164">
        <v>31</v>
      </c>
      <c r="W776" s="165">
        <f>IFERROR(U776*V776,"0")</f>
      </c>
      <c r="X776" s="7"/>
      <c r="Y776" s="191">
        <f>IFERROR((O776/1000)*Masters!$C$3,"0")</f>
      </c>
      <c r="Z776" s="195"/>
      <c r="AA776" s="164">
        <f>IFERROR(VLOOKUP(L776,Masters!G:H,2,0),"0")</f>
      </c>
      <c r="AB776" s="166">
        <f>IFERROR(AA776*N776,"0")</f>
      </c>
      <c r="AC776" s="196"/>
      <c r="AD776" s="7"/>
      <c r="AE776" s="166">
        <f>W776+Y776+AB776+AD776</f>
      </c>
      <c r="AF776" s="195"/>
      <c r="AG776" s="169">
        <f>M776&amp;"-"&amp;F776</f>
      </c>
      <c r="AH776" s="191">
        <f>IFERROR(VLOOKUP(AG776,Masters!N:O,2,0),"0")</f>
      </c>
      <c r="AI776" s="166">
        <f>AH776*N776</f>
      </c>
      <c r="AJ776" s="7"/>
      <c r="AK776" s="170">
        <f>AI776-AE776</f>
      </c>
      <c r="AL776" s="195"/>
      <c r="AM776" s="6"/>
      <c r="AN776" s="171">
        <f>IFERROR(U776/2,"0")</f>
      </c>
    </row>
    <row x14ac:dyDescent="0.25" r="777" customHeight="1" ht="18.75">
      <c r="A777" s="158">
        <f>A776+1</f>
      </c>
      <c r="B777" s="159"/>
      <c r="C777" s="6"/>
      <c r="D777" s="159"/>
      <c r="E777" s="198"/>
      <c r="F777" s="160"/>
      <c r="G777" s="6"/>
      <c r="H777" s="6"/>
      <c r="I777" s="7"/>
      <c r="J777" s="147"/>
      <c r="K777" s="7"/>
      <c r="L777" s="147"/>
      <c r="M777" s="161">
        <f>IFERROR(VLOOKUP(L777,'Material Master'!B:C,2,0),"")</f>
      </c>
      <c r="N777" s="7"/>
      <c r="O777" s="162">
        <f>IFERROR(M777*N777,"")</f>
      </c>
      <c r="P777" s="6"/>
      <c r="Q777" s="158"/>
      <c r="R777" s="163"/>
      <c r="S777" s="147"/>
      <c r="T777" s="6"/>
      <c r="U777" s="158"/>
      <c r="V777" s="164">
        <v>31</v>
      </c>
      <c r="W777" s="165">
        <f>IFERROR(U777*V777,"0")</f>
      </c>
      <c r="X777" s="7"/>
      <c r="Y777" s="191">
        <f>IFERROR((O777/1000)*Masters!$C$3,"0")</f>
      </c>
      <c r="Z777" s="195"/>
      <c r="AA777" s="164">
        <f>IFERROR(VLOOKUP(L777,Masters!G:H,2,0),"0")</f>
      </c>
      <c r="AB777" s="166">
        <f>IFERROR(AA777*N777,"0")</f>
      </c>
      <c r="AC777" s="196"/>
      <c r="AD777" s="7"/>
      <c r="AE777" s="166">
        <f>W777+Y777+AB777+AD777</f>
      </c>
      <c r="AF777" s="195"/>
      <c r="AG777" s="169">
        <f>M777&amp;"-"&amp;F777</f>
      </c>
      <c r="AH777" s="191">
        <f>IFERROR(VLOOKUP(AG777,Masters!N:O,2,0),"0")</f>
      </c>
      <c r="AI777" s="166">
        <f>AH777*N777</f>
      </c>
      <c r="AJ777" s="7"/>
      <c r="AK777" s="170">
        <f>AI777-AE777</f>
      </c>
      <c r="AL777" s="195"/>
      <c r="AM777" s="6"/>
      <c r="AN777" s="171">
        <f>IFERROR(U777/2,"0")</f>
      </c>
    </row>
    <row x14ac:dyDescent="0.25" r="778" customHeight="1" ht="18.75">
      <c r="A778" s="158">
        <f>A777+1</f>
      </c>
      <c r="B778" s="159"/>
      <c r="C778" s="6"/>
      <c r="D778" s="159"/>
      <c r="E778" s="198"/>
      <c r="F778" s="160"/>
      <c r="G778" s="6"/>
      <c r="H778" s="6"/>
      <c r="I778" s="7"/>
      <c r="J778" s="147"/>
      <c r="K778" s="7"/>
      <c r="L778" s="147"/>
      <c r="M778" s="161">
        <f>IFERROR(VLOOKUP(L778,'Material Master'!B:C,2,0),"")</f>
      </c>
      <c r="N778" s="7"/>
      <c r="O778" s="162">
        <f>IFERROR(M778*N778,"")</f>
      </c>
      <c r="P778" s="6"/>
      <c r="Q778" s="158"/>
      <c r="R778" s="163"/>
      <c r="S778" s="147"/>
      <c r="T778" s="6"/>
      <c r="U778" s="158"/>
      <c r="V778" s="164">
        <v>31</v>
      </c>
      <c r="W778" s="165">
        <f>IFERROR(U778*V778,"0")</f>
      </c>
      <c r="X778" s="7"/>
      <c r="Y778" s="191">
        <f>IFERROR((O778/1000)*Masters!$C$3,"0")</f>
      </c>
      <c r="Z778" s="195"/>
      <c r="AA778" s="164">
        <f>IFERROR(VLOOKUP(L778,Masters!G:H,2,0),"0")</f>
      </c>
      <c r="AB778" s="166">
        <f>IFERROR(AA778*N778,"0")</f>
      </c>
      <c r="AC778" s="196"/>
      <c r="AD778" s="7"/>
      <c r="AE778" s="166">
        <f>W778+Y778+AB778+AD778</f>
      </c>
      <c r="AF778" s="195"/>
      <c r="AG778" s="169">
        <f>M778&amp;"-"&amp;F778</f>
      </c>
      <c r="AH778" s="191">
        <f>IFERROR(VLOOKUP(AG778,Masters!N:O,2,0),"0")</f>
      </c>
      <c r="AI778" s="166">
        <f>AH778*N778</f>
      </c>
      <c r="AJ778" s="7"/>
      <c r="AK778" s="170">
        <f>AI778-AE778</f>
      </c>
      <c r="AL778" s="195"/>
      <c r="AM778" s="6"/>
      <c r="AN778" s="171">
        <f>IFERROR(U778/2,"0")</f>
      </c>
    </row>
    <row x14ac:dyDescent="0.25" r="779" customHeight="1" ht="18.75">
      <c r="A779" s="158">
        <f>A778+1</f>
      </c>
      <c r="B779" s="159"/>
      <c r="C779" s="6"/>
      <c r="D779" s="159"/>
      <c r="E779" s="198"/>
      <c r="F779" s="160"/>
      <c r="G779" s="6"/>
      <c r="H779" s="6"/>
      <c r="I779" s="7"/>
      <c r="J779" s="147"/>
      <c r="K779" s="7"/>
      <c r="L779" s="147"/>
      <c r="M779" s="161">
        <f>IFERROR(VLOOKUP(L779,'Material Master'!B:C,2,0),"")</f>
      </c>
      <c r="N779" s="7"/>
      <c r="O779" s="162">
        <f>IFERROR(M779*N779,"")</f>
      </c>
      <c r="P779" s="6"/>
      <c r="Q779" s="158"/>
      <c r="R779" s="163"/>
      <c r="S779" s="147"/>
      <c r="T779" s="6"/>
      <c r="U779" s="158"/>
      <c r="V779" s="164">
        <v>31</v>
      </c>
      <c r="W779" s="165">
        <f>IFERROR(U779*V779,"0")</f>
      </c>
      <c r="X779" s="7"/>
      <c r="Y779" s="191">
        <f>IFERROR((O779/1000)*Masters!$C$3,"0")</f>
      </c>
      <c r="Z779" s="195"/>
      <c r="AA779" s="164">
        <f>IFERROR(VLOOKUP(L779,Masters!G:H,2,0),"0")</f>
      </c>
      <c r="AB779" s="166">
        <f>IFERROR(AA779*N779,"0")</f>
      </c>
      <c r="AC779" s="196"/>
      <c r="AD779" s="7"/>
      <c r="AE779" s="166">
        <f>W779+Y779+AB779+AD779</f>
      </c>
      <c r="AF779" s="195"/>
      <c r="AG779" s="169">
        <f>M779&amp;"-"&amp;F779</f>
      </c>
      <c r="AH779" s="191">
        <f>IFERROR(VLOOKUP(AG779,Masters!N:O,2,0),"0")</f>
      </c>
      <c r="AI779" s="166">
        <f>AH779*N779</f>
      </c>
      <c r="AJ779" s="7"/>
      <c r="AK779" s="170">
        <f>AI779-AE779</f>
      </c>
      <c r="AL779" s="195"/>
      <c r="AM779" s="6"/>
      <c r="AN779" s="171">
        <f>IFERROR(U779/2,"0")</f>
      </c>
    </row>
    <row x14ac:dyDescent="0.25" r="780" customHeight="1" ht="18.75">
      <c r="A780" s="158">
        <f>A779+1</f>
      </c>
      <c r="B780" s="159"/>
      <c r="C780" s="6"/>
      <c r="D780" s="159"/>
      <c r="E780" s="198"/>
      <c r="F780" s="160"/>
      <c r="G780" s="6"/>
      <c r="H780" s="6"/>
      <c r="I780" s="7"/>
      <c r="J780" s="147"/>
      <c r="K780" s="7"/>
      <c r="L780" s="147"/>
      <c r="M780" s="161">
        <f>IFERROR(VLOOKUP(L780,'Material Master'!B:C,2,0),"")</f>
      </c>
      <c r="N780" s="7"/>
      <c r="O780" s="162">
        <f>IFERROR(M780*N780,"")</f>
      </c>
      <c r="P780" s="6"/>
      <c r="Q780" s="158"/>
      <c r="R780" s="163"/>
      <c r="S780" s="147"/>
      <c r="T780" s="6"/>
      <c r="U780" s="158"/>
      <c r="V780" s="164">
        <v>31</v>
      </c>
      <c r="W780" s="165">
        <f>IFERROR(U780*V780,"0")</f>
      </c>
      <c r="X780" s="7"/>
      <c r="Y780" s="191">
        <f>IFERROR((O780/1000)*Masters!$C$3,"0")</f>
      </c>
      <c r="Z780" s="195"/>
      <c r="AA780" s="164">
        <f>IFERROR(VLOOKUP(L780,Masters!G:H,2,0),"0")</f>
      </c>
      <c r="AB780" s="166">
        <f>IFERROR(AA780*N780,"0")</f>
      </c>
      <c r="AC780" s="196"/>
      <c r="AD780" s="7"/>
      <c r="AE780" s="166">
        <f>W780+Y780+AB780+AD780</f>
      </c>
      <c r="AF780" s="195"/>
      <c r="AG780" s="169">
        <f>M780&amp;"-"&amp;F780</f>
      </c>
      <c r="AH780" s="191">
        <f>IFERROR(VLOOKUP(AG780,Masters!N:O,2,0),"0")</f>
      </c>
      <c r="AI780" s="166">
        <f>AH780*N780</f>
      </c>
      <c r="AJ780" s="7"/>
      <c r="AK780" s="170">
        <f>AI780-AE780</f>
      </c>
      <c r="AL780" s="195"/>
      <c r="AM780" s="6"/>
      <c r="AN780" s="171">
        <f>IFERROR(U780/2,"0")</f>
      </c>
    </row>
    <row x14ac:dyDescent="0.25" r="781" customHeight="1" ht="18.75">
      <c r="A781" s="158">
        <f>A780+1</f>
      </c>
      <c r="B781" s="159"/>
      <c r="C781" s="6"/>
      <c r="D781" s="159"/>
      <c r="E781" s="198"/>
      <c r="F781" s="160"/>
      <c r="G781" s="6"/>
      <c r="H781" s="6"/>
      <c r="I781" s="7"/>
      <c r="J781" s="147"/>
      <c r="K781" s="7"/>
      <c r="L781" s="147"/>
      <c r="M781" s="161">
        <f>IFERROR(VLOOKUP(L781,'Material Master'!B:C,2,0),"")</f>
      </c>
      <c r="N781" s="7"/>
      <c r="O781" s="162">
        <f>IFERROR(M781*N781,"")</f>
      </c>
      <c r="P781" s="6"/>
      <c r="Q781" s="158"/>
      <c r="R781" s="163"/>
      <c r="S781" s="147"/>
      <c r="T781" s="6"/>
      <c r="U781" s="158"/>
      <c r="V781" s="164">
        <v>31</v>
      </c>
      <c r="W781" s="165">
        <f>IFERROR(U781*V781,"0")</f>
      </c>
      <c r="X781" s="7"/>
      <c r="Y781" s="191">
        <f>IFERROR((O781/1000)*Masters!$C$3,"0")</f>
      </c>
      <c r="Z781" s="195"/>
      <c r="AA781" s="164">
        <f>IFERROR(VLOOKUP(L781,Masters!G:H,2,0),"0")</f>
      </c>
      <c r="AB781" s="166">
        <f>IFERROR(AA781*N781,"0")</f>
      </c>
      <c r="AC781" s="196"/>
      <c r="AD781" s="7"/>
      <c r="AE781" s="166">
        <f>W781+Y781+AB781+AD781</f>
      </c>
      <c r="AF781" s="195"/>
      <c r="AG781" s="169">
        <f>M781&amp;"-"&amp;F781</f>
      </c>
      <c r="AH781" s="191">
        <f>IFERROR(VLOOKUP(AG781,Masters!N:O,2,0),"0")</f>
      </c>
      <c r="AI781" s="166">
        <f>AH781*N781</f>
      </c>
      <c r="AJ781" s="7"/>
      <c r="AK781" s="170">
        <f>AI781-AE781</f>
      </c>
      <c r="AL781" s="195"/>
      <c r="AM781" s="6"/>
      <c r="AN781" s="171">
        <f>IFERROR(U781/2,"0")</f>
      </c>
    </row>
    <row x14ac:dyDescent="0.25" r="782" customHeight="1" ht="18.75">
      <c r="A782" s="158">
        <f>A781+1</f>
      </c>
      <c r="B782" s="159"/>
      <c r="C782" s="6"/>
      <c r="D782" s="159"/>
      <c r="E782" s="198"/>
      <c r="F782" s="160"/>
      <c r="G782" s="6"/>
      <c r="H782" s="6"/>
      <c r="I782" s="7"/>
      <c r="J782" s="147"/>
      <c r="K782" s="7"/>
      <c r="L782" s="147"/>
      <c r="M782" s="161">
        <f>IFERROR(VLOOKUP(L782,'Material Master'!B:C,2,0),"")</f>
      </c>
      <c r="N782" s="7"/>
      <c r="O782" s="162">
        <f>IFERROR(M782*N782,"")</f>
      </c>
      <c r="P782" s="6"/>
      <c r="Q782" s="158"/>
      <c r="R782" s="163"/>
      <c r="S782" s="147"/>
      <c r="T782" s="6"/>
      <c r="U782" s="158"/>
      <c r="V782" s="164">
        <v>31</v>
      </c>
      <c r="W782" s="165">
        <f>IFERROR(U782*V782,"0")</f>
      </c>
      <c r="X782" s="7"/>
      <c r="Y782" s="191">
        <f>IFERROR((O782/1000)*Masters!$C$3,"0")</f>
      </c>
      <c r="Z782" s="195"/>
      <c r="AA782" s="164">
        <f>IFERROR(VLOOKUP(L782,Masters!G:H,2,0),"0")</f>
      </c>
      <c r="AB782" s="166">
        <f>IFERROR(AA782*N782,"0")</f>
      </c>
      <c r="AC782" s="196"/>
      <c r="AD782" s="7"/>
      <c r="AE782" s="166">
        <f>W782+Y782+AB782+AD782</f>
      </c>
      <c r="AF782" s="195"/>
      <c r="AG782" s="169">
        <f>M782&amp;"-"&amp;F782</f>
      </c>
      <c r="AH782" s="191">
        <f>IFERROR(VLOOKUP(AG782,Masters!N:O,2,0),"0")</f>
      </c>
      <c r="AI782" s="166">
        <f>AH782*N782</f>
      </c>
      <c r="AJ782" s="7"/>
      <c r="AK782" s="170">
        <f>AI782-AE782</f>
      </c>
      <c r="AL782" s="195"/>
      <c r="AM782" s="6"/>
      <c r="AN782" s="171">
        <f>IFERROR(U782/2,"0")</f>
      </c>
    </row>
    <row x14ac:dyDescent="0.25" r="783" customHeight="1" ht="18.75">
      <c r="A783" s="158">
        <f>A782+1</f>
      </c>
      <c r="B783" s="159"/>
      <c r="C783" s="6"/>
      <c r="D783" s="159"/>
      <c r="E783" s="198"/>
      <c r="F783" s="160"/>
      <c r="G783" s="6"/>
      <c r="H783" s="6"/>
      <c r="I783" s="7"/>
      <c r="J783" s="147"/>
      <c r="K783" s="7"/>
      <c r="L783" s="147"/>
      <c r="M783" s="161">
        <f>IFERROR(VLOOKUP(L783,'Material Master'!B:C,2,0),"")</f>
      </c>
      <c r="N783" s="7"/>
      <c r="O783" s="162">
        <f>IFERROR(M783*N783,"")</f>
      </c>
      <c r="P783" s="6"/>
      <c r="Q783" s="158"/>
      <c r="R783" s="163"/>
      <c r="S783" s="147"/>
      <c r="T783" s="6"/>
      <c r="U783" s="158"/>
      <c r="V783" s="164">
        <v>31</v>
      </c>
      <c r="W783" s="165">
        <f>IFERROR(U783*V783,"0")</f>
      </c>
      <c r="X783" s="7"/>
      <c r="Y783" s="191">
        <f>IFERROR((O783/1000)*Masters!$C$3,"0")</f>
      </c>
      <c r="Z783" s="195"/>
      <c r="AA783" s="164">
        <f>IFERROR(VLOOKUP(L783,Masters!G:H,2,0),"0")</f>
      </c>
      <c r="AB783" s="166">
        <f>IFERROR(AA783*N783,"0")</f>
      </c>
      <c r="AC783" s="196"/>
      <c r="AD783" s="7"/>
      <c r="AE783" s="166">
        <f>W783+Y783+AB783+AD783</f>
      </c>
      <c r="AF783" s="195"/>
      <c r="AG783" s="169">
        <f>M783&amp;"-"&amp;F783</f>
      </c>
      <c r="AH783" s="191">
        <f>IFERROR(VLOOKUP(AG783,Masters!N:O,2,0),"0")</f>
      </c>
      <c r="AI783" s="166">
        <f>AH783*N783</f>
      </c>
      <c r="AJ783" s="7"/>
      <c r="AK783" s="170">
        <f>AI783-AE783</f>
      </c>
      <c r="AL783" s="195"/>
      <c r="AM783" s="6"/>
      <c r="AN783" s="171">
        <f>IFERROR(U783/2,"0")</f>
      </c>
    </row>
    <row x14ac:dyDescent="0.25" r="784" customHeight="1" ht="18.75">
      <c r="A784" s="158">
        <f>A783+1</f>
      </c>
      <c r="B784" s="159"/>
      <c r="C784" s="6"/>
      <c r="D784" s="159"/>
      <c r="E784" s="198"/>
      <c r="F784" s="160"/>
      <c r="G784" s="6"/>
      <c r="H784" s="6"/>
      <c r="I784" s="7"/>
      <c r="J784" s="147"/>
      <c r="K784" s="7"/>
      <c r="L784" s="147"/>
      <c r="M784" s="161">
        <f>IFERROR(VLOOKUP(L784,'Material Master'!B:C,2,0),"")</f>
      </c>
      <c r="N784" s="7"/>
      <c r="O784" s="162">
        <f>IFERROR(M784*N784,"")</f>
      </c>
      <c r="P784" s="6"/>
      <c r="Q784" s="158"/>
      <c r="R784" s="163"/>
      <c r="S784" s="147"/>
      <c r="T784" s="6"/>
      <c r="U784" s="158"/>
      <c r="V784" s="164">
        <v>31</v>
      </c>
      <c r="W784" s="165">
        <f>IFERROR(U784*V784,"0")</f>
      </c>
      <c r="X784" s="7"/>
      <c r="Y784" s="191">
        <f>IFERROR((O784/1000)*Masters!$C$3,"0")</f>
      </c>
      <c r="Z784" s="195"/>
      <c r="AA784" s="164">
        <f>IFERROR(VLOOKUP(L784,Masters!G:H,2,0),"0")</f>
      </c>
      <c r="AB784" s="166">
        <f>IFERROR(AA784*N784,"0")</f>
      </c>
      <c r="AC784" s="196"/>
      <c r="AD784" s="7"/>
      <c r="AE784" s="166">
        <f>W784+Y784+AB784+AD784</f>
      </c>
      <c r="AF784" s="195"/>
      <c r="AG784" s="169">
        <f>M784&amp;"-"&amp;F784</f>
      </c>
      <c r="AH784" s="191">
        <f>IFERROR(VLOOKUP(AG784,Masters!N:O,2,0),"0")</f>
      </c>
      <c r="AI784" s="166">
        <f>AH784*N784</f>
      </c>
      <c r="AJ784" s="7"/>
      <c r="AK784" s="170">
        <f>AI784-AE784</f>
      </c>
      <c r="AL784" s="195"/>
      <c r="AM784" s="6"/>
      <c r="AN784" s="171">
        <f>IFERROR(U784/2,"0")</f>
      </c>
    </row>
    <row x14ac:dyDescent="0.25" r="785" customHeight="1" ht="18.75">
      <c r="A785" s="158">
        <f>A784+1</f>
      </c>
      <c r="B785" s="159"/>
      <c r="C785" s="6"/>
      <c r="D785" s="159"/>
      <c r="E785" s="198"/>
      <c r="F785" s="160"/>
      <c r="G785" s="6"/>
      <c r="H785" s="6"/>
      <c r="I785" s="7"/>
      <c r="J785" s="147"/>
      <c r="K785" s="7"/>
      <c r="L785" s="147"/>
      <c r="M785" s="161">
        <f>IFERROR(VLOOKUP(L785,'Material Master'!B:C,2,0),"")</f>
      </c>
      <c r="N785" s="7"/>
      <c r="O785" s="162">
        <f>IFERROR(M785*N785,"")</f>
      </c>
      <c r="P785" s="6"/>
      <c r="Q785" s="158"/>
      <c r="R785" s="163"/>
      <c r="S785" s="147"/>
      <c r="T785" s="6"/>
      <c r="U785" s="158"/>
      <c r="V785" s="164">
        <v>31</v>
      </c>
      <c r="W785" s="165">
        <f>IFERROR(U785*V785,"0")</f>
      </c>
      <c r="X785" s="7"/>
      <c r="Y785" s="191">
        <f>IFERROR((O785/1000)*Masters!$C$3,"0")</f>
      </c>
      <c r="Z785" s="195"/>
      <c r="AA785" s="164">
        <f>IFERROR(VLOOKUP(L785,Masters!G:H,2,0),"0")</f>
      </c>
      <c r="AB785" s="166">
        <f>IFERROR(AA785*N785,"0")</f>
      </c>
      <c r="AC785" s="196"/>
      <c r="AD785" s="7"/>
      <c r="AE785" s="166">
        <f>W785+Y785+AB785+AD785</f>
      </c>
      <c r="AF785" s="195"/>
      <c r="AG785" s="169">
        <f>M785&amp;"-"&amp;F785</f>
      </c>
      <c r="AH785" s="191">
        <f>IFERROR(VLOOKUP(AG785,Masters!N:O,2,0),"0")</f>
      </c>
      <c r="AI785" s="166">
        <f>AH785*N785</f>
      </c>
      <c r="AJ785" s="7"/>
      <c r="AK785" s="170">
        <f>AI785-AE785</f>
      </c>
      <c r="AL785" s="195"/>
      <c r="AM785" s="6"/>
      <c r="AN785" s="171">
        <f>IFERROR(U785/2,"0")</f>
      </c>
    </row>
    <row x14ac:dyDescent="0.25" r="786" customHeight="1" ht="18.75">
      <c r="A786" s="158">
        <f>A785+1</f>
      </c>
      <c r="B786" s="159"/>
      <c r="C786" s="6"/>
      <c r="D786" s="159"/>
      <c r="E786" s="198"/>
      <c r="F786" s="160"/>
      <c r="G786" s="6"/>
      <c r="H786" s="6"/>
      <c r="I786" s="7"/>
      <c r="J786" s="147"/>
      <c r="K786" s="7"/>
      <c r="L786" s="147"/>
      <c r="M786" s="161">
        <f>IFERROR(VLOOKUP(L786,'Material Master'!B:C,2,0),"")</f>
      </c>
      <c r="N786" s="7"/>
      <c r="O786" s="162">
        <f>IFERROR(M786*N786,"")</f>
      </c>
      <c r="P786" s="6"/>
      <c r="Q786" s="158"/>
      <c r="R786" s="163"/>
      <c r="S786" s="147"/>
      <c r="T786" s="6"/>
      <c r="U786" s="158"/>
      <c r="V786" s="164">
        <v>31</v>
      </c>
      <c r="W786" s="165">
        <f>IFERROR(U786*V786,"0")</f>
      </c>
      <c r="X786" s="7"/>
      <c r="Y786" s="191">
        <f>IFERROR((O786/1000)*Masters!$C$3,"0")</f>
      </c>
      <c r="Z786" s="195"/>
      <c r="AA786" s="164">
        <f>IFERROR(VLOOKUP(L786,Masters!G:H,2,0),"0")</f>
      </c>
      <c r="AB786" s="166">
        <f>IFERROR(AA786*N786,"0")</f>
      </c>
      <c r="AC786" s="196"/>
      <c r="AD786" s="7"/>
      <c r="AE786" s="166">
        <f>W786+Y786+AB786+AD786</f>
      </c>
      <c r="AF786" s="195"/>
      <c r="AG786" s="169">
        <f>M786&amp;"-"&amp;F786</f>
      </c>
      <c r="AH786" s="191">
        <f>IFERROR(VLOOKUP(AG786,Masters!N:O,2,0),"0")</f>
      </c>
      <c r="AI786" s="166">
        <f>AH786*N786</f>
      </c>
      <c r="AJ786" s="7"/>
      <c r="AK786" s="170">
        <f>AI786-AE786</f>
      </c>
      <c r="AL786" s="195"/>
      <c r="AM786" s="6"/>
      <c r="AN786" s="171">
        <f>IFERROR(U786/2,"0")</f>
      </c>
    </row>
    <row x14ac:dyDescent="0.25" r="787" customHeight="1" ht="18.75">
      <c r="A787" s="158">
        <f>A786+1</f>
      </c>
      <c r="B787" s="159"/>
      <c r="C787" s="6"/>
      <c r="D787" s="159"/>
      <c r="E787" s="198"/>
      <c r="F787" s="160"/>
      <c r="G787" s="6"/>
      <c r="H787" s="6"/>
      <c r="I787" s="7"/>
      <c r="J787" s="147"/>
      <c r="K787" s="7"/>
      <c r="L787" s="147"/>
      <c r="M787" s="161">
        <f>IFERROR(VLOOKUP(L787,'Material Master'!B:C,2,0),"")</f>
      </c>
      <c r="N787" s="7"/>
      <c r="O787" s="162">
        <f>IFERROR(M787*N787,"")</f>
      </c>
      <c r="P787" s="6"/>
      <c r="Q787" s="158"/>
      <c r="R787" s="163"/>
      <c r="S787" s="147"/>
      <c r="T787" s="6"/>
      <c r="U787" s="158"/>
      <c r="V787" s="164">
        <v>31</v>
      </c>
      <c r="W787" s="165">
        <f>IFERROR(U787*V787,"0")</f>
      </c>
      <c r="X787" s="7"/>
      <c r="Y787" s="191">
        <f>IFERROR((O787/1000)*Masters!$C$3,"0")</f>
      </c>
      <c r="Z787" s="195"/>
      <c r="AA787" s="164">
        <f>IFERROR(VLOOKUP(L787,Masters!G:H,2,0),"0")</f>
      </c>
      <c r="AB787" s="166">
        <f>IFERROR(AA787*N787,"0")</f>
      </c>
      <c r="AC787" s="196"/>
      <c r="AD787" s="7"/>
      <c r="AE787" s="166">
        <f>W787+Y787+AB787+AD787</f>
      </c>
      <c r="AF787" s="195"/>
      <c r="AG787" s="169">
        <f>M787&amp;"-"&amp;F787</f>
      </c>
      <c r="AH787" s="191">
        <f>IFERROR(VLOOKUP(AG787,Masters!N:O,2,0),"0")</f>
      </c>
      <c r="AI787" s="166">
        <f>AH787*N787</f>
      </c>
      <c r="AJ787" s="7"/>
      <c r="AK787" s="170">
        <f>AI787-AE787</f>
      </c>
      <c r="AL787" s="195"/>
      <c r="AM787" s="6"/>
      <c r="AN787" s="171">
        <f>IFERROR(U787/2,"0")</f>
      </c>
    </row>
    <row x14ac:dyDescent="0.25" r="788" customHeight="1" ht="18.75">
      <c r="A788" s="158">
        <f>A787+1</f>
      </c>
      <c r="B788" s="159"/>
      <c r="C788" s="6"/>
      <c r="D788" s="159"/>
      <c r="E788" s="198"/>
      <c r="F788" s="160"/>
      <c r="G788" s="6"/>
      <c r="H788" s="6"/>
      <c r="I788" s="7"/>
      <c r="J788" s="147"/>
      <c r="K788" s="7"/>
      <c r="L788" s="147"/>
      <c r="M788" s="161">
        <f>IFERROR(VLOOKUP(L788,'Material Master'!B:C,2,0),"")</f>
      </c>
      <c r="N788" s="7"/>
      <c r="O788" s="162">
        <f>IFERROR(M788*N788,"")</f>
      </c>
      <c r="P788" s="6"/>
      <c r="Q788" s="158"/>
      <c r="R788" s="163"/>
      <c r="S788" s="147"/>
      <c r="T788" s="6"/>
      <c r="U788" s="158"/>
      <c r="V788" s="164">
        <v>31</v>
      </c>
      <c r="W788" s="165">
        <f>IFERROR(U788*V788,"0")</f>
      </c>
      <c r="X788" s="7"/>
      <c r="Y788" s="191">
        <f>IFERROR((O788/1000)*Masters!$C$3,"0")</f>
      </c>
      <c r="Z788" s="195"/>
      <c r="AA788" s="164">
        <f>IFERROR(VLOOKUP(L788,Masters!G:H,2,0),"0")</f>
      </c>
      <c r="AB788" s="166">
        <f>IFERROR(AA788*N788,"0")</f>
      </c>
      <c r="AC788" s="196"/>
      <c r="AD788" s="7"/>
      <c r="AE788" s="166">
        <f>W788+Y788+AB788+AD788</f>
      </c>
      <c r="AF788" s="195"/>
      <c r="AG788" s="169">
        <f>M788&amp;"-"&amp;F788</f>
      </c>
      <c r="AH788" s="191">
        <f>IFERROR(VLOOKUP(AG788,Masters!N:O,2,0),"0")</f>
      </c>
      <c r="AI788" s="166">
        <f>AH788*N788</f>
      </c>
      <c r="AJ788" s="7"/>
      <c r="AK788" s="170">
        <f>AI788-AE788</f>
      </c>
      <c r="AL788" s="195"/>
      <c r="AM788" s="6"/>
      <c r="AN788" s="171">
        <f>IFERROR(U788/2,"0")</f>
      </c>
    </row>
    <row x14ac:dyDescent="0.25" r="789" customHeight="1" ht="18.75">
      <c r="A789" s="158">
        <f>A788+1</f>
      </c>
      <c r="B789" s="159"/>
      <c r="C789" s="6"/>
      <c r="D789" s="159"/>
      <c r="E789" s="198"/>
      <c r="F789" s="160"/>
      <c r="G789" s="6"/>
      <c r="H789" s="6"/>
      <c r="I789" s="7"/>
      <c r="J789" s="147"/>
      <c r="K789" s="7"/>
      <c r="L789" s="147"/>
      <c r="M789" s="161">
        <f>IFERROR(VLOOKUP(L789,'Material Master'!B:C,2,0),"")</f>
      </c>
      <c r="N789" s="7"/>
      <c r="O789" s="162">
        <f>IFERROR(M789*N789,"")</f>
      </c>
      <c r="P789" s="6"/>
      <c r="Q789" s="158"/>
      <c r="R789" s="163"/>
      <c r="S789" s="147"/>
      <c r="T789" s="6"/>
      <c r="U789" s="158"/>
      <c r="V789" s="164">
        <v>31</v>
      </c>
      <c r="W789" s="165">
        <f>IFERROR(U789*V789,"0")</f>
      </c>
      <c r="X789" s="7"/>
      <c r="Y789" s="191">
        <f>IFERROR((O789/1000)*Masters!$C$3,"0")</f>
      </c>
      <c r="Z789" s="195"/>
      <c r="AA789" s="164">
        <f>IFERROR(VLOOKUP(L789,Masters!G:H,2,0),"0")</f>
      </c>
      <c r="AB789" s="166">
        <f>IFERROR(AA789*N789,"0")</f>
      </c>
      <c r="AC789" s="196"/>
      <c r="AD789" s="7"/>
      <c r="AE789" s="166">
        <f>W789+Y789+AB789+AD789</f>
      </c>
      <c r="AF789" s="195"/>
      <c r="AG789" s="169">
        <f>M789&amp;"-"&amp;F789</f>
      </c>
      <c r="AH789" s="191">
        <f>IFERROR(VLOOKUP(AG789,Masters!N:O,2,0),"0")</f>
      </c>
      <c r="AI789" s="166">
        <f>AH789*N789</f>
      </c>
      <c r="AJ789" s="7"/>
      <c r="AK789" s="170">
        <f>AI789-AE789</f>
      </c>
      <c r="AL789" s="195"/>
      <c r="AM789" s="6"/>
      <c r="AN789" s="171">
        <f>IFERROR(U789/2,"0")</f>
      </c>
    </row>
    <row x14ac:dyDescent="0.25" r="790" customHeight="1" ht="18.75">
      <c r="A790" s="158">
        <f>A789+1</f>
      </c>
      <c r="B790" s="159"/>
      <c r="C790" s="6"/>
      <c r="D790" s="159"/>
      <c r="E790" s="198"/>
      <c r="F790" s="160"/>
      <c r="G790" s="6"/>
      <c r="H790" s="6"/>
      <c r="I790" s="7"/>
      <c r="J790" s="147"/>
      <c r="K790" s="7"/>
      <c r="L790" s="147"/>
      <c r="M790" s="161">
        <f>IFERROR(VLOOKUP(L790,'Material Master'!B:C,2,0),"")</f>
      </c>
      <c r="N790" s="7"/>
      <c r="O790" s="162">
        <f>IFERROR(M790*N790,"")</f>
      </c>
      <c r="P790" s="6"/>
      <c r="Q790" s="158"/>
      <c r="R790" s="163"/>
      <c r="S790" s="147"/>
      <c r="T790" s="6"/>
      <c r="U790" s="158"/>
      <c r="V790" s="164">
        <v>31</v>
      </c>
      <c r="W790" s="165">
        <f>IFERROR(U790*V790,"0")</f>
      </c>
      <c r="X790" s="7"/>
      <c r="Y790" s="191">
        <f>IFERROR((O790/1000)*Masters!$C$3,"0")</f>
      </c>
      <c r="Z790" s="195"/>
      <c r="AA790" s="164">
        <f>IFERROR(VLOOKUP(L790,Masters!G:H,2,0),"0")</f>
      </c>
      <c r="AB790" s="166">
        <f>IFERROR(AA790*N790,"0")</f>
      </c>
      <c r="AC790" s="196"/>
      <c r="AD790" s="7"/>
      <c r="AE790" s="166">
        <f>W790+Y790+AB790+AD790</f>
      </c>
      <c r="AF790" s="195"/>
      <c r="AG790" s="169">
        <f>M790&amp;"-"&amp;F790</f>
      </c>
      <c r="AH790" s="191">
        <f>IFERROR(VLOOKUP(AG790,Masters!N:O,2,0),"0")</f>
      </c>
      <c r="AI790" s="166">
        <f>AH790*N790</f>
      </c>
      <c r="AJ790" s="7"/>
      <c r="AK790" s="170">
        <f>AI790-AE790</f>
      </c>
      <c r="AL790" s="195"/>
      <c r="AM790" s="6"/>
      <c r="AN790" s="171">
        <f>IFERROR(U790/2,"0")</f>
      </c>
    </row>
    <row x14ac:dyDescent="0.25" r="791" customHeight="1" ht="18.75">
      <c r="A791" s="158">
        <f>A790+1</f>
      </c>
      <c r="B791" s="159"/>
      <c r="C791" s="6"/>
      <c r="D791" s="159"/>
      <c r="E791" s="198"/>
      <c r="F791" s="160"/>
      <c r="G791" s="6"/>
      <c r="H791" s="6"/>
      <c r="I791" s="7"/>
      <c r="J791" s="147"/>
      <c r="K791" s="7"/>
      <c r="L791" s="147"/>
      <c r="M791" s="161">
        <f>IFERROR(VLOOKUP(L791,'Material Master'!B:C,2,0),"")</f>
      </c>
      <c r="N791" s="7"/>
      <c r="O791" s="162">
        <f>IFERROR(M791*N791,"")</f>
      </c>
      <c r="P791" s="6"/>
      <c r="Q791" s="158"/>
      <c r="R791" s="163"/>
      <c r="S791" s="147"/>
      <c r="T791" s="6"/>
      <c r="U791" s="158"/>
      <c r="V791" s="164">
        <v>31</v>
      </c>
      <c r="W791" s="165">
        <f>IFERROR(U791*V791,"0")</f>
      </c>
      <c r="X791" s="7"/>
      <c r="Y791" s="191">
        <f>IFERROR((O791/1000)*Masters!$C$3,"0")</f>
      </c>
      <c r="Z791" s="195"/>
      <c r="AA791" s="164">
        <f>IFERROR(VLOOKUP(L791,Masters!G:H,2,0),"0")</f>
      </c>
      <c r="AB791" s="166">
        <f>IFERROR(AA791*N791,"0")</f>
      </c>
      <c r="AC791" s="196"/>
      <c r="AD791" s="7"/>
      <c r="AE791" s="166">
        <f>W791+Y791+AB791+AD791</f>
      </c>
      <c r="AF791" s="195"/>
      <c r="AG791" s="169">
        <f>M791&amp;"-"&amp;F791</f>
      </c>
      <c r="AH791" s="191">
        <f>IFERROR(VLOOKUP(AG791,Masters!N:O,2,0),"0")</f>
      </c>
      <c r="AI791" s="166">
        <f>AH791*N791</f>
      </c>
      <c r="AJ791" s="7"/>
      <c r="AK791" s="170">
        <f>AI791-AE791</f>
      </c>
      <c r="AL791" s="195"/>
      <c r="AM791" s="6"/>
      <c r="AN791" s="171">
        <f>IFERROR(U791/2,"0")</f>
      </c>
    </row>
    <row x14ac:dyDescent="0.25" r="792" customHeight="1" ht="18.75">
      <c r="A792" s="158">
        <f>A791+1</f>
      </c>
      <c r="B792" s="159"/>
      <c r="C792" s="6"/>
      <c r="D792" s="159"/>
      <c r="E792" s="198"/>
      <c r="F792" s="160"/>
      <c r="G792" s="6"/>
      <c r="H792" s="6"/>
      <c r="I792" s="7"/>
      <c r="J792" s="147"/>
      <c r="K792" s="7"/>
      <c r="L792" s="147"/>
      <c r="M792" s="161">
        <f>IFERROR(VLOOKUP(L792,'Material Master'!B:C,2,0),"")</f>
      </c>
      <c r="N792" s="7"/>
      <c r="O792" s="162">
        <f>IFERROR(M792*N792,"")</f>
      </c>
      <c r="P792" s="6"/>
      <c r="Q792" s="158"/>
      <c r="R792" s="163"/>
      <c r="S792" s="147"/>
      <c r="T792" s="6"/>
      <c r="U792" s="158"/>
      <c r="V792" s="164">
        <v>31</v>
      </c>
      <c r="W792" s="165">
        <f>IFERROR(U792*V792,"0")</f>
      </c>
      <c r="X792" s="7"/>
      <c r="Y792" s="191">
        <f>IFERROR((O792/1000)*Masters!$C$3,"0")</f>
      </c>
      <c r="Z792" s="195"/>
      <c r="AA792" s="164">
        <f>IFERROR(VLOOKUP(L792,Masters!G:H,2,0),"0")</f>
      </c>
      <c r="AB792" s="166">
        <f>IFERROR(AA792*N792,"0")</f>
      </c>
      <c r="AC792" s="196"/>
      <c r="AD792" s="7"/>
      <c r="AE792" s="166">
        <f>W792+Y792+AB792+AD792</f>
      </c>
      <c r="AF792" s="195"/>
      <c r="AG792" s="169">
        <f>M792&amp;"-"&amp;F792</f>
      </c>
      <c r="AH792" s="191">
        <f>IFERROR(VLOOKUP(AG792,Masters!N:O,2,0),"0")</f>
      </c>
      <c r="AI792" s="166">
        <f>AH792*N792</f>
      </c>
      <c r="AJ792" s="7"/>
      <c r="AK792" s="170">
        <f>AI792-AE792</f>
      </c>
      <c r="AL792" s="195"/>
      <c r="AM792" s="6"/>
      <c r="AN792" s="171">
        <f>IFERROR(U792/2,"0")</f>
      </c>
    </row>
    <row x14ac:dyDescent="0.25" r="793" customHeight="1" ht="18.75">
      <c r="A793" s="158">
        <f>A792+1</f>
      </c>
      <c r="B793" s="159"/>
      <c r="C793" s="6"/>
      <c r="D793" s="159"/>
      <c r="E793" s="198"/>
      <c r="F793" s="160"/>
      <c r="G793" s="6"/>
      <c r="H793" s="6"/>
      <c r="I793" s="7"/>
      <c r="J793" s="147"/>
      <c r="K793" s="7"/>
      <c r="L793" s="147"/>
      <c r="M793" s="161">
        <f>IFERROR(VLOOKUP(L793,'Material Master'!B:C,2,0),"")</f>
      </c>
      <c r="N793" s="7"/>
      <c r="O793" s="162">
        <f>IFERROR(M793*N793,"")</f>
      </c>
      <c r="P793" s="6"/>
      <c r="Q793" s="158"/>
      <c r="R793" s="163"/>
      <c r="S793" s="147"/>
      <c r="T793" s="6"/>
      <c r="U793" s="158"/>
      <c r="V793" s="164">
        <v>31</v>
      </c>
      <c r="W793" s="165">
        <f>IFERROR(U793*V793,"0")</f>
      </c>
      <c r="X793" s="7"/>
      <c r="Y793" s="191">
        <f>IFERROR((O793/1000)*Masters!$C$3,"0")</f>
      </c>
      <c r="Z793" s="195"/>
      <c r="AA793" s="164">
        <f>IFERROR(VLOOKUP(L793,Masters!G:H,2,0),"0")</f>
      </c>
      <c r="AB793" s="166">
        <f>IFERROR(AA793*N793,"0")</f>
      </c>
      <c r="AC793" s="196"/>
      <c r="AD793" s="7"/>
      <c r="AE793" s="166">
        <f>W793+Y793+AB793+AD793</f>
      </c>
      <c r="AF793" s="195"/>
      <c r="AG793" s="169">
        <f>M793&amp;"-"&amp;F793</f>
      </c>
      <c r="AH793" s="191">
        <f>IFERROR(VLOOKUP(AG793,Masters!N:O,2,0),"0")</f>
      </c>
      <c r="AI793" s="166">
        <f>AH793*N793</f>
      </c>
      <c r="AJ793" s="7"/>
      <c r="AK793" s="170">
        <f>AI793-AE793</f>
      </c>
      <c r="AL793" s="195"/>
      <c r="AM793" s="6"/>
      <c r="AN793" s="171">
        <f>IFERROR(U793/2,"0")</f>
      </c>
    </row>
    <row x14ac:dyDescent="0.25" r="794" customHeight="1" ht="18.75">
      <c r="A794" s="158">
        <f>A793+1</f>
      </c>
      <c r="B794" s="159"/>
      <c r="C794" s="6"/>
      <c r="D794" s="159"/>
      <c r="E794" s="198"/>
      <c r="F794" s="160"/>
      <c r="G794" s="6"/>
      <c r="H794" s="6"/>
      <c r="I794" s="7"/>
      <c r="J794" s="147"/>
      <c r="K794" s="7"/>
      <c r="L794" s="147"/>
      <c r="M794" s="161">
        <f>IFERROR(VLOOKUP(L794,'Material Master'!B:C,2,0),"")</f>
      </c>
      <c r="N794" s="7"/>
      <c r="O794" s="162">
        <f>IFERROR(M794*N794,"")</f>
      </c>
      <c r="P794" s="6"/>
      <c r="Q794" s="158"/>
      <c r="R794" s="163"/>
      <c r="S794" s="147"/>
      <c r="T794" s="6"/>
      <c r="U794" s="158"/>
      <c r="V794" s="164">
        <v>31</v>
      </c>
      <c r="W794" s="165">
        <f>IFERROR(U794*V794,"0")</f>
      </c>
      <c r="X794" s="7"/>
      <c r="Y794" s="191">
        <f>IFERROR((O794/1000)*Masters!$C$3,"0")</f>
      </c>
      <c r="Z794" s="195"/>
      <c r="AA794" s="164">
        <f>IFERROR(VLOOKUP(L794,Masters!G:H,2,0),"0")</f>
      </c>
      <c r="AB794" s="166">
        <f>IFERROR(AA794*N794,"0")</f>
      </c>
      <c r="AC794" s="196"/>
      <c r="AD794" s="7"/>
      <c r="AE794" s="166">
        <f>W794+Y794+AB794+AD794</f>
      </c>
      <c r="AF794" s="195"/>
      <c r="AG794" s="169">
        <f>M794&amp;"-"&amp;F794</f>
      </c>
      <c r="AH794" s="191">
        <f>IFERROR(VLOOKUP(AG794,Masters!N:O,2,0),"0")</f>
      </c>
      <c r="AI794" s="166">
        <f>AH794*N794</f>
      </c>
      <c r="AJ794" s="7"/>
      <c r="AK794" s="170">
        <f>AI794-AE794</f>
      </c>
      <c r="AL794" s="195"/>
      <c r="AM794" s="6"/>
      <c r="AN794" s="171">
        <f>IFERROR(U794/2,"0")</f>
      </c>
    </row>
    <row x14ac:dyDescent="0.25" r="795" customHeight="1" ht="18.75">
      <c r="A795" s="158">
        <f>A794+1</f>
      </c>
      <c r="B795" s="159"/>
      <c r="C795" s="6"/>
      <c r="D795" s="159"/>
      <c r="E795" s="198"/>
      <c r="F795" s="160"/>
      <c r="G795" s="6"/>
      <c r="H795" s="6"/>
      <c r="I795" s="7"/>
      <c r="J795" s="147"/>
      <c r="K795" s="7"/>
      <c r="L795" s="147"/>
      <c r="M795" s="161">
        <f>IFERROR(VLOOKUP(L795,'Material Master'!B:C,2,0),"")</f>
      </c>
      <c r="N795" s="7"/>
      <c r="O795" s="162">
        <f>IFERROR(M795*N795,"")</f>
      </c>
      <c r="P795" s="6"/>
      <c r="Q795" s="158"/>
      <c r="R795" s="163"/>
      <c r="S795" s="147"/>
      <c r="T795" s="6"/>
      <c r="U795" s="158"/>
      <c r="V795" s="164">
        <v>31</v>
      </c>
      <c r="W795" s="165">
        <f>IFERROR(U795*V795,"0")</f>
      </c>
      <c r="X795" s="7"/>
      <c r="Y795" s="191">
        <f>IFERROR((O795/1000)*Masters!$C$3,"0")</f>
      </c>
      <c r="Z795" s="195"/>
      <c r="AA795" s="164">
        <f>IFERROR(VLOOKUP(L795,Masters!G:H,2,0),"0")</f>
      </c>
      <c r="AB795" s="166">
        <f>IFERROR(AA795*N795,"0")</f>
      </c>
      <c r="AC795" s="196"/>
      <c r="AD795" s="7"/>
      <c r="AE795" s="166">
        <f>W795+Y795+AB795+AD795</f>
      </c>
      <c r="AF795" s="195"/>
      <c r="AG795" s="169">
        <f>M795&amp;"-"&amp;F795</f>
      </c>
      <c r="AH795" s="191">
        <f>IFERROR(VLOOKUP(AG795,Masters!N:O,2,0),"0")</f>
      </c>
      <c r="AI795" s="166">
        <f>AH795*N795</f>
      </c>
      <c r="AJ795" s="7"/>
      <c r="AK795" s="170">
        <f>AI795-AE795</f>
      </c>
      <c r="AL795" s="195"/>
      <c r="AM795" s="6"/>
      <c r="AN795" s="171">
        <f>IFERROR(U795/2,"0")</f>
      </c>
    </row>
    <row x14ac:dyDescent="0.25" r="796" customHeight="1" ht="18.75">
      <c r="A796" s="158">
        <f>A795+1</f>
      </c>
      <c r="B796" s="159"/>
      <c r="C796" s="6"/>
      <c r="D796" s="159"/>
      <c r="E796" s="198"/>
      <c r="F796" s="160"/>
      <c r="G796" s="6"/>
      <c r="H796" s="6"/>
      <c r="I796" s="7"/>
      <c r="J796" s="147"/>
      <c r="K796" s="7"/>
      <c r="L796" s="147"/>
      <c r="M796" s="161">
        <f>IFERROR(VLOOKUP(L796,'Material Master'!B:C,2,0),"")</f>
      </c>
      <c r="N796" s="7"/>
      <c r="O796" s="162">
        <f>IFERROR(M796*N796,"")</f>
      </c>
      <c r="P796" s="6"/>
      <c r="Q796" s="158"/>
      <c r="R796" s="163"/>
      <c r="S796" s="147"/>
      <c r="T796" s="6"/>
      <c r="U796" s="158"/>
      <c r="V796" s="164">
        <v>31</v>
      </c>
      <c r="W796" s="165">
        <f>IFERROR(U796*V796,"0")</f>
      </c>
      <c r="X796" s="7"/>
      <c r="Y796" s="191">
        <f>IFERROR((O796/1000)*Masters!$C$3,"0")</f>
      </c>
      <c r="Z796" s="195"/>
      <c r="AA796" s="164">
        <f>IFERROR(VLOOKUP(L796,Masters!G:H,2,0),"0")</f>
      </c>
      <c r="AB796" s="166">
        <f>IFERROR(AA796*N796,"0")</f>
      </c>
      <c r="AC796" s="196"/>
      <c r="AD796" s="7"/>
      <c r="AE796" s="166">
        <f>W796+Y796+AB796+AD796</f>
      </c>
      <c r="AF796" s="195"/>
      <c r="AG796" s="169">
        <f>M796&amp;"-"&amp;F796</f>
      </c>
      <c r="AH796" s="191">
        <f>IFERROR(VLOOKUP(AG796,Masters!N:O,2,0),"0")</f>
      </c>
      <c r="AI796" s="166">
        <f>AH796*N796</f>
      </c>
      <c r="AJ796" s="7"/>
      <c r="AK796" s="170">
        <f>AI796-AE796</f>
      </c>
      <c r="AL796" s="195"/>
      <c r="AM796" s="6"/>
      <c r="AN796" s="171">
        <f>IFERROR(U796/2,"0")</f>
      </c>
    </row>
    <row x14ac:dyDescent="0.25" r="797" customHeight="1" ht="18.75">
      <c r="A797" s="158">
        <f>A796+1</f>
      </c>
      <c r="B797" s="159"/>
      <c r="C797" s="6"/>
      <c r="D797" s="159"/>
      <c r="E797" s="198"/>
      <c r="F797" s="160"/>
      <c r="G797" s="6"/>
      <c r="H797" s="6"/>
      <c r="I797" s="7"/>
      <c r="J797" s="147"/>
      <c r="K797" s="7"/>
      <c r="L797" s="147"/>
      <c r="M797" s="161">
        <f>IFERROR(VLOOKUP(L797,'Material Master'!B:C,2,0),"")</f>
      </c>
      <c r="N797" s="7"/>
      <c r="O797" s="162">
        <f>IFERROR(M797*N797,"")</f>
      </c>
      <c r="P797" s="6"/>
      <c r="Q797" s="158"/>
      <c r="R797" s="163"/>
      <c r="S797" s="147"/>
      <c r="T797" s="6"/>
      <c r="U797" s="158"/>
      <c r="V797" s="164">
        <v>31</v>
      </c>
      <c r="W797" s="165">
        <f>IFERROR(U797*V797,"0")</f>
      </c>
      <c r="X797" s="7"/>
      <c r="Y797" s="191">
        <f>IFERROR((O797/1000)*Masters!$C$3,"0")</f>
      </c>
      <c r="Z797" s="195"/>
      <c r="AA797" s="164">
        <f>IFERROR(VLOOKUP(L797,Masters!G:H,2,0),"0")</f>
      </c>
      <c r="AB797" s="166">
        <f>IFERROR(AA797*N797,"0")</f>
      </c>
      <c r="AC797" s="196"/>
      <c r="AD797" s="7"/>
      <c r="AE797" s="166">
        <f>W797+Y797+AB797+AD797</f>
      </c>
      <c r="AF797" s="195"/>
      <c r="AG797" s="169">
        <f>M797&amp;"-"&amp;F797</f>
      </c>
      <c r="AH797" s="191">
        <f>IFERROR(VLOOKUP(AG797,Masters!N:O,2,0),"0")</f>
      </c>
      <c r="AI797" s="166">
        <f>AH797*N797</f>
      </c>
      <c r="AJ797" s="7"/>
      <c r="AK797" s="170">
        <f>AI797-AE797</f>
      </c>
      <c r="AL797" s="195"/>
      <c r="AM797" s="6"/>
      <c r="AN797" s="171">
        <f>IFERROR(U797/2,"0")</f>
      </c>
    </row>
    <row x14ac:dyDescent="0.25" r="798" customHeight="1" ht="18.75">
      <c r="A798" s="158">
        <f>A797+1</f>
      </c>
      <c r="B798" s="159"/>
      <c r="C798" s="6"/>
      <c r="D798" s="159"/>
      <c r="E798" s="198"/>
      <c r="F798" s="160"/>
      <c r="G798" s="6"/>
      <c r="H798" s="6"/>
      <c r="I798" s="7"/>
      <c r="J798" s="147"/>
      <c r="K798" s="7"/>
      <c r="L798" s="147"/>
      <c r="M798" s="161">
        <f>IFERROR(VLOOKUP(L798,'Material Master'!B:C,2,0),"")</f>
      </c>
      <c r="N798" s="7"/>
      <c r="O798" s="162">
        <f>IFERROR(M798*N798,"")</f>
      </c>
      <c r="P798" s="6"/>
      <c r="Q798" s="158"/>
      <c r="R798" s="163"/>
      <c r="S798" s="147"/>
      <c r="T798" s="6"/>
      <c r="U798" s="158"/>
      <c r="V798" s="164">
        <v>31</v>
      </c>
      <c r="W798" s="165">
        <f>IFERROR(U798*V798,"0")</f>
      </c>
      <c r="X798" s="7"/>
      <c r="Y798" s="191">
        <f>IFERROR((O798/1000)*Masters!$C$3,"0")</f>
      </c>
      <c r="Z798" s="195"/>
      <c r="AA798" s="164">
        <f>IFERROR(VLOOKUP(L798,Masters!G:H,2,0),"0")</f>
      </c>
      <c r="AB798" s="166">
        <f>IFERROR(AA798*N798,"0")</f>
      </c>
      <c r="AC798" s="196"/>
      <c r="AD798" s="7"/>
      <c r="AE798" s="166">
        <f>W798+Y798+AB798+AD798</f>
      </c>
      <c r="AF798" s="195"/>
      <c r="AG798" s="169">
        <f>M798&amp;"-"&amp;F798</f>
      </c>
      <c r="AH798" s="191">
        <f>IFERROR(VLOOKUP(AG798,Masters!N:O,2,0),"0")</f>
      </c>
      <c r="AI798" s="166">
        <f>AH798*N798</f>
      </c>
      <c r="AJ798" s="7"/>
      <c r="AK798" s="170">
        <f>AI798-AE798</f>
      </c>
      <c r="AL798" s="195"/>
      <c r="AM798" s="6"/>
      <c r="AN798" s="171">
        <f>IFERROR(U798/2,"0")</f>
      </c>
    </row>
    <row x14ac:dyDescent="0.25" r="799" customHeight="1" ht="18.75">
      <c r="A799" s="158">
        <f>A798+1</f>
      </c>
      <c r="B799" s="159"/>
      <c r="C799" s="6"/>
      <c r="D799" s="159"/>
      <c r="E799" s="198"/>
      <c r="F799" s="160"/>
      <c r="G799" s="6"/>
      <c r="H799" s="6"/>
      <c r="I799" s="7"/>
      <c r="J799" s="147"/>
      <c r="K799" s="7"/>
      <c r="L799" s="147"/>
      <c r="M799" s="161">
        <f>IFERROR(VLOOKUP(L799,'Material Master'!B:C,2,0),"")</f>
      </c>
      <c r="N799" s="7"/>
      <c r="O799" s="162">
        <f>IFERROR(M799*N799,"")</f>
      </c>
      <c r="P799" s="6"/>
      <c r="Q799" s="158"/>
      <c r="R799" s="163"/>
      <c r="S799" s="147"/>
      <c r="T799" s="6"/>
      <c r="U799" s="158"/>
      <c r="V799" s="164">
        <v>31</v>
      </c>
      <c r="W799" s="165">
        <f>IFERROR(U799*V799,"0")</f>
      </c>
      <c r="X799" s="7"/>
      <c r="Y799" s="191">
        <f>IFERROR((O799/1000)*Masters!$C$3,"0")</f>
      </c>
      <c r="Z799" s="195"/>
      <c r="AA799" s="164">
        <f>IFERROR(VLOOKUP(L799,Masters!G:H,2,0),"0")</f>
      </c>
      <c r="AB799" s="166">
        <f>IFERROR(AA799*N799,"0")</f>
      </c>
      <c r="AC799" s="196"/>
      <c r="AD799" s="7"/>
      <c r="AE799" s="166">
        <f>W799+Y799+AB799+AD799</f>
      </c>
      <c r="AF799" s="195"/>
      <c r="AG799" s="169">
        <f>M799&amp;"-"&amp;F799</f>
      </c>
      <c r="AH799" s="191">
        <f>IFERROR(VLOOKUP(AG799,Masters!N:O,2,0),"0")</f>
      </c>
      <c r="AI799" s="166">
        <f>AH799*N799</f>
      </c>
      <c r="AJ799" s="7"/>
      <c r="AK799" s="170">
        <f>AI799-AE799</f>
      </c>
      <c r="AL799" s="195"/>
      <c r="AM799" s="6"/>
      <c r="AN799" s="171">
        <f>IFERROR(U799/2,"0")</f>
      </c>
    </row>
    <row x14ac:dyDescent="0.25" r="800" customHeight="1" ht="18.75">
      <c r="A800" s="158">
        <f>A799+1</f>
      </c>
      <c r="B800" s="159"/>
      <c r="C800" s="6"/>
      <c r="D800" s="159"/>
      <c r="E800" s="198"/>
      <c r="F800" s="160"/>
      <c r="G800" s="6"/>
      <c r="H800" s="6"/>
      <c r="I800" s="7"/>
      <c r="J800" s="147"/>
      <c r="K800" s="7"/>
      <c r="L800" s="147"/>
      <c r="M800" s="161">
        <f>IFERROR(VLOOKUP(L800,'Material Master'!B:C,2,0),"")</f>
      </c>
      <c r="N800" s="7"/>
      <c r="O800" s="162">
        <f>IFERROR(M800*N800,"")</f>
      </c>
      <c r="P800" s="6"/>
      <c r="Q800" s="158"/>
      <c r="R800" s="163"/>
      <c r="S800" s="147"/>
      <c r="T800" s="6"/>
      <c r="U800" s="158"/>
      <c r="V800" s="164">
        <v>31</v>
      </c>
      <c r="W800" s="165">
        <f>IFERROR(U800*V800,"0")</f>
      </c>
      <c r="X800" s="7"/>
      <c r="Y800" s="191">
        <f>IFERROR((O800/1000)*Masters!$C$3,"0")</f>
      </c>
      <c r="Z800" s="195"/>
      <c r="AA800" s="164">
        <f>IFERROR(VLOOKUP(L800,Masters!G:H,2,0),"0")</f>
      </c>
      <c r="AB800" s="166">
        <f>IFERROR(AA800*N800,"0")</f>
      </c>
      <c r="AC800" s="196"/>
      <c r="AD800" s="7"/>
      <c r="AE800" s="166">
        <f>W800+Y800+AB800+AD800</f>
      </c>
      <c r="AF800" s="195"/>
      <c r="AG800" s="169">
        <f>M800&amp;"-"&amp;F800</f>
      </c>
      <c r="AH800" s="191">
        <f>IFERROR(VLOOKUP(AG800,Masters!N:O,2,0),"0")</f>
      </c>
      <c r="AI800" s="166">
        <f>AH800*N800</f>
      </c>
      <c r="AJ800" s="7"/>
      <c r="AK800" s="170">
        <f>AI800-AE800</f>
      </c>
      <c r="AL800" s="195"/>
      <c r="AM800" s="6"/>
      <c r="AN800" s="171">
        <f>IFERROR(U800/2,"0")</f>
      </c>
    </row>
    <row x14ac:dyDescent="0.25" r="801" customHeight="1" ht="18.75">
      <c r="A801" s="158">
        <f>A800+1</f>
      </c>
      <c r="B801" s="159"/>
      <c r="C801" s="6"/>
      <c r="D801" s="159"/>
      <c r="E801" s="198"/>
      <c r="F801" s="160"/>
      <c r="G801" s="6"/>
      <c r="H801" s="6"/>
      <c r="I801" s="7"/>
      <c r="J801" s="147"/>
      <c r="K801" s="7"/>
      <c r="L801" s="147"/>
      <c r="M801" s="161">
        <f>IFERROR(VLOOKUP(L801,'Material Master'!B:C,2,0),"")</f>
      </c>
      <c r="N801" s="7"/>
      <c r="O801" s="162">
        <f>IFERROR(M801*N801,"")</f>
      </c>
      <c r="P801" s="6"/>
      <c r="Q801" s="158"/>
      <c r="R801" s="163"/>
      <c r="S801" s="147"/>
      <c r="T801" s="6"/>
      <c r="U801" s="158"/>
      <c r="V801" s="164">
        <v>31</v>
      </c>
      <c r="W801" s="165">
        <f>IFERROR(U801*V801,"0")</f>
      </c>
      <c r="X801" s="7"/>
      <c r="Y801" s="191">
        <f>IFERROR((O801/1000)*Masters!$C$3,"0")</f>
      </c>
      <c r="Z801" s="195"/>
      <c r="AA801" s="164">
        <f>IFERROR(VLOOKUP(L801,Masters!G:H,2,0),"0")</f>
      </c>
      <c r="AB801" s="166">
        <f>IFERROR(AA801*N801,"0")</f>
      </c>
      <c r="AC801" s="196"/>
      <c r="AD801" s="7"/>
      <c r="AE801" s="166">
        <f>W801+Y801+AB801+AD801</f>
      </c>
      <c r="AF801" s="195"/>
      <c r="AG801" s="169">
        <f>M801&amp;"-"&amp;F801</f>
      </c>
      <c r="AH801" s="191">
        <f>IFERROR(VLOOKUP(AG801,Masters!N:O,2,0),"0")</f>
      </c>
      <c r="AI801" s="166">
        <f>AH801*N801</f>
      </c>
      <c r="AJ801" s="7"/>
      <c r="AK801" s="170">
        <f>AI801-AE801</f>
      </c>
      <c r="AL801" s="195"/>
      <c r="AM801" s="6"/>
      <c r="AN801" s="171">
        <f>IFERROR(U801/2,"0")</f>
      </c>
    </row>
    <row x14ac:dyDescent="0.25" r="802" customHeight="1" ht="18.75">
      <c r="A802" s="158">
        <f>A801+1</f>
      </c>
      <c r="B802" s="159"/>
      <c r="C802" s="6"/>
      <c r="D802" s="159"/>
      <c r="E802" s="198"/>
      <c r="F802" s="160"/>
      <c r="G802" s="6"/>
      <c r="H802" s="6"/>
      <c r="I802" s="7"/>
      <c r="J802" s="147"/>
      <c r="K802" s="7"/>
      <c r="L802" s="147"/>
      <c r="M802" s="161">
        <f>IFERROR(VLOOKUP(L802,'Material Master'!B:C,2,0),"")</f>
      </c>
      <c r="N802" s="7"/>
      <c r="O802" s="162">
        <f>IFERROR(M802*N802,"")</f>
      </c>
      <c r="P802" s="6"/>
      <c r="Q802" s="158"/>
      <c r="R802" s="163"/>
      <c r="S802" s="147"/>
      <c r="T802" s="6"/>
      <c r="U802" s="158"/>
      <c r="V802" s="164">
        <v>31</v>
      </c>
      <c r="W802" s="165">
        <f>IFERROR(U802*V802,"0")</f>
      </c>
      <c r="X802" s="7"/>
      <c r="Y802" s="191">
        <f>IFERROR((O802/1000)*Masters!$C$3,"0")</f>
      </c>
      <c r="Z802" s="195"/>
      <c r="AA802" s="164">
        <f>IFERROR(VLOOKUP(L802,Masters!G:H,2,0),"0")</f>
      </c>
      <c r="AB802" s="166">
        <f>IFERROR(AA802*N802,"0")</f>
      </c>
      <c r="AC802" s="196"/>
      <c r="AD802" s="7"/>
      <c r="AE802" s="166">
        <f>W802+Y802+AB802+AD802</f>
      </c>
      <c r="AF802" s="195"/>
      <c r="AG802" s="169">
        <f>M802&amp;"-"&amp;F802</f>
      </c>
      <c r="AH802" s="191">
        <f>IFERROR(VLOOKUP(AG802,Masters!N:O,2,0),"0")</f>
      </c>
      <c r="AI802" s="166">
        <f>AH802*N802</f>
      </c>
      <c r="AJ802" s="7"/>
      <c r="AK802" s="170">
        <f>AI802-AE802</f>
      </c>
      <c r="AL802" s="195"/>
      <c r="AM802" s="6"/>
      <c r="AN802" s="171">
        <f>IFERROR(U802/2,"0")</f>
      </c>
    </row>
    <row x14ac:dyDescent="0.25" r="803" customHeight="1" ht="18.75">
      <c r="A803" s="158">
        <f>A802+1</f>
      </c>
      <c r="B803" s="159"/>
      <c r="C803" s="6"/>
      <c r="D803" s="159"/>
      <c r="E803" s="198"/>
      <c r="F803" s="160"/>
      <c r="G803" s="6"/>
      <c r="H803" s="6"/>
      <c r="I803" s="7"/>
      <c r="J803" s="147"/>
      <c r="K803" s="7"/>
      <c r="L803" s="147"/>
      <c r="M803" s="161">
        <f>IFERROR(VLOOKUP(L803,'Material Master'!B:C,2,0),"")</f>
      </c>
      <c r="N803" s="7"/>
      <c r="O803" s="162">
        <f>IFERROR(M803*N803,"")</f>
      </c>
      <c r="P803" s="6"/>
      <c r="Q803" s="158"/>
      <c r="R803" s="163"/>
      <c r="S803" s="147"/>
      <c r="T803" s="6"/>
      <c r="U803" s="158"/>
      <c r="V803" s="164">
        <v>31</v>
      </c>
      <c r="W803" s="165">
        <f>IFERROR(U803*V803,"0")</f>
      </c>
      <c r="X803" s="7"/>
      <c r="Y803" s="191">
        <f>IFERROR((O803/1000)*Masters!$C$3,"0")</f>
      </c>
      <c r="Z803" s="195"/>
      <c r="AA803" s="164">
        <f>IFERROR(VLOOKUP(L803,Masters!G:H,2,0),"0")</f>
      </c>
      <c r="AB803" s="166">
        <f>IFERROR(AA803*N803,"0")</f>
      </c>
      <c r="AC803" s="196"/>
      <c r="AD803" s="7"/>
      <c r="AE803" s="166">
        <f>W803+Y803+AB803+AD803</f>
      </c>
      <c r="AF803" s="195"/>
      <c r="AG803" s="169">
        <f>M803&amp;"-"&amp;F803</f>
      </c>
      <c r="AH803" s="191">
        <f>IFERROR(VLOOKUP(AG803,Masters!N:O,2,0),"0")</f>
      </c>
      <c r="AI803" s="166">
        <f>AH803*N803</f>
      </c>
      <c r="AJ803" s="7"/>
      <c r="AK803" s="170">
        <f>AI803-AE803</f>
      </c>
      <c r="AL803" s="195"/>
      <c r="AM803" s="6"/>
      <c r="AN803" s="171">
        <f>IFERROR(U803/2,"0")</f>
      </c>
    </row>
    <row x14ac:dyDescent="0.25" r="804" customHeight="1" ht="18.75">
      <c r="A804" s="158">
        <f>A803+1</f>
      </c>
      <c r="B804" s="159"/>
      <c r="C804" s="6"/>
      <c r="D804" s="159"/>
      <c r="E804" s="198"/>
      <c r="F804" s="160"/>
      <c r="G804" s="6"/>
      <c r="H804" s="6"/>
      <c r="I804" s="7"/>
      <c r="J804" s="147"/>
      <c r="K804" s="7"/>
      <c r="L804" s="147"/>
      <c r="M804" s="161">
        <f>IFERROR(VLOOKUP(L804,'Material Master'!B:C,2,0),"")</f>
      </c>
      <c r="N804" s="7"/>
      <c r="O804" s="162">
        <f>IFERROR(M804*N804,"")</f>
      </c>
      <c r="P804" s="6"/>
      <c r="Q804" s="158"/>
      <c r="R804" s="163"/>
      <c r="S804" s="147"/>
      <c r="T804" s="6"/>
      <c r="U804" s="158"/>
      <c r="V804" s="164">
        <v>31</v>
      </c>
      <c r="W804" s="165">
        <f>IFERROR(U804*V804,"0")</f>
      </c>
      <c r="X804" s="7"/>
      <c r="Y804" s="191">
        <f>IFERROR((O804/1000)*Masters!$C$3,"0")</f>
      </c>
      <c r="Z804" s="195"/>
      <c r="AA804" s="164">
        <f>IFERROR(VLOOKUP(L804,Masters!G:H,2,0),"0")</f>
      </c>
      <c r="AB804" s="166">
        <f>IFERROR(AA804*N804,"0")</f>
      </c>
      <c r="AC804" s="196"/>
      <c r="AD804" s="7"/>
      <c r="AE804" s="166">
        <f>W804+Y804+AB804+AD804</f>
      </c>
      <c r="AF804" s="195"/>
      <c r="AG804" s="169">
        <f>M804&amp;"-"&amp;F804</f>
      </c>
      <c r="AH804" s="191">
        <f>IFERROR(VLOOKUP(AG804,Masters!N:O,2,0),"0")</f>
      </c>
      <c r="AI804" s="166">
        <f>AH804*N804</f>
      </c>
      <c r="AJ804" s="7"/>
      <c r="AK804" s="170">
        <f>AI804-AE804</f>
      </c>
      <c r="AL804" s="195"/>
      <c r="AM804" s="6"/>
      <c r="AN804" s="171">
        <f>IFERROR(U804/2,"0")</f>
      </c>
    </row>
    <row x14ac:dyDescent="0.25" r="805" customHeight="1" ht="18.75">
      <c r="A805" s="158">
        <f>A804+1</f>
      </c>
      <c r="B805" s="159"/>
      <c r="C805" s="6"/>
      <c r="D805" s="159"/>
      <c r="E805" s="198"/>
      <c r="F805" s="160"/>
      <c r="G805" s="6"/>
      <c r="H805" s="6"/>
      <c r="I805" s="7"/>
      <c r="J805" s="147"/>
      <c r="K805" s="7"/>
      <c r="L805" s="147"/>
      <c r="M805" s="161">
        <f>IFERROR(VLOOKUP(L805,'Material Master'!B:C,2,0),"")</f>
      </c>
      <c r="N805" s="7"/>
      <c r="O805" s="162">
        <f>IFERROR(M805*N805,"")</f>
      </c>
      <c r="P805" s="6"/>
      <c r="Q805" s="158"/>
      <c r="R805" s="163"/>
      <c r="S805" s="147"/>
      <c r="T805" s="6"/>
      <c r="U805" s="158"/>
      <c r="V805" s="164">
        <v>31</v>
      </c>
      <c r="W805" s="165">
        <f>IFERROR(U805*V805,"0")</f>
      </c>
      <c r="X805" s="7"/>
      <c r="Y805" s="191">
        <f>IFERROR((O805/1000)*Masters!$C$3,"0")</f>
      </c>
      <c r="Z805" s="195"/>
      <c r="AA805" s="164">
        <f>IFERROR(VLOOKUP(L805,Masters!G:H,2,0),"0")</f>
      </c>
      <c r="AB805" s="166">
        <f>IFERROR(AA805*N805,"0")</f>
      </c>
      <c r="AC805" s="196"/>
      <c r="AD805" s="7"/>
      <c r="AE805" s="166">
        <f>W805+Y805+AB805+AD805</f>
      </c>
      <c r="AF805" s="195"/>
      <c r="AG805" s="169">
        <f>M805&amp;"-"&amp;F805</f>
      </c>
      <c r="AH805" s="191">
        <f>IFERROR(VLOOKUP(AG805,Masters!N:O,2,0),"0")</f>
      </c>
      <c r="AI805" s="166">
        <f>AH805*N805</f>
      </c>
      <c r="AJ805" s="7"/>
      <c r="AK805" s="170">
        <f>AI805-AE805</f>
      </c>
      <c r="AL805" s="195"/>
      <c r="AM805" s="6"/>
      <c r="AN805" s="171">
        <f>IFERROR(U805/2,"0")</f>
      </c>
    </row>
    <row x14ac:dyDescent="0.25" r="806" customHeight="1" ht="18.75">
      <c r="A806" s="158">
        <f>A805+1</f>
      </c>
      <c r="B806" s="159"/>
      <c r="C806" s="6"/>
      <c r="D806" s="159"/>
      <c r="E806" s="198"/>
      <c r="F806" s="160"/>
      <c r="G806" s="6"/>
      <c r="H806" s="6"/>
      <c r="I806" s="7"/>
      <c r="J806" s="147"/>
      <c r="K806" s="7"/>
      <c r="L806" s="147"/>
      <c r="M806" s="161">
        <f>IFERROR(VLOOKUP(L806,'Material Master'!B:C,2,0),"")</f>
      </c>
      <c r="N806" s="7"/>
      <c r="O806" s="162">
        <f>IFERROR(M806*N806,"")</f>
      </c>
      <c r="P806" s="6"/>
      <c r="Q806" s="158"/>
      <c r="R806" s="163"/>
      <c r="S806" s="147"/>
      <c r="T806" s="6"/>
      <c r="U806" s="158"/>
      <c r="V806" s="164">
        <v>31</v>
      </c>
      <c r="W806" s="165">
        <f>IFERROR(U806*V806,"0")</f>
      </c>
      <c r="X806" s="7"/>
      <c r="Y806" s="191">
        <f>IFERROR((O806/1000)*Masters!$C$3,"0")</f>
      </c>
      <c r="Z806" s="195"/>
      <c r="AA806" s="164">
        <f>IFERROR(VLOOKUP(L806,Masters!G:H,2,0),"0")</f>
      </c>
      <c r="AB806" s="166">
        <f>IFERROR(AA806*N806,"0")</f>
      </c>
      <c r="AC806" s="196"/>
      <c r="AD806" s="7"/>
      <c r="AE806" s="166">
        <f>W806+Y806+AB806+AD806</f>
      </c>
      <c r="AF806" s="195"/>
      <c r="AG806" s="169">
        <f>M806&amp;"-"&amp;F806</f>
      </c>
      <c r="AH806" s="191">
        <f>IFERROR(VLOOKUP(AG806,Masters!N:O,2,0),"0")</f>
      </c>
      <c r="AI806" s="166">
        <f>AH806*N806</f>
      </c>
      <c r="AJ806" s="7"/>
      <c r="AK806" s="170">
        <f>AI806-AE806</f>
      </c>
      <c r="AL806" s="195"/>
      <c r="AM806" s="6"/>
      <c r="AN806" s="171">
        <f>IFERROR(U806/2,"0")</f>
      </c>
    </row>
    <row x14ac:dyDescent="0.25" r="807" customHeight="1" ht="18.75">
      <c r="A807" s="158">
        <f>A806+1</f>
      </c>
      <c r="B807" s="159"/>
      <c r="C807" s="6"/>
      <c r="D807" s="159"/>
      <c r="E807" s="198"/>
      <c r="F807" s="160"/>
      <c r="G807" s="6"/>
      <c r="H807" s="6"/>
      <c r="I807" s="7"/>
      <c r="J807" s="147"/>
      <c r="K807" s="7"/>
      <c r="L807" s="147"/>
      <c r="M807" s="161">
        <f>IFERROR(VLOOKUP(L807,'Material Master'!B:C,2,0),"")</f>
      </c>
      <c r="N807" s="7"/>
      <c r="O807" s="162">
        <f>IFERROR(M807*N807,"")</f>
      </c>
      <c r="P807" s="6"/>
      <c r="Q807" s="158"/>
      <c r="R807" s="163"/>
      <c r="S807" s="147"/>
      <c r="T807" s="6"/>
      <c r="U807" s="158"/>
      <c r="V807" s="164">
        <v>31</v>
      </c>
      <c r="W807" s="165">
        <f>IFERROR(U807*V807,"0")</f>
      </c>
      <c r="X807" s="7"/>
      <c r="Y807" s="191">
        <f>IFERROR((O807/1000)*Masters!$C$3,"0")</f>
      </c>
      <c r="Z807" s="195"/>
      <c r="AA807" s="164">
        <f>IFERROR(VLOOKUP(L807,Masters!G:H,2,0),"0")</f>
      </c>
      <c r="AB807" s="166">
        <f>IFERROR(AA807*N807,"0")</f>
      </c>
      <c r="AC807" s="196"/>
      <c r="AD807" s="7"/>
      <c r="AE807" s="166">
        <f>W807+Y807+AB807+AD807</f>
      </c>
      <c r="AF807" s="195"/>
      <c r="AG807" s="169">
        <f>M807&amp;"-"&amp;F807</f>
      </c>
      <c r="AH807" s="191">
        <f>IFERROR(VLOOKUP(AG807,Masters!N:O,2,0),"0")</f>
      </c>
      <c r="AI807" s="166">
        <f>AH807*N807</f>
      </c>
      <c r="AJ807" s="7"/>
      <c r="AK807" s="170">
        <f>AI807-AE807</f>
      </c>
      <c r="AL807" s="195"/>
      <c r="AM807" s="6"/>
      <c r="AN807" s="171">
        <f>IFERROR(U807/2,"0")</f>
      </c>
    </row>
    <row x14ac:dyDescent="0.25" r="808" customHeight="1" ht="18.75">
      <c r="A808" s="158">
        <f>A807+1</f>
      </c>
      <c r="B808" s="159"/>
      <c r="C808" s="6"/>
      <c r="D808" s="159"/>
      <c r="E808" s="198"/>
      <c r="F808" s="160"/>
      <c r="G808" s="6"/>
      <c r="H808" s="6"/>
      <c r="I808" s="7"/>
      <c r="J808" s="147"/>
      <c r="K808" s="7"/>
      <c r="L808" s="147"/>
      <c r="M808" s="161">
        <f>IFERROR(VLOOKUP(L808,'Material Master'!B:C,2,0),"")</f>
      </c>
      <c r="N808" s="7"/>
      <c r="O808" s="162">
        <f>IFERROR(M808*N808,"")</f>
      </c>
      <c r="P808" s="6"/>
      <c r="Q808" s="158"/>
      <c r="R808" s="163"/>
      <c r="S808" s="147"/>
      <c r="T808" s="6"/>
      <c r="U808" s="158"/>
      <c r="V808" s="164">
        <v>31</v>
      </c>
      <c r="W808" s="165">
        <f>IFERROR(U808*V808,"0")</f>
      </c>
      <c r="X808" s="7"/>
      <c r="Y808" s="191">
        <f>IFERROR((O808/1000)*Masters!$C$3,"0")</f>
      </c>
      <c r="Z808" s="195"/>
      <c r="AA808" s="164">
        <f>IFERROR(VLOOKUP(L808,Masters!G:H,2,0),"0")</f>
      </c>
      <c r="AB808" s="166">
        <f>IFERROR(AA808*N808,"0")</f>
      </c>
      <c r="AC808" s="196"/>
      <c r="AD808" s="7"/>
      <c r="AE808" s="166">
        <f>W808+Y808+AB808+AD808</f>
      </c>
      <c r="AF808" s="195"/>
      <c r="AG808" s="169">
        <f>M808&amp;"-"&amp;F808</f>
      </c>
      <c r="AH808" s="191">
        <f>IFERROR(VLOOKUP(AG808,Masters!N:O,2,0),"0")</f>
      </c>
      <c r="AI808" s="166">
        <f>AH808*N808</f>
      </c>
      <c r="AJ808" s="7"/>
      <c r="AK808" s="170">
        <f>AI808-AE808</f>
      </c>
      <c r="AL808" s="195"/>
      <c r="AM808" s="6"/>
      <c r="AN808" s="171">
        <f>IFERROR(U808/2,"0")</f>
      </c>
    </row>
    <row x14ac:dyDescent="0.25" r="809" customHeight="1" ht="18.75">
      <c r="A809" s="158">
        <f>A808+1</f>
      </c>
      <c r="B809" s="159"/>
      <c r="C809" s="6"/>
      <c r="D809" s="159"/>
      <c r="E809" s="198"/>
      <c r="F809" s="160"/>
      <c r="G809" s="6"/>
      <c r="H809" s="6"/>
      <c r="I809" s="7"/>
      <c r="J809" s="147"/>
      <c r="K809" s="7"/>
      <c r="L809" s="147"/>
      <c r="M809" s="161">
        <f>IFERROR(VLOOKUP(L809,'Material Master'!B:C,2,0),"")</f>
      </c>
      <c r="N809" s="7"/>
      <c r="O809" s="162">
        <f>IFERROR(M809*N809,"")</f>
      </c>
      <c r="P809" s="6"/>
      <c r="Q809" s="158"/>
      <c r="R809" s="163"/>
      <c r="S809" s="147"/>
      <c r="T809" s="6"/>
      <c r="U809" s="158"/>
      <c r="V809" s="164">
        <v>31</v>
      </c>
      <c r="W809" s="165">
        <f>IFERROR(U809*V809,"0")</f>
      </c>
      <c r="X809" s="7"/>
      <c r="Y809" s="191">
        <f>IFERROR((O809/1000)*Masters!$C$3,"0")</f>
      </c>
      <c r="Z809" s="195"/>
      <c r="AA809" s="164">
        <f>IFERROR(VLOOKUP(L809,Masters!G:H,2,0),"0")</f>
      </c>
      <c r="AB809" s="166">
        <f>IFERROR(AA809*N809,"0")</f>
      </c>
      <c r="AC809" s="196"/>
      <c r="AD809" s="7"/>
      <c r="AE809" s="166">
        <f>W809+Y809+AB809+AD809</f>
      </c>
      <c r="AF809" s="195"/>
      <c r="AG809" s="169">
        <f>M809&amp;"-"&amp;F809</f>
      </c>
      <c r="AH809" s="191">
        <f>IFERROR(VLOOKUP(AG809,Masters!N:O,2,0),"0")</f>
      </c>
      <c r="AI809" s="166">
        <f>AH809*N809</f>
      </c>
      <c r="AJ809" s="7"/>
      <c r="AK809" s="170">
        <f>AI809-AE809</f>
      </c>
      <c r="AL809" s="195"/>
      <c r="AM809" s="6"/>
      <c r="AN809" s="171">
        <f>IFERROR(U809/2,"0")</f>
      </c>
    </row>
    <row x14ac:dyDescent="0.25" r="810" customHeight="1" ht="18.75">
      <c r="A810" s="158">
        <f>A809+1</f>
      </c>
      <c r="B810" s="159"/>
      <c r="C810" s="6"/>
      <c r="D810" s="159"/>
      <c r="E810" s="198"/>
      <c r="F810" s="160"/>
      <c r="G810" s="6"/>
      <c r="H810" s="6"/>
      <c r="I810" s="7"/>
      <c r="J810" s="147"/>
      <c r="K810" s="7"/>
      <c r="L810" s="147"/>
      <c r="M810" s="161">
        <f>IFERROR(VLOOKUP(L810,'Material Master'!B:C,2,0),"")</f>
      </c>
      <c r="N810" s="7"/>
      <c r="O810" s="162">
        <f>IFERROR(M810*N810,"")</f>
      </c>
      <c r="P810" s="6"/>
      <c r="Q810" s="158"/>
      <c r="R810" s="163"/>
      <c r="S810" s="147"/>
      <c r="T810" s="6"/>
      <c r="U810" s="158"/>
      <c r="V810" s="164">
        <v>31</v>
      </c>
      <c r="W810" s="165">
        <f>IFERROR(U810*V810,"0")</f>
      </c>
      <c r="X810" s="7"/>
      <c r="Y810" s="191">
        <f>IFERROR((O810/1000)*Masters!$C$3,"0")</f>
      </c>
      <c r="Z810" s="195"/>
      <c r="AA810" s="164">
        <f>IFERROR(VLOOKUP(L810,Masters!G:H,2,0),"0")</f>
      </c>
      <c r="AB810" s="166">
        <f>IFERROR(AA810*N810,"0")</f>
      </c>
      <c r="AC810" s="196"/>
      <c r="AD810" s="7"/>
      <c r="AE810" s="166">
        <f>W810+Y810+AB810+AD810</f>
      </c>
      <c r="AF810" s="195"/>
      <c r="AG810" s="169">
        <f>M810&amp;"-"&amp;F810</f>
      </c>
      <c r="AH810" s="191">
        <f>IFERROR(VLOOKUP(AG810,Masters!N:O,2,0),"0")</f>
      </c>
      <c r="AI810" s="166">
        <f>AH810*N810</f>
      </c>
      <c r="AJ810" s="7"/>
      <c r="AK810" s="170">
        <f>AI810-AE810</f>
      </c>
      <c r="AL810" s="195"/>
      <c r="AM810" s="6"/>
      <c r="AN810" s="171">
        <f>IFERROR(U810/2,"0")</f>
      </c>
    </row>
    <row x14ac:dyDescent="0.25" r="811" customHeight="1" ht="18.75">
      <c r="A811" s="158">
        <f>A810+1</f>
      </c>
      <c r="B811" s="159"/>
      <c r="C811" s="6"/>
      <c r="D811" s="159"/>
      <c r="E811" s="198"/>
      <c r="F811" s="160"/>
      <c r="G811" s="6"/>
      <c r="H811" s="6"/>
      <c r="I811" s="7"/>
      <c r="J811" s="147"/>
      <c r="K811" s="7"/>
      <c r="L811" s="147"/>
      <c r="M811" s="161">
        <f>IFERROR(VLOOKUP(L811,'Material Master'!B:C,2,0),"")</f>
      </c>
      <c r="N811" s="7"/>
      <c r="O811" s="162">
        <f>IFERROR(M811*N811,"")</f>
      </c>
      <c r="P811" s="6"/>
      <c r="Q811" s="158"/>
      <c r="R811" s="163"/>
      <c r="S811" s="147"/>
      <c r="T811" s="6"/>
      <c r="U811" s="158"/>
      <c r="V811" s="164">
        <v>31</v>
      </c>
      <c r="W811" s="165">
        <f>IFERROR(U811*V811,"0")</f>
      </c>
      <c r="X811" s="7"/>
      <c r="Y811" s="191">
        <f>IFERROR((O811/1000)*Masters!$C$3,"0")</f>
      </c>
      <c r="Z811" s="195"/>
      <c r="AA811" s="164">
        <f>IFERROR(VLOOKUP(L811,Masters!G:H,2,0),"0")</f>
      </c>
      <c r="AB811" s="166">
        <f>IFERROR(AA811*N811,"0")</f>
      </c>
      <c r="AC811" s="196"/>
      <c r="AD811" s="7"/>
      <c r="AE811" s="166">
        <f>W811+Y811+AB811+AD811</f>
      </c>
      <c r="AF811" s="195"/>
      <c r="AG811" s="169">
        <f>M811&amp;"-"&amp;F811</f>
      </c>
      <c r="AH811" s="191">
        <f>IFERROR(VLOOKUP(AG811,Masters!N:O,2,0),"0")</f>
      </c>
      <c r="AI811" s="166">
        <f>AH811*N811</f>
      </c>
      <c r="AJ811" s="7"/>
      <c r="AK811" s="170">
        <f>AI811-AE811</f>
      </c>
      <c r="AL811" s="195"/>
      <c r="AM811" s="6"/>
      <c r="AN811" s="171">
        <f>IFERROR(U811/2,"0")</f>
      </c>
    </row>
    <row x14ac:dyDescent="0.25" r="812" customHeight="1" ht="18.75">
      <c r="A812" s="158">
        <f>A811+1</f>
      </c>
      <c r="B812" s="159"/>
      <c r="C812" s="6"/>
      <c r="D812" s="159"/>
      <c r="E812" s="198"/>
      <c r="F812" s="160"/>
      <c r="G812" s="6"/>
      <c r="H812" s="6"/>
      <c r="I812" s="7"/>
      <c r="J812" s="147"/>
      <c r="K812" s="7"/>
      <c r="L812" s="147"/>
      <c r="M812" s="161">
        <f>IFERROR(VLOOKUP(L812,'Material Master'!B:C,2,0),"")</f>
      </c>
      <c r="N812" s="7"/>
      <c r="O812" s="162">
        <f>IFERROR(M812*N812,"")</f>
      </c>
      <c r="P812" s="6"/>
      <c r="Q812" s="158"/>
      <c r="R812" s="163"/>
      <c r="S812" s="147"/>
      <c r="T812" s="6"/>
      <c r="U812" s="158"/>
      <c r="V812" s="164">
        <v>31</v>
      </c>
      <c r="W812" s="165">
        <f>IFERROR(U812*V812,"0")</f>
      </c>
      <c r="X812" s="7"/>
      <c r="Y812" s="191">
        <f>IFERROR((O812/1000)*Masters!$C$3,"0")</f>
      </c>
      <c r="Z812" s="195"/>
      <c r="AA812" s="164">
        <f>IFERROR(VLOOKUP(L812,Masters!G:H,2,0),"0")</f>
      </c>
      <c r="AB812" s="166">
        <f>IFERROR(AA812*N812,"0")</f>
      </c>
      <c r="AC812" s="196"/>
      <c r="AD812" s="7"/>
      <c r="AE812" s="166">
        <f>W812+Y812+AB812+AD812</f>
      </c>
      <c r="AF812" s="195"/>
      <c r="AG812" s="169">
        <f>M812&amp;"-"&amp;F812</f>
      </c>
      <c r="AH812" s="191">
        <f>IFERROR(VLOOKUP(AG812,Masters!N:O,2,0),"0")</f>
      </c>
      <c r="AI812" s="166">
        <f>AH812*N812</f>
      </c>
      <c r="AJ812" s="7"/>
      <c r="AK812" s="170">
        <f>AI812-AE812</f>
      </c>
      <c r="AL812" s="195"/>
      <c r="AM812" s="6"/>
      <c r="AN812" s="171">
        <f>IFERROR(U812/2,"0")</f>
      </c>
    </row>
    <row x14ac:dyDescent="0.25" r="813" customHeight="1" ht="18.75">
      <c r="A813" s="158">
        <f>A812+1</f>
      </c>
      <c r="B813" s="159"/>
      <c r="C813" s="6"/>
      <c r="D813" s="159"/>
      <c r="E813" s="198"/>
      <c r="F813" s="160"/>
      <c r="G813" s="6"/>
      <c r="H813" s="6"/>
      <c r="I813" s="7"/>
      <c r="J813" s="147"/>
      <c r="K813" s="7"/>
      <c r="L813" s="147"/>
      <c r="M813" s="161">
        <f>IFERROR(VLOOKUP(L813,'Material Master'!B:C,2,0),"")</f>
      </c>
      <c r="N813" s="7"/>
      <c r="O813" s="162">
        <f>IFERROR(M813*N813,"")</f>
      </c>
      <c r="P813" s="6"/>
      <c r="Q813" s="158"/>
      <c r="R813" s="163"/>
      <c r="S813" s="147"/>
      <c r="T813" s="6"/>
      <c r="U813" s="158"/>
      <c r="V813" s="164">
        <v>31</v>
      </c>
      <c r="W813" s="165">
        <f>IFERROR(U813*V813,"0")</f>
      </c>
      <c r="X813" s="7"/>
      <c r="Y813" s="191">
        <f>IFERROR((O813/1000)*Masters!$C$3,"0")</f>
      </c>
      <c r="Z813" s="195"/>
      <c r="AA813" s="164">
        <f>IFERROR(VLOOKUP(L813,Masters!G:H,2,0),"0")</f>
      </c>
      <c r="AB813" s="166">
        <f>IFERROR(AA813*N813,"0")</f>
      </c>
      <c r="AC813" s="196"/>
      <c r="AD813" s="7"/>
      <c r="AE813" s="166">
        <f>W813+Y813+AB813+AD813</f>
      </c>
      <c r="AF813" s="195"/>
      <c r="AG813" s="169">
        <f>M813&amp;"-"&amp;F813</f>
      </c>
      <c r="AH813" s="191">
        <f>IFERROR(VLOOKUP(AG813,Masters!N:O,2,0),"0")</f>
      </c>
      <c r="AI813" s="166">
        <f>AH813*N813</f>
      </c>
      <c r="AJ813" s="7"/>
      <c r="AK813" s="170">
        <f>AI813-AE813</f>
      </c>
      <c r="AL813" s="195"/>
      <c r="AM813" s="6"/>
      <c r="AN813" s="171">
        <f>IFERROR(U813/2,"0")</f>
      </c>
    </row>
    <row x14ac:dyDescent="0.25" r="814" customHeight="1" ht="18.75">
      <c r="A814" s="158">
        <f>A813+1</f>
      </c>
      <c r="B814" s="159"/>
      <c r="C814" s="6"/>
      <c r="D814" s="159"/>
      <c r="E814" s="198"/>
      <c r="F814" s="160"/>
      <c r="G814" s="6"/>
      <c r="H814" s="6"/>
      <c r="I814" s="7"/>
      <c r="J814" s="147"/>
      <c r="K814" s="7"/>
      <c r="L814" s="147"/>
      <c r="M814" s="161">
        <f>IFERROR(VLOOKUP(L814,'Material Master'!B:C,2,0),"")</f>
      </c>
      <c r="N814" s="7"/>
      <c r="O814" s="162">
        <f>IFERROR(M814*N814,"")</f>
      </c>
      <c r="P814" s="6"/>
      <c r="Q814" s="158"/>
      <c r="R814" s="163"/>
      <c r="S814" s="147"/>
      <c r="T814" s="6"/>
      <c r="U814" s="158"/>
      <c r="V814" s="164">
        <v>31</v>
      </c>
      <c r="W814" s="165">
        <f>IFERROR(U814*V814,"0")</f>
      </c>
      <c r="X814" s="7"/>
      <c r="Y814" s="191">
        <f>IFERROR((O814/1000)*Masters!$C$3,"0")</f>
      </c>
      <c r="Z814" s="195"/>
      <c r="AA814" s="164">
        <f>IFERROR(VLOOKUP(L814,Masters!G:H,2,0),"0")</f>
      </c>
      <c r="AB814" s="166">
        <f>IFERROR(AA814*N814,"0")</f>
      </c>
      <c r="AC814" s="196"/>
      <c r="AD814" s="7"/>
      <c r="AE814" s="166">
        <f>W814+Y814+AB814+AD814</f>
      </c>
      <c r="AF814" s="195"/>
      <c r="AG814" s="169">
        <f>M814&amp;"-"&amp;F814</f>
      </c>
      <c r="AH814" s="191">
        <f>IFERROR(VLOOKUP(AG814,Masters!N:O,2,0),"0")</f>
      </c>
      <c r="AI814" s="166">
        <f>AH814*N814</f>
      </c>
      <c r="AJ814" s="7"/>
      <c r="AK814" s="170">
        <f>AI814-AE814</f>
      </c>
      <c r="AL814" s="195"/>
      <c r="AM814" s="6"/>
      <c r="AN814" s="171">
        <f>IFERROR(U814/2,"0")</f>
      </c>
    </row>
    <row x14ac:dyDescent="0.25" r="815" customHeight="1" ht="18.75">
      <c r="A815" s="158">
        <f>A814+1</f>
      </c>
      <c r="B815" s="159"/>
      <c r="C815" s="6"/>
      <c r="D815" s="159"/>
      <c r="E815" s="198"/>
      <c r="F815" s="160"/>
      <c r="G815" s="6"/>
      <c r="H815" s="6"/>
      <c r="I815" s="7"/>
      <c r="J815" s="147"/>
      <c r="K815" s="7"/>
      <c r="L815" s="147"/>
      <c r="M815" s="161">
        <f>IFERROR(VLOOKUP(L815,'Material Master'!B:C,2,0),"")</f>
      </c>
      <c r="N815" s="7"/>
      <c r="O815" s="162">
        <f>IFERROR(M815*N815,"")</f>
      </c>
      <c r="P815" s="6"/>
      <c r="Q815" s="158"/>
      <c r="R815" s="163"/>
      <c r="S815" s="147"/>
      <c r="T815" s="6"/>
      <c r="U815" s="158"/>
      <c r="V815" s="164">
        <v>31</v>
      </c>
      <c r="W815" s="165">
        <f>IFERROR(U815*V815,"0")</f>
      </c>
      <c r="X815" s="7"/>
      <c r="Y815" s="191">
        <f>IFERROR((O815/1000)*Masters!$C$3,"0")</f>
      </c>
      <c r="Z815" s="195"/>
      <c r="AA815" s="164">
        <f>IFERROR(VLOOKUP(L815,Masters!G:H,2,0),"0")</f>
      </c>
      <c r="AB815" s="166">
        <f>IFERROR(AA815*N815,"0")</f>
      </c>
      <c r="AC815" s="196"/>
      <c r="AD815" s="7"/>
      <c r="AE815" s="166">
        <f>W815+Y815+AB815+AD815</f>
      </c>
      <c r="AF815" s="195"/>
      <c r="AG815" s="169">
        <f>M815&amp;"-"&amp;F815</f>
      </c>
      <c r="AH815" s="191">
        <f>IFERROR(VLOOKUP(AG815,Masters!N:O,2,0),"0")</f>
      </c>
      <c r="AI815" s="166">
        <f>AH815*N815</f>
      </c>
      <c r="AJ815" s="7"/>
      <c r="AK815" s="170">
        <f>AI815-AE815</f>
      </c>
      <c r="AL815" s="195"/>
      <c r="AM815" s="6"/>
      <c r="AN815" s="171">
        <f>IFERROR(U815/2,"0")</f>
      </c>
    </row>
    <row x14ac:dyDescent="0.25" r="816" customHeight="1" ht="18.75">
      <c r="A816" s="158">
        <f>A815+1</f>
      </c>
      <c r="B816" s="159"/>
      <c r="C816" s="6"/>
      <c r="D816" s="159"/>
      <c r="E816" s="198"/>
      <c r="F816" s="160"/>
      <c r="G816" s="6"/>
      <c r="H816" s="6"/>
      <c r="I816" s="7"/>
      <c r="J816" s="147"/>
      <c r="K816" s="7"/>
      <c r="L816" s="147"/>
      <c r="M816" s="161">
        <f>IFERROR(VLOOKUP(L816,'Material Master'!B:C,2,0),"")</f>
      </c>
      <c r="N816" s="7"/>
      <c r="O816" s="162">
        <f>IFERROR(M816*N816,"")</f>
      </c>
      <c r="P816" s="6"/>
      <c r="Q816" s="158"/>
      <c r="R816" s="163"/>
      <c r="S816" s="147"/>
      <c r="T816" s="6"/>
      <c r="U816" s="158"/>
      <c r="V816" s="164">
        <v>31</v>
      </c>
      <c r="W816" s="165">
        <f>IFERROR(U816*V816,"0")</f>
      </c>
      <c r="X816" s="7"/>
      <c r="Y816" s="191">
        <f>IFERROR((O816/1000)*Masters!$C$3,"0")</f>
      </c>
      <c r="Z816" s="195"/>
      <c r="AA816" s="164">
        <f>IFERROR(VLOOKUP(L816,Masters!G:H,2,0),"0")</f>
      </c>
      <c r="AB816" s="166">
        <f>IFERROR(AA816*N816,"0")</f>
      </c>
      <c r="AC816" s="196"/>
      <c r="AD816" s="7"/>
      <c r="AE816" s="166">
        <f>W816+Y816+AB816+AD816</f>
      </c>
      <c r="AF816" s="195"/>
      <c r="AG816" s="169">
        <f>M816&amp;"-"&amp;F816</f>
      </c>
      <c r="AH816" s="191">
        <f>IFERROR(VLOOKUP(AG816,Masters!N:O,2,0),"0")</f>
      </c>
      <c r="AI816" s="166">
        <f>AH816*N816</f>
      </c>
      <c r="AJ816" s="7"/>
      <c r="AK816" s="170">
        <f>AI816-AE816</f>
      </c>
      <c r="AL816" s="195"/>
      <c r="AM816" s="6"/>
      <c r="AN816" s="171">
        <f>IFERROR(U816/2,"0")</f>
      </c>
    </row>
    <row x14ac:dyDescent="0.25" r="817" customHeight="1" ht="18.75">
      <c r="A817" s="158">
        <f>A816+1</f>
      </c>
      <c r="B817" s="159"/>
      <c r="C817" s="6"/>
      <c r="D817" s="159"/>
      <c r="E817" s="198"/>
      <c r="F817" s="160"/>
      <c r="G817" s="6"/>
      <c r="H817" s="6"/>
      <c r="I817" s="7"/>
      <c r="J817" s="147"/>
      <c r="K817" s="7"/>
      <c r="L817" s="147"/>
      <c r="M817" s="161">
        <f>IFERROR(VLOOKUP(L817,'Material Master'!B:C,2,0),"")</f>
      </c>
      <c r="N817" s="7"/>
      <c r="O817" s="162">
        <f>IFERROR(M817*N817,"")</f>
      </c>
      <c r="P817" s="6"/>
      <c r="Q817" s="158"/>
      <c r="R817" s="163"/>
      <c r="S817" s="147"/>
      <c r="T817" s="6"/>
      <c r="U817" s="158"/>
      <c r="V817" s="164">
        <v>31</v>
      </c>
      <c r="W817" s="165">
        <f>IFERROR(U817*V817,"0")</f>
      </c>
      <c r="X817" s="7"/>
      <c r="Y817" s="191">
        <f>IFERROR((O817/1000)*Masters!$C$3,"0")</f>
      </c>
      <c r="Z817" s="195"/>
      <c r="AA817" s="164">
        <f>IFERROR(VLOOKUP(L817,Masters!G:H,2,0),"0")</f>
      </c>
      <c r="AB817" s="166">
        <f>IFERROR(AA817*N817,"0")</f>
      </c>
      <c r="AC817" s="196"/>
      <c r="AD817" s="7"/>
      <c r="AE817" s="166">
        <f>W817+Y817+AB817+AD817</f>
      </c>
      <c r="AF817" s="195"/>
      <c r="AG817" s="169">
        <f>M817&amp;"-"&amp;F817</f>
      </c>
      <c r="AH817" s="191">
        <f>IFERROR(VLOOKUP(AG817,Masters!N:O,2,0),"0")</f>
      </c>
      <c r="AI817" s="166">
        <f>AH817*N817</f>
      </c>
      <c r="AJ817" s="7"/>
      <c r="AK817" s="170">
        <f>AI817-AE817</f>
      </c>
      <c r="AL817" s="195"/>
      <c r="AM817" s="6"/>
      <c r="AN817" s="171">
        <f>IFERROR(U817/2,"0")</f>
      </c>
    </row>
    <row x14ac:dyDescent="0.25" r="818" customHeight="1" ht="18.75">
      <c r="A818" s="158">
        <f>A817+1</f>
      </c>
      <c r="B818" s="159"/>
      <c r="C818" s="6"/>
      <c r="D818" s="159"/>
      <c r="E818" s="198"/>
      <c r="F818" s="160"/>
      <c r="G818" s="6"/>
      <c r="H818" s="6"/>
      <c r="I818" s="7"/>
      <c r="J818" s="147"/>
      <c r="K818" s="7"/>
      <c r="L818" s="147"/>
      <c r="M818" s="161">
        <f>IFERROR(VLOOKUP(L818,'Material Master'!B:C,2,0),"")</f>
      </c>
      <c r="N818" s="7"/>
      <c r="O818" s="162">
        <f>IFERROR(M818*N818,"")</f>
      </c>
      <c r="P818" s="6"/>
      <c r="Q818" s="158"/>
      <c r="R818" s="163"/>
      <c r="S818" s="147"/>
      <c r="T818" s="6"/>
      <c r="U818" s="158"/>
      <c r="V818" s="164">
        <v>31</v>
      </c>
      <c r="W818" s="165">
        <f>IFERROR(U818*V818,"0")</f>
      </c>
      <c r="X818" s="7"/>
      <c r="Y818" s="191">
        <f>IFERROR((O818/1000)*Masters!$C$3,"0")</f>
      </c>
      <c r="Z818" s="195"/>
      <c r="AA818" s="164">
        <f>IFERROR(VLOOKUP(L818,Masters!G:H,2,0),"0")</f>
      </c>
      <c r="AB818" s="166">
        <f>IFERROR(AA818*N818,"0")</f>
      </c>
      <c r="AC818" s="196"/>
      <c r="AD818" s="7"/>
      <c r="AE818" s="166">
        <f>W818+Y818+AB818+AD818</f>
      </c>
      <c r="AF818" s="195"/>
      <c r="AG818" s="169">
        <f>M818&amp;"-"&amp;F818</f>
      </c>
      <c r="AH818" s="191">
        <f>IFERROR(VLOOKUP(AG818,Masters!N:O,2,0),"0")</f>
      </c>
      <c r="AI818" s="166">
        <f>AH818*N818</f>
      </c>
      <c r="AJ818" s="7"/>
      <c r="AK818" s="170">
        <f>AI818-AE818</f>
      </c>
      <c r="AL818" s="195"/>
      <c r="AM818" s="6"/>
      <c r="AN818" s="171">
        <f>IFERROR(U818/2,"0")</f>
      </c>
    </row>
    <row x14ac:dyDescent="0.25" r="819" customHeight="1" ht="18.75">
      <c r="A819" s="158">
        <f>A818+1</f>
      </c>
      <c r="B819" s="159"/>
      <c r="C819" s="6"/>
      <c r="D819" s="159"/>
      <c r="E819" s="198"/>
      <c r="F819" s="160"/>
      <c r="G819" s="6"/>
      <c r="H819" s="6"/>
      <c r="I819" s="7"/>
      <c r="J819" s="147"/>
      <c r="K819" s="7"/>
      <c r="L819" s="147"/>
      <c r="M819" s="161">
        <f>IFERROR(VLOOKUP(L819,'Material Master'!B:C,2,0),"")</f>
      </c>
      <c r="N819" s="7"/>
      <c r="O819" s="162">
        <f>IFERROR(M819*N819,"")</f>
      </c>
      <c r="P819" s="6"/>
      <c r="Q819" s="158"/>
      <c r="R819" s="163"/>
      <c r="S819" s="147"/>
      <c r="T819" s="6"/>
      <c r="U819" s="158"/>
      <c r="V819" s="164">
        <v>31</v>
      </c>
      <c r="W819" s="165">
        <f>IFERROR(U819*V819,"0")</f>
      </c>
      <c r="X819" s="7"/>
      <c r="Y819" s="191">
        <f>IFERROR((O819/1000)*Masters!$C$3,"0")</f>
      </c>
      <c r="Z819" s="195"/>
      <c r="AA819" s="164">
        <f>IFERROR(VLOOKUP(L819,Masters!G:H,2,0),"0")</f>
      </c>
      <c r="AB819" s="166">
        <f>IFERROR(AA819*N819,"0")</f>
      </c>
      <c r="AC819" s="196"/>
      <c r="AD819" s="7"/>
      <c r="AE819" s="166">
        <f>W819+Y819+AB819+AD819</f>
      </c>
      <c r="AF819" s="195"/>
      <c r="AG819" s="169">
        <f>M819&amp;"-"&amp;F819</f>
      </c>
      <c r="AH819" s="191">
        <f>IFERROR(VLOOKUP(AG819,Masters!N:O,2,0),"0")</f>
      </c>
      <c r="AI819" s="166">
        <f>AH819*N819</f>
      </c>
      <c r="AJ819" s="7"/>
      <c r="AK819" s="170">
        <f>AI819-AE819</f>
      </c>
      <c r="AL819" s="195"/>
      <c r="AM819" s="6"/>
      <c r="AN819" s="171">
        <f>IFERROR(U819/2,"0")</f>
      </c>
    </row>
    <row x14ac:dyDescent="0.25" r="820" customHeight="1" ht="18.75">
      <c r="A820" s="158">
        <f>A819+1</f>
      </c>
      <c r="B820" s="159"/>
      <c r="C820" s="6"/>
      <c r="D820" s="159"/>
      <c r="E820" s="198"/>
      <c r="F820" s="160"/>
      <c r="G820" s="6"/>
      <c r="H820" s="6"/>
      <c r="I820" s="7"/>
      <c r="J820" s="147"/>
      <c r="K820" s="7"/>
      <c r="L820" s="147"/>
      <c r="M820" s="161">
        <f>IFERROR(VLOOKUP(L820,'Material Master'!B:C,2,0),"")</f>
      </c>
      <c r="N820" s="7"/>
      <c r="O820" s="162">
        <f>IFERROR(M820*N820,"")</f>
      </c>
      <c r="P820" s="6"/>
      <c r="Q820" s="158"/>
      <c r="R820" s="163"/>
      <c r="S820" s="147"/>
      <c r="T820" s="6"/>
      <c r="U820" s="158"/>
      <c r="V820" s="164">
        <v>31</v>
      </c>
      <c r="W820" s="165">
        <f>IFERROR(U820*V820,"0")</f>
      </c>
      <c r="X820" s="7"/>
      <c r="Y820" s="191">
        <f>IFERROR((O820/1000)*Masters!$C$3,"0")</f>
      </c>
      <c r="Z820" s="195"/>
      <c r="AA820" s="164">
        <f>IFERROR(VLOOKUP(L820,Masters!G:H,2,0),"0")</f>
      </c>
      <c r="AB820" s="166">
        <f>IFERROR(AA820*N820,"0")</f>
      </c>
      <c r="AC820" s="196"/>
      <c r="AD820" s="7"/>
      <c r="AE820" s="166">
        <f>W820+Y820+AB820+AD820</f>
      </c>
      <c r="AF820" s="195"/>
      <c r="AG820" s="169">
        <f>M820&amp;"-"&amp;F820</f>
      </c>
      <c r="AH820" s="191">
        <f>IFERROR(VLOOKUP(AG820,Masters!N:O,2,0),"0")</f>
      </c>
      <c r="AI820" s="166">
        <f>AH820*N820</f>
      </c>
      <c r="AJ820" s="7"/>
      <c r="AK820" s="170">
        <f>AI820-AE820</f>
      </c>
      <c r="AL820" s="195"/>
      <c r="AM820" s="6"/>
      <c r="AN820" s="171">
        <f>IFERROR(U820/2,"0")</f>
      </c>
    </row>
    <row x14ac:dyDescent="0.25" r="821" customHeight="1" ht="18.75">
      <c r="A821" s="158">
        <f>A820+1</f>
      </c>
      <c r="B821" s="159"/>
      <c r="C821" s="6"/>
      <c r="D821" s="159"/>
      <c r="E821" s="198"/>
      <c r="F821" s="160"/>
      <c r="G821" s="6"/>
      <c r="H821" s="6"/>
      <c r="I821" s="7"/>
      <c r="J821" s="147"/>
      <c r="K821" s="7"/>
      <c r="L821" s="147"/>
      <c r="M821" s="161">
        <f>IFERROR(VLOOKUP(L821,'Material Master'!B:C,2,0),"")</f>
      </c>
      <c r="N821" s="7"/>
      <c r="O821" s="162">
        <f>IFERROR(M821*N821,"")</f>
      </c>
      <c r="P821" s="6"/>
      <c r="Q821" s="158"/>
      <c r="R821" s="163"/>
      <c r="S821" s="147"/>
      <c r="T821" s="6"/>
      <c r="U821" s="158"/>
      <c r="V821" s="164">
        <v>31</v>
      </c>
      <c r="W821" s="165">
        <f>IFERROR(U821*V821,"0")</f>
      </c>
      <c r="X821" s="7"/>
      <c r="Y821" s="191">
        <f>IFERROR((O821/1000)*Masters!$C$3,"0")</f>
      </c>
      <c r="Z821" s="195"/>
      <c r="AA821" s="164">
        <f>IFERROR(VLOOKUP(L821,Masters!G:H,2,0),"0")</f>
      </c>
      <c r="AB821" s="166">
        <f>IFERROR(AA821*N821,"0")</f>
      </c>
      <c r="AC821" s="196"/>
      <c r="AD821" s="7"/>
      <c r="AE821" s="166">
        <f>W821+Y821+AB821+AD821</f>
      </c>
      <c r="AF821" s="195"/>
      <c r="AG821" s="169">
        <f>M821&amp;"-"&amp;F821</f>
      </c>
      <c r="AH821" s="191">
        <f>IFERROR(VLOOKUP(AG821,Masters!N:O,2,0),"0")</f>
      </c>
      <c r="AI821" s="166">
        <f>AH821*N821</f>
      </c>
      <c r="AJ821" s="7"/>
      <c r="AK821" s="170">
        <f>AI821-AE821</f>
      </c>
      <c r="AL821" s="195"/>
      <c r="AM821" s="6"/>
      <c r="AN821" s="171">
        <f>IFERROR(U821/2,"0")</f>
      </c>
    </row>
    <row x14ac:dyDescent="0.25" r="822" customHeight="1" ht="18.75">
      <c r="A822" s="158">
        <f>A821+1</f>
      </c>
      <c r="B822" s="159"/>
      <c r="C822" s="6"/>
      <c r="D822" s="159"/>
      <c r="E822" s="198"/>
      <c r="F822" s="160"/>
      <c r="G822" s="6"/>
      <c r="H822" s="6"/>
      <c r="I822" s="7"/>
      <c r="J822" s="147"/>
      <c r="K822" s="7"/>
      <c r="L822" s="147"/>
      <c r="M822" s="161">
        <f>IFERROR(VLOOKUP(L822,'Material Master'!B:C,2,0),"")</f>
      </c>
      <c r="N822" s="7"/>
      <c r="O822" s="162">
        <f>IFERROR(M822*N822,"")</f>
      </c>
      <c r="P822" s="6"/>
      <c r="Q822" s="158"/>
      <c r="R822" s="163"/>
      <c r="S822" s="147"/>
      <c r="T822" s="6"/>
      <c r="U822" s="158"/>
      <c r="V822" s="164">
        <v>31</v>
      </c>
      <c r="W822" s="165">
        <f>IFERROR(U822*V822,"0")</f>
      </c>
      <c r="X822" s="7"/>
      <c r="Y822" s="191">
        <f>IFERROR((O822/1000)*Masters!$C$3,"0")</f>
      </c>
      <c r="Z822" s="195"/>
      <c r="AA822" s="164">
        <f>IFERROR(VLOOKUP(L822,Masters!G:H,2,0),"0")</f>
      </c>
      <c r="AB822" s="166">
        <f>IFERROR(AA822*N822,"0")</f>
      </c>
      <c r="AC822" s="196"/>
      <c r="AD822" s="7"/>
      <c r="AE822" s="166">
        <f>W822+Y822+AB822+AD822</f>
      </c>
      <c r="AF822" s="195"/>
      <c r="AG822" s="169">
        <f>M822&amp;"-"&amp;F822</f>
      </c>
      <c r="AH822" s="191">
        <f>IFERROR(VLOOKUP(AG822,Masters!N:O,2,0),"0")</f>
      </c>
      <c r="AI822" s="166">
        <f>AH822*N822</f>
      </c>
      <c r="AJ822" s="7"/>
      <c r="AK822" s="170">
        <f>AI822-AE822</f>
      </c>
      <c r="AL822" s="195"/>
      <c r="AM822" s="6"/>
      <c r="AN822" s="171">
        <f>IFERROR(U822/2,"0")</f>
      </c>
    </row>
    <row x14ac:dyDescent="0.25" r="823" customHeight="1" ht="18.75">
      <c r="A823" s="158">
        <f>A822+1</f>
      </c>
      <c r="B823" s="159"/>
      <c r="C823" s="6"/>
      <c r="D823" s="159"/>
      <c r="E823" s="198"/>
      <c r="F823" s="160"/>
      <c r="G823" s="6"/>
      <c r="H823" s="6"/>
      <c r="I823" s="7"/>
      <c r="J823" s="147"/>
      <c r="K823" s="7"/>
      <c r="L823" s="147"/>
      <c r="M823" s="161">
        <f>IFERROR(VLOOKUP(L823,'Material Master'!B:C,2,0),"")</f>
      </c>
      <c r="N823" s="7"/>
      <c r="O823" s="162">
        <f>IFERROR(M823*N823,"")</f>
      </c>
      <c r="P823" s="6"/>
      <c r="Q823" s="158"/>
      <c r="R823" s="163"/>
      <c r="S823" s="147"/>
      <c r="T823" s="6"/>
      <c r="U823" s="158"/>
      <c r="V823" s="164">
        <v>31</v>
      </c>
      <c r="W823" s="165">
        <f>IFERROR(U823*V823,"0")</f>
      </c>
      <c r="X823" s="7"/>
      <c r="Y823" s="191">
        <f>IFERROR((O823/1000)*Masters!$C$3,"0")</f>
      </c>
      <c r="Z823" s="195"/>
      <c r="AA823" s="164">
        <f>IFERROR(VLOOKUP(L823,Masters!G:H,2,0),"0")</f>
      </c>
      <c r="AB823" s="166">
        <f>IFERROR(AA823*N823,"0")</f>
      </c>
      <c r="AC823" s="196"/>
      <c r="AD823" s="7"/>
      <c r="AE823" s="166">
        <f>W823+Y823+AB823+AD823</f>
      </c>
      <c r="AF823" s="195"/>
      <c r="AG823" s="169">
        <f>M823&amp;"-"&amp;F823</f>
      </c>
      <c r="AH823" s="191">
        <f>IFERROR(VLOOKUP(AG823,Masters!N:O,2,0),"0")</f>
      </c>
      <c r="AI823" s="166">
        <f>AH823*N823</f>
      </c>
      <c r="AJ823" s="7"/>
      <c r="AK823" s="170">
        <f>AI823-AE823</f>
      </c>
      <c r="AL823" s="195"/>
      <c r="AM823" s="6"/>
      <c r="AN823" s="171">
        <f>IFERROR(U823/2,"0")</f>
      </c>
    </row>
    <row x14ac:dyDescent="0.25" r="824" customHeight="1" ht="18.75">
      <c r="A824" s="158">
        <f>A823+1</f>
      </c>
      <c r="B824" s="159"/>
      <c r="C824" s="6"/>
      <c r="D824" s="159"/>
      <c r="E824" s="198"/>
      <c r="F824" s="160"/>
      <c r="G824" s="6"/>
      <c r="H824" s="6"/>
      <c r="I824" s="7"/>
      <c r="J824" s="147"/>
      <c r="K824" s="7"/>
      <c r="L824" s="147"/>
      <c r="M824" s="161">
        <f>IFERROR(VLOOKUP(L824,'Material Master'!B:C,2,0),"")</f>
      </c>
      <c r="N824" s="7"/>
      <c r="O824" s="162">
        <f>IFERROR(M824*N824,"")</f>
      </c>
      <c r="P824" s="6"/>
      <c r="Q824" s="158"/>
      <c r="R824" s="163"/>
      <c r="S824" s="147"/>
      <c r="T824" s="6"/>
      <c r="U824" s="158"/>
      <c r="V824" s="164">
        <v>31</v>
      </c>
      <c r="W824" s="165">
        <f>IFERROR(U824*V824,"0")</f>
      </c>
      <c r="X824" s="7"/>
      <c r="Y824" s="191">
        <f>IFERROR((O824/1000)*Masters!$C$3,"0")</f>
      </c>
      <c r="Z824" s="195"/>
      <c r="AA824" s="164">
        <f>IFERROR(VLOOKUP(L824,Masters!G:H,2,0),"0")</f>
      </c>
      <c r="AB824" s="166">
        <f>IFERROR(AA824*N824,"0")</f>
      </c>
      <c r="AC824" s="196"/>
      <c r="AD824" s="7"/>
      <c r="AE824" s="166">
        <f>W824+Y824+AB824+AD824</f>
      </c>
      <c r="AF824" s="195"/>
      <c r="AG824" s="169">
        <f>M824&amp;"-"&amp;F824</f>
      </c>
      <c r="AH824" s="191">
        <f>IFERROR(VLOOKUP(AG824,Masters!N:O,2,0),"0")</f>
      </c>
      <c r="AI824" s="166">
        <f>AH824*N824</f>
      </c>
      <c r="AJ824" s="7"/>
      <c r="AK824" s="170">
        <f>AI824-AE824</f>
      </c>
      <c r="AL824" s="195"/>
      <c r="AM824" s="6"/>
      <c r="AN824" s="171">
        <f>IFERROR(U824/2,"0")</f>
      </c>
    </row>
    <row x14ac:dyDescent="0.25" r="825" customHeight="1" ht="18.75">
      <c r="A825" s="158">
        <f>A824+1</f>
      </c>
      <c r="B825" s="159"/>
      <c r="C825" s="6"/>
      <c r="D825" s="159"/>
      <c r="E825" s="198"/>
      <c r="F825" s="160"/>
      <c r="G825" s="6"/>
      <c r="H825" s="6"/>
      <c r="I825" s="7"/>
      <c r="J825" s="147"/>
      <c r="K825" s="7"/>
      <c r="L825" s="147"/>
      <c r="M825" s="161">
        <f>IFERROR(VLOOKUP(L825,'Material Master'!B:C,2,0),"")</f>
      </c>
      <c r="N825" s="7"/>
      <c r="O825" s="162">
        <f>IFERROR(M825*N825,"")</f>
      </c>
      <c r="P825" s="6"/>
      <c r="Q825" s="158"/>
      <c r="R825" s="163"/>
      <c r="S825" s="147"/>
      <c r="T825" s="6"/>
      <c r="U825" s="158"/>
      <c r="V825" s="164">
        <v>31</v>
      </c>
      <c r="W825" s="165">
        <f>IFERROR(U825*V825,"0")</f>
      </c>
      <c r="X825" s="7"/>
      <c r="Y825" s="191">
        <f>IFERROR((O825/1000)*Masters!$C$3,"0")</f>
      </c>
      <c r="Z825" s="195"/>
      <c r="AA825" s="164">
        <f>IFERROR(VLOOKUP(L825,Masters!G:H,2,0),"0")</f>
      </c>
      <c r="AB825" s="166">
        <f>IFERROR(AA825*N825,"0")</f>
      </c>
      <c r="AC825" s="196"/>
      <c r="AD825" s="7"/>
      <c r="AE825" s="166">
        <f>W825+Y825+AB825+AD825</f>
      </c>
      <c r="AF825" s="195"/>
      <c r="AG825" s="169">
        <f>M825&amp;"-"&amp;F825</f>
      </c>
      <c r="AH825" s="191">
        <f>IFERROR(VLOOKUP(AG825,Masters!N:O,2,0),"0")</f>
      </c>
      <c r="AI825" s="166">
        <f>AH825*N825</f>
      </c>
      <c r="AJ825" s="7"/>
      <c r="AK825" s="170">
        <f>AI825-AE825</f>
      </c>
      <c r="AL825" s="195"/>
      <c r="AM825" s="6"/>
      <c r="AN825" s="171">
        <f>IFERROR(U825/2,"0")</f>
      </c>
    </row>
    <row x14ac:dyDescent="0.25" r="826" customHeight="1" ht="18.75">
      <c r="A826" s="158">
        <f>A825+1</f>
      </c>
      <c r="B826" s="159"/>
      <c r="C826" s="6"/>
      <c r="D826" s="159"/>
      <c r="E826" s="198"/>
      <c r="F826" s="160"/>
      <c r="G826" s="6"/>
      <c r="H826" s="6"/>
      <c r="I826" s="7"/>
      <c r="J826" s="147"/>
      <c r="K826" s="7"/>
      <c r="L826" s="147"/>
      <c r="M826" s="161">
        <f>IFERROR(VLOOKUP(L826,'Material Master'!B:C,2,0),"")</f>
      </c>
      <c r="N826" s="7"/>
      <c r="O826" s="162">
        <f>IFERROR(M826*N826,"")</f>
      </c>
      <c r="P826" s="6"/>
      <c r="Q826" s="158"/>
      <c r="R826" s="163"/>
      <c r="S826" s="147"/>
      <c r="T826" s="6"/>
      <c r="U826" s="158"/>
      <c r="V826" s="164">
        <v>31</v>
      </c>
      <c r="W826" s="165">
        <f>IFERROR(U826*V826,"0")</f>
      </c>
      <c r="X826" s="7"/>
      <c r="Y826" s="191">
        <f>IFERROR((O826/1000)*Masters!$C$3,"0")</f>
      </c>
      <c r="Z826" s="195"/>
      <c r="AA826" s="164">
        <f>IFERROR(VLOOKUP(L826,Masters!G:H,2,0),"0")</f>
      </c>
      <c r="AB826" s="166">
        <f>IFERROR(AA826*N826,"0")</f>
      </c>
      <c r="AC826" s="196"/>
      <c r="AD826" s="7"/>
      <c r="AE826" s="166">
        <f>W826+Y826+AB826+AD826</f>
      </c>
      <c r="AF826" s="195"/>
      <c r="AG826" s="169">
        <f>M826&amp;"-"&amp;F826</f>
      </c>
      <c r="AH826" s="191">
        <f>IFERROR(VLOOKUP(AG826,Masters!N:O,2,0),"0")</f>
      </c>
      <c r="AI826" s="166">
        <f>AH826*N826</f>
      </c>
      <c r="AJ826" s="7"/>
      <c r="AK826" s="170">
        <f>AI826-AE826</f>
      </c>
      <c r="AL826" s="195"/>
      <c r="AM826" s="6"/>
      <c r="AN826" s="171">
        <f>IFERROR(U826/2,"0")</f>
      </c>
    </row>
    <row x14ac:dyDescent="0.25" r="827" customHeight="1" ht="18.75">
      <c r="A827" s="158">
        <f>A826+1</f>
      </c>
      <c r="B827" s="159"/>
      <c r="C827" s="6"/>
      <c r="D827" s="159"/>
      <c r="E827" s="198"/>
      <c r="F827" s="160"/>
      <c r="G827" s="6"/>
      <c r="H827" s="6"/>
      <c r="I827" s="7"/>
      <c r="J827" s="147"/>
      <c r="K827" s="7"/>
      <c r="L827" s="147"/>
      <c r="M827" s="161">
        <f>IFERROR(VLOOKUP(L827,'Material Master'!B:C,2,0),"")</f>
      </c>
      <c r="N827" s="7"/>
      <c r="O827" s="162">
        <f>IFERROR(M827*N827,"")</f>
      </c>
      <c r="P827" s="6"/>
      <c r="Q827" s="158"/>
      <c r="R827" s="163"/>
      <c r="S827" s="147"/>
      <c r="T827" s="6"/>
      <c r="U827" s="158"/>
      <c r="V827" s="164">
        <v>31</v>
      </c>
      <c r="W827" s="165">
        <f>IFERROR(U827*V827,"0")</f>
      </c>
      <c r="X827" s="7"/>
      <c r="Y827" s="191">
        <f>IFERROR((O827/1000)*Masters!$C$3,"0")</f>
      </c>
      <c r="Z827" s="195"/>
      <c r="AA827" s="164">
        <f>IFERROR(VLOOKUP(L827,Masters!G:H,2,0),"0")</f>
      </c>
      <c r="AB827" s="166">
        <f>IFERROR(AA827*N827,"0")</f>
      </c>
      <c r="AC827" s="196"/>
      <c r="AD827" s="7"/>
      <c r="AE827" s="166">
        <f>W827+Y827+AB827+AD827</f>
      </c>
      <c r="AF827" s="195"/>
      <c r="AG827" s="169">
        <f>M827&amp;"-"&amp;F827</f>
      </c>
      <c r="AH827" s="191">
        <f>IFERROR(VLOOKUP(AG827,Masters!N:O,2,0),"0")</f>
      </c>
      <c r="AI827" s="166">
        <f>AH827*N827</f>
      </c>
      <c r="AJ827" s="7"/>
      <c r="AK827" s="170">
        <f>AI827-AE827</f>
      </c>
      <c r="AL827" s="195"/>
      <c r="AM827" s="6"/>
      <c r="AN827" s="171">
        <f>IFERROR(U827/2,"0")</f>
      </c>
    </row>
    <row x14ac:dyDescent="0.25" r="828" customHeight="1" ht="18.75">
      <c r="A828" s="158">
        <f>A827+1</f>
      </c>
      <c r="B828" s="159"/>
      <c r="C828" s="6"/>
      <c r="D828" s="159"/>
      <c r="E828" s="198"/>
      <c r="F828" s="160"/>
      <c r="G828" s="6"/>
      <c r="H828" s="6"/>
      <c r="I828" s="7"/>
      <c r="J828" s="147"/>
      <c r="K828" s="7"/>
      <c r="L828" s="147"/>
      <c r="M828" s="161">
        <f>IFERROR(VLOOKUP(L828,'Material Master'!B:C,2,0),"")</f>
      </c>
      <c r="N828" s="7"/>
      <c r="O828" s="162">
        <f>IFERROR(M828*N828,"")</f>
      </c>
      <c r="P828" s="6"/>
      <c r="Q828" s="158"/>
      <c r="R828" s="163"/>
      <c r="S828" s="147"/>
      <c r="T828" s="6"/>
      <c r="U828" s="158"/>
      <c r="V828" s="164">
        <v>31</v>
      </c>
      <c r="W828" s="165">
        <f>IFERROR(U828*V828,"0")</f>
      </c>
      <c r="X828" s="7"/>
      <c r="Y828" s="191">
        <f>IFERROR((O828/1000)*Masters!$C$3,"0")</f>
      </c>
      <c r="Z828" s="195"/>
      <c r="AA828" s="164">
        <f>IFERROR(VLOOKUP(L828,Masters!G:H,2,0),"0")</f>
      </c>
      <c r="AB828" s="166">
        <f>IFERROR(AA828*N828,"0")</f>
      </c>
      <c r="AC828" s="196"/>
      <c r="AD828" s="7"/>
      <c r="AE828" s="166">
        <f>W828+Y828+AB828+AD828</f>
      </c>
      <c r="AF828" s="195"/>
      <c r="AG828" s="169">
        <f>M828&amp;"-"&amp;F828</f>
      </c>
      <c r="AH828" s="191">
        <f>IFERROR(VLOOKUP(AG828,Masters!N:O,2,0),"0")</f>
      </c>
      <c r="AI828" s="166">
        <f>AH828*N828</f>
      </c>
      <c r="AJ828" s="7"/>
      <c r="AK828" s="170">
        <f>AI828-AE828</f>
      </c>
      <c r="AL828" s="195"/>
      <c r="AM828" s="6"/>
      <c r="AN828" s="171">
        <f>IFERROR(U828/2,"0")</f>
      </c>
    </row>
    <row x14ac:dyDescent="0.25" r="829" customHeight="1" ht="18.75">
      <c r="A829" s="158">
        <f>A828+1</f>
      </c>
      <c r="B829" s="159"/>
      <c r="C829" s="6"/>
      <c r="D829" s="159"/>
      <c r="E829" s="198"/>
      <c r="F829" s="160"/>
      <c r="G829" s="6"/>
      <c r="H829" s="6"/>
      <c r="I829" s="7"/>
      <c r="J829" s="147"/>
      <c r="K829" s="7"/>
      <c r="L829" s="147"/>
      <c r="M829" s="161">
        <f>IFERROR(VLOOKUP(L829,'Material Master'!B:C,2,0),"")</f>
      </c>
      <c r="N829" s="7"/>
      <c r="O829" s="162">
        <f>IFERROR(M829*N829,"")</f>
      </c>
      <c r="P829" s="6"/>
      <c r="Q829" s="158"/>
      <c r="R829" s="163"/>
      <c r="S829" s="147"/>
      <c r="T829" s="6"/>
      <c r="U829" s="158"/>
      <c r="V829" s="164">
        <v>31</v>
      </c>
      <c r="W829" s="165">
        <f>IFERROR(U829*V829,"0")</f>
      </c>
      <c r="X829" s="7"/>
      <c r="Y829" s="191">
        <f>IFERROR((O829/1000)*Masters!$C$3,"0")</f>
      </c>
      <c r="Z829" s="195"/>
      <c r="AA829" s="164">
        <f>IFERROR(VLOOKUP(L829,Masters!G:H,2,0),"0")</f>
      </c>
      <c r="AB829" s="166">
        <f>IFERROR(AA829*N829,"0")</f>
      </c>
      <c r="AC829" s="196"/>
      <c r="AD829" s="7"/>
      <c r="AE829" s="166">
        <f>W829+Y829+AB829+AD829</f>
      </c>
      <c r="AF829" s="195"/>
      <c r="AG829" s="169">
        <f>M829&amp;"-"&amp;F829</f>
      </c>
      <c r="AH829" s="191">
        <f>IFERROR(VLOOKUP(AG829,Masters!N:O,2,0),"0")</f>
      </c>
      <c r="AI829" s="166">
        <f>AH829*N829</f>
      </c>
      <c r="AJ829" s="7"/>
      <c r="AK829" s="170">
        <f>AI829-AE829</f>
      </c>
      <c r="AL829" s="195"/>
      <c r="AM829" s="6"/>
      <c r="AN829" s="171">
        <f>IFERROR(U829/2,"0")</f>
      </c>
    </row>
    <row x14ac:dyDescent="0.25" r="830" customHeight="1" ht="18.75">
      <c r="A830" s="158">
        <f>A829+1</f>
      </c>
      <c r="B830" s="159"/>
      <c r="C830" s="6"/>
      <c r="D830" s="159"/>
      <c r="E830" s="198"/>
      <c r="F830" s="160"/>
      <c r="G830" s="6"/>
      <c r="H830" s="6"/>
      <c r="I830" s="7"/>
      <c r="J830" s="147"/>
      <c r="K830" s="7"/>
      <c r="L830" s="147"/>
      <c r="M830" s="161">
        <f>IFERROR(VLOOKUP(L830,'Material Master'!B:C,2,0),"")</f>
      </c>
      <c r="N830" s="7"/>
      <c r="O830" s="162">
        <f>IFERROR(M830*N830,"")</f>
      </c>
      <c r="P830" s="6"/>
      <c r="Q830" s="158"/>
      <c r="R830" s="163"/>
      <c r="S830" s="147"/>
      <c r="T830" s="6"/>
      <c r="U830" s="158"/>
      <c r="V830" s="164">
        <v>31</v>
      </c>
      <c r="W830" s="165">
        <f>IFERROR(U830*V830,"0")</f>
      </c>
      <c r="X830" s="7"/>
      <c r="Y830" s="191">
        <f>IFERROR((O830/1000)*Masters!$C$3,"0")</f>
      </c>
      <c r="Z830" s="195"/>
      <c r="AA830" s="164">
        <f>IFERROR(VLOOKUP(L830,Masters!G:H,2,0),"0")</f>
      </c>
      <c r="AB830" s="166">
        <f>IFERROR(AA830*N830,"0")</f>
      </c>
      <c r="AC830" s="196"/>
      <c r="AD830" s="7"/>
      <c r="AE830" s="166">
        <f>W830+Y830+AB830+AD830</f>
      </c>
      <c r="AF830" s="195"/>
      <c r="AG830" s="169">
        <f>M830&amp;"-"&amp;F830</f>
      </c>
      <c r="AH830" s="191">
        <f>IFERROR(VLOOKUP(AG830,Masters!N:O,2,0),"0")</f>
      </c>
      <c r="AI830" s="166">
        <f>AH830*N830</f>
      </c>
      <c r="AJ830" s="7"/>
      <c r="AK830" s="170">
        <f>AI830-AE830</f>
      </c>
      <c r="AL830" s="195"/>
      <c r="AM830" s="6"/>
      <c r="AN830" s="171">
        <f>IFERROR(U830/2,"0")</f>
      </c>
    </row>
    <row x14ac:dyDescent="0.25" r="831" customHeight="1" ht="18.75">
      <c r="A831" s="158">
        <f>A830+1</f>
      </c>
      <c r="B831" s="159"/>
      <c r="C831" s="6"/>
      <c r="D831" s="159"/>
      <c r="E831" s="198"/>
      <c r="F831" s="160"/>
      <c r="G831" s="6"/>
      <c r="H831" s="6"/>
      <c r="I831" s="7"/>
      <c r="J831" s="147"/>
      <c r="K831" s="7"/>
      <c r="L831" s="147"/>
      <c r="M831" s="161">
        <f>IFERROR(VLOOKUP(L831,'Material Master'!B:C,2,0),"")</f>
      </c>
      <c r="N831" s="7"/>
      <c r="O831" s="162">
        <f>IFERROR(M831*N831,"")</f>
      </c>
      <c r="P831" s="6"/>
      <c r="Q831" s="158"/>
      <c r="R831" s="163"/>
      <c r="S831" s="147"/>
      <c r="T831" s="6"/>
      <c r="U831" s="158"/>
      <c r="V831" s="164">
        <v>31</v>
      </c>
      <c r="W831" s="165">
        <f>IFERROR(U831*V831,"0")</f>
      </c>
      <c r="X831" s="7"/>
      <c r="Y831" s="191">
        <f>IFERROR((O831/1000)*Masters!$C$3,"0")</f>
      </c>
      <c r="Z831" s="195"/>
      <c r="AA831" s="164">
        <f>IFERROR(VLOOKUP(L831,Masters!G:H,2,0),"0")</f>
      </c>
      <c r="AB831" s="166">
        <f>IFERROR(AA831*N831,"0")</f>
      </c>
      <c r="AC831" s="196"/>
      <c r="AD831" s="7"/>
      <c r="AE831" s="166">
        <f>W831+Y831+AB831+AD831</f>
      </c>
      <c r="AF831" s="195"/>
      <c r="AG831" s="169">
        <f>M831&amp;"-"&amp;F831</f>
      </c>
      <c r="AH831" s="191">
        <f>IFERROR(VLOOKUP(AG831,Masters!N:O,2,0),"0")</f>
      </c>
      <c r="AI831" s="166">
        <f>AH831*N831</f>
      </c>
      <c r="AJ831" s="7"/>
      <c r="AK831" s="170">
        <f>AI831-AE831</f>
      </c>
      <c r="AL831" s="195"/>
      <c r="AM831" s="6"/>
      <c r="AN831" s="171">
        <f>IFERROR(U831/2,"0")</f>
      </c>
    </row>
    <row x14ac:dyDescent="0.25" r="832" customHeight="1" ht="18.75">
      <c r="A832" s="158">
        <f>A831+1</f>
      </c>
      <c r="B832" s="159"/>
      <c r="C832" s="6"/>
      <c r="D832" s="159"/>
      <c r="E832" s="198"/>
      <c r="F832" s="160"/>
      <c r="G832" s="6"/>
      <c r="H832" s="6"/>
      <c r="I832" s="7"/>
      <c r="J832" s="147"/>
      <c r="K832" s="7"/>
      <c r="L832" s="147"/>
      <c r="M832" s="161">
        <f>IFERROR(VLOOKUP(L832,'Material Master'!B:C,2,0),"")</f>
      </c>
      <c r="N832" s="7"/>
      <c r="O832" s="162">
        <f>IFERROR(M832*N832,"")</f>
      </c>
      <c r="P832" s="6"/>
      <c r="Q832" s="158"/>
      <c r="R832" s="163"/>
      <c r="S832" s="147"/>
      <c r="T832" s="6"/>
      <c r="U832" s="158"/>
      <c r="V832" s="164">
        <v>31</v>
      </c>
      <c r="W832" s="165">
        <f>IFERROR(U832*V832,"0")</f>
      </c>
      <c r="X832" s="7"/>
      <c r="Y832" s="191">
        <f>IFERROR((O832/1000)*Masters!$C$3,"0")</f>
      </c>
      <c r="Z832" s="195"/>
      <c r="AA832" s="164">
        <f>IFERROR(VLOOKUP(L832,Masters!G:H,2,0),"0")</f>
      </c>
      <c r="AB832" s="166">
        <f>IFERROR(AA832*N832,"0")</f>
      </c>
      <c r="AC832" s="196"/>
      <c r="AD832" s="7"/>
      <c r="AE832" s="166">
        <f>W832+Y832+AB832+AD832</f>
      </c>
      <c r="AF832" s="195"/>
      <c r="AG832" s="169">
        <f>M832&amp;"-"&amp;F832</f>
      </c>
      <c r="AH832" s="191">
        <f>IFERROR(VLOOKUP(AG832,Masters!N:O,2,0),"0")</f>
      </c>
      <c r="AI832" s="166">
        <f>AH832*N832</f>
      </c>
      <c r="AJ832" s="7"/>
      <c r="AK832" s="170">
        <f>AI832-AE832</f>
      </c>
      <c r="AL832" s="195"/>
      <c r="AM832" s="6"/>
      <c r="AN832" s="171">
        <f>IFERROR(U832/2,"0")</f>
      </c>
    </row>
    <row x14ac:dyDescent="0.25" r="833" customHeight="1" ht="18.75">
      <c r="A833" s="158">
        <f>A832+1</f>
      </c>
      <c r="B833" s="159"/>
      <c r="C833" s="6"/>
      <c r="D833" s="159"/>
      <c r="E833" s="198"/>
      <c r="F833" s="160"/>
      <c r="G833" s="6"/>
      <c r="H833" s="6"/>
      <c r="I833" s="7"/>
      <c r="J833" s="147"/>
      <c r="K833" s="7"/>
      <c r="L833" s="147"/>
      <c r="M833" s="161">
        <f>IFERROR(VLOOKUP(L833,'Material Master'!B:C,2,0),"")</f>
      </c>
      <c r="N833" s="7"/>
      <c r="O833" s="162">
        <f>IFERROR(M833*N833,"")</f>
      </c>
      <c r="P833" s="6"/>
      <c r="Q833" s="158"/>
      <c r="R833" s="163"/>
      <c r="S833" s="147"/>
      <c r="T833" s="6"/>
      <c r="U833" s="158"/>
      <c r="V833" s="164">
        <v>31</v>
      </c>
      <c r="W833" s="165">
        <f>IFERROR(U833*V833,"0")</f>
      </c>
      <c r="X833" s="7"/>
      <c r="Y833" s="191">
        <f>IFERROR((O833/1000)*Masters!$C$3,"0")</f>
      </c>
      <c r="Z833" s="195"/>
      <c r="AA833" s="164">
        <f>IFERROR(VLOOKUP(L833,Masters!G:H,2,0),"0")</f>
      </c>
      <c r="AB833" s="166">
        <f>IFERROR(AA833*N833,"0")</f>
      </c>
      <c r="AC833" s="196"/>
      <c r="AD833" s="7"/>
      <c r="AE833" s="166">
        <f>W833+Y833+AB833+AD833</f>
      </c>
      <c r="AF833" s="195"/>
      <c r="AG833" s="169">
        <f>M833&amp;"-"&amp;F833</f>
      </c>
      <c r="AH833" s="191">
        <f>IFERROR(VLOOKUP(AG833,Masters!N:O,2,0),"0")</f>
      </c>
      <c r="AI833" s="166">
        <f>AH833*N833</f>
      </c>
      <c r="AJ833" s="7"/>
      <c r="AK833" s="170">
        <f>AI833-AE833</f>
      </c>
      <c r="AL833" s="195"/>
      <c r="AM833" s="6"/>
      <c r="AN833" s="171">
        <f>IFERROR(U833/2,"0")</f>
      </c>
    </row>
    <row x14ac:dyDescent="0.25" r="834" customHeight="1" ht="18.75">
      <c r="A834" s="158">
        <f>A833+1</f>
      </c>
      <c r="B834" s="159"/>
      <c r="C834" s="6"/>
      <c r="D834" s="159"/>
      <c r="E834" s="198"/>
      <c r="F834" s="160"/>
      <c r="G834" s="6"/>
      <c r="H834" s="6"/>
      <c r="I834" s="7"/>
      <c r="J834" s="147"/>
      <c r="K834" s="7"/>
      <c r="L834" s="147"/>
      <c r="M834" s="161">
        <f>IFERROR(VLOOKUP(L834,'Material Master'!B:C,2,0),"")</f>
      </c>
      <c r="N834" s="7"/>
      <c r="O834" s="162">
        <f>IFERROR(M834*N834,"")</f>
      </c>
      <c r="P834" s="6"/>
      <c r="Q834" s="158"/>
      <c r="R834" s="163"/>
      <c r="S834" s="147"/>
      <c r="T834" s="6"/>
      <c r="U834" s="158"/>
      <c r="V834" s="164">
        <v>31</v>
      </c>
      <c r="W834" s="165">
        <f>IFERROR(U834*V834,"0")</f>
      </c>
      <c r="X834" s="7"/>
      <c r="Y834" s="191">
        <f>IFERROR((O834/1000)*Masters!$C$3,"0")</f>
      </c>
      <c r="Z834" s="195"/>
      <c r="AA834" s="164">
        <f>IFERROR(VLOOKUP(L834,Masters!G:H,2,0),"0")</f>
      </c>
      <c r="AB834" s="166">
        <f>IFERROR(AA834*N834,"0")</f>
      </c>
      <c r="AC834" s="196"/>
      <c r="AD834" s="7"/>
      <c r="AE834" s="166">
        <f>W834+Y834+AB834+AD834</f>
      </c>
      <c r="AF834" s="195"/>
      <c r="AG834" s="169">
        <f>M834&amp;"-"&amp;F834</f>
      </c>
      <c r="AH834" s="191">
        <f>IFERROR(VLOOKUP(AG834,Masters!N:O,2,0),"0")</f>
      </c>
      <c r="AI834" s="166">
        <f>AH834*N834</f>
      </c>
      <c r="AJ834" s="7"/>
      <c r="AK834" s="170">
        <f>AI834-AE834</f>
      </c>
      <c r="AL834" s="195"/>
      <c r="AM834" s="6"/>
      <c r="AN834" s="171">
        <f>IFERROR(U834/2,"0")</f>
      </c>
    </row>
    <row x14ac:dyDescent="0.25" r="835" customHeight="1" ht="18.75">
      <c r="A835" s="158">
        <f>A834+1</f>
      </c>
      <c r="B835" s="159"/>
      <c r="C835" s="6"/>
      <c r="D835" s="159"/>
      <c r="E835" s="198"/>
      <c r="F835" s="160"/>
      <c r="G835" s="6"/>
      <c r="H835" s="6"/>
      <c r="I835" s="7"/>
      <c r="J835" s="147"/>
      <c r="K835" s="7"/>
      <c r="L835" s="147"/>
      <c r="M835" s="161">
        <f>IFERROR(VLOOKUP(L835,'Material Master'!B:C,2,0),"")</f>
      </c>
      <c r="N835" s="7"/>
      <c r="O835" s="162">
        <f>IFERROR(M835*N835,"")</f>
      </c>
      <c r="P835" s="6"/>
      <c r="Q835" s="158"/>
      <c r="R835" s="163"/>
      <c r="S835" s="147"/>
      <c r="T835" s="6"/>
      <c r="U835" s="158"/>
      <c r="V835" s="164">
        <v>31</v>
      </c>
      <c r="W835" s="165">
        <f>IFERROR(U835*V835,"0")</f>
      </c>
      <c r="X835" s="7"/>
      <c r="Y835" s="191">
        <f>IFERROR((O835/1000)*Masters!$C$3,"0")</f>
      </c>
      <c r="Z835" s="195"/>
      <c r="AA835" s="164">
        <f>IFERROR(VLOOKUP(L835,Masters!G:H,2,0),"0")</f>
      </c>
      <c r="AB835" s="166">
        <f>IFERROR(AA835*N835,"0")</f>
      </c>
      <c r="AC835" s="196"/>
      <c r="AD835" s="7"/>
      <c r="AE835" s="166">
        <f>W835+Y835+AB835+AD835</f>
      </c>
      <c r="AF835" s="195"/>
      <c r="AG835" s="169">
        <f>M835&amp;"-"&amp;F835</f>
      </c>
      <c r="AH835" s="191">
        <f>IFERROR(VLOOKUP(AG835,Masters!N:O,2,0),"0")</f>
      </c>
      <c r="AI835" s="166">
        <f>AH835*N835</f>
      </c>
      <c r="AJ835" s="7"/>
      <c r="AK835" s="170">
        <f>AI835-AE835</f>
      </c>
      <c r="AL835" s="195"/>
      <c r="AM835" s="6"/>
      <c r="AN835" s="171">
        <f>IFERROR(U835/2,"0")</f>
      </c>
    </row>
    <row x14ac:dyDescent="0.25" r="836" customHeight="1" ht="18.75">
      <c r="A836" s="158">
        <f>A835+1</f>
      </c>
      <c r="B836" s="159"/>
      <c r="C836" s="6"/>
      <c r="D836" s="159"/>
      <c r="E836" s="198"/>
      <c r="F836" s="160"/>
      <c r="G836" s="6"/>
      <c r="H836" s="6"/>
      <c r="I836" s="7"/>
      <c r="J836" s="147"/>
      <c r="K836" s="7"/>
      <c r="L836" s="147"/>
      <c r="M836" s="161">
        <f>IFERROR(VLOOKUP(L836,'Material Master'!B:C,2,0),"")</f>
      </c>
      <c r="N836" s="7"/>
      <c r="O836" s="162">
        <f>IFERROR(M836*N836,"")</f>
      </c>
      <c r="P836" s="6"/>
      <c r="Q836" s="158"/>
      <c r="R836" s="163"/>
      <c r="S836" s="147"/>
      <c r="T836" s="6"/>
      <c r="U836" s="158"/>
      <c r="V836" s="164">
        <v>31</v>
      </c>
      <c r="W836" s="165">
        <f>IFERROR(U836*V836,"0")</f>
      </c>
      <c r="X836" s="7"/>
      <c r="Y836" s="191">
        <f>IFERROR((O836/1000)*Masters!$C$3,"0")</f>
      </c>
      <c r="Z836" s="195"/>
      <c r="AA836" s="164">
        <f>IFERROR(VLOOKUP(L836,Masters!G:H,2,0),"0")</f>
      </c>
      <c r="AB836" s="166">
        <f>IFERROR(AA836*N836,"0")</f>
      </c>
      <c r="AC836" s="196"/>
      <c r="AD836" s="7"/>
      <c r="AE836" s="166">
        <f>W836+Y836+AB836+AD836</f>
      </c>
      <c r="AF836" s="195"/>
      <c r="AG836" s="169">
        <f>M836&amp;"-"&amp;F836</f>
      </c>
      <c r="AH836" s="191">
        <f>IFERROR(VLOOKUP(AG836,Masters!N:O,2,0),"0")</f>
      </c>
      <c r="AI836" s="166">
        <f>AH836*N836</f>
      </c>
      <c r="AJ836" s="7"/>
      <c r="AK836" s="170">
        <f>AI836-AE836</f>
      </c>
      <c r="AL836" s="195"/>
      <c r="AM836" s="6"/>
      <c r="AN836" s="171">
        <f>IFERROR(U836/2,"0")</f>
      </c>
    </row>
    <row x14ac:dyDescent="0.25" r="837" customHeight="1" ht="18.75">
      <c r="A837" s="158">
        <f>A836+1</f>
      </c>
      <c r="B837" s="159"/>
      <c r="C837" s="6"/>
      <c r="D837" s="159"/>
      <c r="E837" s="198"/>
      <c r="F837" s="160"/>
      <c r="G837" s="6"/>
      <c r="H837" s="6"/>
      <c r="I837" s="7"/>
      <c r="J837" s="147"/>
      <c r="K837" s="7"/>
      <c r="L837" s="147"/>
      <c r="M837" s="161">
        <f>IFERROR(VLOOKUP(L837,'Material Master'!B:C,2,0),"")</f>
      </c>
      <c r="N837" s="7"/>
      <c r="O837" s="162">
        <f>IFERROR(M837*N837,"")</f>
      </c>
      <c r="P837" s="6"/>
      <c r="Q837" s="158"/>
      <c r="R837" s="163"/>
      <c r="S837" s="147"/>
      <c r="T837" s="6"/>
      <c r="U837" s="158"/>
      <c r="V837" s="164">
        <v>31</v>
      </c>
      <c r="W837" s="165">
        <f>IFERROR(U837*V837,"0")</f>
      </c>
      <c r="X837" s="7"/>
      <c r="Y837" s="191">
        <f>IFERROR((O837/1000)*Masters!$C$3,"0")</f>
      </c>
      <c r="Z837" s="195"/>
      <c r="AA837" s="164">
        <f>IFERROR(VLOOKUP(L837,Masters!G:H,2,0),"0")</f>
      </c>
      <c r="AB837" s="166">
        <f>IFERROR(AA837*N837,"0")</f>
      </c>
      <c r="AC837" s="196"/>
      <c r="AD837" s="7"/>
      <c r="AE837" s="166">
        <f>W837+Y837+AB837+AD837</f>
      </c>
      <c r="AF837" s="195"/>
      <c r="AG837" s="169">
        <f>M837&amp;"-"&amp;F837</f>
      </c>
      <c r="AH837" s="191">
        <f>IFERROR(VLOOKUP(AG837,Masters!N:O,2,0),"0")</f>
      </c>
      <c r="AI837" s="166">
        <f>AH837*N837</f>
      </c>
      <c r="AJ837" s="7"/>
      <c r="AK837" s="170">
        <f>AI837-AE837</f>
      </c>
      <c r="AL837" s="195"/>
      <c r="AM837" s="6"/>
      <c r="AN837" s="171">
        <f>IFERROR(U837/2,"0")</f>
      </c>
    </row>
    <row x14ac:dyDescent="0.25" r="838" customHeight="1" ht="18.75">
      <c r="A838" s="158">
        <f>A837+1</f>
      </c>
      <c r="B838" s="159"/>
      <c r="C838" s="6"/>
      <c r="D838" s="159"/>
      <c r="E838" s="198"/>
      <c r="F838" s="160"/>
      <c r="G838" s="6"/>
      <c r="H838" s="6"/>
      <c r="I838" s="7"/>
      <c r="J838" s="147"/>
      <c r="K838" s="7"/>
      <c r="L838" s="147"/>
      <c r="M838" s="161">
        <f>IFERROR(VLOOKUP(L838,'Material Master'!B:C,2,0),"")</f>
      </c>
      <c r="N838" s="7"/>
      <c r="O838" s="162">
        <f>IFERROR(M838*N838,"")</f>
      </c>
      <c r="P838" s="6"/>
      <c r="Q838" s="158"/>
      <c r="R838" s="163"/>
      <c r="S838" s="147"/>
      <c r="T838" s="6"/>
      <c r="U838" s="158"/>
      <c r="V838" s="164">
        <v>31</v>
      </c>
      <c r="W838" s="165">
        <f>IFERROR(U838*V838,"0")</f>
      </c>
      <c r="X838" s="7"/>
      <c r="Y838" s="191">
        <f>IFERROR((O838/1000)*Masters!$C$3,"0")</f>
      </c>
      <c r="Z838" s="195"/>
      <c r="AA838" s="164">
        <f>IFERROR(VLOOKUP(L838,Masters!G:H,2,0),"0")</f>
      </c>
      <c r="AB838" s="166">
        <f>IFERROR(AA838*N838,"0")</f>
      </c>
      <c r="AC838" s="196"/>
      <c r="AD838" s="7"/>
      <c r="AE838" s="166">
        <f>W838+Y838+AB838+AD838</f>
      </c>
      <c r="AF838" s="195"/>
      <c r="AG838" s="169">
        <f>M838&amp;"-"&amp;F838</f>
      </c>
      <c r="AH838" s="191">
        <f>IFERROR(VLOOKUP(AG838,Masters!N:O,2,0),"0")</f>
      </c>
      <c r="AI838" s="166">
        <f>AH838*N838</f>
      </c>
      <c r="AJ838" s="7"/>
      <c r="AK838" s="170">
        <f>AI838-AE838</f>
      </c>
      <c r="AL838" s="195"/>
      <c r="AM838" s="6"/>
      <c r="AN838" s="171">
        <f>IFERROR(U838/2,"0")</f>
      </c>
    </row>
    <row x14ac:dyDescent="0.25" r="839" customHeight="1" ht="18.75">
      <c r="A839" s="158">
        <f>A838+1</f>
      </c>
      <c r="B839" s="159"/>
      <c r="C839" s="6"/>
      <c r="D839" s="159"/>
      <c r="E839" s="198"/>
      <c r="F839" s="160"/>
      <c r="G839" s="6"/>
      <c r="H839" s="6"/>
      <c r="I839" s="7"/>
      <c r="J839" s="147"/>
      <c r="K839" s="7"/>
      <c r="L839" s="147"/>
      <c r="M839" s="161">
        <f>IFERROR(VLOOKUP(L839,'Material Master'!B:C,2,0),"")</f>
      </c>
      <c r="N839" s="7"/>
      <c r="O839" s="162">
        <f>IFERROR(M839*N839,"")</f>
      </c>
      <c r="P839" s="6"/>
      <c r="Q839" s="158"/>
      <c r="R839" s="163"/>
      <c r="S839" s="147"/>
      <c r="T839" s="6"/>
      <c r="U839" s="158"/>
      <c r="V839" s="164">
        <v>31</v>
      </c>
      <c r="W839" s="165">
        <f>IFERROR(U839*V839,"0")</f>
      </c>
      <c r="X839" s="7"/>
      <c r="Y839" s="191">
        <f>IFERROR((O839/1000)*Masters!$C$3,"0")</f>
      </c>
      <c r="Z839" s="195"/>
      <c r="AA839" s="164">
        <f>IFERROR(VLOOKUP(L839,Masters!G:H,2,0),"0")</f>
      </c>
      <c r="AB839" s="166">
        <f>IFERROR(AA839*N839,"0")</f>
      </c>
      <c r="AC839" s="196"/>
      <c r="AD839" s="7"/>
      <c r="AE839" s="166">
        <f>W839+Y839+AB839+AD839</f>
      </c>
      <c r="AF839" s="195"/>
      <c r="AG839" s="169">
        <f>M839&amp;"-"&amp;F839</f>
      </c>
      <c r="AH839" s="191">
        <f>IFERROR(VLOOKUP(AG839,Masters!N:O,2,0),"0")</f>
      </c>
      <c r="AI839" s="166">
        <f>AH839*N839</f>
      </c>
      <c r="AJ839" s="7"/>
      <c r="AK839" s="170">
        <f>AI839-AE839</f>
      </c>
      <c r="AL839" s="195"/>
      <c r="AM839" s="6"/>
      <c r="AN839" s="171">
        <f>IFERROR(U839/2,"0")</f>
      </c>
    </row>
    <row x14ac:dyDescent="0.25" r="840" customHeight="1" ht="18.75">
      <c r="A840" s="158">
        <f>A839+1</f>
      </c>
      <c r="B840" s="159"/>
      <c r="C840" s="6"/>
      <c r="D840" s="159"/>
      <c r="E840" s="198"/>
      <c r="F840" s="160"/>
      <c r="G840" s="6"/>
      <c r="H840" s="6"/>
      <c r="I840" s="7"/>
      <c r="J840" s="147"/>
      <c r="K840" s="7"/>
      <c r="L840" s="147"/>
      <c r="M840" s="161">
        <f>IFERROR(VLOOKUP(L840,'Material Master'!B:C,2,0),"")</f>
      </c>
      <c r="N840" s="7"/>
      <c r="O840" s="162">
        <f>IFERROR(M840*N840,"")</f>
      </c>
      <c r="P840" s="6"/>
      <c r="Q840" s="158"/>
      <c r="R840" s="163"/>
      <c r="S840" s="147"/>
      <c r="T840" s="6"/>
      <c r="U840" s="158"/>
      <c r="V840" s="164">
        <v>31</v>
      </c>
      <c r="W840" s="165">
        <f>IFERROR(U840*V840,"0")</f>
      </c>
      <c r="X840" s="7"/>
      <c r="Y840" s="191">
        <f>IFERROR((O840/1000)*Masters!$C$3,"0")</f>
      </c>
      <c r="Z840" s="195"/>
      <c r="AA840" s="164">
        <f>IFERROR(VLOOKUP(L840,Masters!G:H,2,0),"0")</f>
      </c>
      <c r="AB840" s="166">
        <f>IFERROR(AA840*N840,"0")</f>
      </c>
      <c r="AC840" s="196"/>
      <c r="AD840" s="7"/>
      <c r="AE840" s="166">
        <f>W840+Y840+AB840+AD840</f>
      </c>
      <c r="AF840" s="195"/>
      <c r="AG840" s="169">
        <f>M840&amp;"-"&amp;F840</f>
      </c>
      <c r="AH840" s="191">
        <f>IFERROR(VLOOKUP(AG840,Masters!N:O,2,0),"0")</f>
      </c>
      <c r="AI840" s="166">
        <f>AH840*N840</f>
      </c>
      <c r="AJ840" s="7"/>
      <c r="AK840" s="170">
        <f>AI840-AE840</f>
      </c>
      <c r="AL840" s="195"/>
      <c r="AM840" s="6"/>
      <c r="AN840" s="171">
        <f>IFERROR(U840/2,"0")</f>
      </c>
    </row>
    <row x14ac:dyDescent="0.25" r="841" customHeight="1" ht="18.75">
      <c r="A841" s="158">
        <f>A840+1</f>
      </c>
      <c r="B841" s="159"/>
      <c r="C841" s="6"/>
      <c r="D841" s="159"/>
      <c r="E841" s="198"/>
      <c r="F841" s="160"/>
      <c r="G841" s="6"/>
      <c r="H841" s="6"/>
      <c r="I841" s="7"/>
      <c r="J841" s="147"/>
      <c r="K841" s="7"/>
      <c r="L841" s="147"/>
      <c r="M841" s="161">
        <f>IFERROR(VLOOKUP(L841,'Material Master'!B:C,2,0),"")</f>
      </c>
      <c r="N841" s="7"/>
      <c r="O841" s="162">
        <f>IFERROR(M841*N841,"")</f>
      </c>
      <c r="P841" s="6"/>
      <c r="Q841" s="158"/>
      <c r="R841" s="163"/>
      <c r="S841" s="147"/>
      <c r="T841" s="6"/>
      <c r="U841" s="158"/>
      <c r="V841" s="164">
        <v>31</v>
      </c>
      <c r="W841" s="165">
        <f>IFERROR(U841*V841,"0")</f>
      </c>
      <c r="X841" s="7"/>
      <c r="Y841" s="191">
        <f>IFERROR((O841/1000)*Masters!$C$3,"0")</f>
      </c>
      <c r="Z841" s="195"/>
      <c r="AA841" s="164">
        <f>IFERROR(VLOOKUP(L841,Masters!G:H,2,0),"0")</f>
      </c>
      <c r="AB841" s="166">
        <f>IFERROR(AA841*N841,"0")</f>
      </c>
      <c r="AC841" s="196"/>
      <c r="AD841" s="7"/>
      <c r="AE841" s="166">
        <f>W841+Y841+AB841+AD841</f>
      </c>
      <c r="AF841" s="195"/>
      <c r="AG841" s="169">
        <f>M841&amp;"-"&amp;F841</f>
      </c>
      <c r="AH841" s="191">
        <f>IFERROR(VLOOKUP(AG841,Masters!N:O,2,0),"0")</f>
      </c>
      <c r="AI841" s="166">
        <f>AH841*N841</f>
      </c>
      <c r="AJ841" s="7"/>
      <c r="AK841" s="170">
        <f>AI841-AE841</f>
      </c>
      <c r="AL841" s="195"/>
      <c r="AM841" s="6"/>
      <c r="AN841" s="171">
        <f>IFERROR(U841/2,"0")</f>
      </c>
    </row>
    <row x14ac:dyDescent="0.25" r="842" customHeight="1" ht="18.75">
      <c r="A842" s="158">
        <f>A841+1</f>
      </c>
      <c r="B842" s="159"/>
      <c r="C842" s="6"/>
      <c r="D842" s="159"/>
      <c r="E842" s="198"/>
      <c r="F842" s="160"/>
      <c r="G842" s="6"/>
      <c r="H842" s="6"/>
      <c r="I842" s="7"/>
      <c r="J842" s="147"/>
      <c r="K842" s="7"/>
      <c r="L842" s="147"/>
      <c r="M842" s="161">
        <f>IFERROR(VLOOKUP(L842,'Material Master'!B:C,2,0),"")</f>
      </c>
      <c r="N842" s="7"/>
      <c r="O842" s="162">
        <f>IFERROR(M842*N842,"")</f>
      </c>
      <c r="P842" s="6"/>
      <c r="Q842" s="158"/>
      <c r="R842" s="163"/>
      <c r="S842" s="147"/>
      <c r="T842" s="6"/>
      <c r="U842" s="158"/>
      <c r="V842" s="164">
        <v>31</v>
      </c>
      <c r="W842" s="165">
        <f>IFERROR(U842*V842,"0")</f>
      </c>
      <c r="X842" s="7"/>
      <c r="Y842" s="191">
        <f>IFERROR((O842/1000)*Masters!$C$3,"0")</f>
      </c>
      <c r="Z842" s="195"/>
      <c r="AA842" s="164">
        <f>IFERROR(VLOOKUP(L842,Masters!G:H,2,0),"0")</f>
      </c>
      <c r="AB842" s="166">
        <f>IFERROR(AA842*N842,"0")</f>
      </c>
      <c r="AC842" s="196"/>
      <c r="AD842" s="7"/>
      <c r="AE842" s="166">
        <f>W842+Y842+AB842+AD842</f>
      </c>
      <c r="AF842" s="195"/>
      <c r="AG842" s="169">
        <f>M842&amp;"-"&amp;F842</f>
      </c>
      <c r="AH842" s="191">
        <f>IFERROR(VLOOKUP(AG842,Masters!N:O,2,0),"0")</f>
      </c>
      <c r="AI842" s="166">
        <f>AH842*N842</f>
      </c>
      <c r="AJ842" s="7"/>
      <c r="AK842" s="170">
        <f>AI842-AE842</f>
      </c>
      <c r="AL842" s="195"/>
      <c r="AM842" s="6"/>
      <c r="AN842" s="171">
        <f>IFERROR(U842/2,"0")</f>
      </c>
    </row>
    <row x14ac:dyDescent="0.25" r="843" customHeight="1" ht="18.75">
      <c r="A843" s="158">
        <f>A842+1</f>
      </c>
      <c r="B843" s="159"/>
      <c r="C843" s="6"/>
      <c r="D843" s="159"/>
      <c r="E843" s="198"/>
      <c r="F843" s="160"/>
      <c r="G843" s="6"/>
      <c r="H843" s="6"/>
      <c r="I843" s="7"/>
      <c r="J843" s="147"/>
      <c r="K843" s="7"/>
      <c r="L843" s="147"/>
      <c r="M843" s="161">
        <f>IFERROR(VLOOKUP(L843,'Material Master'!B:C,2,0),"")</f>
      </c>
      <c r="N843" s="7"/>
      <c r="O843" s="162">
        <f>IFERROR(M843*N843,"")</f>
      </c>
      <c r="P843" s="6"/>
      <c r="Q843" s="158"/>
      <c r="R843" s="163"/>
      <c r="S843" s="147"/>
      <c r="T843" s="6"/>
      <c r="U843" s="158"/>
      <c r="V843" s="164">
        <v>31</v>
      </c>
      <c r="W843" s="165">
        <f>IFERROR(U843*V843,"0")</f>
      </c>
      <c r="X843" s="7"/>
      <c r="Y843" s="191">
        <f>IFERROR((O843/1000)*Masters!$C$3,"0")</f>
      </c>
      <c r="Z843" s="195"/>
      <c r="AA843" s="164">
        <f>IFERROR(VLOOKUP(L843,Masters!G:H,2,0),"0")</f>
      </c>
      <c r="AB843" s="166">
        <f>IFERROR(AA843*N843,"0")</f>
      </c>
      <c r="AC843" s="196"/>
      <c r="AD843" s="7"/>
      <c r="AE843" s="166">
        <f>W843+Y843+AB843+AD843</f>
      </c>
      <c r="AF843" s="195"/>
      <c r="AG843" s="169">
        <f>M843&amp;"-"&amp;F843</f>
      </c>
      <c r="AH843" s="191">
        <f>IFERROR(VLOOKUP(AG843,Masters!N:O,2,0),"0")</f>
      </c>
      <c r="AI843" s="166">
        <f>AH843*N843</f>
      </c>
      <c r="AJ843" s="7"/>
      <c r="AK843" s="170">
        <f>AI843-AE843</f>
      </c>
      <c r="AL843" s="195"/>
      <c r="AM843" s="6"/>
      <c r="AN843" s="171">
        <f>IFERROR(U843/2,"0")</f>
      </c>
    </row>
    <row x14ac:dyDescent="0.25" r="844" customHeight="1" ht="18.75">
      <c r="A844" s="158">
        <f>A843+1</f>
      </c>
      <c r="B844" s="159"/>
      <c r="C844" s="6"/>
      <c r="D844" s="159"/>
      <c r="E844" s="198"/>
      <c r="F844" s="160"/>
      <c r="G844" s="6"/>
      <c r="H844" s="6"/>
      <c r="I844" s="7"/>
      <c r="J844" s="147"/>
      <c r="K844" s="7"/>
      <c r="L844" s="147"/>
      <c r="M844" s="161">
        <f>IFERROR(VLOOKUP(L844,'Material Master'!B:C,2,0),"")</f>
      </c>
      <c r="N844" s="7"/>
      <c r="O844" s="162">
        <f>IFERROR(M844*N844,"")</f>
      </c>
      <c r="P844" s="6"/>
      <c r="Q844" s="158"/>
      <c r="R844" s="163"/>
      <c r="S844" s="147"/>
      <c r="T844" s="6"/>
      <c r="U844" s="158"/>
      <c r="V844" s="164">
        <v>31</v>
      </c>
      <c r="W844" s="165">
        <f>IFERROR(U844*V844,"0")</f>
      </c>
      <c r="X844" s="7"/>
      <c r="Y844" s="191">
        <f>IFERROR((O844/1000)*Masters!$C$3,"0")</f>
      </c>
      <c r="Z844" s="195"/>
      <c r="AA844" s="164">
        <f>IFERROR(VLOOKUP(L844,Masters!G:H,2,0),"0")</f>
      </c>
      <c r="AB844" s="166">
        <f>IFERROR(AA844*N844,"0")</f>
      </c>
      <c r="AC844" s="196"/>
      <c r="AD844" s="7"/>
      <c r="AE844" s="166">
        <f>W844+Y844+AB844+AD844</f>
      </c>
      <c r="AF844" s="195"/>
      <c r="AG844" s="169">
        <f>M844&amp;"-"&amp;F844</f>
      </c>
      <c r="AH844" s="191">
        <f>IFERROR(VLOOKUP(AG844,Masters!N:O,2,0),"0")</f>
      </c>
      <c r="AI844" s="166">
        <f>AH844*N844</f>
      </c>
      <c r="AJ844" s="7"/>
      <c r="AK844" s="170">
        <f>AI844-AE844</f>
      </c>
      <c r="AL844" s="195"/>
      <c r="AM844" s="6"/>
      <c r="AN844" s="171">
        <f>IFERROR(U844/2,"0")</f>
      </c>
    </row>
    <row x14ac:dyDescent="0.25" r="845" customHeight="1" ht="18.75">
      <c r="A845" s="158">
        <f>A844+1</f>
      </c>
      <c r="B845" s="159"/>
      <c r="C845" s="6"/>
      <c r="D845" s="159"/>
      <c r="E845" s="198"/>
      <c r="F845" s="160"/>
      <c r="G845" s="6"/>
      <c r="H845" s="6"/>
      <c r="I845" s="7"/>
      <c r="J845" s="147"/>
      <c r="K845" s="7"/>
      <c r="L845" s="147"/>
      <c r="M845" s="161">
        <f>IFERROR(VLOOKUP(L845,'Material Master'!B:C,2,0),"")</f>
      </c>
      <c r="N845" s="7"/>
      <c r="O845" s="162">
        <f>IFERROR(M845*N845,"")</f>
      </c>
      <c r="P845" s="6"/>
      <c r="Q845" s="158"/>
      <c r="R845" s="163"/>
      <c r="S845" s="147"/>
      <c r="T845" s="6"/>
      <c r="U845" s="158"/>
      <c r="V845" s="164">
        <v>31</v>
      </c>
      <c r="W845" s="165">
        <f>IFERROR(U845*V845,"0")</f>
      </c>
      <c r="X845" s="7"/>
      <c r="Y845" s="191">
        <f>IFERROR((O845/1000)*Masters!$C$3,"0")</f>
      </c>
      <c r="Z845" s="195"/>
      <c r="AA845" s="164">
        <f>IFERROR(VLOOKUP(L845,Masters!G:H,2,0),"0")</f>
      </c>
      <c r="AB845" s="166">
        <f>IFERROR(AA845*N845,"0")</f>
      </c>
      <c r="AC845" s="196"/>
      <c r="AD845" s="7"/>
      <c r="AE845" s="166">
        <f>W845+Y845+AB845+AD845</f>
      </c>
      <c r="AF845" s="195"/>
      <c r="AG845" s="169">
        <f>M845&amp;"-"&amp;F845</f>
      </c>
      <c r="AH845" s="191">
        <f>IFERROR(VLOOKUP(AG845,Masters!N:O,2,0),"0")</f>
      </c>
      <c r="AI845" s="166">
        <f>AH845*N845</f>
      </c>
      <c r="AJ845" s="7"/>
      <c r="AK845" s="170">
        <f>AI845-AE845</f>
      </c>
      <c r="AL845" s="195"/>
      <c r="AM845" s="6"/>
      <c r="AN845" s="171">
        <f>IFERROR(U845/2,"0")</f>
      </c>
    </row>
    <row x14ac:dyDescent="0.25" r="846" customHeight="1" ht="18.75">
      <c r="A846" s="158">
        <f>A845+1</f>
      </c>
      <c r="B846" s="159"/>
      <c r="C846" s="6"/>
      <c r="D846" s="159"/>
      <c r="E846" s="198"/>
      <c r="F846" s="160"/>
      <c r="G846" s="6"/>
      <c r="H846" s="6"/>
      <c r="I846" s="7"/>
      <c r="J846" s="147"/>
      <c r="K846" s="7"/>
      <c r="L846" s="147"/>
      <c r="M846" s="161">
        <f>IFERROR(VLOOKUP(L846,'Material Master'!B:C,2,0),"")</f>
      </c>
      <c r="N846" s="7"/>
      <c r="O846" s="162">
        <f>IFERROR(M846*N846,"")</f>
      </c>
      <c r="P846" s="6"/>
      <c r="Q846" s="158"/>
      <c r="R846" s="163"/>
      <c r="S846" s="147"/>
      <c r="T846" s="6"/>
      <c r="U846" s="158"/>
      <c r="V846" s="164">
        <v>31</v>
      </c>
      <c r="W846" s="165">
        <f>IFERROR(U846*V846,"0")</f>
      </c>
      <c r="X846" s="7"/>
      <c r="Y846" s="191">
        <f>IFERROR((O846/1000)*Masters!$C$3,"0")</f>
      </c>
      <c r="Z846" s="195"/>
      <c r="AA846" s="164">
        <f>IFERROR(VLOOKUP(L846,Masters!G:H,2,0),"0")</f>
      </c>
      <c r="AB846" s="166">
        <f>IFERROR(AA846*N846,"0")</f>
      </c>
      <c r="AC846" s="196"/>
      <c r="AD846" s="7"/>
      <c r="AE846" s="166">
        <f>W846+Y846+AB846+AD846</f>
      </c>
      <c r="AF846" s="195"/>
      <c r="AG846" s="169">
        <f>M846&amp;"-"&amp;F846</f>
      </c>
      <c r="AH846" s="191">
        <f>IFERROR(VLOOKUP(AG846,Masters!N:O,2,0),"0")</f>
      </c>
      <c r="AI846" s="166">
        <f>AH846*N846</f>
      </c>
      <c r="AJ846" s="7"/>
      <c r="AK846" s="170">
        <f>AI846-AE846</f>
      </c>
      <c r="AL846" s="195"/>
      <c r="AM846" s="6"/>
      <c r="AN846" s="171">
        <f>IFERROR(U846/2,"0")</f>
      </c>
    </row>
    <row x14ac:dyDescent="0.25" r="847" customHeight="1" ht="18.75">
      <c r="A847" s="158">
        <f>A846+1</f>
      </c>
      <c r="B847" s="159"/>
      <c r="C847" s="6"/>
      <c r="D847" s="159"/>
      <c r="E847" s="198"/>
      <c r="F847" s="160"/>
      <c r="G847" s="6"/>
      <c r="H847" s="6"/>
      <c r="I847" s="7"/>
      <c r="J847" s="147"/>
      <c r="K847" s="7"/>
      <c r="L847" s="147"/>
      <c r="M847" s="161">
        <f>IFERROR(VLOOKUP(L847,'Material Master'!B:C,2,0),"")</f>
      </c>
      <c r="N847" s="7"/>
      <c r="O847" s="162">
        <f>IFERROR(M847*N847,"")</f>
      </c>
      <c r="P847" s="6"/>
      <c r="Q847" s="158"/>
      <c r="R847" s="163"/>
      <c r="S847" s="147"/>
      <c r="T847" s="6"/>
      <c r="U847" s="158"/>
      <c r="V847" s="164">
        <v>31</v>
      </c>
      <c r="W847" s="165">
        <f>IFERROR(U847*V847,"0")</f>
      </c>
      <c r="X847" s="7"/>
      <c r="Y847" s="191">
        <f>IFERROR((O847/1000)*Masters!$C$3,"0")</f>
      </c>
      <c r="Z847" s="195"/>
      <c r="AA847" s="164">
        <f>IFERROR(VLOOKUP(L847,Masters!G:H,2,0),"0")</f>
      </c>
      <c r="AB847" s="166">
        <f>IFERROR(AA847*N847,"0")</f>
      </c>
      <c r="AC847" s="196"/>
      <c r="AD847" s="7"/>
      <c r="AE847" s="166">
        <f>W847+Y847+AB847+AD847</f>
      </c>
      <c r="AF847" s="195"/>
      <c r="AG847" s="169">
        <f>M847&amp;"-"&amp;F847</f>
      </c>
      <c r="AH847" s="191">
        <f>IFERROR(VLOOKUP(AG847,Masters!N:O,2,0),"0")</f>
      </c>
      <c r="AI847" s="166">
        <f>AH847*N847</f>
      </c>
      <c r="AJ847" s="7"/>
      <c r="AK847" s="170">
        <f>AI847-AE847</f>
      </c>
      <c r="AL847" s="195"/>
      <c r="AM847" s="6"/>
      <c r="AN847" s="171">
        <f>IFERROR(U847/2,"0")</f>
      </c>
    </row>
    <row x14ac:dyDescent="0.25" r="848" customHeight="1" ht="18.75">
      <c r="A848" s="158">
        <f>A847+1</f>
      </c>
      <c r="B848" s="159"/>
      <c r="C848" s="6"/>
      <c r="D848" s="159"/>
      <c r="E848" s="198"/>
      <c r="F848" s="160"/>
      <c r="G848" s="6"/>
      <c r="H848" s="6"/>
      <c r="I848" s="7"/>
      <c r="J848" s="147"/>
      <c r="K848" s="7"/>
      <c r="L848" s="147"/>
      <c r="M848" s="161">
        <f>IFERROR(VLOOKUP(L848,'Material Master'!B:C,2,0),"")</f>
      </c>
      <c r="N848" s="7"/>
      <c r="O848" s="162">
        <f>IFERROR(M848*N848,"")</f>
      </c>
      <c r="P848" s="6"/>
      <c r="Q848" s="158"/>
      <c r="R848" s="163"/>
      <c r="S848" s="147"/>
      <c r="T848" s="6"/>
      <c r="U848" s="158"/>
      <c r="V848" s="164">
        <v>31</v>
      </c>
      <c r="W848" s="165">
        <f>IFERROR(U848*V848,"0")</f>
      </c>
      <c r="X848" s="7"/>
      <c r="Y848" s="191">
        <f>IFERROR((O848/1000)*Masters!$C$3,"0")</f>
      </c>
      <c r="Z848" s="195"/>
      <c r="AA848" s="164">
        <f>IFERROR(VLOOKUP(L848,Masters!G:H,2,0),"0")</f>
      </c>
      <c r="AB848" s="166">
        <f>IFERROR(AA848*N848,"0")</f>
      </c>
      <c r="AC848" s="196"/>
      <c r="AD848" s="7"/>
      <c r="AE848" s="166">
        <f>W848+Y848+AB848+AD848</f>
      </c>
      <c r="AF848" s="195"/>
      <c r="AG848" s="169">
        <f>M848&amp;"-"&amp;F848</f>
      </c>
      <c r="AH848" s="191">
        <f>IFERROR(VLOOKUP(AG848,Masters!N:O,2,0),"0")</f>
      </c>
      <c r="AI848" s="166">
        <f>AH848*N848</f>
      </c>
      <c r="AJ848" s="7"/>
      <c r="AK848" s="170">
        <f>AI848-AE848</f>
      </c>
      <c r="AL848" s="195"/>
      <c r="AM848" s="6"/>
      <c r="AN848" s="171">
        <f>IFERROR(U848/2,"0")</f>
      </c>
    </row>
    <row x14ac:dyDescent="0.25" r="849" customHeight="1" ht="18.75">
      <c r="A849" s="158">
        <f>A848+1</f>
      </c>
      <c r="B849" s="159"/>
      <c r="C849" s="6"/>
      <c r="D849" s="159"/>
      <c r="E849" s="198"/>
      <c r="F849" s="160"/>
      <c r="G849" s="6"/>
      <c r="H849" s="6"/>
      <c r="I849" s="7"/>
      <c r="J849" s="147"/>
      <c r="K849" s="7"/>
      <c r="L849" s="147"/>
      <c r="M849" s="161">
        <f>IFERROR(VLOOKUP(L849,'Material Master'!B:C,2,0),"")</f>
      </c>
      <c r="N849" s="7"/>
      <c r="O849" s="162">
        <f>IFERROR(M849*N849,"")</f>
      </c>
      <c r="P849" s="6"/>
      <c r="Q849" s="158"/>
      <c r="R849" s="163"/>
      <c r="S849" s="147"/>
      <c r="T849" s="6"/>
      <c r="U849" s="158"/>
      <c r="V849" s="164">
        <v>31</v>
      </c>
      <c r="W849" s="165">
        <f>IFERROR(U849*V849,"0")</f>
      </c>
      <c r="X849" s="7"/>
      <c r="Y849" s="191">
        <f>IFERROR((O849/1000)*Masters!$C$3,"0")</f>
      </c>
      <c r="Z849" s="195"/>
      <c r="AA849" s="164">
        <f>IFERROR(VLOOKUP(L849,Masters!G:H,2,0),"0")</f>
      </c>
      <c r="AB849" s="166">
        <f>IFERROR(AA849*N849,"0")</f>
      </c>
      <c r="AC849" s="196"/>
      <c r="AD849" s="7"/>
      <c r="AE849" s="166">
        <f>W849+Y849+AB849+AD849</f>
      </c>
      <c r="AF849" s="195"/>
      <c r="AG849" s="169">
        <f>M849&amp;"-"&amp;F849</f>
      </c>
      <c r="AH849" s="191">
        <f>IFERROR(VLOOKUP(AG849,Masters!N:O,2,0),"0")</f>
      </c>
      <c r="AI849" s="166">
        <f>AH849*N849</f>
      </c>
      <c r="AJ849" s="7"/>
      <c r="AK849" s="170">
        <f>AI849-AE849</f>
      </c>
      <c r="AL849" s="195"/>
      <c r="AM849" s="6"/>
      <c r="AN849" s="171">
        <f>IFERROR(U849/2,"0")</f>
      </c>
    </row>
    <row x14ac:dyDescent="0.25" r="850" customHeight="1" ht="18.75">
      <c r="A850" s="158">
        <f>A849+1</f>
      </c>
      <c r="B850" s="159"/>
      <c r="C850" s="6"/>
      <c r="D850" s="159"/>
      <c r="E850" s="198"/>
      <c r="F850" s="160"/>
      <c r="G850" s="6"/>
      <c r="H850" s="6"/>
      <c r="I850" s="7"/>
      <c r="J850" s="147"/>
      <c r="K850" s="7"/>
      <c r="L850" s="147"/>
      <c r="M850" s="161">
        <f>IFERROR(VLOOKUP(L850,'Material Master'!B:C,2,0),"")</f>
      </c>
      <c r="N850" s="7"/>
      <c r="O850" s="162">
        <f>IFERROR(M850*N850,"")</f>
      </c>
      <c r="P850" s="6"/>
      <c r="Q850" s="158"/>
      <c r="R850" s="163"/>
      <c r="S850" s="147"/>
      <c r="T850" s="6"/>
      <c r="U850" s="158"/>
      <c r="V850" s="164">
        <v>31</v>
      </c>
      <c r="W850" s="165">
        <f>IFERROR(U850*V850,"0")</f>
      </c>
      <c r="X850" s="7"/>
      <c r="Y850" s="191">
        <f>IFERROR((O850/1000)*Masters!$C$3,"0")</f>
      </c>
      <c r="Z850" s="195"/>
      <c r="AA850" s="164">
        <f>IFERROR(VLOOKUP(L850,Masters!G:H,2,0),"0")</f>
      </c>
      <c r="AB850" s="166">
        <f>IFERROR(AA850*N850,"0")</f>
      </c>
      <c r="AC850" s="196"/>
      <c r="AD850" s="7"/>
      <c r="AE850" s="166">
        <f>W850+Y850+AB850+AD850</f>
      </c>
      <c r="AF850" s="195"/>
      <c r="AG850" s="169">
        <f>M850&amp;"-"&amp;F850</f>
      </c>
      <c r="AH850" s="191">
        <f>IFERROR(VLOOKUP(AG850,Masters!N:O,2,0),"0")</f>
      </c>
      <c r="AI850" s="166">
        <f>AH850*N850</f>
      </c>
      <c r="AJ850" s="7"/>
      <c r="AK850" s="170">
        <f>AI850-AE850</f>
      </c>
      <c r="AL850" s="195"/>
      <c r="AM850" s="6"/>
      <c r="AN850" s="171">
        <f>IFERROR(U850/2,"0")</f>
      </c>
    </row>
    <row x14ac:dyDescent="0.25" r="851" customHeight="1" ht="18.75">
      <c r="A851" s="158">
        <f>A850+1</f>
      </c>
      <c r="B851" s="159"/>
      <c r="C851" s="6"/>
      <c r="D851" s="159"/>
      <c r="E851" s="198"/>
      <c r="F851" s="160"/>
      <c r="G851" s="6"/>
      <c r="H851" s="6"/>
      <c r="I851" s="7"/>
      <c r="J851" s="147"/>
      <c r="K851" s="7"/>
      <c r="L851" s="147"/>
      <c r="M851" s="161">
        <f>IFERROR(VLOOKUP(L851,'Material Master'!B:C,2,0),"")</f>
      </c>
      <c r="N851" s="7"/>
      <c r="O851" s="162">
        <f>IFERROR(M851*N851,"")</f>
      </c>
      <c r="P851" s="6"/>
      <c r="Q851" s="158"/>
      <c r="R851" s="163"/>
      <c r="S851" s="147"/>
      <c r="T851" s="6"/>
      <c r="U851" s="158"/>
      <c r="V851" s="164">
        <v>31</v>
      </c>
      <c r="W851" s="165">
        <f>IFERROR(U851*V851,"0")</f>
      </c>
      <c r="X851" s="7"/>
      <c r="Y851" s="191">
        <f>IFERROR((O851/1000)*Masters!$C$3,"0")</f>
      </c>
      <c r="Z851" s="195"/>
      <c r="AA851" s="164">
        <f>IFERROR(VLOOKUP(L851,Masters!G:H,2,0),"0")</f>
      </c>
      <c r="AB851" s="166">
        <f>IFERROR(AA851*N851,"0")</f>
      </c>
      <c r="AC851" s="196"/>
      <c r="AD851" s="7"/>
      <c r="AE851" s="166">
        <f>W851+Y851+AB851+AD851</f>
      </c>
      <c r="AF851" s="195"/>
      <c r="AG851" s="169">
        <f>M851&amp;"-"&amp;F851</f>
      </c>
      <c r="AH851" s="191">
        <f>IFERROR(VLOOKUP(AG851,Masters!N:O,2,0),"0")</f>
      </c>
      <c r="AI851" s="166">
        <f>AH851*N851</f>
      </c>
      <c r="AJ851" s="7"/>
      <c r="AK851" s="170">
        <f>AI851-AE851</f>
      </c>
      <c r="AL851" s="195"/>
      <c r="AM851" s="6"/>
      <c r="AN851" s="171">
        <f>IFERROR(U851/2,"0")</f>
      </c>
    </row>
    <row x14ac:dyDescent="0.25" r="852" customHeight="1" ht="18.75">
      <c r="A852" s="158">
        <f>A851+1</f>
      </c>
      <c r="B852" s="159"/>
      <c r="C852" s="6"/>
      <c r="D852" s="159"/>
      <c r="E852" s="198"/>
      <c r="F852" s="160"/>
      <c r="G852" s="6"/>
      <c r="H852" s="6"/>
      <c r="I852" s="7"/>
      <c r="J852" s="147"/>
      <c r="K852" s="7"/>
      <c r="L852" s="147"/>
      <c r="M852" s="161">
        <f>IFERROR(VLOOKUP(L852,'Material Master'!B:C,2,0),"")</f>
      </c>
      <c r="N852" s="7"/>
      <c r="O852" s="162">
        <f>IFERROR(M852*N852,"")</f>
      </c>
      <c r="P852" s="6"/>
      <c r="Q852" s="158"/>
      <c r="R852" s="163"/>
      <c r="S852" s="147"/>
      <c r="T852" s="6"/>
      <c r="U852" s="158"/>
      <c r="V852" s="164">
        <v>31</v>
      </c>
      <c r="W852" s="165">
        <f>IFERROR(U852*V852,"0")</f>
      </c>
      <c r="X852" s="7"/>
      <c r="Y852" s="191">
        <f>IFERROR((O852/1000)*Masters!$C$3,"0")</f>
      </c>
      <c r="Z852" s="195"/>
      <c r="AA852" s="164">
        <f>IFERROR(VLOOKUP(L852,Masters!G:H,2,0),"0")</f>
      </c>
      <c r="AB852" s="166">
        <f>IFERROR(AA852*N852,"0")</f>
      </c>
      <c r="AC852" s="196"/>
      <c r="AD852" s="7"/>
      <c r="AE852" s="166">
        <f>W852+Y852+AB852+AD852</f>
      </c>
      <c r="AF852" s="195"/>
      <c r="AG852" s="169">
        <f>M852&amp;"-"&amp;F852</f>
      </c>
      <c r="AH852" s="191">
        <f>IFERROR(VLOOKUP(AG852,Masters!N:O,2,0),"0")</f>
      </c>
      <c r="AI852" s="166">
        <f>AH852*N852</f>
      </c>
      <c r="AJ852" s="7"/>
      <c r="AK852" s="170">
        <f>AI852-AE852</f>
      </c>
      <c r="AL852" s="195"/>
      <c r="AM852" s="6"/>
      <c r="AN852" s="171">
        <f>IFERROR(U852/2,"0")</f>
      </c>
    </row>
    <row x14ac:dyDescent="0.25" r="853" customHeight="1" ht="18.75">
      <c r="A853" s="158">
        <f>A852+1</f>
      </c>
      <c r="B853" s="159"/>
      <c r="C853" s="6"/>
      <c r="D853" s="159"/>
      <c r="E853" s="198"/>
      <c r="F853" s="160"/>
      <c r="G853" s="6"/>
      <c r="H853" s="6"/>
      <c r="I853" s="7"/>
      <c r="J853" s="147"/>
      <c r="K853" s="7"/>
      <c r="L853" s="147"/>
      <c r="M853" s="161">
        <f>IFERROR(VLOOKUP(L853,'Material Master'!B:C,2,0),"")</f>
      </c>
      <c r="N853" s="7"/>
      <c r="O853" s="162">
        <f>IFERROR(M853*N853,"")</f>
      </c>
      <c r="P853" s="6"/>
      <c r="Q853" s="158"/>
      <c r="R853" s="163"/>
      <c r="S853" s="147"/>
      <c r="T853" s="6"/>
      <c r="U853" s="158"/>
      <c r="V853" s="164">
        <v>31</v>
      </c>
      <c r="W853" s="165">
        <f>IFERROR(U853*V853,"0")</f>
      </c>
      <c r="X853" s="7"/>
      <c r="Y853" s="191">
        <f>IFERROR((O853/1000)*Masters!$C$3,"0")</f>
      </c>
      <c r="Z853" s="195"/>
      <c r="AA853" s="164">
        <f>IFERROR(VLOOKUP(L853,Masters!G:H,2,0),"0")</f>
      </c>
      <c r="AB853" s="166">
        <f>IFERROR(AA853*N853,"0")</f>
      </c>
      <c r="AC853" s="196"/>
      <c r="AD853" s="7"/>
      <c r="AE853" s="166">
        <f>W853+Y853+AB853+AD853</f>
      </c>
      <c r="AF853" s="195"/>
      <c r="AG853" s="169">
        <f>M853&amp;"-"&amp;F853</f>
      </c>
      <c r="AH853" s="191">
        <f>IFERROR(VLOOKUP(AG853,Masters!N:O,2,0),"0")</f>
      </c>
      <c r="AI853" s="166">
        <f>AH853*N853</f>
      </c>
      <c r="AJ853" s="7"/>
      <c r="AK853" s="170">
        <f>AI853-AE853</f>
      </c>
      <c r="AL853" s="195"/>
      <c r="AM853" s="6"/>
      <c r="AN853" s="171">
        <f>IFERROR(U853/2,"0")</f>
      </c>
    </row>
    <row x14ac:dyDescent="0.25" r="854" customHeight="1" ht="18.75">
      <c r="A854" s="158">
        <f>A853+1</f>
      </c>
      <c r="B854" s="159"/>
      <c r="C854" s="6"/>
      <c r="D854" s="159"/>
      <c r="E854" s="198"/>
      <c r="F854" s="160"/>
      <c r="G854" s="6"/>
      <c r="H854" s="6"/>
      <c r="I854" s="7"/>
      <c r="J854" s="147"/>
      <c r="K854" s="7"/>
      <c r="L854" s="147"/>
      <c r="M854" s="161">
        <f>IFERROR(VLOOKUP(L854,'Material Master'!B:C,2,0),"")</f>
      </c>
      <c r="N854" s="7"/>
      <c r="O854" s="162">
        <f>IFERROR(M854*N854,"")</f>
      </c>
      <c r="P854" s="6"/>
      <c r="Q854" s="158"/>
      <c r="R854" s="163"/>
      <c r="S854" s="147"/>
      <c r="T854" s="6"/>
      <c r="U854" s="158"/>
      <c r="V854" s="164">
        <v>31</v>
      </c>
      <c r="W854" s="165">
        <f>IFERROR(U854*V854,"0")</f>
      </c>
      <c r="X854" s="7"/>
      <c r="Y854" s="191">
        <f>IFERROR((O854/1000)*Masters!$C$3,"0")</f>
      </c>
      <c r="Z854" s="195"/>
      <c r="AA854" s="164">
        <f>IFERROR(VLOOKUP(L854,Masters!G:H,2,0),"0")</f>
      </c>
      <c r="AB854" s="166">
        <f>IFERROR(AA854*N854,"0")</f>
      </c>
      <c r="AC854" s="196"/>
      <c r="AD854" s="7"/>
      <c r="AE854" s="166">
        <f>W854+Y854+AB854+AD854</f>
      </c>
      <c r="AF854" s="195"/>
      <c r="AG854" s="169">
        <f>M854&amp;"-"&amp;F854</f>
      </c>
      <c r="AH854" s="191">
        <f>IFERROR(VLOOKUP(AG854,Masters!N:O,2,0),"0")</f>
      </c>
      <c r="AI854" s="166">
        <f>AH854*N854</f>
      </c>
      <c r="AJ854" s="7"/>
      <c r="AK854" s="170">
        <f>AI854-AE854</f>
      </c>
      <c r="AL854" s="195"/>
      <c r="AM854" s="6"/>
      <c r="AN854" s="171">
        <f>IFERROR(U854/2,"0")</f>
      </c>
    </row>
    <row x14ac:dyDescent="0.25" r="855" customHeight="1" ht="18.75">
      <c r="A855" s="158">
        <f>A854+1</f>
      </c>
      <c r="B855" s="159"/>
      <c r="C855" s="6"/>
      <c r="D855" s="159"/>
      <c r="E855" s="198"/>
      <c r="F855" s="160"/>
      <c r="G855" s="6"/>
      <c r="H855" s="6"/>
      <c r="I855" s="7"/>
      <c r="J855" s="147"/>
      <c r="K855" s="7"/>
      <c r="L855" s="147"/>
      <c r="M855" s="161">
        <f>IFERROR(VLOOKUP(L855,'Material Master'!B:C,2,0),"")</f>
      </c>
      <c r="N855" s="7"/>
      <c r="O855" s="162">
        <f>IFERROR(M855*N855,"")</f>
      </c>
      <c r="P855" s="6"/>
      <c r="Q855" s="158"/>
      <c r="R855" s="163"/>
      <c r="S855" s="147"/>
      <c r="T855" s="6"/>
      <c r="U855" s="158"/>
      <c r="V855" s="164">
        <v>31</v>
      </c>
      <c r="W855" s="165">
        <f>IFERROR(U855*V855,"0")</f>
      </c>
      <c r="X855" s="7"/>
      <c r="Y855" s="191">
        <f>IFERROR((O855/1000)*Masters!$C$3,"0")</f>
      </c>
      <c r="Z855" s="195"/>
      <c r="AA855" s="164">
        <f>IFERROR(VLOOKUP(L855,Masters!G:H,2,0),"0")</f>
      </c>
      <c r="AB855" s="166">
        <f>IFERROR(AA855*N855,"0")</f>
      </c>
      <c r="AC855" s="196"/>
      <c r="AD855" s="7"/>
      <c r="AE855" s="166">
        <f>W855+Y855+AB855+AD855</f>
      </c>
      <c r="AF855" s="195"/>
      <c r="AG855" s="169">
        <f>M855&amp;"-"&amp;F855</f>
      </c>
      <c r="AH855" s="191">
        <f>IFERROR(VLOOKUP(AG855,Masters!N:O,2,0),"0")</f>
      </c>
      <c r="AI855" s="166">
        <f>AH855*N855</f>
      </c>
      <c r="AJ855" s="7"/>
      <c r="AK855" s="170">
        <f>AI855-AE855</f>
      </c>
      <c r="AL855" s="195"/>
      <c r="AM855" s="6"/>
      <c r="AN855" s="171">
        <f>IFERROR(U855/2,"0")</f>
      </c>
    </row>
    <row x14ac:dyDescent="0.25" r="856" customHeight="1" ht="18.75">
      <c r="A856" s="158">
        <f>A855+1</f>
      </c>
      <c r="B856" s="159"/>
      <c r="C856" s="6"/>
      <c r="D856" s="159"/>
      <c r="E856" s="198"/>
      <c r="F856" s="160"/>
      <c r="G856" s="6"/>
      <c r="H856" s="6"/>
      <c r="I856" s="7"/>
      <c r="J856" s="147"/>
      <c r="K856" s="7"/>
      <c r="L856" s="147"/>
      <c r="M856" s="161">
        <f>IFERROR(VLOOKUP(L856,'Material Master'!B:C,2,0),"")</f>
      </c>
      <c r="N856" s="7"/>
      <c r="O856" s="162">
        <f>IFERROR(M856*N856,"")</f>
      </c>
      <c r="P856" s="6"/>
      <c r="Q856" s="158"/>
      <c r="R856" s="163"/>
      <c r="S856" s="147"/>
      <c r="T856" s="6"/>
      <c r="U856" s="158"/>
      <c r="V856" s="164">
        <v>31</v>
      </c>
      <c r="W856" s="165">
        <f>IFERROR(U856*V856,"0")</f>
      </c>
      <c r="X856" s="7"/>
      <c r="Y856" s="191">
        <f>IFERROR((O856/1000)*Masters!$C$3,"0")</f>
      </c>
      <c r="Z856" s="195"/>
      <c r="AA856" s="164">
        <f>IFERROR(VLOOKUP(L856,Masters!G:H,2,0),"0")</f>
      </c>
      <c r="AB856" s="166">
        <f>IFERROR(AA856*N856,"0")</f>
      </c>
      <c r="AC856" s="196"/>
      <c r="AD856" s="7"/>
      <c r="AE856" s="166">
        <f>W856+Y856+AB856+AD856</f>
      </c>
      <c r="AF856" s="195"/>
      <c r="AG856" s="169">
        <f>M856&amp;"-"&amp;F856</f>
      </c>
      <c r="AH856" s="191">
        <f>IFERROR(VLOOKUP(AG856,Masters!N:O,2,0),"0")</f>
      </c>
      <c r="AI856" s="166">
        <f>AH856*N856</f>
      </c>
      <c r="AJ856" s="7"/>
      <c r="AK856" s="170">
        <f>AI856-AE856</f>
      </c>
      <c r="AL856" s="195"/>
      <c r="AM856" s="6"/>
      <c r="AN856" s="171">
        <f>IFERROR(U856/2,"0")</f>
      </c>
    </row>
    <row x14ac:dyDescent="0.25" r="857" customHeight="1" ht="18.75">
      <c r="A857" s="158">
        <f>A856+1</f>
      </c>
      <c r="B857" s="159"/>
      <c r="C857" s="6"/>
      <c r="D857" s="159"/>
      <c r="E857" s="198"/>
      <c r="F857" s="160"/>
      <c r="G857" s="6"/>
      <c r="H857" s="6"/>
      <c r="I857" s="7"/>
      <c r="J857" s="147"/>
      <c r="K857" s="7"/>
      <c r="L857" s="147"/>
      <c r="M857" s="161">
        <f>IFERROR(VLOOKUP(L857,'Material Master'!B:C,2,0),"")</f>
      </c>
      <c r="N857" s="7"/>
      <c r="O857" s="162">
        <f>IFERROR(M857*N857,"")</f>
      </c>
      <c r="P857" s="6"/>
      <c r="Q857" s="158"/>
      <c r="R857" s="163"/>
      <c r="S857" s="147"/>
      <c r="T857" s="6"/>
      <c r="U857" s="158"/>
      <c r="V857" s="164">
        <v>31</v>
      </c>
      <c r="W857" s="165">
        <f>IFERROR(U857*V857,"0")</f>
      </c>
      <c r="X857" s="7"/>
      <c r="Y857" s="191">
        <f>IFERROR((O857/1000)*Masters!$C$3,"0")</f>
      </c>
      <c r="Z857" s="195"/>
      <c r="AA857" s="164">
        <f>IFERROR(VLOOKUP(L857,Masters!G:H,2,0),"0")</f>
      </c>
      <c r="AB857" s="166">
        <f>IFERROR(AA857*N857,"0")</f>
      </c>
      <c r="AC857" s="196"/>
      <c r="AD857" s="7"/>
      <c r="AE857" s="166">
        <f>W857+Y857+AB857+AD857</f>
      </c>
      <c r="AF857" s="195"/>
      <c r="AG857" s="169">
        <f>M857&amp;"-"&amp;F857</f>
      </c>
      <c r="AH857" s="191">
        <f>IFERROR(VLOOKUP(AG857,Masters!N:O,2,0),"0")</f>
      </c>
      <c r="AI857" s="166">
        <f>AH857*N857</f>
      </c>
      <c r="AJ857" s="7"/>
      <c r="AK857" s="170">
        <f>AI857-AE857</f>
      </c>
      <c r="AL857" s="195"/>
      <c r="AM857" s="6"/>
      <c r="AN857" s="171">
        <f>IFERROR(U857/2,"0")</f>
      </c>
    </row>
    <row x14ac:dyDescent="0.25" r="858" customHeight="1" ht="18.75">
      <c r="A858" s="158">
        <f>A857+1</f>
      </c>
      <c r="B858" s="159"/>
      <c r="C858" s="6"/>
      <c r="D858" s="159"/>
      <c r="E858" s="198"/>
      <c r="F858" s="160"/>
      <c r="G858" s="6"/>
      <c r="H858" s="6"/>
      <c r="I858" s="7"/>
      <c r="J858" s="147"/>
      <c r="K858" s="7"/>
      <c r="L858" s="147"/>
      <c r="M858" s="161">
        <f>IFERROR(VLOOKUP(L858,'Material Master'!B:C,2,0),"")</f>
      </c>
      <c r="N858" s="7"/>
      <c r="O858" s="162">
        <f>IFERROR(M858*N858,"")</f>
      </c>
      <c r="P858" s="6"/>
      <c r="Q858" s="158"/>
      <c r="R858" s="163"/>
      <c r="S858" s="147"/>
      <c r="T858" s="6"/>
      <c r="U858" s="158"/>
      <c r="V858" s="164">
        <v>31</v>
      </c>
      <c r="W858" s="165">
        <f>IFERROR(U858*V858,"0")</f>
      </c>
      <c r="X858" s="7"/>
      <c r="Y858" s="191">
        <f>IFERROR((O858/1000)*Masters!$C$3,"0")</f>
      </c>
      <c r="Z858" s="195"/>
      <c r="AA858" s="164">
        <f>IFERROR(VLOOKUP(L858,Masters!G:H,2,0),"0")</f>
      </c>
      <c r="AB858" s="166">
        <f>IFERROR(AA858*N858,"0")</f>
      </c>
      <c r="AC858" s="196"/>
      <c r="AD858" s="7"/>
      <c r="AE858" s="166">
        <f>W858+Y858+AB858+AD858</f>
      </c>
      <c r="AF858" s="195"/>
      <c r="AG858" s="169">
        <f>M858&amp;"-"&amp;F858</f>
      </c>
      <c r="AH858" s="191">
        <f>IFERROR(VLOOKUP(AG858,Masters!N:O,2,0),"0")</f>
      </c>
      <c r="AI858" s="166">
        <f>AH858*N858</f>
      </c>
      <c r="AJ858" s="7"/>
      <c r="AK858" s="170">
        <f>AI858-AE858</f>
      </c>
      <c r="AL858" s="195"/>
      <c r="AM858" s="6"/>
      <c r="AN858" s="171">
        <f>IFERROR(U858/2,"0")</f>
      </c>
    </row>
    <row x14ac:dyDescent="0.25" r="859" customHeight="1" ht="18.75">
      <c r="A859" s="158">
        <f>A858+1</f>
      </c>
      <c r="B859" s="159"/>
      <c r="C859" s="6"/>
      <c r="D859" s="159"/>
      <c r="E859" s="198"/>
      <c r="F859" s="160"/>
      <c r="G859" s="6"/>
      <c r="H859" s="6"/>
      <c r="I859" s="7"/>
      <c r="J859" s="147"/>
      <c r="K859" s="7"/>
      <c r="L859" s="147"/>
      <c r="M859" s="161">
        <f>IFERROR(VLOOKUP(L859,'Material Master'!B:C,2,0),"")</f>
      </c>
      <c r="N859" s="7"/>
      <c r="O859" s="162">
        <f>IFERROR(M859*N859,"")</f>
      </c>
      <c r="P859" s="6"/>
      <c r="Q859" s="158"/>
      <c r="R859" s="163"/>
      <c r="S859" s="147"/>
      <c r="T859" s="6"/>
      <c r="U859" s="158"/>
      <c r="V859" s="164">
        <v>31</v>
      </c>
      <c r="W859" s="165">
        <f>IFERROR(U859*V859,"0")</f>
      </c>
      <c r="X859" s="7"/>
      <c r="Y859" s="191">
        <f>IFERROR((O859/1000)*Masters!$C$3,"0")</f>
      </c>
      <c r="Z859" s="195"/>
      <c r="AA859" s="164">
        <f>IFERROR(VLOOKUP(L859,Masters!G:H,2,0),"0")</f>
      </c>
      <c r="AB859" s="166">
        <f>IFERROR(AA859*N859,"0")</f>
      </c>
      <c r="AC859" s="196"/>
      <c r="AD859" s="7"/>
      <c r="AE859" s="166">
        <f>W859+Y859+AB859+AD859</f>
      </c>
      <c r="AF859" s="195"/>
      <c r="AG859" s="169">
        <f>M859&amp;"-"&amp;F859</f>
      </c>
      <c r="AH859" s="191">
        <f>IFERROR(VLOOKUP(AG859,Masters!N:O,2,0),"0")</f>
      </c>
      <c r="AI859" s="166">
        <f>AH859*N859</f>
      </c>
      <c r="AJ859" s="7"/>
      <c r="AK859" s="170">
        <f>AI859-AE859</f>
      </c>
      <c r="AL859" s="195"/>
      <c r="AM859" s="6"/>
      <c r="AN859" s="171">
        <f>IFERROR(U859/2,"0")</f>
      </c>
    </row>
    <row x14ac:dyDescent="0.25" r="860" customHeight="1" ht="18.75">
      <c r="A860" s="158">
        <f>A859+1</f>
      </c>
      <c r="B860" s="159"/>
      <c r="C860" s="6"/>
      <c r="D860" s="159"/>
      <c r="E860" s="198"/>
      <c r="F860" s="160"/>
      <c r="G860" s="6"/>
      <c r="H860" s="6"/>
      <c r="I860" s="7"/>
      <c r="J860" s="147"/>
      <c r="K860" s="7"/>
      <c r="L860" s="147"/>
      <c r="M860" s="161">
        <f>IFERROR(VLOOKUP(L860,'Material Master'!B:C,2,0),"")</f>
      </c>
      <c r="N860" s="7"/>
      <c r="O860" s="162">
        <f>IFERROR(M860*N860,"")</f>
      </c>
      <c r="P860" s="6"/>
      <c r="Q860" s="158"/>
      <c r="R860" s="163"/>
      <c r="S860" s="147"/>
      <c r="T860" s="6"/>
      <c r="U860" s="158"/>
      <c r="V860" s="164">
        <v>31</v>
      </c>
      <c r="W860" s="165">
        <f>IFERROR(U860*V860,"0")</f>
      </c>
      <c r="X860" s="7"/>
      <c r="Y860" s="191">
        <f>IFERROR((O860/1000)*Masters!$C$3,"0")</f>
      </c>
      <c r="Z860" s="195"/>
      <c r="AA860" s="164">
        <f>IFERROR(VLOOKUP(L860,Masters!G:H,2,0),"0")</f>
      </c>
      <c r="AB860" s="166">
        <f>IFERROR(AA860*N860,"0")</f>
      </c>
      <c r="AC860" s="196"/>
      <c r="AD860" s="7"/>
      <c r="AE860" s="166">
        <f>W860+Y860+AB860+AD860</f>
      </c>
      <c r="AF860" s="195"/>
      <c r="AG860" s="169">
        <f>M860&amp;"-"&amp;F860</f>
      </c>
      <c r="AH860" s="191">
        <f>IFERROR(VLOOKUP(AG860,Masters!N:O,2,0),"0")</f>
      </c>
      <c r="AI860" s="166">
        <f>AH860*N860</f>
      </c>
      <c r="AJ860" s="7"/>
      <c r="AK860" s="170">
        <f>AI860-AE860</f>
      </c>
      <c r="AL860" s="195"/>
      <c r="AM860" s="6"/>
      <c r="AN860" s="171">
        <f>IFERROR(U860/2,"0")</f>
      </c>
    </row>
    <row x14ac:dyDescent="0.25" r="861" customHeight="1" ht="18.75">
      <c r="A861" s="158">
        <f>A860+1</f>
      </c>
      <c r="B861" s="159"/>
      <c r="C861" s="6"/>
      <c r="D861" s="159"/>
      <c r="E861" s="198"/>
      <c r="F861" s="160"/>
      <c r="G861" s="6"/>
      <c r="H861" s="6"/>
      <c r="I861" s="7"/>
      <c r="J861" s="147"/>
      <c r="K861" s="7"/>
      <c r="L861" s="147"/>
      <c r="M861" s="161">
        <f>IFERROR(VLOOKUP(L861,'Material Master'!B:C,2,0),"")</f>
      </c>
      <c r="N861" s="7"/>
      <c r="O861" s="162">
        <f>IFERROR(M861*N861,"")</f>
      </c>
      <c r="P861" s="6"/>
      <c r="Q861" s="158"/>
      <c r="R861" s="163"/>
      <c r="S861" s="147"/>
      <c r="T861" s="6"/>
      <c r="U861" s="158"/>
      <c r="V861" s="164">
        <v>31</v>
      </c>
      <c r="W861" s="165">
        <f>IFERROR(U861*V861,"0")</f>
      </c>
      <c r="X861" s="7"/>
      <c r="Y861" s="191">
        <f>IFERROR((O861/1000)*Masters!$C$3,"0")</f>
      </c>
      <c r="Z861" s="195"/>
      <c r="AA861" s="164">
        <f>IFERROR(VLOOKUP(L861,Masters!G:H,2,0),"0")</f>
      </c>
      <c r="AB861" s="166">
        <f>IFERROR(AA861*N861,"0")</f>
      </c>
      <c r="AC861" s="196"/>
      <c r="AD861" s="7"/>
      <c r="AE861" s="166">
        <f>W861+Y861+AB861+AD861</f>
      </c>
      <c r="AF861" s="195"/>
      <c r="AG861" s="169">
        <f>M861&amp;"-"&amp;F861</f>
      </c>
      <c r="AH861" s="191">
        <f>IFERROR(VLOOKUP(AG861,Masters!N:O,2,0),"0")</f>
      </c>
      <c r="AI861" s="166">
        <f>AH861*N861</f>
      </c>
      <c r="AJ861" s="7"/>
      <c r="AK861" s="170">
        <f>AI861-AE861</f>
      </c>
      <c r="AL861" s="195"/>
      <c r="AM861" s="6"/>
      <c r="AN861" s="171">
        <f>IFERROR(U861/2,"0")</f>
      </c>
    </row>
    <row x14ac:dyDescent="0.25" r="862" customHeight="1" ht="18.75">
      <c r="A862" s="158">
        <f>A861+1</f>
      </c>
      <c r="B862" s="159"/>
      <c r="C862" s="6"/>
      <c r="D862" s="159"/>
      <c r="E862" s="198"/>
      <c r="F862" s="160"/>
      <c r="G862" s="6"/>
      <c r="H862" s="6"/>
      <c r="I862" s="7"/>
      <c r="J862" s="147"/>
      <c r="K862" s="7"/>
      <c r="L862" s="147"/>
      <c r="M862" s="161">
        <f>IFERROR(VLOOKUP(L862,'Material Master'!B:C,2,0),"")</f>
      </c>
      <c r="N862" s="7"/>
      <c r="O862" s="162">
        <f>IFERROR(M862*N862,"")</f>
      </c>
      <c r="P862" s="6"/>
      <c r="Q862" s="158"/>
      <c r="R862" s="163"/>
      <c r="S862" s="147"/>
      <c r="T862" s="6"/>
      <c r="U862" s="158"/>
      <c r="V862" s="164">
        <v>31</v>
      </c>
      <c r="W862" s="165">
        <f>IFERROR(U862*V862,"0")</f>
      </c>
      <c r="X862" s="7"/>
      <c r="Y862" s="191">
        <f>IFERROR((O862/1000)*Masters!$C$3,"0")</f>
      </c>
      <c r="Z862" s="195"/>
      <c r="AA862" s="164">
        <f>IFERROR(VLOOKUP(L862,Masters!G:H,2,0),"0")</f>
      </c>
      <c r="AB862" s="166">
        <f>IFERROR(AA862*N862,"0")</f>
      </c>
      <c r="AC862" s="196"/>
      <c r="AD862" s="7"/>
      <c r="AE862" s="166">
        <f>W862+Y862+AB862+AD862</f>
      </c>
      <c r="AF862" s="195"/>
      <c r="AG862" s="169">
        <f>M862&amp;"-"&amp;F862</f>
      </c>
      <c r="AH862" s="191">
        <f>IFERROR(VLOOKUP(AG862,Masters!N:O,2,0),"0")</f>
      </c>
      <c r="AI862" s="166">
        <f>AH862*N862</f>
      </c>
      <c r="AJ862" s="7"/>
      <c r="AK862" s="170">
        <f>AI862-AE862</f>
      </c>
      <c r="AL862" s="195"/>
      <c r="AM862" s="6"/>
      <c r="AN862" s="171">
        <f>IFERROR(U862/2,"0")</f>
      </c>
    </row>
    <row x14ac:dyDescent="0.25" r="863" customHeight="1" ht="18.75">
      <c r="A863" s="158">
        <f>A862+1</f>
      </c>
      <c r="B863" s="159"/>
      <c r="C863" s="6"/>
      <c r="D863" s="159"/>
      <c r="E863" s="198"/>
      <c r="F863" s="160"/>
      <c r="G863" s="6"/>
      <c r="H863" s="6"/>
      <c r="I863" s="7"/>
      <c r="J863" s="147"/>
      <c r="K863" s="7"/>
      <c r="L863" s="147"/>
      <c r="M863" s="161">
        <f>IFERROR(VLOOKUP(L863,'Material Master'!B:C,2,0),"")</f>
      </c>
      <c r="N863" s="7"/>
      <c r="O863" s="162">
        <f>IFERROR(M863*N863,"")</f>
      </c>
      <c r="P863" s="6"/>
      <c r="Q863" s="158"/>
      <c r="R863" s="163"/>
      <c r="S863" s="147"/>
      <c r="T863" s="6"/>
      <c r="U863" s="158"/>
      <c r="V863" s="164">
        <v>31</v>
      </c>
      <c r="W863" s="165">
        <f>IFERROR(U863*V863,"0")</f>
      </c>
      <c r="X863" s="7"/>
      <c r="Y863" s="191">
        <f>IFERROR((O863/1000)*Masters!$C$3,"0")</f>
      </c>
      <c r="Z863" s="195"/>
      <c r="AA863" s="164">
        <f>IFERROR(VLOOKUP(L863,Masters!G:H,2,0),"0")</f>
      </c>
      <c r="AB863" s="166">
        <f>IFERROR(AA863*N863,"0")</f>
      </c>
      <c r="AC863" s="196"/>
      <c r="AD863" s="7"/>
      <c r="AE863" s="166">
        <f>W863+Y863+AB863+AD863</f>
      </c>
      <c r="AF863" s="195"/>
      <c r="AG863" s="169">
        <f>M863&amp;"-"&amp;F863</f>
      </c>
      <c r="AH863" s="191">
        <f>IFERROR(VLOOKUP(AG863,Masters!N:O,2,0),"0")</f>
      </c>
      <c r="AI863" s="166">
        <f>AH863*N863</f>
      </c>
      <c r="AJ863" s="7"/>
      <c r="AK863" s="170">
        <f>AI863-AE863</f>
      </c>
      <c r="AL863" s="195"/>
      <c r="AM863" s="6"/>
      <c r="AN863" s="171">
        <f>IFERROR(U863/2,"0")</f>
      </c>
    </row>
    <row x14ac:dyDescent="0.25" r="864" customHeight="1" ht="18.75">
      <c r="A864" s="158">
        <f>A863+1</f>
      </c>
      <c r="B864" s="159"/>
      <c r="C864" s="6"/>
      <c r="D864" s="159"/>
      <c r="E864" s="198"/>
      <c r="F864" s="160"/>
      <c r="G864" s="6"/>
      <c r="H864" s="6"/>
      <c r="I864" s="7"/>
      <c r="J864" s="147"/>
      <c r="K864" s="7"/>
      <c r="L864" s="147"/>
      <c r="M864" s="161">
        <f>IFERROR(VLOOKUP(L864,'Material Master'!B:C,2,0),"")</f>
      </c>
      <c r="N864" s="7"/>
      <c r="O864" s="162">
        <f>IFERROR(M864*N864,"")</f>
      </c>
      <c r="P864" s="6"/>
      <c r="Q864" s="158"/>
      <c r="R864" s="163"/>
      <c r="S864" s="147"/>
      <c r="T864" s="6"/>
      <c r="U864" s="158"/>
      <c r="V864" s="164">
        <v>31</v>
      </c>
      <c r="W864" s="165">
        <f>IFERROR(U864*V864,"0")</f>
      </c>
      <c r="X864" s="7"/>
      <c r="Y864" s="191">
        <f>IFERROR((O864/1000)*Masters!$C$3,"0")</f>
      </c>
      <c r="Z864" s="195"/>
      <c r="AA864" s="164">
        <f>IFERROR(VLOOKUP(L864,Masters!G:H,2,0),"0")</f>
      </c>
      <c r="AB864" s="166">
        <f>IFERROR(AA864*N864,"0")</f>
      </c>
      <c r="AC864" s="196"/>
      <c r="AD864" s="7"/>
      <c r="AE864" s="166">
        <f>W864+Y864+AB864+AD864</f>
      </c>
      <c r="AF864" s="195"/>
      <c r="AG864" s="169">
        <f>M864&amp;"-"&amp;F864</f>
      </c>
      <c r="AH864" s="191">
        <f>IFERROR(VLOOKUP(AG864,Masters!N:O,2,0),"0")</f>
      </c>
      <c r="AI864" s="166">
        <f>AH864*N864</f>
      </c>
      <c r="AJ864" s="7"/>
      <c r="AK864" s="170">
        <f>AI864-AE864</f>
      </c>
      <c r="AL864" s="195"/>
      <c r="AM864" s="6"/>
      <c r="AN864" s="171">
        <f>IFERROR(U864/2,"0")</f>
      </c>
    </row>
    <row x14ac:dyDescent="0.25" r="865" customHeight="1" ht="18.75">
      <c r="A865" s="158">
        <f>A864+1</f>
      </c>
      <c r="B865" s="159"/>
      <c r="C865" s="6"/>
      <c r="D865" s="159"/>
      <c r="E865" s="198"/>
      <c r="F865" s="160"/>
      <c r="G865" s="6"/>
      <c r="H865" s="6"/>
      <c r="I865" s="7"/>
      <c r="J865" s="147"/>
      <c r="K865" s="7"/>
      <c r="L865" s="147"/>
      <c r="M865" s="161">
        <f>IFERROR(VLOOKUP(L865,'Material Master'!B:C,2,0),"")</f>
      </c>
      <c r="N865" s="7"/>
      <c r="O865" s="162">
        <f>IFERROR(M865*N865,"")</f>
      </c>
      <c r="P865" s="6"/>
      <c r="Q865" s="158"/>
      <c r="R865" s="163"/>
      <c r="S865" s="147"/>
      <c r="T865" s="6"/>
      <c r="U865" s="158"/>
      <c r="V865" s="164">
        <v>31</v>
      </c>
      <c r="W865" s="165">
        <f>IFERROR(U865*V865,"0")</f>
      </c>
      <c r="X865" s="7"/>
      <c r="Y865" s="191">
        <f>IFERROR((O865/1000)*Masters!$C$3,"0")</f>
      </c>
      <c r="Z865" s="195"/>
      <c r="AA865" s="164">
        <f>IFERROR(VLOOKUP(L865,Masters!G:H,2,0),"0")</f>
      </c>
      <c r="AB865" s="166">
        <f>IFERROR(AA865*N865,"0")</f>
      </c>
      <c r="AC865" s="196"/>
      <c r="AD865" s="7"/>
      <c r="AE865" s="166">
        <f>W865+Y865+AB865+AD865</f>
      </c>
      <c r="AF865" s="195"/>
      <c r="AG865" s="169">
        <f>M865&amp;"-"&amp;F865</f>
      </c>
      <c r="AH865" s="191">
        <f>IFERROR(VLOOKUP(AG865,Masters!N:O,2,0),"0")</f>
      </c>
      <c r="AI865" s="166">
        <f>AH865*N865</f>
      </c>
      <c r="AJ865" s="7"/>
      <c r="AK865" s="170">
        <f>AI865-AE865</f>
      </c>
      <c r="AL865" s="195"/>
      <c r="AM865" s="6"/>
      <c r="AN865" s="171">
        <f>IFERROR(U865/2,"0")</f>
      </c>
    </row>
    <row x14ac:dyDescent="0.25" r="866" customHeight="1" ht="18.75">
      <c r="A866" s="158">
        <f>A865+1</f>
      </c>
      <c r="B866" s="159"/>
      <c r="C866" s="6"/>
      <c r="D866" s="159"/>
      <c r="E866" s="198"/>
      <c r="F866" s="160"/>
      <c r="G866" s="6"/>
      <c r="H866" s="6"/>
      <c r="I866" s="7"/>
      <c r="J866" s="147"/>
      <c r="K866" s="7"/>
      <c r="L866" s="147"/>
      <c r="M866" s="161">
        <f>IFERROR(VLOOKUP(L866,'Material Master'!B:C,2,0),"")</f>
      </c>
      <c r="N866" s="7"/>
      <c r="O866" s="162">
        <f>IFERROR(M866*N866,"")</f>
      </c>
      <c r="P866" s="6"/>
      <c r="Q866" s="158"/>
      <c r="R866" s="163"/>
      <c r="S866" s="147"/>
      <c r="T866" s="6"/>
      <c r="U866" s="158"/>
      <c r="V866" s="164">
        <v>31</v>
      </c>
      <c r="W866" s="165">
        <f>IFERROR(U866*V866,"0")</f>
      </c>
      <c r="X866" s="7"/>
      <c r="Y866" s="191">
        <f>IFERROR((O866/1000)*Masters!$C$3,"0")</f>
      </c>
      <c r="Z866" s="195"/>
      <c r="AA866" s="164">
        <f>IFERROR(VLOOKUP(L866,Masters!G:H,2,0),"0")</f>
      </c>
      <c r="AB866" s="166">
        <f>IFERROR(AA866*N866,"0")</f>
      </c>
      <c r="AC866" s="196"/>
      <c r="AD866" s="7"/>
      <c r="AE866" s="166">
        <f>W866+Y866+AB866+AD866</f>
      </c>
      <c r="AF866" s="195"/>
      <c r="AG866" s="169">
        <f>M866&amp;"-"&amp;F866</f>
      </c>
      <c r="AH866" s="191">
        <f>IFERROR(VLOOKUP(AG866,Masters!N:O,2,0),"0")</f>
      </c>
      <c r="AI866" s="166">
        <f>AH866*N866</f>
      </c>
      <c r="AJ866" s="7"/>
      <c r="AK866" s="170">
        <f>AI866-AE866</f>
      </c>
      <c r="AL866" s="195"/>
      <c r="AM866" s="6"/>
      <c r="AN866" s="171">
        <f>IFERROR(U866/2,"0")</f>
      </c>
    </row>
    <row x14ac:dyDescent="0.25" r="867" customHeight="1" ht="18.75">
      <c r="A867" s="158">
        <f>A866+1</f>
      </c>
      <c r="B867" s="159"/>
      <c r="C867" s="6"/>
      <c r="D867" s="159"/>
      <c r="E867" s="198"/>
      <c r="F867" s="160"/>
      <c r="G867" s="6"/>
      <c r="H867" s="6"/>
      <c r="I867" s="7"/>
      <c r="J867" s="147"/>
      <c r="K867" s="7"/>
      <c r="L867" s="147"/>
      <c r="M867" s="161">
        <f>IFERROR(VLOOKUP(L867,'Material Master'!B:C,2,0),"")</f>
      </c>
      <c r="N867" s="7"/>
      <c r="O867" s="162">
        <f>IFERROR(M867*N867,"")</f>
      </c>
      <c r="P867" s="6"/>
      <c r="Q867" s="158"/>
      <c r="R867" s="163"/>
      <c r="S867" s="147"/>
      <c r="T867" s="6"/>
      <c r="U867" s="158"/>
      <c r="V867" s="164">
        <v>31</v>
      </c>
      <c r="W867" s="165">
        <f>IFERROR(U867*V867,"0")</f>
      </c>
      <c r="X867" s="7"/>
      <c r="Y867" s="191">
        <f>IFERROR((O867/1000)*Masters!$C$3,"0")</f>
      </c>
      <c r="Z867" s="195"/>
      <c r="AA867" s="164">
        <f>IFERROR(VLOOKUP(L867,Masters!G:H,2,0),"0")</f>
      </c>
      <c r="AB867" s="166">
        <f>IFERROR(AA867*N867,"0")</f>
      </c>
      <c r="AC867" s="196"/>
      <c r="AD867" s="7"/>
      <c r="AE867" s="166">
        <f>W867+Y867+AB867+AD867</f>
      </c>
      <c r="AF867" s="195"/>
      <c r="AG867" s="169">
        <f>M867&amp;"-"&amp;F867</f>
      </c>
      <c r="AH867" s="191">
        <f>IFERROR(VLOOKUP(AG867,Masters!N:O,2,0),"0")</f>
      </c>
      <c r="AI867" s="166">
        <f>AH867*N867</f>
      </c>
      <c r="AJ867" s="7"/>
      <c r="AK867" s="170">
        <f>AI867-AE867</f>
      </c>
      <c r="AL867" s="195"/>
      <c r="AM867" s="6"/>
      <c r="AN867" s="171">
        <f>IFERROR(U867/2,"0")</f>
      </c>
    </row>
    <row x14ac:dyDescent="0.25" r="868" customHeight="1" ht="18.75">
      <c r="A868" s="158">
        <f>A867+1</f>
      </c>
      <c r="B868" s="159"/>
      <c r="C868" s="6"/>
      <c r="D868" s="159"/>
      <c r="E868" s="198"/>
      <c r="F868" s="160"/>
      <c r="G868" s="6"/>
      <c r="H868" s="6"/>
      <c r="I868" s="7"/>
      <c r="J868" s="147"/>
      <c r="K868" s="7"/>
      <c r="L868" s="147"/>
      <c r="M868" s="161">
        <f>IFERROR(VLOOKUP(L868,'Material Master'!B:C,2,0),"")</f>
      </c>
      <c r="N868" s="7"/>
      <c r="O868" s="162">
        <f>IFERROR(M868*N868,"")</f>
      </c>
      <c r="P868" s="6"/>
      <c r="Q868" s="158"/>
      <c r="R868" s="163"/>
      <c r="S868" s="147"/>
      <c r="T868" s="6"/>
      <c r="U868" s="158"/>
      <c r="V868" s="164">
        <v>31</v>
      </c>
      <c r="W868" s="165">
        <f>IFERROR(U868*V868,"0")</f>
      </c>
      <c r="X868" s="7"/>
      <c r="Y868" s="191">
        <f>IFERROR((O868/1000)*Masters!$C$3,"0")</f>
      </c>
      <c r="Z868" s="195"/>
      <c r="AA868" s="164">
        <f>IFERROR(VLOOKUP(L868,Masters!G:H,2,0),"0")</f>
      </c>
      <c r="AB868" s="166">
        <f>IFERROR(AA868*N868,"0")</f>
      </c>
      <c r="AC868" s="196"/>
      <c r="AD868" s="7"/>
      <c r="AE868" s="166">
        <f>W868+Y868+AB868+AD868</f>
      </c>
      <c r="AF868" s="195"/>
      <c r="AG868" s="169">
        <f>M868&amp;"-"&amp;F868</f>
      </c>
      <c r="AH868" s="191">
        <f>IFERROR(VLOOKUP(AG868,Masters!N:O,2,0),"0")</f>
      </c>
      <c r="AI868" s="166">
        <f>AH868*N868</f>
      </c>
      <c r="AJ868" s="7"/>
      <c r="AK868" s="170">
        <f>AI868-AE868</f>
      </c>
      <c r="AL868" s="195"/>
      <c r="AM868" s="6"/>
      <c r="AN868" s="171">
        <f>IFERROR(U868/2,"0")</f>
      </c>
    </row>
    <row x14ac:dyDescent="0.25" r="869" customHeight="1" ht="18.75">
      <c r="A869" s="158">
        <f>A868+1</f>
      </c>
      <c r="B869" s="159"/>
      <c r="C869" s="6"/>
      <c r="D869" s="159"/>
      <c r="E869" s="198"/>
      <c r="F869" s="160"/>
      <c r="G869" s="6"/>
      <c r="H869" s="6"/>
      <c r="I869" s="7"/>
      <c r="J869" s="147"/>
      <c r="K869" s="7"/>
      <c r="L869" s="147"/>
      <c r="M869" s="161">
        <f>IFERROR(VLOOKUP(L869,'Material Master'!B:C,2,0),"")</f>
      </c>
      <c r="N869" s="7"/>
      <c r="O869" s="162">
        <f>IFERROR(M869*N869,"")</f>
      </c>
      <c r="P869" s="6"/>
      <c r="Q869" s="158"/>
      <c r="R869" s="163"/>
      <c r="S869" s="147"/>
      <c r="T869" s="6"/>
      <c r="U869" s="158"/>
      <c r="V869" s="164">
        <v>31</v>
      </c>
      <c r="W869" s="165">
        <f>IFERROR(U869*V869,"0")</f>
      </c>
      <c r="X869" s="7"/>
      <c r="Y869" s="191">
        <f>IFERROR((O869/1000)*Masters!$C$3,"0")</f>
      </c>
      <c r="Z869" s="195"/>
      <c r="AA869" s="164">
        <f>IFERROR(VLOOKUP(L869,Masters!G:H,2,0),"0")</f>
      </c>
      <c r="AB869" s="166">
        <f>IFERROR(AA869*N869,"0")</f>
      </c>
      <c r="AC869" s="196"/>
      <c r="AD869" s="7"/>
      <c r="AE869" s="166">
        <f>W869+Y869+AB869+AD869</f>
      </c>
      <c r="AF869" s="195"/>
      <c r="AG869" s="169">
        <f>M869&amp;"-"&amp;F869</f>
      </c>
      <c r="AH869" s="191">
        <f>IFERROR(VLOOKUP(AG869,Masters!N:O,2,0),"0")</f>
      </c>
      <c r="AI869" s="166">
        <f>AH869*N869</f>
      </c>
      <c r="AJ869" s="7"/>
      <c r="AK869" s="170">
        <f>AI869-AE869</f>
      </c>
      <c r="AL869" s="195"/>
      <c r="AM869" s="6"/>
      <c r="AN869" s="171">
        <f>IFERROR(U869/2,"0")</f>
      </c>
    </row>
    <row x14ac:dyDescent="0.25" r="870" customHeight="1" ht="18.75">
      <c r="A870" s="158">
        <f>A869+1</f>
      </c>
      <c r="B870" s="159"/>
      <c r="C870" s="6"/>
      <c r="D870" s="159"/>
      <c r="E870" s="198"/>
      <c r="F870" s="160"/>
      <c r="G870" s="6"/>
      <c r="H870" s="6"/>
      <c r="I870" s="7"/>
      <c r="J870" s="147"/>
      <c r="K870" s="7"/>
      <c r="L870" s="147"/>
      <c r="M870" s="161">
        <f>IFERROR(VLOOKUP(L870,'Material Master'!B:C,2,0),"")</f>
      </c>
      <c r="N870" s="7"/>
      <c r="O870" s="162">
        <f>IFERROR(M870*N870,"")</f>
      </c>
      <c r="P870" s="6"/>
      <c r="Q870" s="158"/>
      <c r="R870" s="163"/>
      <c r="S870" s="147"/>
      <c r="T870" s="6"/>
      <c r="U870" s="158"/>
      <c r="V870" s="164">
        <v>31</v>
      </c>
      <c r="W870" s="165">
        <f>IFERROR(U870*V870,"0")</f>
      </c>
      <c r="X870" s="7"/>
      <c r="Y870" s="191">
        <f>IFERROR((O870/1000)*Masters!$C$3,"0")</f>
      </c>
      <c r="Z870" s="195"/>
      <c r="AA870" s="164">
        <f>IFERROR(VLOOKUP(L870,Masters!G:H,2,0),"0")</f>
      </c>
      <c r="AB870" s="166">
        <f>IFERROR(AA870*N870,"0")</f>
      </c>
      <c r="AC870" s="196"/>
      <c r="AD870" s="7"/>
      <c r="AE870" s="166">
        <f>W870+Y870+AB870+AD870</f>
      </c>
      <c r="AF870" s="195"/>
      <c r="AG870" s="169">
        <f>M870&amp;"-"&amp;F870</f>
      </c>
      <c r="AH870" s="191">
        <f>IFERROR(VLOOKUP(AG870,Masters!N:O,2,0),"0")</f>
      </c>
      <c r="AI870" s="166">
        <f>AH870*N870</f>
      </c>
      <c r="AJ870" s="7"/>
      <c r="AK870" s="170">
        <f>AI870-AE870</f>
      </c>
      <c r="AL870" s="195"/>
      <c r="AM870" s="6"/>
      <c r="AN870" s="171">
        <f>IFERROR(U870/2,"0")</f>
      </c>
    </row>
    <row x14ac:dyDescent="0.25" r="871" customHeight="1" ht="18.75">
      <c r="A871" s="158">
        <f>A870+1</f>
      </c>
      <c r="B871" s="159"/>
      <c r="C871" s="6"/>
      <c r="D871" s="159"/>
      <c r="E871" s="198"/>
      <c r="F871" s="160"/>
      <c r="G871" s="6"/>
      <c r="H871" s="6"/>
      <c r="I871" s="7"/>
      <c r="J871" s="147"/>
      <c r="K871" s="7"/>
      <c r="L871" s="147"/>
      <c r="M871" s="161">
        <f>IFERROR(VLOOKUP(L871,'Material Master'!B:C,2,0),"")</f>
      </c>
      <c r="N871" s="7"/>
      <c r="O871" s="162">
        <f>IFERROR(M871*N871,"")</f>
      </c>
      <c r="P871" s="6"/>
      <c r="Q871" s="158"/>
      <c r="R871" s="163"/>
      <c r="S871" s="147"/>
      <c r="T871" s="6"/>
      <c r="U871" s="158"/>
      <c r="V871" s="164">
        <v>31</v>
      </c>
      <c r="W871" s="165">
        <f>IFERROR(U871*V871,"0")</f>
      </c>
      <c r="X871" s="7"/>
      <c r="Y871" s="191">
        <f>IFERROR((O871/1000)*Masters!$C$3,"0")</f>
      </c>
      <c r="Z871" s="195"/>
      <c r="AA871" s="164">
        <f>IFERROR(VLOOKUP(L871,Masters!G:H,2,0),"0")</f>
      </c>
      <c r="AB871" s="166">
        <f>IFERROR(AA871*N871,"0")</f>
      </c>
      <c r="AC871" s="196"/>
      <c r="AD871" s="7"/>
      <c r="AE871" s="166">
        <f>W871+Y871+AB871+AD871</f>
      </c>
      <c r="AF871" s="195"/>
      <c r="AG871" s="169">
        <f>M871&amp;"-"&amp;F871</f>
      </c>
      <c r="AH871" s="191">
        <f>IFERROR(VLOOKUP(AG871,Masters!N:O,2,0),"0")</f>
      </c>
      <c r="AI871" s="166">
        <f>AH871*N871</f>
      </c>
      <c r="AJ871" s="7"/>
      <c r="AK871" s="170">
        <f>AI871-AE871</f>
      </c>
      <c r="AL871" s="195"/>
      <c r="AM871" s="6"/>
      <c r="AN871" s="171">
        <f>IFERROR(U871/2,"0")</f>
      </c>
    </row>
    <row x14ac:dyDescent="0.25" r="872" customHeight="1" ht="18.75">
      <c r="A872" s="158">
        <f>A871+1</f>
      </c>
      <c r="B872" s="159"/>
      <c r="C872" s="6"/>
      <c r="D872" s="159"/>
      <c r="E872" s="198"/>
      <c r="F872" s="160"/>
      <c r="G872" s="6"/>
      <c r="H872" s="6"/>
      <c r="I872" s="7"/>
      <c r="J872" s="147"/>
      <c r="K872" s="7"/>
      <c r="L872" s="147"/>
      <c r="M872" s="161">
        <f>IFERROR(VLOOKUP(L872,'Material Master'!B:C,2,0),"")</f>
      </c>
      <c r="N872" s="7"/>
      <c r="O872" s="162">
        <f>IFERROR(M872*N872,"")</f>
      </c>
      <c r="P872" s="6"/>
      <c r="Q872" s="158"/>
      <c r="R872" s="163"/>
      <c r="S872" s="147"/>
      <c r="T872" s="6"/>
      <c r="U872" s="158"/>
      <c r="V872" s="164">
        <v>31</v>
      </c>
      <c r="W872" s="165">
        <f>IFERROR(U872*V872,"0")</f>
      </c>
      <c r="X872" s="7"/>
      <c r="Y872" s="191">
        <f>IFERROR((O872/1000)*Masters!$C$3,"0")</f>
      </c>
      <c r="Z872" s="195"/>
      <c r="AA872" s="164">
        <f>IFERROR(VLOOKUP(L872,Masters!G:H,2,0),"0")</f>
      </c>
      <c r="AB872" s="166">
        <f>IFERROR(AA872*N872,"0")</f>
      </c>
      <c r="AC872" s="196"/>
      <c r="AD872" s="7"/>
      <c r="AE872" s="166">
        <f>W872+Y872+AB872+AD872</f>
      </c>
      <c r="AF872" s="195"/>
      <c r="AG872" s="169">
        <f>M872&amp;"-"&amp;F872</f>
      </c>
      <c r="AH872" s="191">
        <f>IFERROR(VLOOKUP(AG872,Masters!N:O,2,0),"0")</f>
      </c>
      <c r="AI872" s="166">
        <f>AH872*N872</f>
      </c>
      <c r="AJ872" s="7"/>
      <c r="AK872" s="170">
        <f>AI872-AE872</f>
      </c>
      <c r="AL872" s="195"/>
      <c r="AM872" s="6"/>
      <c r="AN872" s="171">
        <f>IFERROR(U872/2,"0")</f>
      </c>
    </row>
    <row x14ac:dyDescent="0.25" r="873" customHeight="1" ht="18.75">
      <c r="A873" s="158">
        <f>A872+1</f>
      </c>
      <c r="B873" s="159"/>
      <c r="C873" s="6"/>
      <c r="D873" s="159"/>
      <c r="E873" s="198"/>
      <c r="F873" s="160"/>
      <c r="G873" s="6"/>
      <c r="H873" s="6"/>
      <c r="I873" s="7"/>
      <c r="J873" s="147"/>
      <c r="K873" s="7"/>
      <c r="L873" s="147"/>
      <c r="M873" s="161">
        <f>IFERROR(VLOOKUP(L873,'Material Master'!B:C,2,0),"")</f>
      </c>
      <c r="N873" s="7"/>
      <c r="O873" s="162">
        <f>IFERROR(M873*N873,"")</f>
      </c>
      <c r="P873" s="6"/>
      <c r="Q873" s="158"/>
      <c r="R873" s="163"/>
      <c r="S873" s="147"/>
      <c r="T873" s="6"/>
      <c r="U873" s="158"/>
      <c r="V873" s="164">
        <v>31</v>
      </c>
      <c r="W873" s="165">
        <f>IFERROR(U873*V873,"0")</f>
      </c>
      <c r="X873" s="7"/>
      <c r="Y873" s="191">
        <f>IFERROR((O873/1000)*Masters!$C$3,"0")</f>
      </c>
      <c r="Z873" s="195"/>
      <c r="AA873" s="164">
        <f>IFERROR(VLOOKUP(L873,Masters!G:H,2,0),"0")</f>
      </c>
      <c r="AB873" s="166">
        <f>IFERROR(AA873*N873,"0")</f>
      </c>
      <c r="AC873" s="196"/>
      <c r="AD873" s="7"/>
      <c r="AE873" s="166">
        <f>W873+Y873+AB873+AD873</f>
      </c>
      <c r="AF873" s="195"/>
      <c r="AG873" s="169">
        <f>M873&amp;"-"&amp;F873</f>
      </c>
      <c r="AH873" s="191">
        <f>IFERROR(VLOOKUP(AG873,Masters!N:O,2,0),"0")</f>
      </c>
      <c r="AI873" s="166">
        <f>AH873*N873</f>
      </c>
      <c r="AJ873" s="7"/>
      <c r="AK873" s="170">
        <f>AI873-AE873</f>
      </c>
      <c r="AL873" s="195"/>
      <c r="AM873" s="6"/>
      <c r="AN873" s="171">
        <f>IFERROR(U873/2,"0")</f>
      </c>
    </row>
    <row x14ac:dyDescent="0.25" r="874" customHeight="1" ht="18.75">
      <c r="A874" s="158">
        <f>A873+1</f>
      </c>
      <c r="B874" s="159"/>
      <c r="C874" s="6"/>
      <c r="D874" s="159"/>
      <c r="E874" s="198"/>
      <c r="F874" s="160"/>
      <c r="G874" s="6"/>
      <c r="H874" s="6"/>
      <c r="I874" s="7"/>
      <c r="J874" s="147"/>
      <c r="K874" s="7"/>
      <c r="L874" s="147"/>
      <c r="M874" s="161">
        <f>IFERROR(VLOOKUP(L874,'Material Master'!B:C,2,0),"")</f>
      </c>
      <c r="N874" s="7"/>
      <c r="O874" s="162">
        <f>IFERROR(M874*N874,"")</f>
      </c>
      <c r="P874" s="6"/>
      <c r="Q874" s="158"/>
      <c r="R874" s="163"/>
      <c r="S874" s="147"/>
      <c r="T874" s="6"/>
      <c r="U874" s="158"/>
      <c r="V874" s="164">
        <v>31</v>
      </c>
      <c r="W874" s="165">
        <f>IFERROR(U874*V874,"0")</f>
      </c>
      <c r="X874" s="7"/>
      <c r="Y874" s="191">
        <f>IFERROR((O874/1000)*Masters!$C$3,"0")</f>
      </c>
      <c r="Z874" s="195"/>
      <c r="AA874" s="164">
        <f>IFERROR(VLOOKUP(L874,Masters!G:H,2,0),"0")</f>
      </c>
      <c r="AB874" s="166">
        <f>IFERROR(AA874*N874,"0")</f>
      </c>
      <c r="AC874" s="196"/>
      <c r="AD874" s="7"/>
      <c r="AE874" s="166">
        <f>W874+Y874+AB874+AD874</f>
      </c>
      <c r="AF874" s="195"/>
      <c r="AG874" s="169">
        <f>M874&amp;"-"&amp;F874</f>
      </c>
      <c r="AH874" s="191">
        <f>IFERROR(VLOOKUP(AG874,Masters!N:O,2,0),"0")</f>
      </c>
      <c r="AI874" s="166">
        <f>AH874*N874</f>
      </c>
      <c r="AJ874" s="7"/>
      <c r="AK874" s="170">
        <f>AI874-AE874</f>
      </c>
      <c r="AL874" s="195"/>
      <c r="AM874" s="6"/>
      <c r="AN874" s="171">
        <f>IFERROR(U874/2,"0")</f>
      </c>
    </row>
    <row x14ac:dyDescent="0.25" r="875" customHeight="1" ht="18.75">
      <c r="A875" s="158">
        <f>A874+1</f>
      </c>
      <c r="B875" s="159"/>
      <c r="C875" s="6"/>
      <c r="D875" s="159"/>
      <c r="E875" s="198"/>
      <c r="F875" s="160"/>
      <c r="G875" s="6"/>
      <c r="H875" s="6"/>
      <c r="I875" s="7"/>
      <c r="J875" s="147"/>
      <c r="K875" s="7"/>
      <c r="L875" s="147"/>
      <c r="M875" s="161">
        <f>IFERROR(VLOOKUP(L875,'Material Master'!B:C,2,0),"")</f>
      </c>
      <c r="N875" s="7"/>
      <c r="O875" s="162">
        <f>IFERROR(M875*N875,"")</f>
      </c>
      <c r="P875" s="6"/>
      <c r="Q875" s="158"/>
      <c r="R875" s="163"/>
      <c r="S875" s="147"/>
      <c r="T875" s="6"/>
      <c r="U875" s="158"/>
      <c r="V875" s="164">
        <v>31</v>
      </c>
      <c r="W875" s="165">
        <f>IFERROR(U875*V875,"0")</f>
      </c>
      <c r="X875" s="7"/>
      <c r="Y875" s="191">
        <f>IFERROR((O875/1000)*Masters!$C$3,"0")</f>
      </c>
      <c r="Z875" s="195"/>
      <c r="AA875" s="164">
        <f>IFERROR(VLOOKUP(L875,Masters!G:H,2,0),"0")</f>
      </c>
      <c r="AB875" s="166">
        <f>IFERROR(AA875*N875,"0")</f>
      </c>
      <c r="AC875" s="196"/>
      <c r="AD875" s="7"/>
      <c r="AE875" s="166">
        <f>W875+Y875+AB875+AD875</f>
      </c>
      <c r="AF875" s="195"/>
      <c r="AG875" s="169">
        <f>M875&amp;"-"&amp;F875</f>
      </c>
      <c r="AH875" s="191">
        <f>IFERROR(VLOOKUP(AG875,Masters!N:O,2,0),"0")</f>
      </c>
      <c r="AI875" s="166">
        <f>AH875*N875</f>
      </c>
      <c r="AJ875" s="7"/>
      <c r="AK875" s="170">
        <f>AI875-AE875</f>
      </c>
      <c r="AL875" s="195"/>
      <c r="AM875" s="6"/>
      <c r="AN875" s="171">
        <f>IFERROR(U875/2,"0")</f>
      </c>
    </row>
    <row x14ac:dyDescent="0.25" r="876" customHeight="1" ht="18.75">
      <c r="A876" s="158">
        <f>A875+1</f>
      </c>
      <c r="B876" s="159"/>
      <c r="C876" s="6"/>
      <c r="D876" s="159"/>
      <c r="E876" s="198"/>
      <c r="F876" s="160"/>
      <c r="G876" s="6"/>
      <c r="H876" s="6"/>
      <c r="I876" s="7"/>
      <c r="J876" s="147"/>
      <c r="K876" s="7"/>
      <c r="L876" s="147"/>
      <c r="M876" s="161">
        <f>IFERROR(VLOOKUP(L876,'Material Master'!B:C,2,0),"")</f>
      </c>
      <c r="N876" s="7"/>
      <c r="O876" s="162">
        <f>IFERROR(M876*N876,"")</f>
      </c>
      <c r="P876" s="6"/>
      <c r="Q876" s="158"/>
      <c r="R876" s="163"/>
      <c r="S876" s="147"/>
      <c r="T876" s="6"/>
      <c r="U876" s="158"/>
      <c r="V876" s="164">
        <v>31</v>
      </c>
      <c r="W876" s="165">
        <f>IFERROR(U876*V876,"0")</f>
      </c>
      <c r="X876" s="7"/>
      <c r="Y876" s="191">
        <f>IFERROR((O876/1000)*Masters!$C$3,"0")</f>
      </c>
      <c r="Z876" s="195"/>
      <c r="AA876" s="164">
        <f>IFERROR(VLOOKUP(L876,Masters!G:H,2,0),"0")</f>
      </c>
      <c r="AB876" s="166">
        <f>IFERROR(AA876*N876,"0")</f>
      </c>
      <c r="AC876" s="196"/>
      <c r="AD876" s="7"/>
      <c r="AE876" s="166">
        <f>W876+Y876+AB876+AD876</f>
      </c>
      <c r="AF876" s="195"/>
      <c r="AG876" s="169">
        <f>M876&amp;"-"&amp;F876</f>
      </c>
      <c r="AH876" s="191">
        <f>IFERROR(VLOOKUP(AG876,Masters!N:O,2,0),"0")</f>
      </c>
      <c r="AI876" s="166">
        <f>AH876*N876</f>
      </c>
      <c r="AJ876" s="7"/>
      <c r="AK876" s="170">
        <f>AI876-AE876</f>
      </c>
      <c r="AL876" s="195"/>
      <c r="AM876" s="6"/>
      <c r="AN876" s="171">
        <f>IFERROR(U876/2,"0")</f>
      </c>
    </row>
    <row x14ac:dyDescent="0.25" r="877" customHeight="1" ht="18.75">
      <c r="A877" s="158">
        <f>A876+1</f>
      </c>
      <c r="B877" s="159"/>
      <c r="C877" s="6"/>
      <c r="D877" s="159"/>
      <c r="E877" s="198"/>
      <c r="F877" s="160"/>
      <c r="G877" s="6"/>
      <c r="H877" s="6"/>
      <c r="I877" s="7"/>
      <c r="J877" s="147"/>
      <c r="K877" s="7"/>
      <c r="L877" s="147"/>
      <c r="M877" s="161">
        <f>IFERROR(VLOOKUP(L877,'Material Master'!B:C,2,0),"")</f>
      </c>
      <c r="N877" s="7"/>
      <c r="O877" s="162">
        <f>IFERROR(M877*N877,"")</f>
      </c>
      <c r="P877" s="6"/>
      <c r="Q877" s="158"/>
      <c r="R877" s="163"/>
      <c r="S877" s="147"/>
      <c r="T877" s="6"/>
      <c r="U877" s="158"/>
      <c r="V877" s="164">
        <v>31</v>
      </c>
      <c r="W877" s="165">
        <f>IFERROR(U877*V877,"0")</f>
      </c>
      <c r="X877" s="7"/>
      <c r="Y877" s="191">
        <f>IFERROR((O877/1000)*Masters!$C$3,"0")</f>
      </c>
      <c r="Z877" s="195"/>
      <c r="AA877" s="164">
        <f>IFERROR(VLOOKUP(L877,Masters!G:H,2,0),"0")</f>
      </c>
      <c r="AB877" s="166">
        <f>IFERROR(AA877*N877,"0")</f>
      </c>
      <c r="AC877" s="196"/>
      <c r="AD877" s="7"/>
      <c r="AE877" s="166">
        <f>W877+Y877+AB877+AD877</f>
      </c>
      <c r="AF877" s="195"/>
      <c r="AG877" s="169">
        <f>M877&amp;"-"&amp;F877</f>
      </c>
      <c r="AH877" s="191">
        <f>IFERROR(VLOOKUP(AG877,Masters!N:O,2,0),"0")</f>
      </c>
      <c r="AI877" s="166">
        <f>AH877*N877</f>
      </c>
      <c r="AJ877" s="7"/>
      <c r="AK877" s="170">
        <f>AI877-AE877</f>
      </c>
      <c r="AL877" s="195"/>
      <c r="AM877" s="6"/>
      <c r="AN877" s="171">
        <f>IFERROR(U877/2,"0")</f>
      </c>
    </row>
    <row x14ac:dyDescent="0.25" r="878" customHeight="1" ht="18.75">
      <c r="A878" s="158">
        <f>A877+1</f>
      </c>
      <c r="B878" s="159"/>
      <c r="C878" s="6"/>
      <c r="D878" s="159"/>
      <c r="E878" s="198"/>
      <c r="F878" s="160"/>
      <c r="G878" s="6"/>
      <c r="H878" s="6"/>
      <c r="I878" s="7"/>
      <c r="J878" s="147"/>
      <c r="K878" s="7"/>
      <c r="L878" s="147"/>
      <c r="M878" s="161">
        <f>IFERROR(VLOOKUP(L878,'Material Master'!B:C,2,0),"")</f>
      </c>
      <c r="N878" s="7"/>
      <c r="O878" s="162">
        <f>IFERROR(M878*N878,"")</f>
      </c>
      <c r="P878" s="6"/>
      <c r="Q878" s="158"/>
      <c r="R878" s="163"/>
      <c r="S878" s="147"/>
      <c r="T878" s="6"/>
      <c r="U878" s="158"/>
      <c r="V878" s="164">
        <v>31</v>
      </c>
      <c r="W878" s="165">
        <f>IFERROR(U878*V878,"0")</f>
      </c>
      <c r="X878" s="7"/>
      <c r="Y878" s="191">
        <f>IFERROR((O878/1000)*Masters!$C$3,"0")</f>
      </c>
      <c r="Z878" s="195"/>
      <c r="AA878" s="164">
        <f>IFERROR(VLOOKUP(L878,Masters!G:H,2,0),"0")</f>
      </c>
      <c r="AB878" s="166">
        <f>IFERROR(AA878*N878,"0")</f>
      </c>
      <c r="AC878" s="196"/>
      <c r="AD878" s="7"/>
      <c r="AE878" s="166">
        <f>W878+Y878+AB878+AD878</f>
      </c>
      <c r="AF878" s="195"/>
      <c r="AG878" s="169">
        <f>M878&amp;"-"&amp;F878</f>
      </c>
      <c r="AH878" s="191">
        <f>IFERROR(VLOOKUP(AG878,Masters!N:O,2,0),"0")</f>
      </c>
      <c r="AI878" s="166">
        <f>AH878*N878</f>
      </c>
      <c r="AJ878" s="7"/>
      <c r="AK878" s="170">
        <f>AI878-AE878</f>
      </c>
      <c r="AL878" s="195"/>
      <c r="AM878" s="6"/>
      <c r="AN878" s="171">
        <f>IFERROR(U878/2,"0")</f>
      </c>
    </row>
    <row x14ac:dyDescent="0.25" r="879" customHeight="1" ht="18.75">
      <c r="A879" s="158">
        <f>A878+1</f>
      </c>
      <c r="B879" s="159"/>
      <c r="C879" s="6"/>
      <c r="D879" s="159"/>
      <c r="E879" s="198"/>
      <c r="F879" s="160"/>
      <c r="G879" s="6"/>
      <c r="H879" s="6"/>
      <c r="I879" s="7"/>
      <c r="J879" s="147"/>
      <c r="K879" s="7"/>
      <c r="L879" s="147"/>
      <c r="M879" s="161">
        <f>IFERROR(VLOOKUP(L879,'Material Master'!B:C,2,0),"")</f>
      </c>
      <c r="N879" s="7"/>
      <c r="O879" s="162">
        <f>IFERROR(M879*N879,"")</f>
      </c>
      <c r="P879" s="6"/>
      <c r="Q879" s="158"/>
      <c r="R879" s="163"/>
      <c r="S879" s="147"/>
      <c r="T879" s="6"/>
      <c r="U879" s="158"/>
      <c r="V879" s="164">
        <v>31</v>
      </c>
      <c r="W879" s="165">
        <f>IFERROR(U879*V879,"0")</f>
      </c>
      <c r="X879" s="7"/>
      <c r="Y879" s="191">
        <f>IFERROR((O879/1000)*Masters!$C$3,"0")</f>
      </c>
      <c r="Z879" s="195"/>
      <c r="AA879" s="164">
        <f>IFERROR(VLOOKUP(L879,Masters!G:H,2,0),"0")</f>
      </c>
      <c r="AB879" s="166">
        <f>IFERROR(AA879*N879,"0")</f>
      </c>
      <c r="AC879" s="196"/>
      <c r="AD879" s="7"/>
      <c r="AE879" s="166">
        <f>W879+Y879+AB879+AD879</f>
      </c>
      <c r="AF879" s="195"/>
      <c r="AG879" s="169">
        <f>M879&amp;"-"&amp;F879</f>
      </c>
      <c r="AH879" s="191">
        <f>IFERROR(VLOOKUP(AG879,Masters!N:O,2,0),"0")</f>
      </c>
      <c r="AI879" s="166">
        <f>AH879*N879</f>
      </c>
      <c r="AJ879" s="7"/>
      <c r="AK879" s="170">
        <f>AI879-AE879</f>
      </c>
      <c r="AL879" s="195"/>
      <c r="AM879" s="6"/>
      <c r="AN879" s="171">
        <f>IFERROR(U879/2,"0")</f>
      </c>
    </row>
    <row x14ac:dyDescent="0.25" r="880" customHeight="1" ht="18.75">
      <c r="A880" s="158">
        <f>A879+1</f>
      </c>
      <c r="B880" s="159"/>
      <c r="C880" s="6"/>
      <c r="D880" s="159"/>
      <c r="E880" s="198"/>
      <c r="F880" s="160"/>
      <c r="G880" s="6"/>
      <c r="H880" s="6"/>
      <c r="I880" s="7"/>
      <c r="J880" s="147"/>
      <c r="K880" s="7"/>
      <c r="L880" s="147"/>
      <c r="M880" s="161">
        <f>IFERROR(VLOOKUP(L880,'Material Master'!B:C,2,0),"")</f>
      </c>
      <c r="N880" s="7"/>
      <c r="O880" s="162">
        <f>IFERROR(M880*N880,"")</f>
      </c>
      <c r="P880" s="6"/>
      <c r="Q880" s="158"/>
      <c r="R880" s="163"/>
      <c r="S880" s="147"/>
      <c r="T880" s="6"/>
      <c r="U880" s="158"/>
      <c r="V880" s="164">
        <v>31</v>
      </c>
      <c r="W880" s="165">
        <f>IFERROR(U880*V880,"0")</f>
      </c>
      <c r="X880" s="7"/>
      <c r="Y880" s="191">
        <f>IFERROR((O880/1000)*Masters!$C$3,"0")</f>
      </c>
      <c r="Z880" s="195"/>
      <c r="AA880" s="164">
        <f>IFERROR(VLOOKUP(L880,Masters!G:H,2,0),"0")</f>
      </c>
      <c r="AB880" s="166">
        <f>IFERROR(AA880*N880,"0")</f>
      </c>
      <c r="AC880" s="196"/>
      <c r="AD880" s="7"/>
      <c r="AE880" s="166">
        <f>W880+Y880+AB880+AD880</f>
      </c>
      <c r="AF880" s="195"/>
      <c r="AG880" s="169">
        <f>M880&amp;"-"&amp;F880</f>
      </c>
      <c r="AH880" s="191">
        <f>IFERROR(VLOOKUP(AG880,Masters!N:O,2,0),"0")</f>
      </c>
      <c r="AI880" s="166">
        <f>AH880*N880</f>
      </c>
      <c r="AJ880" s="7"/>
      <c r="AK880" s="170">
        <f>AI880-AE880</f>
      </c>
      <c r="AL880" s="195"/>
      <c r="AM880" s="6"/>
      <c r="AN880" s="171">
        <f>IFERROR(U880/2,"0")</f>
      </c>
    </row>
    <row x14ac:dyDescent="0.25" r="881" customHeight="1" ht="18.75">
      <c r="A881" s="158">
        <f>A880+1</f>
      </c>
      <c r="B881" s="159"/>
      <c r="C881" s="6"/>
      <c r="D881" s="159"/>
      <c r="E881" s="198"/>
      <c r="F881" s="160"/>
      <c r="G881" s="6"/>
      <c r="H881" s="6"/>
      <c r="I881" s="7"/>
      <c r="J881" s="147"/>
      <c r="K881" s="7"/>
      <c r="L881" s="147"/>
      <c r="M881" s="161">
        <f>IFERROR(VLOOKUP(L881,'Material Master'!B:C,2,0),"")</f>
      </c>
      <c r="N881" s="7"/>
      <c r="O881" s="162">
        <f>IFERROR(M881*N881,"")</f>
      </c>
      <c r="P881" s="6"/>
      <c r="Q881" s="158"/>
      <c r="R881" s="163"/>
      <c r="S881" s="147"/>
      <c r="T881" s="6"/>
      <c r="U881" s="158"/>
      <c r="V881" s="164">
        <v>31</v>
      </c>
      <c r="W881" s="165">
        <f>IFERROR(U881*V881,"0")</f>
      </c>
      <c r="X881" s="7"/>
      <c r="Y881" s="191">
        <f>IFERROR((O881/1000)*Masters!$C$3,"0")</f>
      </c>
      <c r="Z881" s="195"/>
      <c r="AA881" s="164">
        <f>IFERROR(VLOOKUP(L881,Masters!G:H,2,0),"0")</f>
      </c>
      <c r="AB881" s="166">
        <f>IFERROR(AA881*N881,"0")</f>
      </c>
      <c r="AC881" s="196"/>
      <c r="AD881" s="7"/>
      <c r="AE881" s="166">
        <f>W881+Y881+AB881+AD881</f>
      </c>
      <c r="AF881" s="195"/>
      <c r="AG881" s="169">
        <f>M881&amp;"-"&amp;F881</f>
      </c>
      <c r="AH881" s="191">
        <f>IFERROR(VLOOKUP(AG881,Masters!N:O,2,0),"0")</f>
      </c>
      <c r="AI881" s="166">
        <f>AH881*N881</f>
      </c>
      <c r="AJ881" s="7"/>
      <c r="AK881" s="170">
        <f>AI881-AE881</f>
      </c>
      <c r="AL881" s="195"/>
      <c r="AM881" s="6"/>
      <c r="AN881" s="171">
        <f>IFERROR(U881/2,"0")</f>
      </c>
    </row>
    <row x14ac:dyDescent="0.25" r="882" customHeight="1" ht="18.75">
      <c r="A882" s="158">
        <f>A881+1</f>
      </c>
      <c r="B882" s="159"/>
      <c r="C882" s="6"/>
      <c r="D882" s="159"/>
      <c r="E882" s="198"/>
      <c r="F882" s="160"/>
      <c r="G882" s="6"/>
      <c r="H882" s="6"/>
      <c r="I882" s="7"/>
      <c r="J882" s="147"/>
      <c r="K882" s="7"/>
      <c r="L882" s="147"/>
      <c r="M882" s="161">
        <f>IFERROR(VLOOKUP(L882,'Material Master'!B:C,2,0),"")</f>
      </c>
      <c r="N882" s="7"/>
      <c r="O882" s="162">
        <f>IFERROR(M882*N882,"")</f>
      </c>
      <c r="P882" s="6"/>
      <c r="Q882" s="158"/>
      <c r="R882" s="163"/>
      <c r="S882" s="147"/>
      <c r="T882" s="6"/>
      <c r="U882" s="158"/>
      <c r="V882" s="164">
        <v>31</v>
      </c>
      <c r="W882" s="165">
        <f>IFERROR(U882*V882,"0")</f>
      </c>
      <c r="X882" s="7"/>
      <c r="Y882" s="191">
        <f>IFERROR((O882/1000)*Masters!$C$3,"0")</f>
      </c>
      <c r="Z882" s="195"/>
      <c r="AA882" s="164">
        <f>IFERROR(VLOOKUP(L882,Masters!G:H,2,0),"0")</f>
      </c>
      <c r="AB882" s="166">
        <f>IFERROR(AA882*N882,"0")</f>
      </c>
      <c r="AC882" s="196"/>
      <c r="AD882" s="7"/>
      <c r="AE882" s="166">
        <f>W882+Y882+AB882+AD882</f>
      </c>
      <c r="AF882" s="195"/>
      <c r="AG882" s="169">
        <f>M882&amp;"-"&amp;F882</f>
      </c>
      <c r="AH882" s="191">
        <f>IFERROR(VLOOKUP(AG882,Masters!N:O,2,0),"0")</f>
      </c>
      <c r="AI882" s="166">
        <f>AH882*N882</f>
      </c>
      <c r="AJ882" s="7"/>
      <c r="AK882" s="170">
        <f>AI882-AE882</f>
      </c>
      <c r="AL882" s="195"/>
      <c r="AM882" s="6"/>
      <c r="AN882" s="171">
        <f>IFERROR(U882/2,"0")</f>
      </c>
    </row>
    <row x14ac:dyDescent="0.25" r="883" customHeight="1" ht="18.75">
      <c r="A883" s="158">
        <f>A882+1</f>
      </c>
      <c r="B883" s="159"/>
      <c r="C883" s="6"/>
      <c r="D883" s="159"/>
      <c r="E883" s="198"/>
      <c r="F883" s="160"/>
      <c r="G883" s="6"/>
      <c r="H883" s="6"/>
      <c r="I883" s="7"/>
      <c r="J883" s="147"/>
      <c r="K883" s="7"/>
      <c r="L883" s="147"/>
      <c r="M883" s="161">
        <f>IFERROR(VLOOKUP(L883,'Material Master'!B:C,2,0),"")</f>
      </c>
      <c r="N883" s="7"/>
      <c r="O883" s="162">
        <f>IFERROR(M883*N883,"")</f>
      </c>
      <c r="P883" s="6"/>
      <c r="Q883" s="158"/>
      <c r="R883" s="163"/>
      <c r="S883" s="147"/>
      <c r="T883" s="6"/>
      <c r="U883" s="158"/>
      <c r="V883" s="164">
        <v>31</v>
      </c>
      <c r="W883" s="165">
        <f>IFERROR(U883*V883,"0")</f>
      </c>
      <c r="X883" s="7"/>
      <c r="Y883" s="191">
        <f>IFERROR((O883/1000)*Masters!$C$3,"0")</f>
      </c>
      <c r="Z883" s="195"/>
      <c r="AA883" s="164">
        <f>IFERROR(VLOOKUP(L883,Masters!G:H,2,0),"0")</f>
      </c>
      <c r="AB883" s="166">
        <f>IFERROR(AA883*N883,"0")</f>
      </c>
      <c r="AC883" s="196"/>
      <c r="AD883" s="7"/>
      <c r="AE883" s="166">
        <f>W883+Y883+AB883+AD883</f>
      </c>
      <c r="AF883" s="195"/>
      <c r="AG883" s="169">
        <f>M883&amp;"-"&amp;F883</f>
      </c>
      <c r="AH883" s="191">
        <f>IFERROR(VLOOKUP(AG883,Masters!N:O,2,0),"0")</f>
      </c>
      <c r="AI883" s="166">
        <f>AH883*N883</f>
      </c>
      <c r="AJ883" s="7"/>
      <c r="AK883" s="170">
        <f>AI883-AE883</f>
      </c>
      <c r="AL883" s="195"/>
      <c r="AM883" s="6"/>
      <c r="AN883" s="171">
        <f>IFERROR(U883/2,"0")</f>
      </c>
    </row>
    <row x14ac:dyDescent="0.25" r="884" customHeight="1" ht="18.75">
      <c r="A884" s="158">
        <f>A883+1</f>
      </c>
      <c r="B884" s="159"/>
      <c r="C884" s="6"/>
      <c r="D884" s="159"/>
      <c r="E884" s="198"/>
      <c r="F884" s="160"/>
      <c r="G884" s="6"/>
      <c r="H884" s="6"/>
      <c r="I884" s="7"/>
      <c r="J884" s="147"/>
      <c r="K884" s="7"/>
      <c r="L884" s="147"/>
      <c r="M884" s="161">
        <f>IFERROR(VLOOKUP(L884,'Material Master'!B:C,2,0),"")</f>
      </c>
      <c r="N884" s="7"/>
      <c r="O884" s="162">
        <f>IFERROR(M884*N884,"")</f>
      </c>
      <c r="P884" s="6"/>
      <c r="Q884" s="158"/>
      <c r="R884" s="163"/>
      <c r="S884" s="147"/>
      <c r="T884" s="6"/>
      <c r="U884" s="158"/>
      <c r="V884" s="164">
        <v>31</v>
      </c>
      <c r="W884" s="165">
        <f>IFERROR(U884*V884,"0")</f>
      </c>
      <c r="X884" s="7"/>
      <c r="Y884" s="191">
        <f>IFERROR((O884/1000)*Masters!$C$3,"0")</f>
      </c>
      <c r="Z884" s="195"/>
      <c r="AA884" s="164">
        <f>IFERROR(VLOOKUP(L884,Masters!G:H,2,0),"0")</f>
      </c>
      <c r="AB884" s="166">
        <f>IFERROR(AA884*N884,"0")</f>
      </c>
      <c r="AC884" s="196"/>
      <c r="AD884" s="7"/>
      <c r="AE884" s="166">
        <f>W884+Y884+AB884+AD884</f>
      </c>
      <c r="AF884" s="195"/>
      <c r="AG884" s="169">
        <f>M884&amp;"-"&amp;F884</f>
      </c>
      <c r="AH884" s="191">
        <f>IFERROR(VLOOKUP(AG884,Masters!N:O,2,0),"0")</f>
      </c>
      <c r="AI884" s="166">
        <f>AH884*N884</f>
      </c>
      <c r="AJ884" s="7"/>
      <c r="AK884" s="170">
        <f>AI884-AE884</f>
      </c>
      <c r="AL884" s="195"/>
      <c r="AM884" s="6"/>
      <c r="AN884" s="171">
        <f>IFERROR(U884/2,"0")</f>
      </c>
    </row>
    <row x14ac:dyDescent="0.25" r="885" customHeight="1" ht="18.75">
      <c r="A885" s="158">
        <f>A884+1</f>
      </c>
      <c r="B885" s="159"/>
      <c r="C885" s="6"/>
      <c r="D885" s="159"/>
      <c r="E885" s="198"/>
      <c r="F885" s="160"/>
      <c r="G885" s="6"/>
      <c r="H885" s="6"/>
      <c r="I885" s="7"/>
      <c r="J885" s="147"/>
      <c r="K885" s="7"/>
      <c r="L885" s="147"/>
      <c r="M885" s="161">
        <f>IFERROR(VLOOKUP(L885,'Material Master'!B:C,2,0),"")</f>
      </c>
      <c r="N885" s="7"/>
      <c r="O885" s="162">
        <f>IFERROR(M885*N885,"")</f>
      </c>
      <c r="P885" s="6"/>
      <c r="Q885" s="158"/>
      <c r="R885" s="163"/>
      <c r="S885" s="147"/>
      <c r="T885" s="6"/>
      <c r="U885" s="158"/>
      <c r="V885" s="164">
        <v>31</v>
      </c>
      <c r="W885" s="165">
        <f>IFERROR(U885*V885,"0")</f>
      </c>
      <c r="X885" s="7"/>
      <c r="Y885" s="191">
        <f>IFERROR((O885/1000)*Masters!$C$3,"0")</f>
      </c>
      <c r="Z885" s="195"/>
      <c r="AA885" s="164">
        <f>IFERROR(VLOOKUP(L885,Masters!G:H,2,0),"0")</f>
      </c>
      <c r="AB885" s="166">
        <f>IFERROR(AA885*N885,"0")</f>
      </c>
      <c r="AC885" s="196"/>
      <c r="AD885" s="7"/>
      <c r="AE885" s="166">
        <f>W885+Y885+AB885+AD885</f>
      </c>
      <c r="AF885" s="195"/>
      <c r="AG885" s="169">
        <f>M885&amp;"-"&amp;F885</f>
      </c>
      <c r="AH885" s="191">
        <f>IFERROR(VLOOKUP(AG885,Masters!N:O,2,0),"0")</f>
      </c>
      <c r="AI885" s="166">
        <f>AH885*N885</f>
      </c>
      <c r="AJ885" s="7"/>
      <c r="AK885" s="170">
        <f>AI885-AE885</f>
      </c>
      <c r="AL885" s="195"/>
      <c r="AM885" s="6"/>
      <c r="AN885" s="171">
        <f>IFERROR(U885/2,"0")</f>
      </c>
    </row>
    <row x14ac:dyDescent="0.25" r="886" customHeight="1" ht="18.75">
      <c r="A886" s="158">
        <f>A885+1</f>
      </c>
      <c r="B886" s="159"/>
      <c r="C886" s="6"/>
      <c r="D886" s="159"/>
      <c r="E886" s="198"/>
      <c r="F886" s="160"/>
      <c r="G886" s="6"/>
      <c r="H886" s="6"/>
      <c r="I886" s="7"/>
      <c r="J886" s="147"/>
      <c r="K886" s="7"/>
      <c r="L886" s="147"/>
      <c r="M886" s="161">
        <f>IFERROR(VLOOKUP(L886,'Material Master'!B:C,2,0),"")</f>
      </c>
      <c r="N886" s="7"/>
      <c r="O886" s="162">
        <f>IFERROR(M886*N886,"")</f>
      </c>
      <c r="P886" s="6"/>
      <c r="Q886" s="158"/>
      <c r="R886" s="163"/>
      <c r="S886" s="147"/>
      <c r="T886" s="6"/>
      <c r="U886" s="158"/>
      <c r="V886" s="164">
        <v>31</v>
      </c>
      <c r="W886" s="165">
        <f>IFERROR(U886*V886,"0")</f>
      </c>
      <c r="X886" s="7"/>
      <c r="Y886" s="191">
        <f>IFERROR((O886/1000)*Masters!$C$3,"0")</f>
      </c>
      <c r="Z886" s="195"/>
      <c r="AA886" s="164">
        <f>IFERROR(VLOOKUP(L886,Masters!G:H,2,0),"0")</f>
      </c>
      <c r="AB886" s="166">
        <f>IFERROR(AA886*N886,"0")</f>
      </c>
      <c r="AC886" s="196"/>
      <c r="AD886" s="7"/>
      <c r="AE886" s="166">
        <f>W886+Y886+AB886+AD886</f>
      </c>
      <c r="AF886" s="195"/>
      <c r="AG886" s="169">
        <f>M886&amp;"-"&amp;F886</f>
      </c>
      <c r="AH886" s="191">
        <f>IFERROR(VLOOKUP(AG886,Masters!N:O,2,0),"0")</f>
      </c>
      <c r="AI886" s="166">
        <f>AH886*N886</f>
      </c>
      <c r="AJ886" s="7"/>
      <c r="AK886" s="170">
        <f>AI886-AE886</f>
      </c>
      <c r="AL886" s="195"/>
      <c r="AM886" s="6"/>
      <c r="AN886" s="171">
        <f>IFERROR(U886/2,"0")</f>
      </c>
    </row>
    <row x14ac:dyDescent="0.25" r="887" customHeight="1" ht="18.75">
      <c r="A887" s="158">
        <f>A886+1</f>
      </c>
      <c r="B887" s="159"/>
      <c r="C887" s="6"/>
      <c r="D887" s="159"/>
      <c r="E887" s="198"/>
      <c r="F887" s="160"/>
      <c r="G887" s="6"/>
      <c r="H887" s="6"/>
      <c r="I887" s="7"/>
      <c r="J887" s="147"/>
      <c r="K887" s="7"/>
      <c r="L887" s="147"/>
      <c r="M887" s="161">
        <f>IFERROR(VLOOKUP(L887,'Material Master'!B:C,2,0),"")</f>
      </c>
      <c r="N887" s="7"/>
      <c r="O887" s="162">
        <f>IFERROR(M887*N887,"")</f>
      </c>
      <c r="P887" s="6"/>
      <c r="Q887" s="158"/>
      <c r="R887" s="163"/>
      <c r="S887" s="147"/>
      <c r="T887" s="6"/>
      <c r="U887" s="158"/>
      <c r="V887" s="164">
        <v>31</v>
      </c>
      <c r="W887" s="165">
        <f>IFERROR(U887*V887,"0")</f>
      </c>
      <c r="X887" s="7"/>
      <c r="Y887" s="191">
        <f>IFERROR((O887/1000)*Masters!$C$3,"0")</f>
      </c>
      <c r="Z887" s="195"/>
      <c r="AA887" s="164">
        <f>IFERROR(VLOOKUP(L887,Masters!G:H,2,0),"0")</f>
      </c>
      <c r="AB887" s="166">
        <f>IFERROR(AA887*N887,"0")</f>
      </c>
      <c r="AC887" s="196"/>
      <c r="AD887" s="7"/>
      <c r="AE887" s="166">
        <f>W887+Y887+AB887+AD887</f>
      </c>
      <c r="AF887" s="195"/>
      <c r="AG887" s="169">
        <f>M887&amp;"-"&amp;F887</f>
      </c>
      <c r="AH887" s="191">
        <f>IFERROR(VLOOKUP(AG887,Masters!N:O,2,0),"0")</f>
      </c>
      <c r="AI887" s="166">
        <f>AH887*N887</f>
      </c>
      <c r="AJ887" s="7"/>
      <c r="AK887" s="170">
        <f>AI887-AE887</f>
      </c>
      <c r="AL887" s="195"/>
      <c r="AM887" s="6"/>
      <c r="AN887" s="171">
        <f>IFERROR(U887/2,"0")</f>
      </c>
    </row>
    <row x14ac:dyDescent="0.25" r="888" customHeight="1" ht="18.75">
      <c r="A888" s="158">
        <f>A887+1</f>
      </c>
      <c r="B888" s="159"/>
      <c r="C888" s="6"/>
      <c r="D888" s="159"/>
      <c r="E888" s="198"/>
      <c r="F888" s="160"/>
      <c r="G888" s="6"/>
      <c r="H888" s="6"/>
      <c r="I888" s="7"/>
      <c r="J888" s="147"/>
      <c r="K888" s="7"/>
      <c r="L888" s="147"/>
      <c r="M888" s="161">
        <f>IFERROR(VLOOKUP(L888,'Material Master'!B:C,2,0),"")</f>
      </c>
      <c r="N888" s="7"/>
      <c r="O888" s="162">
        <f>IFERROR(M888*N888,"")</f>
      </c>
      <c r="P888" s="6"/>
      <c r="Q888" s="158"/>
      <c r="R888" s="163"/>
      <c r="S888" s="147"/>
      <c r="T888" s="6"/>
      <c r="U888" s="158"/>
      <c r="V888" s="164">
        <v>31</v>
      </c>
      <c r="W888" s="165">
        <f>IFERROR(U888*V888,"0")</f>
      </c>
      <c r="X888" s="7"/>
      <c r="Y888" s="191">
        <f>IFERROR((O888/1000)*Masters!$C$3,"0")</f>
      </c>
      <c r="Z888" s="195"/>
      <c r="AA888" s="164">
        <f>IFERROR(VLOOKUP(L888,Masters!G:H,2,0),"0")</f>
      </c>
      <c r="AB888" s="166">
        <f>IFERROR(AA888*N888,"0")</f>
      </c>
      <c r="AC888" s="196"/>
      <c r="AD888" s="7"/>
      <c r="AE888" s="166">
        <f>W888+Y888+AB888+AD888</f>
      </c>
      <c r="AF888" s="195"/>
      <c r="AG888" s="169">
        <f>M888&amp;"-"&amp;F888</f>
      </c>
      <c r="AH888" s="191">
        <f>IFERROR(VLOOKUP(AG888,Masters!N:O,2,0),"0")</f>
      </c>
      <c r="AI888" s="166">
        <f>AH888*N888</f>
      </c>
      <c r="AJ888" s="7"/>
      <c r="AK888" s="170">
        <f>AI888-AE888</f>
      </c>
      <c r="AL888" s="195"/>
      <c r="AM888" s="6"/>
      <c r="AN888" s="171">
        <f>IFERROR(U888/2,"0")</f>
      </c>
    </row>
    <row x14ac:dyDescent="0.25" r="889" customHeight="1" ht="18.75">
      <c r="A889" s="158">
        <f>A888+1</f>
      </c>
      <c r="B889" s="159"/>
      <c r="C889" s="6"/>
      <c r="D889" s="159"/>
      <c r="E889" s="198"/>
      <c r="F889" s="160"/>
      <c r="G889" s="6"/>
      <c r="H889" s="6"/>
      <c r="I889" s="7"/>
      <c r="J889" s="147"/>
      <c r="K889" s="7"/>
      <c r="L889" s="147"/>
      <c r="M889" s="161">
        <f>IFERROR(VLOOKUP(L889,'Material Master'!B:C,2,0),"")</f>
      </c>
      <c r="N889" s="7"/>
      <c r="O889" s="162">
        <f>IFERROR(M889*N889,"")</f>
      </c>
      <c r="P889" s="6"/>
      <c r="Q889" s="158"/>
      <c r="R889" s="163"/>
      <c r="S889" s="147"/>
      <c r="T889" s="6"/>
      <c r="U889" s="158"/>
      <c r="V889" s="164">
        <v>31</v>
      </c>
      <c r="W889" s="165">
        <f>IFERROR(U889*V889,"0")</f>
      </c>
      <c r="X889" s="7"/>
      <c r="Y889" s="191">
        <f>IFERROR((O889/1000)*Masters!$C$3,"0")</f>
      </c>
      <c r="Z889" s="195"/>
      <c r="AA889" s="164">
        <f>IFERROR(VLOOKUP(L889,Masters!G:H,2,0),"0")</f>
      </c>
      <c r="AB889" s="166">
        <f>IFERROR(AA889*N889,"0")</f>
      </c>
      <c r="AC889" s="196"/>
      <c r="AD889" s="7"/>
      <c r="AE889" s="166">
        <f>W889+Y889+AB889+AD889</f>
      </c>
      <c r="AF889" s="195"/>
      <c r="AG889" s="169">
        <f>M889&amp;"-"&amp;F889</f>
      </c>
      <c r="AH889" s="191">
        <f>IFERROR(VLOOKUP(AG889,Masters!N:O,2,0),"0")</f>
      </c>
      <c r="AI889" s="166">
        <f>AH889*N889</f>
      </c>
      <c r="AJ889" s="7"/>
      <c r="AK889" s="170">
        <f>AI889-AE889</f>
      </c>
      <c r="AL889" s="195"/>
      <c r="AM889" s="6"/>
      <c r="AN889" s="171">
        <f>IFERROR(U889/2,"0")</f>
      </c>
    </row>
    <row x14ac:dyDescent="0.25" r="890" customHeight="1" ht="18.75">
      <c r="A890" s="158">
        <f>A889+1</f>
      </c>
      <c r="B890" s="159"/>
      <c r="C890" s="6"/>
      <c r="D890" s="159"/>
      <c r="E890" s="198"/>
      <c r="F890" s="160"/>
      <c r="G890" s="6"/>
      <c r="H890" s="6"/>
      <c r="I890" s="7"/>
      <c r="J890" s="147"/>
      <c r="K890" s="7"/>
      <c r="L890" s="147"/>
      <c r="M890" s="161">
        <f>IFERROR(VLOOKUP(L890,'Material Master'!B:C,2,0),"")</f>
      </c>
      <c r="N890" s="7"/>
      <c r="O890" s="162">
        <f>IFERROR(M890*N890,"")</f>
      </c>
      <c r="P890" s="6"/>
      <c r="Q890" s="158"/>
      <c r="R890" s="163"/>
      <c r="S890" s="147"/>
      <c r="T890" s="6"/>
      <c r="U890" s="158"/>
      <c r="V890" s="164">
        <v>31</v>
      </c>
      <c r="W890" s="165">
        <f>IFERROR(U890*V890,"0")</f>
      </c>
      <c r="X890" s="7"/>
      <c r="Y890" s="191">
        <f>IFERROR((O890/1000)*Masters!$C$3,"0")</f>
      </c>
      <c r="Z890" s="195"/>
      <c r="AA890" s="164">
        <f>IFERROR(VLOOKUP(L890,Masters!G:H,2,0),"0")</f>
      </c>
      <c r="AB890" s="166">
        <f>IFERROR(AA890*N890,"0")</f>
      </c>
      <c r="AC890" s="196"/>
      <c r="AD890" s="7"/>
      <c r="AE890" s="166">
        <f>W890+Y890+AB890+AD890</f>
      </c>
      <c r="AF890" s="195"/>
      <c r="AG890" s="169">
        <f>M890&amp;"-"&amp;F890</f>
      </c>
      <c r="AH890" s="191">
        <f>IFERROR(VLOOKUP(AG890,Masters!N:O,2,0),"0")</f>
      </c>
      <c r="AI890" s="166">
        <f>AH890*N890</f>
      </c>
      <c r="AJ890" s="7"/>
      <c r="AK890" s="170">
        <f>AI890-AE890</f>
      </c>
      <c r="AL890" s="195"/>
      <c r="AM890" s="6"/>
      <c r="AN890" s="171">
        <f>IFERROR(U890/2,"0")</f>
      </c>
    </row>
    <row x14ac:dyDescent="0.25" r="891" customHeight="1" ht="18.75">
      <c r="A891" s="158">
        <f>A890+1</f>
      </c>
      <c r="B891" s="159"/>
      <c r="C891" s="6"/>
      <c r="D891" s="159"/>
      <c r="E891" s="198"/>
      <c r="F891" s="160"/>
      <c r="G891" s="6"/>
      <c r="H891" s="6"/>
      <c r="I891" s="7"/>
      <c r="J891" s="147"/>
      <c r="K891" s="7"/>
      <c r="L891" s="147"/>
      <c r="M891" s="161">
        <f>IFERROR(VLOOKUP(L891,'Material Master'!B:C,2,0),"")</f>
      </c>
      <c r="N891" s="7"/>
      <c r="O891" s="162">
        <f>IFERROR(M891*N891,"")</f>
      </c>
      <c r="P891" s="6"/>
      <c r="Q891" s="158"/>
      <c r="R891" s="163"/>
      <c r="S891" s="147"/>
      <c r="T891" s="6"/>
      <c r="U891" s="158"/>
      <c r="V891" s="164">
        <v>31</v>
      </c>
      <c r="W891" s="165">
        <f>IFERROR(U891*V891,"0")</f>
      </c>
      <c r="X891" s="7"/>
      <c r="Y891" s="191">
        <f>IFERROR((O891/1000)*Masters!$C$3,"0")</f>
      </c>
      <c r="Z891" s="195"/>
      <c r="AA891" s="164">
        <f>IFERROR(VLOOKUP(L891,Masters!G:H,2,0),"0")</f>
      </c>
      <c r="AB891" s="166">
        <f>IFERROR(AA891*N891,"0")</f>
      </c>
      <c r="AC891" s="196"/>
      <c r="AD891" s="7"/>
      <c r="AE891" s="166">
        <f>W891+Y891+AB891+AD891</f>
      </c>
      <c r="AF891" s="195"/>
      <c r="AG891" s="169">
        <f>M891&amp;"-"&amp;F891</f>
      </c>
      <c r="AH891" s="191">
        <f>IFERROR(VLOOKUP(AG891,Masters!N:O,2,0),"0")</f>
      </c>
      <c r="AI891" s="166">
        <f>AH891*N891</f>
      </c>
      <c r="AJ891" s="7"/>
      <c r="AK891" s="170">
        <f>AI891-AE891</f>
      </c>
      <c r="AL891" s="195"/>
      <c r="AM891" s="6"/>
      <c r="AN891" s="171">
        <f>IFERROR(U891/2,"0")</f>
      </c>
    </row>
    <row x14ac:dyDescent="0.25" r="892" customHeight="1" ht="18.75">
      <c r="A892" s="158">
        <f>A891+1</f>
      </c>
      <c r="B892" s="159"/>
      <c r="C892" s="6"/>
      <c r="D892" s="159"/>
      <c r="E892" s="198"/>
      <c r="F892" s="160"/>
      <c r="G892" s="6"/>
      <c r="H892" s="6"/>
      <c r="I892" s="7"/>
      <c r="J892" s="147"/>
      <c r="K892" s="7"/>
      <c r="L892" s="147"/>
      <c r="M892" s="161">
        <f>IFERROR(VLOOKUP(L892,'Material Master'!B:C,2,0),"")</f>
      </c>
      <c r="N892" s="7"/>
      <c r="O892" s="162">
        <f>IFERROR(M892*N892,"")</f>
      </c>
      <c r="P892" s="6"/>
      <c r="Q892" s="158"/>
      <c r="R892" s="163"/>
      <c r="S892" s="147"/>
      <c r="T892" s="6"/>
      <c r="U892" s="158"/>
      <c r="V892" s="164">
        <v>31</v>
      </c>
      <c r="W892" s="165">
        <f>IFERROR(U892*V892,"0")</f>
      </c>
      <c r="X892" s="7"/>
      <c r="Y892" s="191">
        <f>IFERROR((O892/1000)*Masters!$C$3,"0")</f>
      </c>
      <c r="Z892" s="195"/>
      <c r="AA892" s="164">
        <f>IFERROR(VLOOKUP(L892,Masters!G:H,2,0),"0")</f>
      </c>
      <c r="AB892" s="166">
        <f>IFERROR(AA892*N892,"0")</f>
      </c>
      <c r="AC892" s="196"/>
      <c r="AD892" s="7"/>
      <c r="AE892" s="166">
        <f>W892+Y892+AB892+AD892</f>
      </c>
      <c r="AF892" s="195"/>
      <c r="AG892" s="169">
        <f>M892&amp;"-"&amp;F892</f>
      </c>
      <c r="AH892" s="191">
        <f>IFERROR(VLOOKUP(AG892,Masters!N:O,2,0),"0")</f>
      </c>
      <c r="AI892" s="166">
        <f>AH892*N892</f>
      </c>
      <c r="AJ892" s="7"/>
      <c r="AK892" s="170">
        <f>AI892-AE892</f>
      </c>
      <c r="AL892" s="195"/>
      <c r="AM892" s="6"/>
      <c r="AN892" s="171">
        <f>IFERROR(U892/2,"0")</f>
      </c>
    </row>
    <row x14ac:dyDescent="0.25" r="893" customHeight="1" ht="18.75">
      <c r="A893" s="158">
        <f>A892+1</f>
      </c>
      <c r="B893" s="159"/>
      <c r="C893" s="6"/>
      <c r="D893" s="159"/>
      <c r="E893" s="198"/>
      <c r="F893" s="160"/>
      <c r="G893" s="6"/>
      <c r="H893" s="6"/>
      <c r="I893" s="7"/>
      <c r="J893" s="147"/>
      <c r="K893" s="7"/>
      <c r="L893" s="147"/>
      <c r="M893" s="161">
        <f>IFERROR(VLOOKUP(L893,'Material Master'!B:C,2,0),"")</f>
      </c>
      <c r="N893" s="7"/>
      <c r="O893" s="162">
        <f>IFERROR(M893*N893,"")</f>
      </c>
      <c r="P893" s="6"/>
      <c r="Q893" s="158"/>
      <c r="R893" s="163"/>
      <c r="S893" s="147"/>
      <c r="T893" s="6"/>
      <c r="U893" s="158"/>
      <c r="V893" s="164">
        <v>31</v>
      </c>
      <c r="W893" s="165">
        <f>IFERROR(U893*V893,"0")</f>
      </c>
      <c r="X893" s="7"/>
      <c r="Y893" s="191">
        <f>IFERROR((O893/1000)*Masters!$C$3,"0")</f>
      </c>
      <c r="Z893" s="195"/>
      <c r="AA893" s="164">
        <f>IFERROR(VLOOKUP(L893,Masters!G:H,2,0),"0")</f>
      </c>
      <c r="AB893" s="166">
        <f>IFERROR(AA893*N893,"0")</f>
      </c>
      <c r="AC893" s="196"/>
      <c r="AD893" s="7"/>
      <c r="AE893" s="166">
        <f>W893+Y893+AB893+AD893</f>
      </c>
      <c r="AF893" s="195"/>
      <c r="AG893" s="169">
        <f>M893&amp;"-"&amp;F893</f>
      </c>
      <c r="AH893" s="191">
        <f>IFERROR(VLOOKUP(AG893,Masters!N:O,2,0),"0")</f>
      </c>
      <c r="AI893" s="166">
        <f>AH893*N893</f>
      </c>
      <c r="AJ893" s="7"/>
      <c r="AK893" s="170">
        <f>AI893-AE893</f>
      </c>
      <c r="AL893" s="195"/>
      <c r="AM893" s="6"/>
      <c r="AN893" s="171">
        <f>IFERROR(U893/2,"0")</f>
      </c>
    </row>
    <row x14ac:dyDescent="0.25" r="894" customHeight="1" ht="18.75">
      <c r="A894" s="158">
        <f>A893+1</f>
      </c>
      <c r="B894" s="159"/>
      <c r="C894" s="6"/>
      <c r="D894" s="159"/>
      <c r="E894" s="198"/>
      <c r="F894" s="160"/>
      <c r="G894" s="6"/>
      <c r="H894" s="6"/>
      <c r="I894" s="7"/>
      <c r="J894" s="147"/>
      <c r="K894" s="7"/>
      <c r="L894" s="147"/>
      <c r="M894" s="161">
        <f>IFERROR(VLOOKUP(L894,'Material Master'!B:C,2,0),"")</f>
      </c>
      <c r="N894" s="7"/>
      <c r="O894" s="162">
        <f>IFERROR(M894*N894,"")</f>
      </c>
      <c r="P894" s="6"/>
      <c r="Q894" s="158"/>
      <c r="R894" s="163"/>
      <c r="S894" s="147"/>
      <c r="T894" s="6"/>
      <c r="U894" s="158"/>
      <c r="V894" s="164">
        <v>31</v>
      </c>
      <c r="W894" s="165">
        <f>IFERROR(U894*V894,"0")</f>
      </c>
      <c r="X894" s="7"/>
      <c r="Y894" s="191">
        <f>IFERROR((O894/1000)*Masters!$C$3,"0")</f>
      </c>
      <c r="Z894" s="195"/>
      <c r="AA894" s="164">
        <f>IFERROR(VLOOKUP(L894,Masters!G:H,2,0),"0")</f>
      </c>
      <c r="AB894" s="166">
        <f>IFERROR(AA894*N894,"0")</f>
      </c>
      <c r="AC894" s="196"/>
      <c r="AD894" s="7"/>
      <c r="AE894" s="166">
        <f>W894+Y894+AB894+AD894</f>
      </c>
      <c r="AF894" s="195"/>
      <c r="AG894" s="169">
        <f>M894&amp;"-"&amp;F894</f>
      </c>
      <c r="AH894" s="191">
        <f>IFERROR(VLOOKUP(AG894,Masters!N:O,2,0),"0")</f>
      </c>
      <c r="AI894" s="166">
        <f>AH894*N894</f>
      </c>
      <c r="AJ894" s="7"/>
      <c r="AK894" s="170">
        <f>AI894-AE894</f>
      </c>
      <c r="AL894" s="195"/>
      <c r="AM894" s="6"/>
      <c r="AN894" s="171">
        <f>IFERROR(U894/2,"0")</f>
      </c>
    </row>
    <row x14ac:dyDescent="0.25" r="895" customHeight="1" ht="18.75">
      <c r="A895" s="158">
        <f>A894+1</f>
      </c>
      <c r="B895" s="159"/>
      <c r="C895" s="6"/>
      <c r="D895" s="159"/>
      <c r="E895" s="198"/>
      <c r="F895" s="160"/>
      <c r="G895" s="6"/>
      <c r="H895" s="6"/>
      <c r="I895" s="7"/>
      <c r="J895" s="147"/>
      <c r="K895" s="7"/>
      <c r="L895" s="147"/>
      <c r="M895" s="161">
        <f>IFERROR(VLOOKUP(L895,'Material Master'!B:C,2,0),"")</f>
      </c>
      <c r="N895" s="7"/>
      <c r="O895" s="162">
        <f>IFERROR(M895*N895,"")</f>
      </c>
      <c r="P895" s="6"/>
      <c r="Q895" s="158"/>
      <c r="R895" s="163"/>
      <c r="S895" s="147"/>
      <c r="T895" s="6"/>
      <c r="U895" s="158"/>
      <c r="V895" s="164">
        <v>31</v>
      </c>
      <c r="W895" s="165">
        <f>IFERROR(U895*V895,"0")</f>
      </c>
      <c r="X895" s="7"/>
      <c r="Y895" s="191">
        <f>IFERROR((O895/1000)*Masters!$C$3,"0")</f>
      </c>
      <c r="Z895" s="195"/>
      <c r="AA895" s="164">
        <f>IFERROR(VLOOKUP(L895,Masters!G:H,2,0),"0")</f>
      </c>
      <c r="AB895" s="166">
        <f>IFERROR(AA895*N895,"0")</f>
      </c>
      <c r="AC895" s="196"/>
      <c r="AD895" s="7"/>
      <c r="AE895" s="166">
        <f>W895+Y895+AB895+AD895</f>
      </c>
      <c r="AF895" s="195"/>
      <c r="AG895" s="169">
        <f>M895&amp;"-"&amp;F895</f>
      </c>
      <c r="AH895" s="191">
        <f>IFERROR(VLOOKUP(AG895,Masters!N:O,2,0),"0")</f>
      </c>
      <c r="AI895" s="166">
        <f>AH895*N895</f>
      </c>
      <c r="AJ895" s="7"/>
      <c r="AK895" s="170">
        <f>AI895-AE895</f>
      </c>
      <c r="AL895" s="195"/>
      <c r="AM895" s="6"/>
      <c r="AN895" s="171">
        <f>IFERROR(U895/2,"0")</f>
      </c>
    </row>
    <row x14ac:dyDescent="0.25" r="896" customHeight="1" ht="18.75">
      <c r="A896" s="158">
        <f>A895+1</f>
      </c>
      <c r="B896" s="159"/>
      <c r="C896" s="6"/>
      <c r="D896" s="159"/>
      <c r="E896" s="198"/>
      <c r="F896" s="160"/>
      <c r="G896" s="6"/>
      <c r="H896" s="6"/>
      <c r="I896" s="7"/>
      <c r="J896" s="147"/>
      <c r="K896" s="7"/>
      <c r="L896" s="147"/>
      <c r="M896" s="161">
        <f>IFERROR(VLOOKUP(L896,'Material Master'!B:C,2,0),"")</f>
      </c>
      <c r="N896" s="7"/>
      <c r="O896" s="162">
        <f>IFERROR(M896*N896,"")</f>
      </c>
      <c r="P896" s="6"/>
      <c r="Q896" s="158"/>
      <c r="R896" s="163"/>
      <c r="S896" s="147"/>
      <c r="T896" s="6"/>
      <c r="U896" s="158"/>
      <c r="V896" s="164">
        <v>31</v>
      </c>
      <c r="W896" s="165">
        <f>IFERROR(U896*V896,"0")</f>
      </c>
      <c r="X896" s="7"/>
      <c r="Y896" s="191">
        <f>IFERROR((O896/1000)*Masters!$C$3,"0")</f>
      </c>
      <c r="Z896" s="195"/>
      <c r="AA896" s="164">
        <f>IFERROR(VLOOKUP(L896,Masters!G:H,2,0),"0")</f>
      </c>
      <c r="AB896" s="166">
        <f>IFERROR(AA896*N896,"0")</f>
      </c>
      <c r="AC896" s="196"/>
      <c r="AD896" s="7"/>
      <c r="AE896" s="166">
        <f>W896+Y896+AB896+AD896</f>
      </c>
      <c r="AF896" s="195"/>
      <c r="AG896" s="169">
        <f>M896&amp;"-"&amp;F896</f>
      </c>
      <c r="AH896" s="191">
        <f>IFERROR(VLOOKUP(AG896,Masters!N:O,2,0),"0")</f>
      </c>
      <c r="AI896" s="166">
        <f>AH896*N896</f>
      </c>
      <c r="AJ896" s="7"/>
      <c r="AK896" s="170">
        <f>AI896-AE896</f>
      </c>
      <c r="AL896" s="195"/>
      <c r="AM896" s="6"/>
      <c r="AN896" s="171">
        <f>IFERROR(U896/2,"0")</f>
      </c>
    </row>
    <row x14ac:dyDescent="0.25" r="897" customHeight="1" ht="18.75">
      <c r="A897" s="158">
        <f>A896+1</f>
      </c>
      <c r="B897" s="159"/>
      <c r="C897" s="6"/>
      <c r="D897" s="159"/>
      <c r="E897" s="198"/>
      <c r="F897" s="160"/>
      <c r="G897" s="6"/>
      <c r="H897" s="6"/>
      <c r="I897" s="7"/>
      <c r="J897" s="147"/>
      <c r="K897" s="7"/>
      <c r="L897" s="147"/>
      <c r="M897" s="161">
        <f>IFERROR(VLOOKUP(L897,'Material Master'!B:C,2,0),"")</f>
      </c>
      <c r="N897" s="7"/>
      <c r="O897" s="162">
        <f>IFERROR(M897*N897,"")</f>
      </c>
      <c r="P897" s="6"/>
      <c r="Q897" s="158"/>
      <c r="R897" s="163"/>
      <c r="S897" s="147"/>
      <c r="T897" s="6"/>
      <c r="U897" s="158"/>
      <c r="V897" s="164">
        <v>31</v>
      </c>
      <c r="W897" s="165">
        <f>IFERROR(U897*V897,"0")</f>
      </c>
      <c r="X897" s="7"/>
      <c r="Y897" s="191">
        <f>IFERROR((O897/1000)*Masters!$C$3,"0")</f>
      </c>
      <c r="Z897" s="195"/>
      <c r="AA897" s="164">
        <f>IFERROR(VLOOKUP(L897,Masters!G:H,2,0),"0")</f>
      </c>
      <c r="AB897" s="166">
        <f>IFERROR(AA897*N897,"0")</f>
      </c>
      <c r="AC897" s="196"/>
      <c r="AD897" s="7"/>
      <c r="AE897" s="166">
        <f>W897+Y897+AB897+AD897</f>
      </c>
      <c r="AF897" s="195"/>
      <c r="AG897" s="169">
        <f>M897&amp;"-"&amp;F897</f>
      </c>
      <c r="AH897" s="191">
        <f>IFERROR(VLOOKUP(AG897,Masters!N:O,2,0),"0")</f>
      </c>
      <c r="AI897" s="166">
        <f>AH897*N897</f>
      </c>
      <c r="AJ897" s="7"/>
      <c r="AK897" s="170">
        <f>AI897-AE897</f>
      </c>
      <c r="AL897" s="195"/>
      <c r="AM897" s="6"/>
      <c r="AN897" s="171">
        <f>IFERROR(U897/2,"0")</f>
      </c>
    </row>
    <row x14ac:dyDescent="0.25" r="898" customHeight="1" ht="18.75">
      <c r="A898" s="158">
        <f>A897+1</f>
      </c>
      <c r="B898" s="159"/>
      <c r="C898" s="6"/>
      <c r="D898" s="159"/>
      <c r="E898" s="198"/>
      <c r="F898" s="160"/>
      <c r="G898" s="6"/>
      <c r="H898" s="6"/>
      <c r="I898" s="7"/>
      <c r="J898" s="147"/>
      <c r="K898" s="7"/>
      <c r="L898" s="147"/>
      <c r="M898" s="161">
        <f>IFERROR(VLOOKUP(L898,'Material Master'!B:C,2,0),"")</f>
      </c>
      <c r="N898" s="7"/>
      <c r="O898" s="162">
        <f>IFERROR(M898*N898,"")</f>
      </c>
      <c r="P898" s="6"/>
      <c r="Q898" s="158"/>
      <c r="R898" s="163"/>
      <c r="S898" s="147"/>
      <c r="T898" s="6"/>
      <c r="U898" s="158"/>
      <c r="V898" s="164">
        <v>31</v>
      </c>
      <c r="W898" s="165">
        <f>IFERROR(U898*V898,"0")</f>
      </c>
      <c r="X898" s="7"/>
      <c r="Y898" s="191">
        <f>IFERROR((O898/1000)*Masters!$C$3,"0")</f>
      </c>
      <c r="Z898" s="195"/>
      <c r="AA898" s="164">
        <f>IFERROR(VLOOKUP(L898,Masters!G:H,2,0),"0")</f>
      </c>
      <c r="AB898" s="166">
        <f>IFERROR(AA898*N898,"0")</f>
      </c>
      <c r="AC898" s="196"/>
      <c r="AD898" s="7"/>
      <c r="AE898" s="166">
        <f>W898+Y898+AB898+AD898</f>
      </c>
      <c r="AF898" s="195"/>
      <c r="AG898" s="169">
        <f>M898&amp;"-"&amp;F898</f>
      </c>
      <c r="AH898" s="191">
        <f>IFERROR(VLOOKUP(AG898,Masters!N:O,2,0),"0")</f>
      </c>
      <c r="AI898" s="166">
        <f>AH898*N898</f>
      </c>
      <c r="AJ898" s="7"/>
      <c r="AK898" s="170">
        <f>AI898-AE898</f>
      </c>
      <c r="AL898" s="195"/>
      <c r="AM898" s="6"/>
      <c r="AN898" s="171">
        <f>IFERROR(U898/2,"0")</f>
      </c>
    </row>
    <row x14ac:dyDescent="0.25" r="899" customHeight="1" ht="18.75">
      <c r="A899" s="158">
        <f>A898+1</f>
      </c>
      <c r="B899" s="159"/>
      <c r="C899" s="6"/>
      <c r="D899" s="159"/>
      <c r="E899" s="198"/>
      <c r="F899" s="160"/>
      <c r="G899" s="6"/>
      <c r="H899" s="6"/>
      <c r="I899" s="7"/>
      <c r="J899" s="147"/>
      <c r="K899" s="7"/>
      <c r="L899" s="147"/>
      <c r="M899" s="161">
        <f>IFERROR(VLOOKUP(L899,'Material Master'!B:C,2,0),"")</f>
      </c>
      <c r="N899" s="7"/>
      <c r="O899" s="162">
        <f>IFERROR(M899*N899,"")</f>
      </c>
      <c r="P899" s="6"/>
      <c r="Q899" s="158"/>
      <c r="R899" s="163"/>
      <c r="S899" s="147"/>
      <c r="T899" s="6"/>
      <c r="U899" s="158"/>
      <c r="V899" s="164">
        <v>31</v>
      </c>
      <c r="W899" s="165">
        <f>IFERROR(U899*V899,"0")</f>
      </c>
      <c r="X899" s="7"/>
      <c r="Y899" s="191">
        <f>IFERROR((O899/1000)*Masters!$C$3,"0")</f>
      </c>
      <c r="Z899" s="195"/>
      <c r="AA899" s="164">
        <f>IFERROR(VLOOKUP(L899,Masters!G:H,2,0),"0")</f>
      </c>
      <c r="AB899" s="166">
        <f>IFERROR(AA899*N899,"0")</f>
      </c>
      <c r="AC899" s="196"/>
      <c r="AD899" s="7"/>
      <c r="AE899" s="166">
        <f>W899+Y899+AB899+AD899</f>
      </c>
      <c r="AF899" s="195"/>
      <c r="AG899" s="169">
        <f>M899&amp;"-"&amp;F899</f>
      </c>
      <c r="AH899" s="191">
        <f>IFERROR(VLOOKUP(AG899,Masters!N:O,2,0),"0")</f>
      </c>
      <c r="AI899" s="166">
        <f>AH899*N899</f>
      </c>
      <c r="AJ899" s="7"/>
      <c r="AK899" s="170">
        <f>AI899-AE899</f>
      </c>
      <c r="AL899" s="195"/>
      <c r="AM899" s="6"/>
      <c r="AN899" s="171">
        <f>IFERROR(U899/2,"0")</f>
      </c>
    </row>
    <row x14ac:dyDescent="0.25" r="900" customHeight="1" ht="18.75">
      <c r="A900" s="158">
        <f>A899+1</f>
      </c>
      <c r="B900" s="159"/>
      <c r="C900" s="6"/>
      <c r="D900" s="159"/>
      <c r="E900" s="198"/>
      <c r="F900" s="160"/>
      <c r="G900" s="6"/>
      <c r="H900" s="6"/>
      <c r="I900" s="7"/>
      <c r="J900" s="147"/>
      <c r="K900" s="7"/>
      <c r="L900" s="147"/>
      <c r="M900" s="161">
        <f>IFERROR(VLOOKUP(L900,'Material Master'!B:C,2,0),"")</f>
      </c>
      <c r="N900" s="7"/>
      <c r="O900" s="162">
        <f>IFERROR(M900*N900,"")</f>
      </c>
      <c r="P900" s="6"/>
      <c r="Q900" s="158"/>
      <c r="R900" s="163"/>
      <c r="S900" s="147"/>
      <c r="T900" s="6"/>
      <c r="U900" s="158"/>
      <c r="V900" s="164">
        <v>31</v>
      </c>
      <c r="W900" s="165">
        <f>IFERROR(U900*V900,"0")</f>
      </c>
      <c r="X900" s="7"/>
      <c r="Y900" s="191">
        <f>IFERROR((O900/1000)*Masters!$C$3,"0")</f>
      </c>
      <c r="Z900" s="195"/>
      <c r="AA900" s="164">
        <f>IFERROR(VLOOKUP(L900,Masters!G:H,2,0),"0")</f>
      </c>
      <c r="AB900" s="166">
        <f>IFERROR(AA900*N900,"0")</f>
      </c>
      <c r="AC900" s="196"/>
      <c r="AD900" s="7"/>
      <c r="AE900" s="166">
        <f>W900+Y900+AB900+AD900</f>
      </c>
      <c r="AF900" s="195"/>
      <c r="AG900" s="169">
        <f>M900&amp;"-"&amp;F900</f>
      </c>
      <c r="AH900" s="191">
        <f>IFERROR(VLOOKUP(AG900,Masters!N:O,2,0),"0")</f>
      </c>
      <c r="AI900" s="166">
        <f>AH900*N900</f>
      </c>
      <c r="AJ900" s="7"/>
      <c r="AK900" s="170">
        <f>AI900-AE900</f>
      </c>
      <c r="AL900" s="195"/>
      <c r="AM900" s="6"/>
      <c r="AN900" s="171">
        <f>IFERROR(U900/2,"0")</f>
      </c>
    </row>
    <row x14ac:dyDescent="0.25" r="901" customHeight="1" ht="18.75">
      <c r="A901" s="158">
        <f>A900+1</f>
      </c>
      <c r="B901" s="159"/>
      <c r="C901" s="6"/>
      <c r="D901" s="159"/>
      <c r="E901" s="198"/>
      <c r="F901" s="160"/>
      <c r="G901" s="6"/>
      <c r="H901" s="6"/>
      <c r="I901" s="7"/>
      <c r="J901" s="147"/>
      <c r="K901" s="7"/>
      <c r="L901" s="147"/>
      <c r="M901" s="161">
        <f>IFERROR(VLOOKUP(L901,'Material Master'!B:C,2,0),"")</f>
      </c>
      <c r="N901" s="7"/>
      <c r="O901" s="162">
        <f>IFERROR(M901*N901,"")</f>
      </c>
      <c r="P901" s="6"/>
      <c r="Q901" s="158"/>
      <c r="R901" s="163"/>
      <c r="S901" s="147"/>
      <c r="T901" s="6"/>
      <c r="U901" s="158"/>
      <c r="V901" s="164">
        <v>31</v>
      </c>
      <c r="W901" s="165">
        <f>IFERROR(U901*V901,"0")</f>
      </c>
      <c r="X901" s="7"/>
      <c r="Y901" s="191">
        <f>IFERROR((O901/1000)*Masters!$C$3,"0")</f>
      </c>
      <c r="Z901" s="195"/>
      <c r="AA901" s="164">
        <f>IFERROR(VLOOKUP(L901,Masters!G:H,2,0),"0")</f>
      </c>
      <c r="AB901" s="166">
        <f>IFERROR(AA901*N901,"0")</f>
      </c>
      <c r="AC901" s="196"/>
      <c r="AD901" s="7"/>
      <c r="AE901" s="166">
        <f>W901+Y901+AB901+AD901</f>
      </c>
      <c r="AF901" s="195"/>
      <c r="AG901" s="169">
        <f>M901&amp;"-"&amp;F901</f>
      </c>
      <c r="AH901" s="191">
        <f>IFERROR(VLOOKUP(AG901,Masters!N:O,2,0),"0")</f>
      </c>
      <c r="AI901" s="166">
        <f>AH901*N901</f>
      </c>
      <c r="AJ901" s="7"/>
      <c r="AK901" s="170">
        <f>AI901-AE901</f>
      </c>
      <c r="AL901" s="195"/>
      <c r="AM901" s="6"/>
      <c r="AN901" s="171">
        <f>IFERROR(U901/2,"0")</f>
      </c>
    </row>
    <row x14ac:dyDescent="0.25" r="902" customHeight="1" ht="18.75">
      <c r="A902" s="158">
        <f>A901+1</f>
      </c>
      <c r="B902" s="159"/>
      <c r="C902" s="6"/>
      <c r="D902" s="159"/>
      <c r="E902" s="198"/>
      <c r="F902" s="160"/>
      <c r="G902" s="6"/>
      <c r="H902" s="6"/>
      <c r="I902" s="7"/>
      <c r="J902" s="147"/>
      <c r="K902" s="7"/>
      <c r="L902" s="147"/>
      <c r="M902" s="161">
        <f>IFERROR(VLOOKUP(L902,'Material Master'!B:C,2,0),"")</f>
      </c>
      <c r="N902" s="7"/>
      <c r="O902" s="162">
        <f>IFERROR(M902*N902,"")</f>
      </c>
      <c r="P902" s="6"/>
      <c r="Q902" s="158"/>
      <c r="R902" s="163"/>
      <c r="S902" s="147"/>
      <c r="T902" s="6"/>
      <c r="U902" s="158"/>
      <c r="V902" s="164">
        <v>31</v>
      </c>
      <c r="W902" s="165">
        <f>IFERROR(U902*V902,"0")</f>
      </c>
      <c r="X902" s="7"/>
      <c r="Y902" s="191">
        <f>IFERROR((O902/1000)*Masters!$C$3,"0")</f>
      </c>
      <c r="Z902" s="195"/>
      <c r="AA902" s="164">
        <f>IFERROR(VLOOKUP(L902,Masters!G:H,2,0),"0")</f>
      </c>
      <c r="AB902" s="166">
        <f>IFERROR(AA902*N902,"0")</f>
      </c>
      <c r="AC902" s="196"/>
      <c r="AD902" s="7"/>
      <c r="AE902" s="166">
        <f>W902+Y902+AB902+AD902</f>
      </c>
      <c r="AF902" s="195"/>
      <c r="AG902" s="169">
        <f>M902&amp;"-"&amp;F902</f>
      </c>
      <c r="AH902" s="191">
        <f>IFERROR(VLOOKUP(AG902,Masters!N:O,2,0),"0")</f>
      </c>
      <c r="AI902" s="166">
        <f>AH902*N902</f>
      </c>
      <c r="AJ902" s="7"/>
      <c r="AK902" s="170">
        <f>AI902-AE902</f>
      </c>
      <c r="AL902" s="195"/>
      <c r="AM902" s="6"/>
      <c r="AN902" s="171">
        <f>IFERROR(U902/2,"0")</f>
      </c>
    </row>
    <row x14ac:dyDescent="0.25" r="903" customHeight="1" ht="18.75">
      <c r="A903" s="158">
        <f>A902+1</f>
      </c>
      <c r="B903" s="159"/>
      <c r="C903" s="6"/>
      <c r="D903" s="159"/>
      <c r="E903" s="198"/>
      <c r="F903" s="160"/>
      <c r="G903" s="6"/>
      <c r="H903" s="6"/>
      <c r="I903" s="7"/>
      <c r="J903" s="147"/>
      <c r="K903" s="7"/>
      <c r="L903" s="147"/>
      <c r="M903" s="161">
        <f>IFERROR(VLOOKUP(L903,'Material Master'!B:C,2,0),"")</f>
      </c>
      <c r="N903" s="7"/>
      <c r="O903" s="162">
        <f>IFERROR(M903*N903,"")</f>
      </c>
      <c r="P903" s="6"/>
      <c r="Q903" s="158"/>
      <c r="R903" s="163"/>
      <c r="S903" s="147"/>
      <c r="T903" s="6"/>
      <c r="U903" s="158"/>
      <c r="V903" s="164">
        <v>31</v>
      </c>
      <c r="W903" s="165">
        <f>IFERROR(U903*V903,"0")</f>
      </c>
      <c r="X903" s="7"/>
      <c r="Y903" s="191">
        <f>IFERROR((O903/1000)*Masters!$C$3,"0")</f>
      </c>
      <c r="Z903" s="195"/>
      <c r="AA903" s="164">
        <f>IFERROR(VLOOKUP(L903,Masters!G:H,2,0),"0")</f>
      </c>
      <c r="AB903" s="166">
        <f>IFERROR(AA903*N903,"0")</f>
      </c>
      <c r="AC903" s="196"/>
      <c r="AD903" s="7"/>
      <c r="AE903" s="166">
        <f>W903+Y903+AB903+AD903</f>
      </c>
      <c r="AF903" s="195"/>
      <c r="AG903" s="169">
        <f>M903&amp;"-"&amp;F903</f>
      </c>
      <c r="AH903" s="191">
        <f>IFERROR(VLOOKUP(AG903,Masters!N:O,2,0),"0")</f>
      </c>
      <c r="AI903" s="166">
        <f>AH903*N903</f>
      </c>
      <c r="AJ903" s="7"/>
      <c r="AK903" s="170">
        <f>AI903-AE903</f>
      </c>
      <c r="AL903" s="195"/>
      <c r="AM903" s="6"/>
      <c r="AN903" s="171">
        <f>IFERROR(U903/2,"0")</f>
      </c>
    </row>
    <row x14ac:dyDescent="0.25" r="904" customHeight="1" ht="18.75">
      <c r="A904" s="158">
        <f>A903+1</f>
      </c>
      <c r="B904" s="159"/>
      <c r="C904" s="6"/>
      <c r="D904" s="159"/>
      <c r="E904" s="198"/>
      <c r="F904" s="160"/>
      <c r="G904" s="6"/>
      <c r="H904" s="6"/>
      <c r="I904" s="7"/>
      <c r="J904" s="147"/>
      <c r="K904" s="7"/>
      <c r="L904" s="147"/>
      <c r="M904" s="161">
        <f>IFERROR(VLOOKUP(L904,'Material Master'!B:C,2,0),"")</f>
      </c>
      <c r="N904" s="7"/>
      <c r="O904" s="162">
        <f>IFERROR(M904*N904,"")</f>
      </c>
      <c r="P904" s="6"/>
      <c r="Q904" s="158"/>
      <c r="R904" s="163"/>
      <c r="S904" s="147"/>
      <c r="T904" s="6"/>
      <c r="U904" s="158"/>
      <c r="V904" s="164">
        <v>31</v>
      </c>
      <c r="W904" s="165">
        <f>IFERROR(U904*V904,"0")</f>
      </c>
      <c r="X904" s="7"/>
      <c r="Y904" s="191">
        <f>IFERROR((O904/1000)*Masters!$C$3,"0")</f>
      </c>
      <c r="Z904" s="195"/>
      <c r="AA904" s="164">
        <f>IFERROR(VLOOKUP(L904,Masters!G:H,2,0),"0")</f>
      </c>
      <c r="AB904" s="166">
        <f>IFERROR(AA904*N904,"0")</f>
      </c>
      <c r="AC904" s="196"/>
      <c r="AD904" s="7"/>
      <c r="AE904" s="166">
        <f>W904+Y904+AB904+AD904</f>
      </c>
      <c r="AF904" s="195"/>
      <c r="AG904" s="169">
        <f>M904&amp;"-"&amp;F904</f>
      </c>
      <c r="AH904" s="191">
        <f>IFERROR(VLOOKUP(AG904,Masters!N:O,2,0),"0")</f>
      </c>
      <c r="AI904" s="166">
        <f>AH904*N904</f>
      </c>
      <c r="AJ904" s="7"/>
      <c r="AK904" s="170">
        <f>AI904-AE904</f>
      </c>
      <c r="AL904" s="195"/>
      <c r="AM904" s="6"/>
      <c r="AN904" s="171">
        <f>IFERROR(U904/2,"0")</f>
      </c>
    </row>
    <row x14ac:dyDescent="0.25" r="905" customHeight="1" ht="18.75">
      <c r="A905" s="158">
        <f>A904+1</f>
      </c>
      <c r="B905" s="159"/>
      <c r="C905" s="6"/>
      <c r="D905" s="159"/>
      <c r="E905" s="198"/>
      <c r="F905" s="160"/>
      <c r="G905" s="6"/>
      <c r="H905" s="6"/>
      <c r="I905" s="7"/>
      <c r="J905" s="147"/>
      <c r="K905" s="7"/>
      <c r="L905" s="147"/>
      <c r="M905" s="161">
        <f>IFERROR(VLOOKUP(L905,'Material Master'!B:C,2,0),"")</f>
      </c>
      <c r="N905" s="7"/>
      <c r="O905" s="162">
        <f>IFERROR(M905*N905,"")</f>
      </c>
      <c r="P905" s="6"/>
      <c r="Q905" s="158"/>
      <c r="R905" s="163"/>
      <c r="S905" s="147"/>
      <c r="T905" s="6"/>
      <c r="U905" s="158"/>
      <c r="V905" s="164">
        <v>31</v>
      </c>
      <c r="W905" s="165">
        <f>IFERROR(U905*V905,"0")</f>
      </c>
      <c r="X905" s="7"/>
      <c r="Y905" s="191">
        <f>IFERROR((O905/1000)*Masters!$C$3,"0")</f>
      </c>
      <c r="Z905" s="195"/>
      <c r="AA905" s="164">
        <f>IFERROR(VLOOKUP(L905,Masters!G:H,2,0),"0")</f>
      </c>
      <c r="AB905" s="166">
        <f>IFERROR(AA905*N905,"0")</f>
      </c>
      <c r="AC905" s="196"/>
      <c r="AD905" s="7"/>
      <c r="AE905" s="166">
        <f>W905+Y905+AB905+AD905</f>
      </c>
      <c r="AF905" s="195"/>
      <c r="AG905" s="169">
        <f>M905&amp;"-"&amp;F905</f>
      </c>
      <c r="AH905" s="191">
        <f>IFERROR(VLOOKUP(AG905,Masters!N:O,2,0),"0")</f>
      </c>
      <c r="AI905" s="166">
        <f>AH905*N905</f>
      </c>
      <c r="AJ905" s="7"/>
      <c r="AK905" s="170">
        <f>AI905-AE905</f>
      </c>
      <c r="AL905" s="195"/>
      <c r="AM905" s="6"/>
      <c r="AN905" s="171">
        <f>IFERROR(U905/2,"0")</f>
      </c>
    </row>
    <row x14ac:dyDescent="0.25" r="906" customHeight="1" ht="18.75">
      <c r="A906" s="158">
        <f>A905+1</f>
      </c>
      <c r="B906" s="159"/>
      <c r="C906" s="6"/>
      <c r="D906" s="159"/>
      <c r="E906" s="198"/>
      <c r="F906" s="160"/>
      <c r="G906" s="6"/>
      <c r="H906" s="6"/>
      <c r="I906" s="7"/>
      <c r="J906" s="147"/>
      <c r="K906" s="7"/>
      <c r="L906" s="147"/>
      <c r="M906" s="161">
        <f>IFERROR(VLOOKUP(L906,'Material Master'!B:C,2,0),"")</f>
      </c>
      <c r="N906" s="7"/>
      <c r="O906" s="162">
        <f>IFERROR(M906*N906,"")</f>
      </c>
      <c r="P906" s="6"/>
      <c r="Q906" s="158"/>
      <c r="R906" s="163"/>
      <c r="S906" s="147"/>
      <c r="T906" s="6"/>
      <c r="U906" s="158"/>
      <c r="V906" s="164">
        <v>31</v>
      </c>
      <c r="W906" s="165">
        <f>IFERROR(U906*V906,"0")</f>
      </c>
      <c r="X906" s="7"/>
      <c r="Y906" s="191">
        <f>IFERROR((O906/1000)*Masters!$C$3,"0")</f>
      </c>
      <c r="Z906" s="195"/>
      <c r="AA906" s="164">
        <f>IFERROR(VLOOKUP(L906,Masters!G:H,2,0),"0")</f>
      </c>
      <c r="AB906" s="166">
        <f>IFERROR(AA906*N906,"0")</f>
      </c>
      <c r="AC906" s="196"/>
      <c r="AD906" s="7"/>
      <c r="AE906" s="166">
        <f>W906+Y906+AB906+AD906</f>
      </c>
      <c r="AF906" s="195"/>
      <c r="AG906" s="169">
        <f>M906&amp;"-"&amp;F906</f>
      </c>
      <c r="AH906" s="191">
        <f>IFERROR(VLOOKUP(AG906,Masters!N:O,2,0),"0")</f>
      </c>
      <c r="AI906" s="166">
        <f>AH906*N906</f>
      </c>
      <c r="AJ906" s="7"/>
      <c r="AK906" s="170">
        <f>AI906-AE906</f>
      </c>
      <c r="AL906" s="195"/>
      <c r="AM906" s="6"/>
      <c r="AN906" s="171">
        <f>IFERROR(U906/2,"0")</f>
      </c>
    </row>
    <row x14ac:dyDescent="0.25" r="907" customHeight="1" ht="18.75">
      <c r="A907" s="158">
        <f>A906+1</f>
      </c>
      <c r="B907" s="159"/>
      <c r="C907" s="6"/>
      <c r="D907" s="159"/>
      <c r="E907" s="198"/>
      <c r="F907" s="160"/>
      <c r="G907" s="6"/>
      <c r="H907" s="6"/>
      <c r="I907" s="7"/>
      <c r="J907" s="147"/>
      <c r="K907" s="7"/>
      <c r="L907" s="147"/>
      <c r="M907" s="161">
        <f>IFERROR(VLOOKUP(L907,'Material Master'!B:C,2,0),"")</f>
      </c>
      <c r="N907" s="7"/>
      <c r="O907" s="162">
        <f>IFERROR(M907*N907,"")</f>
      </c>
      <c r="P907" s="6"/>
      <c r="Q907" s="158"/>
      <c r="R907" s="163"/>
      <c r="S907" s="147"/>
      <c r="T907" s="6"/>
      <c r="U907" s="158"/>
      <c r="V907" s="164">
        <v>31</v>
      </c>
      <c r="W907" s="165">
        <f>IFERROR(U907*V907,"0")</f>
      </c>
      <c r="X907" s="7"/>
      <c r="Y907" s="191">
        <f>IFERROR((O907/1000)*Masters!$C$3,"0")</f>
      </c>
      <c r="Z907" s="195"/>
      <c r="AA907" s="164">
        <f>IFERROR(VLOOKUP(L907,Masters!G:H,2,0),"0")</f>
      </c>
      <c r="AB907" s="166">
        <f>IFERROR(AA907*N907,"0")</f>
      </c>
      <c r="AC907" s="196"/>
      <c r="AD907" s="7"/>
      <c r="AE907" s="166">
        <f>W907+Y907+AB907+AD907</f>
      </c>
      <c r="AF907" s="195"/>
      <c r="AG907" s="169">
        <f>M907&amp;"-"&amp;F907</f>
      </c>
      <c r="AH907" s="191">
        <f>IFERROR(VLOOKUP(AG907,Masters!N:O,2,0),"0")</f>
      </c>
      <c r="AI907" s="166">
        <f>AH907*N907</f>
      </c>
      <c r="AJ907" s="7"/>
      <c r="AK907" s="170">
        <f>AI907-AE907</f>
      </c>
      <c r="AL907" s="195"/>
      <c r="AM907" s="6"/>
      <c r="AN907" s="171">
        <f>IFERROR(U907/2,"0")</f>
      </c>
    </row>
    <row x14ac:dyDescent="0.25" r="908" customHeight="1" ht="18.75">
      <c r="A908" s="158">
        <f>A907+1</f>
      </c>
      <c r="B908" s="159"/>
      <c r="C908" s="6"/>
      <c r="D908" s="159"/>
      <c r="E908" s="198"/>
      <c r="F908" s="160"/>
      <c r="G908" s="6"/>
      <c r="H908" s="6"/>
      <c r="I908" s="7"/>
      <c r="J908" s="147"/>
      <c r="K908" s="7"/>
      <c r="L908" s="147"/>
      <c r="M908" s="161">
        <f>IFERROR(VLOOKUP(L908,'Material Master'!B:C,2,0),"")</f>
      </c>
      <c r="N908" s="7"/>
      <c r="O908" s="162">
        <f>IFERROR(M908*N908,"")</f>
      </c>
      <c r="P908" s="6"/>
      <c r="Q908" s="158"/>
      <c r="R908" s="163"/>
      <c r="S908" s="147"/>
      <c r="T908" s="6"/>
      <c r="U908" s="158"/>
      <c r="V908" s="164">
        <v>31</v>
      </c>
      <c r="W908" s="165">
        <f>IFERROR(U908*V908,"0")</f>
      </c>
      <c r="X908" s="7"/>
      <c r="Y908" s="191">
        <f>IFERROR((O908/1000)*Masters!$C$3,"0")</f>
      </c>
      <c r="Z908" s="195"/>
      <c r="AA908" s="164">
        <f>IFERROR(VLOOKUP(L908,Masters!G:H,2,0),"0")</f>
      </c>
      <c r="AB908" s="166">
        <f>IFERROR(AA908*N908,"0")</f>
      </c>
      <c r="AC908" s="196"/>
      <c r="AD908" s="7"/>
      <c r="AE908" s="166">
        <f>W908+Y908+AB908+AD908</f>
      </c>
      <c r="AF908" s="195"/>
      <c r="AG908" s="169">
        <f>M908&amp;"-"&amp;F908</f>
      </c>
      <c r="AH908" s="191">
        <f>IFERROR(VLOOKUP(AG908,Masters!N:O,2,0),"0")</f>
      </c>
      <c r="AI908" s="166">
        <f>AH908*N908</f>
      </c>
      <c r="AJ908" s="7"/>
      <c r="AK908" s="170">
        <f>AI908-AE908</f>
      </c>
      <c r="AL908" s="195"/>
      <c r="AM908" s="6"/>
      <c r="AN908" s="171">
        <f>IFERROR(U908/2,"0")</f>
      </c>
    </row>
    <row x14ac:dyDescent="0.25" r="909" customHeight="1" ht="18.75">
      <c r="A909" s="158">
        <f>A908+1</f>
      </c>
      <c r="B909" s="159"/>
      <c r="C909" s="6"/>
      <c r="D909" s="159"/>
      <c r="E909" s="198"/>
      <c r="F909" s="160"/>
      <c r="G909" s="6"/>
      <c r="H909" s="6"/>
      <c r="I909" s="7"/>
      <c r="J909" s="147"/>
      <c r="K909" s="7"/>
      <c r="L909" s="147"/>
      <c r="M909" s="161">
        <f>IFERROR(VLOOKUP(L909,'Material Master'!B:C,2,0),"")</f>
      </c>
      <c r="N909" s="7"/>
      <c r="O909" s="162">
        <f>IFERROR(M909*N909,"")</f>
      </c>
      <c r="P909" s="6"/>
      <c r="Q909" s="158"/>
      <c r="R909" s="163"/>
      <c r="S909" s="147"/>
      <c r="T909" s="6"/>
      <c r="U909" s="158"/>
      <c r="V909" s="164">
        <v>31</v>
      </c>
      <c r="W909" s="165">
        <f>IFERROR(U909*V909,"0")</f>
      </c>
      <c r="X909" s="7"/>
      <c r="Y909" s="191">
        <f>IFERROR((O909/1000)*Masters!$C$3,"0")</f>
      </c>
      <c r="Z909" s="195"/>
      <c r="AA909" s="164">
        <f>IFERROR(VLOOKUP(L909,Masters!G:H,2,0),"0")</f>
      </c>
      <c r="AB909" s="166">
        <f>IFERROR(AA909*N909,"0")</f>
      </c>
      <c r="AC909" s="196"/>
      <c r="AD909" s="7"/>
      <c r="AE909" s="166">
        <f>W909+Y909+AB909+AD909</f>
      </c>
      <c r="AF909" s="195"/>
      <c r="AG909" s="169">
        <f>M909&amp;"-"&amp;F909</f>
      </c>
      <c r="AH909" s="191">
        <f>IFERROR(VLOOKUP(AG909,Masters!N:O,2,0),"0")</f>
      </c>
      <c r="AI909" s="166">
        <f>AH909*N909</f>
      </c>
      <c r="AJ909" s="7"/>
      <c r="AK909" s="170">
        <f>AI909-AE909</f>
      </c>
      <c r="AL909" s="195"/>
      <c r="AM909" s="6"/>
      <c r="AN909" s="171">
        <f>IFERROR(U909/2,"0")</f>
      </c>
    </row>
    <row x14ac:dyDescent="0.25" r="910" customHeight="1" ht="18.75">
      <c r="A910" s="158">
        <f>A909+1</f>
      </c>
      <c r="B910" s="159"/>
      <c r="C910" s="6"/>
      <c r="D910" s="159"/>
      <c r="E910" s="198"/>
      <c r="F910" s="160"/>
      <c r="G910" s="6"/>
      <c r="H910" s="6"/>
      <c r="I910" s="7"/>
      <c r="J910" s="147"/>
      <c r="K910" s="7"/>
      <c r="L910" s="147"/>
      <c r="M910" s="161">
        <f>IFERROR(VLOOKUP(L910,'Material Master'!B:C,2,0),"")</f>
      </c>
      <c r="N910" s="7"/>
      <c r="O910" s="162">
        <f>IFERROR(M910*N910,"")</f>
      </c>
      <c r="P910" s="6"/>
      <c r="Q910" s="158"/>
      <c r="R910" s="163"/>
      <c r="S910" s="147"/>
      <c r="T910" s="6"/>
      <c r="U910" s="158"/>
      <c r="V910" s="164">
        <v>31</v>
      </c>
      <c r="W910" s="165">
        <f>IFERROR(U910*V910,"0")</f>
      </c>
      <c r="X910" s="7"/>
      <c r="Y910" s="191">
        <f>IFERROR((O910/1000)*Masters!$C$3,"0")</f>
      </c>
      <c r="Z910" s="195"/>
      <c r="AA910" s="164">
        <f>IFERROR(VLOOKUP(L910,Masters!G:H,2,0),"0")</f>
      </c>
      <c r="AB910" s="166">
        <f>IFERROR(AA910*N910,"0")</f>
      </c>
      <c r="AC910" s="196"/>
      <c r="AD910" s="7"/>
      <c r="AE910" s="166">
        <f>W910+Y910+AB910+AD910</f>
      </c>
      <c r="AF910" s="195"/>
      <c r="AG910" s="169">
        <f>M910&amp;"-"&amp;F910</f>
      </c>
      <c r="AH910" s="191">
        <f>IFERROR(VLOOKUP(AG910,Masters!N:O,2,0),"0")</f>
      </c>
      <c r="AI910" s="166">
        <f>AH910*N910</f>
      </c>
      <c r="AJ910" s="7"/>
      <c r="AK910" s="170">
        <f>AI910-AE910</f>
      </c>
      <c r="AL910" s="195"/>
      <c r="AM910" s="6"/>
      <c r="AN910" s="171">
        <f>IFERROR(U910/2,"0")</f>
      </c>
    </row>
    <row x14ac:dyDescent="0.25" r="911" customHeight="1" ht="18.75">
      <c r="A911" s="158">
        <f>A910+1</f>
      </c>
      <c r="B911" s="159"/>
      <c r="C911" s="6"/>
      <c r="D911" s="159"/>
      <c r="E911" s="198"/>
      <c r="F911" s="160"/>
      <c r="G911" s="6"/>
      <c r="H911" s="6"/>
      <c r="I911" s="7"/>
      <c r="J911" s="147"/>
      <c r="K911" s="7"/>
      <c r="L911" s="147"/>
      <c r="M911" s="161">
        <f>IFERROR(VLOOKUP(L911,'Material Master'!B:C,2,0),"")</f>
      </c>
      <c r="N911" s="7"/>
      <c r="O911" s="162">
        <f>IFERROR(M911*N911,"")</f>
      </c>
      <c r="P911" s="6"/>
      <c r="Q911" s="158"/>
      <c r="R911" s="163"/>
      <c r="S911" s="147"/>
      <c r="T911" s="6"/>
      <c r="U911" s="158"/>
      <c r="V911" s="164">
        <v>31</v>
      </c>
      <c r="W911" s="165">
        <f>IFERROR(U911*V911,"0")</f>
      </c>
      <c r="X911" s="7"/>
      <c r="Y911" s="191">
        <f>IFERROR((O911/1000)*Masters!$C$3,"0")</f>
      </c>
      <c r="Z911" s="195"/>
      <c r="AA911" s="164">
        <f>IFERROR(VLOOKUP(L911,Masters!G:H,2,0),"0")</f>
      </c>
      <c r="AB911" s="166">
        <f>IFERROR(AA911*N911,"0")</f>
      </c>
      <c r="AC911" s="196"/>
      <c r="AD911" s="7"/>
      <c r="AE911" s="166">
        <f>W911+Y911+AB911+AD911</f>
      </c>
      <c r="AF911" s="195"/>
      <c r="AG911" s="169">
        <f>M911&amp;"-"&amp;F911</f>
      </c>
      <c r="AH911" s="191">
        <f>IFERROR(VLOOKUP(AG911,Masters!N:O,2,0),"0")</f>
      </c>
      <c r="AI911" s="166">
        <f>AH911*N911</f>
      </c>
      <c r="AJ911" s="7"/>
      <c r="AK911" s="170">
        <f>AI911-AE911</f>
      </c>
      <c r="AL911" s="195"/>
      <c r="AM911" s="6"/>
      <c r="AN911" s="171">
        <f>IFERROR(U911/2,"0")</f>
      </c>
    </row>
    <row x14ac:dyDescent="0.25" r="912" customHeight="1" ht="18.75">
      <c r="A912" s="158">
        <f>A911+1</f>
      </c>
      <c r="B912" s="159"/>
      <c r="C912" s="6"/>
      <c r="D912" s="159"/>
      <c r="E912" s="198"/>
      <c r="F912" s="160"/>
      <c r="G912" s="6"/>
      <c r="H912" s="6"/>
      <c r="I912" s="7"/>
      <c r="J912" s="147"/>
      <c r="K912" s="7"/>
      <c r="L912" s="147"/>
      <c r="M912" s="161">
        <f>IFERROR(VLOOKUP(L912,'Material Master'!B:C,2,0),"")</f>
      </c>
      <c r="N912" s="7"/>
      <c r="O912" s="162">
        <f>IFERROR(M912*N912,"")</f>
      </c>
      <c r="P912" s="6"/>
      <c r="Q912" s="158"/>
      <c r="R912" s="163"/>
      <c r="S912" s="147"/>
      <c r="T912" s="6"/>
      <c r="U912" s="158"/>
      <c r="V912" s="164">
        <v>31</v>
      </c>
      <c r="W912" s="165">
        <f>IFERROR(U912*V912,"0")</f>
      </c>
      <c r="X912" s="7"/>
      <c r="Y912" s="191">
        <f>IFERROR((O912/1000)*Masters!$C$3,"0")</f>
      </c>
      <c r="Z912" s="195"/>
      <c r="AA912" s="164">
        <f>IFERROR(VLOOKUP(L912,Masters!G:H,2,0),"0")</f>
      </c>
      <c r="AB912" s="166">
        <f>IFERROR(AA912*N912,"0")</f>
      </c>
      <c r="AC912" s="196"/>
      <c r="AD912" s="7"/>
      <c r="AE912" s="166">
        <f>W912+Y912+AB912+AD912</f>
      </c>
      <c r="AF912" s="195"/>
      <c r="AG912" s="169">
        <f>M912&amp;"-"&amp;F912</f>
      </c>
      <c r="AH912" s="191">
        <f>IFERROR(VLOOKUP(AG912,Masters!N:O,2,0),"0")</f>
      </c>
      <c r="AI912" s="166">
        <f>AH912*N912</f>
      </c>
      <c r="AJ912" s="7"/>
      <c r="AK912" s="170">
        <f>AI912-AE912</f>
      </c>
      <c r="AL912" s="195"/>
      <c r="AM912" s="6"/>
      <c r="AN912" s="171">
        <f>IFERROR(U912/2,"0")</f>
      </c>
    </row>
    <row x14ac:dyDescent="0.25" r="913" customHeight="1" ht="18.75">
      <c r="A913" s="158">
        <f>A912+1</f>
      </c>
      <c r="B913" s="159"/>
      <c r="C913" s="6"/>
      <c r="D913" s="159"/>
      <c r="E913" s="198"/>
      <c r="F913" s="160"/>
      <c r="G913" s="6"/>
      <c r="H913" s="6"/>
      <c r="I913" s="7"/>
      <c r="J913" s="147"/>
      <c r="K913" s="7"/>
      <c r="L913" s="147"/>
      <c r="M913" s="161">
        <f>IFERROR(VLOOKUP(L913,'Material Master'!B:C,2,0),"")</f>
      </c>
      <c r="N913" s="7"/>
      <c r="O913" s="162">
        <f>IFERROR(M913*N913,"")</f>
      </c>
      <c r="P913" s="6"/>
      <c r="Q913" s="158"/>
      <c r="R913" s="163"/>
      <c r="S913" s="147"/>
      <c r="T913" s="6"/>
      <c r="U913" s="158"/>
      <c r="V913" s="164">
        <v>31</v>
      </c>
      <c r="W913" s="165">
        <f>IFERROR(U913*V913,"0")</f>
      </c>
      <c r="X913" s="7"/>
      <c r="Y913" s="191">
        <f>IFERROR((O913/1000)*Masters!$C$3,"0")</f>
      </c>
      <c r="Z913" s="195"/>
      <c r="AA913" s="164">
        <f>IFERROR(VLOOKUP(L913,Masters!G:H,2,0),"0")</f>
      </c>
      <c r="AB913" s="166">
        <f>IFERROR(AA913*N913,"0")</f>
      </c>
      <c r="AC913" s="196"/>
      <c r="AD913" s="7"/>
      <c r="AE913" s="166">
        <f>W913+Y913+AB913+AD913</f>
      </c>
      <c r="AF913" s="195"/>
      <c r="AG913" s="169">
        <f>M913&amp;"-"&amp;F913</f>
      </c>
      <c r="AH913" s="191">
        <f>IFERROR(VLOOKUP(AG913,Masters!N:O,2,0),"0")</f>
      </c>
      <c r="AI913" s="166">
        <f>AH913*N913</f>
      </c>
      <c r="AJ913" s="7"/>
      <c r="AK913" s="170">
        <f>AI913-AE913</f>
      </c>
      <c r="AL913" s="195"/>
      <c r="AM913" s="6"/>
      <c r="AN913" s="171">
        <f>IFERROR(U913/2,"0")</f>
      </c>
    </row>
    <row x14ac:dyDescent="0.25" r="914" customHeight="1" ht="18.75">
      <c r="A914" s="158">
        <f>A913+1</f>
      </c>
      <c r="B914" s="159"/>
      <c r="C914" s="6"/>
      <c r="D914" s="159"/>
      <c r="E914" s="198"/>
      <c r="F914" s="160"/>
      <c r="G914" s="6"/>
      <c r="H914" s="6"/>
      <c r="I914" s="7"/>
      <c r="J914" s="147"/>
      <c r="K914" s="7"/>
      <c r="L914" s="147"/>
      <c r="M914" s="161">
        <f>IFERROR(VLOOKUP(L914,'Material Master'!B:C,2,0),"")</f>
      </c>
      <c r="N914" s="7"/>
      <c r="O914" s="162">
        <f>IFERROR(M914*N914,"")</f>
      </c>
      <c r="P914" s="6"/>
      <c r="Q914" s="158"/>
      <c r="R914" s="163"/>
      <c r="S914" s="147"/>
      <c r="T914" s="6"/>
      <c r="U914" s="158"/>
      <c r="V914" s="164">
        <v>31</v>
      </c>
      <c r="W914" s="165">
        <f>IFERROR(U914*V914,"0")</f>
      </c>
      <c r="X914" s="7"/>
      <c r="Y914" s="191">
        <f>IFERROR((O914/1000)*Masters!$C$3,"0")</f>
      </c>
      <c r="Z914" s="195"/>
      <c r="AA914" s="164">
        <f>IFERROR(VLOOKUP(L914,Masters!G:H,2,0),"0")</f>
      </c>
      <c r="AB914" s="166">
        <f>IFERROR(AA914*N914,"0")</f>
      </c>
      <c r="AC914" s="196"/>
      <c r="AD914" s="7"/>
      <c r="AE914" s="166">
        <f>W914+Y914+AB914+AD914</f>
      </c>
      <c r="AF914" s="195"/>
      <c r="AG914" s="169">
        <f>M914&amp;"-"&amp;F914</f>
      </c>
      <c r="AH914" s="191">
        <f>IFERROR(VLOOKUP(AG914,Masters!N:O,2,0),"0")</f>
      </c>
      <c r="AI914" s="166">
        <f>AH914*N914</f>
      </c>
      <c r="AJ914" s="7"/>
      <c r="AK914" s="170">
        <f>AI914-AE914</f>
      </c>
      <c r="AL914" s="195"/>
      <c r="AM914" s="6"/>
      <c r="AN914" s="171">
        <f>IFERROR(U914/2,"0")</f>
      </c>
    </row>
    <row x14ac:dyDescent="0.25" r="915" customHeight="1" ht="18.75">
      <c r="A915" s="158">
        <f>A914+1</f>
      </c>
      <c r="B915" s="159"/>
      <c r="C915" s="6"/>
      <c r="D915" s="159"/>
      <c r="E915" s="198"/>
      <c r="F915" s="160"/>
      <c r="G915" s="6"/>
      <c r="H915" s="6"/>
      <c r="I915" s="7"/>
      <c r="J915" s="147"/>
      <c r="K915" s="7"/>
      <c r="L915" s="147"/>
      <c r="M915" s="161">
        <f>IFERROR(VLOOKUP(L915,'Material Master'!B:C,2,0),"")</f>
      </c>
      <c r="N915" s="7"/>
      <c r="O915" s="162">
        <f>IFERROR(M915*N915,"")</f>
      </c>
      <c r="P915" s="6"/>
      <c r="Q915" s="158"/>
      <c r="R915" s="163"/>
      <c r="S915" s="147"/>
      <c r="T915" s="6"/>
      <c r="U915" s="158"/>
      <c r="V915" s="164">
        <v>31</v>
      </c>
      <c r="W915" s="165">
        <f>IFERROR(U915*V915,"0")</f>
      </c>
      <c r="X915" s="7"/>
      <c r="Y915" s="191">
        <f>IFERROR((O915/1000)*Masters!$C$3,"0")</f>
      </c>
      <c r="Z915" s="195"/>
      <c r="AA915" s="164">
        <f>IFERROR(VLOOKUP(L915,Masters!G:H,2,0),"0")</f>
      </c>
      <c r="AB915" s="166">
        <f>IFERROR(AA915*N915,"0")</f>
      </c>
      <c r="AC915" s="196"/>
      <c r="AD915" s="7"/>
      <c r="AE915" s="166">
        <f>W915+Y915+AB915+AD915</f>
      </c>
      <c r="AF915" s="195"/>
      <c r="AG915" s="169">
        <f>M915&amp;"-"&amp;F915</f>
      </c>
      <c r="AH915" s="191">
        <f>IFERROR(VLOOKUP(AG915,Masters!N:O,2,0),"0")</f>
      </c>
      <c r="AI915" s="166">
        <f>AH915*N915</f>
      </c>
      <c r="AJ915" s="7"/>
      <c r="AK915" s="170">
        <f>AI915-AE915</f>
      </c>
      <c r="AL915" s="195"/>
      <c r="AM915" s="6"/>
      <c r="AN915" s="171">
        <f>IFERROR(U915/2,"0")</f>
      </c>
    </row>
    <row x14ac:dyDescent="0.25" r="916" customHeight="1" ht="18.75">
      <c r="A916" s="158">
        <f>A915+1</f>
      </c>
      <c r="B916" s="159"/>
      <c r="C916" s="6"/>
      <c r="D916" s="159"/>
      <c r="E916" s="198"/>
      <c r="F916" s="160"/>
      <c r="G916" s="6"/>
      <c r="H916" s="6"/>
      <c r="I916" s="7"/>
      <c r="J916" s="147"/>
      <c r="K916" s="7"/>
      <c r="L916" s="147"/>
      <c r="M916" s="161">
        <f>IFERROR(VLOOKUP(L916,'Material Master'!B:C,2,0),"")</f>
      </c>
      <c r="N916" s="7"/>
      <c r="O916" s="162">
        <f>IFERROR(M916*N916,"")</f>
      </c>
      <c r="P916" s="6"/>
      <c r="Q916" s="158"/>
      <c r="R916" s="163"/>
      <c r="S916" s="147"/>
      <c r="T916" s="6"/>
      <c r="U916" s="158"/>
      <c r="V916" s="164">
        <v>31</v>
      </c>
      <c r="W916" s="165">
        <f>IFERROR(U916*V916,"0")</f>
      </c>
      <c r="X916" s="7"/>
      <c r="Y916" s="191">
        <f>IFERROR((O916/1000)*Masters!$C$3,"0")</f>
      </c>
      <c r="Z916" s="195"/>
      <c r="AA916" s="164">
        <f>IFERROR(VLOOKUP(L916,Masters!G:H,2,0),"0")</f>
      </c>
      <c r="AB916" s="166">
        <f>IFERROR(AA916*N916,"0")</f>
      </c>
      <c r="AC916" s="196"/>
      <c r="AD916" s="7"/>
      <c r="AE916" s="166">
        <f>W916+Y916+AB916+AD916</f>
      </c>
      <c r="AF916" s="195"/>
      <c r="AG916" s="169">
        <f>M916&amp;"-"&amp;F916</f>
      </c>
      <c r="AH916" s="191">
        <f>IFERROR(VLOOKUP(AG916,Masters!N:O,2,0),"0")</f>
      </c>
      <c r="AI916" s="166">
        <f>AH916*N916</f>
      </c>
      <c r="AJ916" s="7"/>
      <c r="AK916" s="170">
        <f>AI916-AE916</f>
      </c>
      <c r="AL916" s="195"/>
      <c r="AM916" s="6"/>
      <c r="AN916" s="171">
        <f>IFERROR(U916/2,"0")</f>
      </c>
    </row>
    <row x14ac:dyDescent="0.25" r="917" customHeight="1" ht="18.75">
      <c r="A917" s="158">
        <f>A916+1</f>
      </c>
      <c r="B917" s="159"/>
      <c r="C917" s="6"/>
      <c r="D917" s="159"/>
      <c r="E917" s="198"/>
      <c r="F917" s="160"/>
      <c r="G917" s="6"/>
      <c r="H917" s="6"/>
      <c r="I917" s="7"/>
      <c r="J917" s="147"/>
      <c r="K917" s="7"/>
      <c r="L917" s="147"/>
      <c r="M917" s="161">
        <f>IFERROR(VLOOKUP(L917,'Material Master'!B:C,2,0),"")</f>
      </c>
      <c r="N917" s="7"/>
      <c r="O917" s="162">
        <f>IFERROR(M917*N917,"")</f>
      </c>
      <c r="P917" s="6"/>
      <c r="Q917" s="158"/>
      <c r="R917" s="163"/>
      <c r="S917" s="147"/>
      <c r="T917" s="6"/>
      <c r="U917" s="158"/>
      <c r="V917" s="164">
        <v>31</v>
      </c>
      <c r="W917" s="165">
        <f>IFERROR(U917*V917,"0")</f>
      </c>
      <c r="X917" s="7"/>
      <c r="Y917" s="191">
        <f>IFERROR((O917/1000)*Masters!$C$3,"0")</f>
      </c>
      <c r="Z917" s="195"/>
      <c r="AA917" s="164">
        <f>IFERROR(VLOOKUP(L917,Masters!G:H,2,0),"0")</f>
      </c>
      <c r="AB917" s="166">
        <f>IFERROR(AA917*N917,"0")</f>
      </c>
      <c r="AC917" s="196"/>
      <c r="AD917" s="7"/>
      <c r="AE917" s="166">
        <f>W917+Y917+AB917+AD917</f>
      </c>
      <c r="AF917" s="195"/>
      <c r="AG917" s="169">
        <f>M917&amp;"-"&amp;F917</f>
      </c>
      <c r="AH917" s="191">
        <f>IFERROR(VLOOKUP(AG917,Masters!N:O,2,0),"0")</f>
      </c>
      <c r="AI917" s="166">
        <f>AH917*N917</f>
      </c>
      <c r="AJ917" s="7"/>
      <c r="AK917" s="170">
        <f>AI917-AE917</f>
      </c>
      <c r="AL917" s="195"/>
      <c r="AM917" s="6"/>
      <c r="AN917" s="171">
        <f>IFERROR(U917/2,"0")</f>
      </c>
    </row>
    <row x14ac:dyDescent="0.25" r="918" customHeight="1" ht="18.75">
      <c r="A918" s="158">
        <f>A917+1</f>
      </c>
      <c r="B918" s="159"/>
      <c r="C918" s="6"/>
      <c r="D918" s="159"/>
      <c r="E918" s="198"/>
      <c r="F918" s="160"/>
      <c r="G918" s="6"/>
      <c r="H918" s="6"/>
      <c r="I918" s="7"/>
      <c r="J918" s="147"/>
      <c r="K918" s="7"/>
      <c r="L918" s="147"/>
      <c r="M918" s="161">
        <f>IFERROR(VLOOKUP(L918,'Material Master'!B:C,2,0),"")</f>
      </c>
      <c r="N918" s="7"/>
      <c r="O918" s="162">
        <f>IFERROR(M918*N918,"")</f>
      </c>
      <c r="P918" s="6"/>
      <c r="Q918" s="158"/>
      <c r="R918" s="163"/>
      <c r="S918" s="147"/>
      <c r="T918" s="6"/>
      <c r="U918" s="158"/>
      <c r="V918" s="164">
        <v>31</v>
      </c>
      <c r="W918" s="165">
        <f>IFERROR(U918*V918,"0")</f>
      </c>
      <c r="X918" s="7"/>
      <c r="Y918" s="191">
        <f>IFERROR((O918/1000)*Masters!$C$3,"0")</f>
      </c>
      <c r="Z918" s="195"/>
      <c r="AA918" s="164">
        <f>IFERROR(VLOOKUP(L918,Masters!G:H,2,0),"0")</f>
      </c>
      <c r="AB918" s="166">
        <f>IFERROR(AA918*N918,"0")</f>
      </c>
      <c r="AC918" s="196"/>
      <c r="AD918" s="7"/>
      <c r="AE918" s="166">
        <f>W918+Y918+AB918+AD918</f>
      </c>
      <c r="AF918" s="195"/>
      <c r="AG918" s="169">
        <f>M918&amp;"-"&amp;F918</f>
      </c>
      <c r="AH918" s="191">
        <f>IFERROR(VLOOKUP(AG918,Masters!N:O,2,0),"0")</f>
      </c>
      <c r="AI918" s="166">
        <f>AH918*N918</f>
      </c>
      <c r="AJ918" s="7"/>
      <c r="AK918" s="170">
        <f>AI918-AE918</f>
      </c>
      <c r="AL918" s="195"/>
      <c r="AM918" s="6"/>
      <c r="AN918" s="171">
        <f>IFERROR(U918/2,"0")</f>
      </c>
    </row>
    <row x14ac:dyDescent="0.25" r="919" customHeight="1" ht="18.75">
      <c r="A919" s="158">
        <f>A918+1</f>
      </c>
      <c r="B919" s="159"/>
      <c r="C919" s="6"/>
      <c r="D919" s="159"/>
      <c r="E919" s="198"/>
      <c r="F919" s="160"/>
      <c r="G919" s="6"/>
      <c r="H919" s="6"/>
      <c r="I919" s="7"/>
      <c r="J919" s="147"/>
      <c r="K919" s="7"/>
      <c r="L919" s="147"/>
      <c r="M919" s="161">
        <f>IFERROR(VLOOKUP(L919,'Material Master'!B:C,2,0),"")</f>
      </c>
      <c r="N919" s="7"/>
      <c r="O919" s="162">
        <f>IFERROR(M919*N919,"")</f>
      </c>
      <c r="P919" s="6"/>
      <c r="Q919" s="158"/>
      <c r="R919" s="163"/>
      <c r="S919" s="147"/>
      <c r="T919" s="6"/>
      <c r="U919" s="158"/>
      <c r="V919" s="164">
        <v>31</v>
      </c>
      <c r="W919" s="165">
        <f>IFERROR(U919*V919,"0")</f>
      </c>
      <c r="X919" s="7"/>
      <c r="Y919" s="191">
        <f>IFERROR((O919/1000)*Masters!$C$3,"0")</f>
      </c>
      <c r="Z919" s="195"/>
      <c r="AA919" s="164">
        <f>IFERROR(VLOOKUP(L919,Masters!G:H,2,0),"0")</f>
      </c>
      <c r="AB919" s="166">
        <f>IFERROR(AA919*N919,"0")</f>
      </c>
      <c r="AC919" s="196"/>
      <c r="AD919" s="7"/>
      <c r="AE919" s="166">
        <f>W919+Y919+AB919+AD919</f>
      </c>
      <c r="AF919" s="195"/>
      <c r="AG919" s="169">
        <f>M919&amp;"-"&amp;F919</f>
      </c>
      <c r="AH919" s="191">
        <f>IFERROR(VLOOKUP(AG919,Masters!N:O,2,0),"0")</f>
      </c>
      <c r="AI919" s="166">
        <f>AH919*N919</f>
      </c>
      <c r="AJ919" s="7"/>
      <c r="AK919" s="170">
        <f>AI919-AE919</f>
      </c>
      <c r="AL919" s="195"/>
      <c r="AM919" s="6"/>
      <c r="AN919" s="171">
        <f>IFERROR(U919/2,"0")</f>
      </c>
    </row>
    <row x14ac:dyDescent="0.25" r="920" customHeight="1" ht="18.75">
      <c r="A920" s="158">
        <f>A919+1</f>
      </c>
      <c r="B920" s="159"/>
      <c r="C920" s="6"/>
      <c r="D920" s="159"/>
      <c r="E920" s="198"/>
      <c r="F920" s="160"/>
      <c r="G920" s="6"/>
      <c r="H920" s="6"/>
      <c r="I920" s="7"/>
      <c r="J920" s="147"/>
      <c r="K920" s="7"/>
      <c r="L920" s="147"/>
      <c r="M920" s="161">
        <f>IFERROR(VLOOKUP(L920,'Material Master'!B:C,2,0),"")</f>
      </c>
      <c r="N920" s="7"/>
      <c r="O920" s="162">
        <f>IFERROR(M920*N920,"")</f>
      </c>
      <c r="P920" s="6"/>
      <c r="Q920" s="158"/>
      <c r="R920" s="163"/>
      <c r="S920" s="147"/>
      <c r="T920" s="6"/>
      <c r="U920" s="158"/>
      <c r="V920" s="164">
        <v>31</v>
      </c>
      <c r="W920" s="165">
        <f>IFERROR(U920*V920,"0")</f>
      </c>
      <c r="X920" s="7"/>
      <c r="Y920" s="191">
        <f>IFERROR((O920/1000)*Masters!$C$3,"0")</f>
      </c>
      <c r="Z920" s="195"/>
      <c r="AA920" s="164">
        <f>IFERROR(VLOOKUP(L920,Masters!G:H,2,0),"0")</f>
      </c>
      <c r="AB920" s="166">
        <f>IFERROR(AA920*N920,"0")</f>
      </c>
      <c r="AC920" s="196"/>
      <c r="AD920" s="7"/>
      <c r="AE920" s="166">
        <f>W920+Y920+AB920+AD920</f>
      </c>
      <c r="AF920" s="195"/>
      <c r="AG920" s="169">
        <f>M920&amp;"-"&amp;F920</f>
      </c>
      <c r="AH920" s="191">
        <f>IFERROR(VLOOKUP(AG920,Masters!N:O,2,0),"0")</f>
      </c>
      <c r="AI920" s="166">
        <f>AH920*N920</f>
      </c>
      <c r="AJ920" s="7"/>
      <c r="AK920" s="170">
        <f>AI920-AE920</f>
      </c>
      <c r="AL920" s="195"/>
      <c r="AM920" s="6"/>
      <c r="AN920" s="171">
        <f>IFERROR(U920/2,"0")</f>
      </c>
    </row>
    <row x14ac:dyDescent="0.25" r="921" customHeight="1" ht="18.75">
      <c r="A921" s="158">
        <f>A920+1</f>
      </c>
      <c r="B921" s="159"/>
      <c r="C921" s="6"/>
      <c r="D921" s="159"/>
      <c r="E921" s="198"/>
      <c r="F921" s="160"/>
      <c r="G921" s="6"/>
      <c r="H921" s="6"/>
      <c r="I921" s="7"/>
      <c r="J921" s="147"/>
      <c r="K921" s="7"/>
      <c r="L921" s="147"/>
      <c r="M921" s="161">
        <f>IFERROR(VLOOKUP(L921,'Material Master'!B:C,2,0),"")</f>
      </c>
      <c r="N921" s="7"/>
      <c r="O921" s="162">
        <f>IFERROR(M921*N921,"")</f>
      </c>
      <c r="P921" s="6"/>
      <c r="Q921" s="158"/>
      <c r="R921" s="163"/>
      <c r="S921" s="147"/>
      <c r="T921" s="6"/>
      <c r="U921" s="158"/>
      <c r="V921" s="164">
        <v>31</v>
      </c>
      <c r="W921" s="165">
        <f>IFERROR(U921*V921,"0")</f>
      </c>
      <c r="X921" s="7"/>
      <c r="Y921" s="191">
        <f>IFERROR((O921/1000)*Masters!$C$3,"0")</f>
      </c>
      <c r="Z921" s="195"/>
      <c r="AA921" s="164">
        <f>IFERROR(VLOOKUP(L921,Masters!G:H,2,0),"0")</f>
      </c>
      <c r="AB921" s="166">
        <f>IFERROR(AA921*N921,"0")</f>
      </c>
      <c r="AC921" s="196"/>
      <c r="AD921" s="7"/>
      <c r="AE921" s="166">
        <f>W921+Y921+AB921+AD921</f>
      </c>
      <c r="AF921" s="195"/>
      <c r="AG921" s="169">
        <f>M921&amp;"-"&amp;F921</f>
      </c>
      <c r="AH921" s="191">
        <f>IFERROR(VLOOKUP(AG921,Masters!N:O,2,0),"0")</f>
      </c>
      <c r="AI921" s="166">
        <f>AH921*N921</f>
      </c>
      <c r="AJ921" s="7"/>
      <c r="AK921" s="170">
        <f>AI921-AE921</f>
      </c>
      <c r="AL921" s="195"/>
      <c r="AM921" s="6"/>
      <c r="AN921" s="171">
        <f>IFERROR(U921/2,"0")</f>
      </c>
    </row>
    <row x14ac:dyDescent="0.25" r="922" customHeight="1" ht="18.75">
      <c r="A922" s="158">
        <f>A921+1</f>
      </c>
      <c r="B922" s="159"/>
      <c r="C922" s="6"/>
      <c r="D922" s="159"/>
      <c r="E922" s="198"/>
      <c r="F922" s="160"/>
      <c r="G922" s="6"/>
      <c r="H922" s="6"/>
      <c r="I922" s="7"/>
      <c r="J922" s="147"/>
      <c r="K922" s="7"/>
      <c r="L922" s="147"/>
      <c r="M922" s="161">
        <f>IFERROR(VLOOKUP(L922,'Material Master'!B:C,2,0),"")</f>
      </c>
      <c r="N922" s="7"/>
      <c r="O922" s="162">
        <f>IFERROR(M922*N922,"")</f>
      </c>
      <c r="P922" s="6"/>
      <c r="Q922" s="158"/>
      <c r="R922" s="163"/>
      <c r="S922" s="147"/>
      <c r="T922" s="6"/>
      <c r="U922" s="158"/>
      <c r="V922" s="164">
        <v>31</v>
      </c>
      <c r="W922" s="165">
        <f>IFERROR(U922*V922,"0")</f>
      </c>
      <c r="X922" s="7"/>
      <c r="Y922" s="191">
        <f>IFERROR((O922/1000)*Masters!$C$3,"0")</f>
      </c>
      <c r="Z922" s="195"/>
      <c r="AA922" s="164">
        <f>IFERROR(VLOOKUP(L922,Masters!G:H,2,0),"0")</f>
      </c>
      <c r="AB922" s="166">
        <f>IFERROR(AA922*N922,"0")</f>
      </c>
      <c r="AC922" s="196"/>
      <c r="AD922" s="7"/>
      <c r="AE922" s="166">
        <f>W922+Y922+AB922+AD922</f>
      </c>
      <c r="AF922" s="195"/>
      <c r="AG922" s="169">
        <f>M922&amp;"-"&amp;F922</f>
      </c>
      <c r="AH922" s="191">
        <f>IFERROR(VLOOKUP(AG922,Masters!N:O,2,0),"0")</f>
      </c>
      <c r="AI922" s="166">
        <f>AH922*N922</f>
      </c>
      <c r="AJ922" s="7"/>
      <c r="AK922" s="170">
        <f>AI922-AE922</f>
      </c>
      <c r="AL922" s="195"/>
      <c r="AM922" s="6"/>
      <c r="AN922" s="171">
        <f>IFERROR(U922/2,"0")</f>
      </c>
    </row>
    <row x14ac:dyDescent="0.25" r="923" customHeight="1" ht="18.75">
      <c r="A923" s="158">
        <f>A922+1</f>
      </c>
      <c r="B923" s="159"/>
      <c r="C923" s="6"/>
      <c r="D923" s="159"/>
      <c r="E923" s="198"/>
      <c r="F923" s="160"/>
      <c r="G923" s="6"/>
      <c r="H923" s="6"/>
      <c r="I923" s="7"/>
      <c r="J923" s="147"/>
      <c r="K923" s="7"/>
      <c r="L923" s="147"/>
      <c r="M923" s="161">
        <f>IFERROR(VLOOKUP(L923,'Material Master'!B:C,2,0),"")</f>
      </c>
      <c r="N923" s="7"/>
      <c r="O923" s="162">
        <f>IFERROR(M923*N923,"")</f>
      </c>
      <c r="P923" s="6"/>
      <c r="Q923" s="158"/>
      <c r="R923" s="163"/>
      <c r="S923" s="147"/>
      <c r="T923" s="6"/>
      <c r="U923" s="158"/>
      <c r="V923" s="164">
        <v>31</v>
      </c>
      <c r="W923" s="165">
        <f>IFERROR(U923*V923,"0")</f>
      </c>
      <c r="X923" s="7"/>
      <c r="Y923" s="191">
        <f>IFERROR((O923/1000)*Masters!$C$3,"0")</f>
      </c>
      <c r="Z923" s="195"/>
      <c r="AA923" s="164">
        <f>IFERROR(VLOOKUP(L923,Masters!G:H,2,0),"0")</f>
      </c>
      <c r="AB923" s="166">
        <f>IFERROR(AA923*N923,"0")</f>
      </c>
      <c r="AC923" s="196"/>
      <c r="AD923" s="7"/>
      <c r="AE923" s="166">
        <f>W923+Y923+AB923+AD923</f>
      </c>
      <c r="AF923" s="195"/>
      <c r="AG923" s="169">
        <f>M923&amp;"-"&amp;F923</f>
      </c>
      <c r="AH923" s="191">
        <f>IFERROR(VLOOKUP(AG923,Masters!N:O,2,0),"0")</f>
      </c>
      <c r="AI923" s="166">
        <f>AH923*N923</f>
      </c>
      <c r="AJ923" s="7"/>
      <c r="AK923" s="170">
        <f>AI923-AE923</f>
      </c>
      <c r="AL923" s="195"/>
      <c r="AM923" s="6"/>
      <c r="AN923" s="171">
        <f>IFERROR(U923/2,"0")</f>
      </c>
    </row>
    <row x14ac:dyDescent="0.25" r="924" customHeight="1" ht="18.75">
      <c r="A924" s="158">
        <f>A923+1</f>
      </c>
      <c r="B924" s="159"/>
      <c r="C924" s="6"/>
      <c r="D924" s="159"/>
      <c r="E924" s="198"/>
      <c r="F924" s="160"/>
      <c r="G924" s="6"/>
      <c r="H924" s="6"/>
      <c r="I924" s="7"/>
      <c r="J924" s="147"/>
      <c r="K924" s="7"/>
      <c r="L924" s="147"/>
      <c r="M924" s="161">
        <f>IFERROR(VLOOKUP(L924,'Material Master'!B:C,2,0),"")</f>
      </c>
      <c r="N924" s="7"/>
      <c r="O924" s="162">
        <f>IFERROR(M924*N924,"")</f>
      </c>
      <c r="P924" s="6"/>
      <c r="Q924" s="158"/>
      <c r="R924" s="163"/>
      <c r="S924" s="147"/>
      <c r="T924" s="6"/>
      <c r="U924" s="158"/>
      <c r="V924" s="164">
        <v>31</v>
      </c>
      <c r="W924" s="165">
        <f>IFERROR(U924*V924,"0")</f>
      </c>
      <c r="X924" s="7"/>
      <c r="Y924" s="191">
        <f>IFERROR((O924/1000)*Masters!$C$3,"0")</f>
      </c>
      <c r="Z924" s="195"/>
      <c r="AA924" s="164">
        <f>IFERROR(VLOOKUP(L924,Masters!G:H,2,0),"0")</f>
      </c>
      <c r="AB924" s="166">
        <f>IFERROR(AA924*N924,"0")</f>
      </c>
      <c r="AC924" s="196"/>
      <c r="AD924" s="7"/>
      <c r="AE924" s="166">
        <f>W924+Y924+AB924+AD924</f>
      </c>
      <c r="AF924" s="195"/>
      <c r="AG924" s="169">
        <f>M924&amp;"-"&amp;F924</f>
      </c>
      <c r="AH924" s="191">
        <f>IFERROR(VLOOKUP(AG924,Masters!N:O,2,0),"0")</f>
      </c>
      <c r="AI924" s="166">
        <f>AH924*N924</f>
      </c>
      <c r="AJ924" s="7"/>
      <c r="AK924" s="170">
        <f>AI924-AE924</f>
      </c>
      <c r="AL924" s="195"/>
      <c r="AM924" s="6"/>
      <c r="AN924" s="171">
        <f>IFERROR(U924/2,"0")</f>
      </c>
    </row>
    <row x14ac:dyDescent="0.25" r="925" customHeight="1" ht="18.75">
      <c r="A925" s="158">
        <f>A924+1</f>
      </c>
      <c r="B925" s="159"/>
      <c r="C925" s="6"/>
      <c r="D925" s="159"/>
      <c r="E925" s="198"/>
      <c r="F925" s="160"/>
      <c r="G925" s="6"/>
      <c r="H925" s="6"/>
      <c r="I925" s="7"/>
      <c r="J925" s="147"/>
      <c r="K925" s="7"/>
      <c r="L925" s="147"/>
      <c r="M925" s="161">
        <f>IFERROR(VLOOKUP(L925,'Material Master'!B:C,2,0),"")</f>
      </c>
      <c r="N925" s="7"/>
      <c r="O925" s="162">
        <f>IFERROR(M925*N925,"")</f>
      </c>
      <c r="P925" s="6"/>
      <c r="Q925" s="158"/>
      <c r="R925" s="163"/>
      <c r="S925" s="147"/>
      <c r="T925" s="6"/>
      <c r="U925" s="158"/>
      <c r="V925" s="164">
        <v>31</v>
      </c>
      <c r="W925" s="165">
        <f>IFERROR(U925*V925,"0")</f>
      </c>
      <c r="X925" s="7"/>
      <c r="Y925" s="191">
        <f>IFERROR((O925/1000)*Masters!$C$3,"0")</f>
      </c>
      <c r="Z925" s="195"/>
      <c r="AA925" s="164">
        <f>IFERROR(VLOOKUP(L925,Masters!G:H,2,0),"0")</f>
      </c>
      <c r="AB925" s="166">
        <f>IFERROR(AA925*N925,"0")</f>
      </c>
      <c r="AC925" s="196"/>
      <c r="AD925" s="7"/>
      <c r="AE925" s="166">
        <f>W925+Y925+AB925+AD925</f>
      </c>
      <c r="AF925" s="195"/>
      <c r="AG925" s="169">
        <f>M925&amp;"-"&amp;F925</f>
      </c>
      <c r="AH925" s="191">
        <f>IFERROR(VLOOKUP(AG925,Masters!N:O,2,0),"0")</f>
      </c>
      <c r="AI925" s="166">
        <f>AH925*N925</f>
      </c>
      <c r="AJ925" s="7"/>
      <c r="AK925" s="170">
        <f>AI925-AE925</f>
      </c>
      <c r="AL925" s="195"/>
      <c r="AM925" s="6"/>
      <c r="AN925" s="171">
        <f>IFERROR(U925/2,"0")</f>
      </c>
    </row>
    <row x14ac:dyDescent="0.25" r="926" customHeight="1" ht="18.75">
      <c r="A926" s="158">
        <f>A925+1</f>
      </c>
      <c r="B926" s="159"/>
      <c r="C926" s="6"/>
      <c r="D926" s="159"/>
      <c r="E926" s="198"/>
      <c r="F926" s="160"/>
      <c r="G926" s="6"/>
      <c r="H926" s="6"/>
      <c r="I926" s="7"/>
      <c r="J926" s="147"/>
      <c r="K926" s="7"/>
      <c r="L926" s="147"/>
      <c r="M926" s="161">
        <f>IFERROR(VLOOKUP(L926,'Material Master'!B:C,2,0),"")</f>
      </c>
      <c r="N926" s="7"/>
      <c r="O926" s="162">
        <f>IFERROR(M926*N926,"")</f>
      </c>
      <c r="P926" s="6"/>
      <c r="Q926" s="158"/>
      <c r="R926" s="163"/>
      <c r="S926" s="147"/>
      <c r="T926" s="6"/>
      <c r="U926" s="158"/>
      <c r="V926" s="164">
        <v>31</v>
      </c>
      <c r="W926" s="165">
        <f>IFERROR(U926*V926,"0")</f>
      </c>
      <c r="X926" s="7"/>
      <c r="Y926" s="191">
        <f>IFERROR((O926/1000)*Masters!$C$3,"0")</f>
      </c>
      <c r="Z926" s="195"/>
      <c r="AA926" s="164">
        <f>IFERROR(VLOOKUP(L926,Masters!G:H,2,0),"0")</f>
      </c>
      <c r="AB926" s="166">
        <f>IFERROR(AA926*N926,"0")</f>
      </c>
      <c r="AC926" s="196"/>
      <c r="AD926" s="7"/>
      <c r="AE926" s="166">
        <f>W926+Y926+AB926+AD926</f>
      </c>
      <c r="AF926" s="195"/>
      <c r="AG926" s="169">
        <f>M926&amp;"-"&amp;F926</f>
      </c>
      <c r="AH926" s="191">
        <f>IFERROR(VLOOKUP(AG926,Masters!N:O,2,0),"0")</f>
      </c>
      <c r="AI926" s="166">
        <f>AH926*N926</f>
      </c>
      <c r="AJ926" s="7"/>
      <c r="AK926" s="170">
        <f>AI926-AE926</f>
      </c>
      <c r="AL926" s="195"/>
      <c r="AM926" s="6"/>
      <c r="AN926" s="171">
        <f>IFERROR(U926/2,"0")</f>
      </c>
    </row>
    <row x14ac:dyDescent="0.25" r="927" customHeight="1" ht="18.75">
      <c r="A927" s="158">
        <f>A926+1</f>
      </c>
      <c r="B927" s="159"/>
      <c r="C927" s="6"/>
      <c r="D927" s="159"/>
      <c r="E927" s="198"/>
      <c r="F927" s="160"/>
      <c r="G927" s="6"/>
      <c r="H927" s="6"/>
      <c r="I927" s="7"/>
      <c r="J927" s="147"/>
      <c r="K927" s="7"/>
      <c r="L927" s="147"/>
      <c r="M927" s="161">
        <f>IFERROR(VLOOKUP(L927,'Material Master'!B:C,2,0),"")</f>
      </c>
      <c r="N927" s="7"/>
      <c r="O927" s="162">
        <f>IFERROR(M927*N927,"")</f>
      </c>
      <c r="P927" s="6"/>
      <c r="Q927" s="158"/>
      <c r="R927" s="163"/>
      <c r="S927" s="147"/>
      <c r="T927" s="6"/>
      <c r="U927" s="158"/>
      <c r="V927" s="164">
        <v>31</v>
      </c>
      <c r="W927" s="165">
        <f>IFERROR(U927*V927,"0")</f>
      </c>
      <c r="X927" s="7"/>
      <c r="Y927" s="191">
        <f>IFERROR((O927/1000)*Masters!$C$3,"0")</f>
      </c>
      <c r="Z927" s="195"/>
      <c r="AA927" s="164">
        <f>IFERROR(VLOOKUP(L927,Masters!G:H,2,0),"0")</f>
      </c>
      <c r="AB927" s="166">
        <f>IFERROR(AA927*N927,"0")</f>
      </c>
      <c r="AC927" s="196"/>
      <c r="AD927" s="7"/>
      <c r="AE927" s="166">
        <f>W927+Y927+AB927+AD927</f>
      </c>
      <c r="AF927" s="195"/>
      <c r="AG927" s="169">
        <f>M927&amp;"-"&amp;F927</f>
      </c>
      <c r="AH927" s="191">
        <f>IFERROR(VLOOKUP(AG927,Masters!N:O,2,0),"0")</f>
      </c>
      <c r="AI927" s="166">
        <f>AH927*N927</f>
      </c>
      <c r="AJ927" s="7"/>
      <c r="AK927" s="170">
        <f>AI927-AE927</f>
      </c>
      <c r="AL927" s="195"/>
      <c r="AM927" s="6"/>
      <c r="AN927" s="171">
        <f>IFERROR(U927/2,"0")</f>
      </c>
    </row>
    <row x14ac:dyDescent="0.25" r="928" customHeight="1" ht="18.75">
      <c r="A928" s="158">
        <f>A927+1</f>
      </c>
      <c r="B928" s="159"/>
      <c r="C928" s="6"/>
      <c r="D928" s="159"/>
      <c r="E928" s="198"/>
      <c r="F928" s="160"/>
      <c r="G928" s="6"/>
      <c r="H928" s="6"/>
      <c r="I928" s="7"/>
      <c r="J928" s="147"/>
      <c r="K928" s="7"/>
      <c r="L928" s="147"/>
      <c r="M928" s="161">
        <f>IFERROR(VLOOKUP(L928,'Material Master'!B:C,2,0),"")</f>
      </c>
      <c r="N928" s="7"/>
      <c r="O928" s="162">
        <f>IFERROR(M928*N928,"")</f>
      </c>
      <c r="P928" s="6"/>
      <c r="Q928" s="158"/>
      <c r="R928" s="163"/>
      <c r="S928" s="147"/>
      <c r="T928" s="6"/>
      <c r="U928" s="158"/>
      <c r="V928" s="164">
        <v>31</v>
      </c>
      <c r="W928" s="165">
        <f>IFERROR(U928*V928,"0")</f>
      </c>
      <c r="X928" s="7"/>
      <c r="Y928" s="191">
        <f>IFERROR((O928/1000)*Masters!$C$3,"0")</f>
      </c>
      <c r="Z928" s="195"/>
      <c r="AA928" s="164">
        <f>IFERROR(VLOOKUP(L928,Masters!G:H,2,0),"0")</f>
      </c>
      <c r="AB928" s="166">
        <f>IFERROR(AA928*N928,"0")</f>
      </c>
      <c r="AC928" s="196"/>
      <c r="AD928" s="7"/>
      <c r="AE928" s="166">
        <f>W928+Y928+AB928+AD928</f>
      </c>
      <c r="AF928" s="195"/>
      <c r="AG928" s="169">
        <f>M928&amp;"-"&amp;F928</f>
      </c>
      <c r="AH928" s="191">
        <f>IFERROR(VLOOKUP(AG928,Masters!N:O,2,0),"0")</f>
      </c>
      <c r="AI928" s="166">
        <f>AH928*N928</f>
      </c>
      <c r="AJ928" s="7"/>
      <c r="AK928" s="170">
        <f>AI928-AE928</f>
      </c>
      <c r="AL928" s="195"/>
      <c r="AM928" s="6"/>
      <c r="AN928" s="171">
        <f>IFERROR(U928/2,"0")</f>
      </c>
    </row>
    <row x14ac:dyDescent="0.25" r="929" customHeight="1" ht="18.75">
      <c r="A929" s="158">
        <f>A928+1</f>
      </c>
      <c r="B929" s="159"/>
      <c r="C929" s="6"/>
      <c r="D929" s="159"/>
      <c r="E929" s="198"/>
      <c r="F929" s="160"/>
      <c r="G929" s="6"/>
      <c r="H929" s="6"/>
      <c r="I929" s="7"/>
      <c r="J929" s="147"/>
      <c r="K929" s="7"/>
      <c r="L929" s="147"/>
      <c r="M929" s="161">
        <f>IFERROR(VLOOKUP(L929,'Material Master'!B:C,2,0),"")</f>
      </c>
      <c r="N929" s="7"/>
      <c r="O929" s="162">
        <f>IFERROR(M929*N929,"")</f>
      </c>
      <c r="P929" s="6"/>
      <c r="Q929" s="158"/>
      <c r="R929" s="163"/>
      <c r="S929" s="147"/>
      <c r="T929" s="6"/>
      <c r="U929" s="158"/>
      <c r="V929" s="164">
        <v>31</v>
      </c>
      <c r="W929" s="165">
        <f>IFERROR(U929*V929,"0")</f>
      </c>
      <c r="X929" s="7"/>
      <c r="Y929" s="191">
        <f>IFERROR((O929/1000)*Masters!$C$3,"0")</f>
      </c>
      <c r="Z929" s="195"/>
      <c r="AA929" s="164">
        <f>IFERROR(VLOOKUP(L929,Masters!G:H,2,0),"0")</f>
      </c>
      <c r="AB929" s="166">
        <f>IFERROR(AA929*N929,"0")</f>
      </c>
      <c r="AC929" s="196"/>
      <c r="AD929" s="7"/>
      <c r="AE929" s="166">
        <f>W929+Y929+AB929+AD929</f>
      </c>
      <c r="AF929" s="195"/>
      <c r="AG929" s="169">
        <f>M929&amp;"-"&amp;F929</f>
      </c>
      <c r="AH929" s="191">
        <f>IFERROR(VLOOKUP(AG929,Masters!N:O,2,0),"0")</f>
      </c>
      <c r="AI929" s="166">
        <f>AH929*N929</f>
      </c>
      <c r="AJ929" s="7"/>
      <c r="AK929" s="170">
        <f>AI929-AE929</f>
      </c>
      <c r="AL929" s="195"/>
      <c r="AM929" s="6"/>
      <c r="AN929" s="171">
        <f>IFERROR(U929/2,"0")</f>
      </c>
    </row>
    <row x14ac:dyDescent="0.25" r="930" customHeight="1" ht="18.75">
      <c r="A930" s="158">
        <f>A929+1</f>
      </c>
      <c r="B930" s="159"/>
      <c r="C930" s="6"/>
      <c r="D930" s="159"/>
      <c r="E930" s="198"/>
      <c r="F930" s="160"/>
      <c r="G930" s="6"/>
      <c r="H930" s="6"/>
      <c r="I930" s="7"/>
      <c r="J930" s="147"/>
      <c r="K930" s="7"/>
      <c r="L930" s="147"/>
      <c r="M930" s="161">
        <f>IFERROR(VLOOKUP(L930,'Material Master'!B:C,2,0),"")</f>
      </c>
      <c r="N930" s="7"/>
      <c r="O930" s="162">
        <f>IFERROR(M930*N930,"")</f>
      </c>
      <c r="P930" s="6"/>
      <c r="Q930" s="158"/>
      <c r="R930" s="163"/>
      <c r="S930" s="147"/>
      <c r="T930" s="6"/>
      <c r="U930" s="158"/>
      <c r="V930" s="164">
        <v>31</v>
      </c>
      <c r="W930" s="165">
        <f>IFERROR(U930*V930,"0")</f>
      </c>
      <c r="X930" s="7"/>
      <c r="Y930" s="191">
        <f>IFERROR((O930/1000)*Masters!$C$3,"0")</f>
      </c>
      <c r="Z930" s="195"/>
      <c r="AA930" s="164">
        <f>IFERROR(VLOOKUP(L930,Masters!G:H,2,0),"0")</f>
      </c>
      <c r="AB930" s="166">
        <f>IFERROR(AA930*N930,"0")</f>
      </c>
      <c r="AC930" s="196"/>
      <c r="AD930" s="7"/>
      <c r="AE930" s="166">
        <f>W930+Y930+AB930+AD930</f>
      </c>
      <c r="AF930" s="195"/>
      <c r="AG930" s="169">
        <f>M930&amp;"-"&amp;F930</f>
      </c>
      <c r="AH930" s="191">
        <f>IFERROR(VLOOKUP(AG930,Masters!N:O,2,0),"0")</f>
      </c>
      <c r="AI930" s="166">
        <f>AH930*N930</f>
      </c>
      <c r="AJ930" s="7"/>
      <c r="AK930" s="170">
        <f>AI930-AE930</f>
      </c>
      <c r="AL930" s="195"/>
      <c r="AM930" s="6"/>
      <c r="AN930" s="171">
        <f>IFERROR(U930/2,"0")</f>
      </c>
    </row>
    <row x14ac:dyDescent="0.25" r="931" customHeight="1" ht="18.75">
      <c r="A931" s="158">
        <f>A930+1</f>
      </c>
      <c r="B931" s="159"/>
      <c r="C931" s="6"/>
      <c r="D931" s="159"/>
      <c r="E931" s="198"/>
      <c r="F931" s="160"/>
      <c r="G931" s="6"/>
      <c r="H931" s="6"/>
      <c r="I931" s="7"/>
      <c r="J931" s="147"/>
      <c r="K931" s="7"/>
      <c r="L931" s="147"/>
      <c r="M931" s="161">
        <f>IFERROR(VLOOKUP(L931,'Material Master'!B:C,2,0),"")</f>
      </c>
      <c r="N931" s="7"/>
      <c r="O931" s="162">
        <f>IFERROR(M931*N931,"")</f>
      </c>
      <c r="P931" s="6"/>
      <c r="Q931" s="158"/>
      <c r="R931" s="163"/>
      <c r="S931" s="147"/>
      <c r="T931" s="6"/>
      <c r="U931" s="158"/>
      <c r="V931" s="164">
        <v>31</v>
      </c>
      <c r="W931" s="165">
        <f>IFERROR(U931*V931,"0")</f>
      </c>
      <c r="X931" s="7"/>
      <c r="Y931" s="191">
        <f>IFERROR((O931/1000)*Masters!$C$3,"0")</f>
      </c>
      <c r="Z931" s="195"/>
      <c r="AA931" s="164">
        <f>IFERROR(VLOOKUP(L931,Masters!G:H,2,0),"0")</f>
      </c>
      <c r="AB931" s="166">
        <f>IFERROR(AA931*N931,"0")</f>
      </c>
      <c r="AC931" s="196"/>
      <c r="AD931" s="7"/>
      <c r="AE931" s="166">
        <f>W931+Y931+AB931+AD931</f>
      </c>
      <c r="AF931" s="195"/>
      <c r="AG931" s="169">
        <f>M931&amp;"-"&amp;F931</f>
      </c>
      <c r="AH931" s="191">
        <f>IFERROR(VLOOKUP(AG931,Masters!N:O,2,0),"0")</f>
      </c>
      <c r="AI931" s="166">
        <f>AH931*N931</f>
      </c>
      <c r="AJ931" s="7"/>
      <c r="AK931" s="170">
        <f>AI931-AE931</f>
      </c>
      <c r="AL931" s="195"/>
      <c r="AM931" s="6"/>
      <c r="AN931" s="171">
        <f>IFERROR(U931/2,"0")</f>
      </c>
    </row>
    <row x14ac:dyDescent="0.25" r="932" customHeight="1" ht="18.75">
      <c r="A932" s="158">
        <f>A931+1</f>
      </c>
      <c r="B932" s="159"/>
      <c r="C932" s="6"/>
      <c r="D932" s="159"/>
      <c r="E932" s="198"/>
      <c r="F932" s="160"/>
      <c r="G932" s="6"/>
      <c r="H932" s="6"/>
      <c r="I932" s="7"/>
      <c r="J932" s="147"/>
      <c r="K932" s="7"/>
      <c r="L932" s="147"/>
      <c r="M932" s="161">
        <f>IFERROR(VLOOKUP(L932,'Material Master'!B:C,2,0),"")</f>
      </c>
      <c r="N932" s="7"/>
      <c r="O932" s="162">
        <f>IFERROR(M932*N932,"")</f>
      </c>
      <c r="P932" s="6"/>
      <c r="Q932" s="158"/>
      <c r="R932" s="163"/>
      <c r="S932" s="147"/>
      <c r="T932" s="6"/>
      <c r="U932" s="158"/>
      <c r="V932" s="164">
        <v>31</v>
      </c>
      <c r="W932" s="165">
        <f>IFERROR(U932*V932,"0")</f>
      </c>
      <c r="X932" s="7"/>
      <c r="Y932" s="191">
        <f>IFERROR((O932/1000)*Masters!$C$3,"0")</f>
      </c>
      <c r="Z932" s="195"/>
      <c r="AA932" s="164">
        <f>IFERROR(VLOOKUP(L932,Masters!G:H,2,0),"0")</f>
      </c>
      <c r="AB932" s="166">
        <f>IFERROR(AA932*N932,"0")</f>
      </c>
      <c r="AC932" s="196"/>
      <c r="AD932" s="7"/>
      <c r="AE932" s="166">
        <f>W932+Y932+AB932+AD932</f>
      </c>
      <c r="AF932" s="195"/>
      <c r="AG932" s="169">
        <f>M932&amp;"-"&amp;F932</f>
      </c>
      <c r="AH932" s="191">
        <f>IFERROR(VLOOKUP(AG932,Masters!N:O,2,0),"0")</f>
      </c>
      <c r="AI932" s="166">
        <f>AH932*N932</f>
      </c>
      <c r="AJ932" s="7"/>
      <c r="AK932" s="170">
        <f>AI932-AE932</f>
      </c>
      <c r="AL932" s="195"/>
      <c r="AM932" s="6"/>
      <c r="AN932" s="171">
        <f>IFERROR(U932/2,"0")</f>
      </c>
    </row>
    <row x14ac:dyDescent="0.25" r="933" customHeight="1" ht="18.75">
      <c r="A933" s="158">
        <f>A932+1</f>
      </c>
      <c r="B933" s="159"/>
      <c r="C933" s="6"/>
      <c r="D933" s="159"/>
      <c r="E933" s="198"/>
      <c r="F933" s="160"/>
      <c r="G933" s="6"/>
      <c r="H933" s="6"/>
      <c r="I933" s="7"/>
      <c r="J933" s="147"/>
      <c r="K933" s="7"/>
      <c r="L933" s="147"/>
      <c r="M933" s="161">
        <f>IFERROR(VLOOKUP(L933,'Material Master'!B:C,2,0),"")</f>
      </c>
      <c r="N933" s="7"/>
      <c r="O933" s="162">
        <f>IFERROR(M933*N933,"")</f>
      </c>
      <c r="P933" s="6"/>
      <c r="Q933" s="158"/>
      <c r="R933" s="163"/>
      <c r="S933" s="147"/>
      <c r="T933" s="6"/>
      <c r="U933" s="158"/>
      <c r="V933" s="164">
        <v>31</v>
      </c>
      <c r="W933" s="165">
        <f>IFERROR(U933*V933,"0")</f>
      </c>
      <c r="X933" s="7"/>
      <c r="Y933" s="191">
        <f>IFERROR((O933/1000)*Masters!$C$3,"0")</f>
      </c>
      <c r="Z933" s="195"/>
      <c r="AA933" s="164">
        <f>IFERROR(VLOOKUP(L933,Masters!G:H,2,0),"0")</f>
      </c>
      <c r="AB933" s="166">
        <f>IFERROR(AA933*N933,"0")</f>
      </c>
      <c r="AC933" s="196"/>
      <c r="AD933" s="7"/>
      <c r="AE933" s="166">
        <f>W933+Y933+AB933+AD933</f>
      </c>
      <c r="AF933" s="195"/>
      <c r="AG933" s="169">
        <f>M933&amp;"-"&amp;F933</f>
      </c>
      <c r="AH933" s="191">
        <f>IFERROR(VLOOKUP(AG933,Masters!N:O,2,0),"0")</f>
      </c>
      <c r="AI933" s="166">
        <f>AH933*N933</f>
      </c>
      <c r="AJ933" s="7"/>
      <c r="AK933" s="170">
        <f>AI933-AE933</f>
      </c>
      <c r="AL933" s="195"/>
      <c r="AM933" s="6"/>
      <c r="AN933" s="171">
        <f>IFERROR(U933/2,"0")</f>
      </c>
    </row>
    <row x14ac:dyDescent="0.25" r="934" customHeight="1" ht="18.75">
      <c r="A934" s="158">
        <f>A933+1</f>
      </c>
      <c r="B934" s="159"/>
      <c r="C934" s="6"/>
      <c r="D934" s="159"/>
      <c r="E934" s="198"/>
      <c r="F934" s="160"/>
      <c r="G934" s="6"/>
      <c r="H934" s="6"/>
      <c r="I934" s="7"/>
      <c r="J934" s="147"/>
      <c r="K934" s="7"/>
      <c r="L934" s="147"/>
      <c r="M934" s="161">
        <f>IFERROR(VLOOKUP(L934,'Material Master'!B:C,2,0),"")</f>
      </c>
      <c r="N934" s="7"/>
      <c r="O934" s="162">
        <f>IFERROR(M934*N934,"")</f>
      </c>
      <c r="P934" s="6"/>
      <c r="Q934" s="158"/>
      <c r="R934" s="163"/>
      <c r="S934" s="147"/>
      <c r="T934" s="6"/>
      <c r="U934" s="158"/>
      <c r="V934" s="164">
        <v>31</v>
      </c>
      <c r="W934" s="165">
        <f>IFERROR(U934*V934,"0")</f>
      </c>
      <c r="X934" s="7"/>
      <c r="Y934" s="191">
        <f>IFERROR((O934/1000)*Masters!$C$3,"0")</f>
      </c>
      <c r="Z934" s="195"/>
      <c r="AA934" s="164">
        <f>IFERROR(VLOOKUP(L934,Masters!G:H,2,0),"0")</f>
      </c>
      <c r="AB934" s="166">
        <f>IFERROR(AA934*N934,"0")</f>
      </c>
      <c r="AC934" s="196"/>
      <c r="AD934" s="7"/>
      <c r="AE934" s="166">
        <f>W934+Y934+AB934+AD934</f>
      </c>
      <c r="AF934" s="195"/>
      <c r="AG934" s="169">
        <f>M934&amp;"-"&amp;F934</f>
      </c>
      <c r="AH934" s="191">
        <f>IFERROR(VLOOKUP(AG934,Masters!N:O,2,0),"0")</f>
      </c>
      <c r="AI934" s="166">
        <f>AH934*N934</f>
      </c>
      <c r="AJ934" s="7"/>
      <c r="AK934" s="170">
        <f>AI934-AE934</f>
      </c>
      <c r="AL934" s="195"/>
      <c r="AM934" s="6"/>
      <c r="AN934" s="171">
        <f>IFERROR(U934/2,"0")</f>
      </c>
    </row>
    <row x14ac:dyDescent="0.25" r="935" customHeight="1" ht="18.75">
      <c r="A935" s="158">
        <f>A934+1</f>
      </c>
      <c r="B935" s="159"/>
      <c r="C935" s="6"/>
      <c r="D935" s="159"/>
      <c r="E935" s="198"/>
      <c r="F935" s="160"/>
      <c r="G935" s="6"/>
      <c r="H935" s="6"/>
      <c r="I935" s="7"/>
      <c r="J935" s="147"/>
      <c r="K935" s="7"/>
      <c r="L935" s="147"/>
      <c r="M935" s="161">
        <f>IFERROR(VLOOKUP(L935,'Material Master'!B:C,2,0),"")</f>
      </c>
      <c r="N935" s="7"/>
      <c r="O935" s="162">
        <f>IFERROR(M935*N935,"")</f>
      </c>
      <c r="P935" s="6"/>
      <c r="Q935" s="158"/>
      <c r="R935" s="163"/>
      <c r="S935" s="147"/>
      <c r="T935" s="6"/>
      <c r="U935" s="158"/>
      <c r="V935" s="164">
        <v>31</v>
      </c>
      <c r="W935" s="165">
        <f>IFERROR(U935*V935,"0")</f>
      </c>
      <c r="X935" s="7"/>
      <c r="Y935" s="191">
        <f>IFERROR((O935/1000)*Masters!$C$3,"0")</f>
      </c>
      <c r="Z935" s="195"/>
      <c r="AA935" s="164">
        <f>IFERROR(VLOOKUP(L935,Masters!G:H,2,0),"0")</f>
      </c>
      <c r="AB935" s="166">
        <f>IFERROR(AA935*N935,"0")</f>
      </c>
      <c r="AC935" s="196"/>
      <c r="AD935" s="7"/>
      <c r="AE935" s="166">
        <f>W935+Y935+AB935+AD935</f>
      </c>
      <c r="AF935" s="195"/>
      <c r="AG935" s="169">
        <f>M935&amp;"-"&amp;F935</f>
      </c>
      <c r="AH935" s="191">
        <f>IFERROR(VLOOKUP(AG935,Masters!N:O,2,0),"0")</f>
      </c>
      <c r="AI935" s="166">
        <f>AH935*N935</f>
      </c>
      <c r="AJ935" s="7"/>
      <c r="AK935" s="170">
        <f>AI935-AE935</f>
      </c>
      <c r="AL935" s="195"/>
      <c r="AM935" s="6"/>
      <c r="AN935" s="171">
        <f>IFERROR(U935/2,"0")</f>
      </c>
    </row>
    <row x14ac:dyDescent="0.25" r="936" customHeight="1" ht="18.75">
      <c r="A936" s="158">
        <f>A935+1</f>
      </c>
      <c r="B936" s="159"/>
      <c r="C936" s="6"/>
      <c r="D936" s="159"/>
      <c r="E936" s="198"/>
      <c r="F936" s="160"/>
      <c r="G936" s="6"/>
      <c r="H936" s="6"/>
      <c r="I936" s="7"/>
      <c r="J936" s="147"/>
      <c r="K936" s="7"/>
      <c r="L936" s="147"/>
      <c r="M936" s="161">
        <f>IFERROR(VLOOKUP(L936,'Material Master'!B:C,2,0),"")</f>
      </c>
      <c r="N936" s="7"/>
      <c r="O936" s="162">
        <f>IFERROR(M936*N936,"")</f>
      </c>
      <c r="P936" s="6"/>
      <c r="Q936" s="158"/>
      <c r="R936" s="163"/>
      <c r="S936" s="147"/>
      <c r="T936" s="6"/>
      <c r="U936" s="158"/>
      <c r="V936" s="164">
        <v>31</v>
      </c>
      <c r="W936" s="165">
        <f>IFERROR(U936*V936,"0")</f>
      </c>
      <c r="X936" s="7"/>
      <c r="Y936" s="191">
        <f>IFERROR((O936/1000)*Masters!$C$3,"0")</f>
      </c>
      <c r="Z936" s="195"/>
      <c r="AA936" s="164">
        <f>IFERROR(VLOOKUP(L936,Masters!G:H,2,0),"0")</f>
      </c>
      <c r="AB936" s="166">
        <f>IFERROR(AA936*N936,"0")</f>
      </c>
      <c r="AC936" s="196"/>
      <c r="AD936" s="7"/>
      <c r="AE936" s="166">
        <f>W936+Y936+AB936+AD936</f>
      </c>
      <c r="AF936" s="195"/>
      <c r="AG936" s="169">
        <f>M936&amp;"-"&amp;F936</f>
      </c>
      <c r="AH936" s="191">
        <f>IFERROR(VLOOKUP(AG936,Masters!N:O,2,0),"0")</f>
      </c>
      <c r="AI936" s="166">
        <f>AH936*N936</f>
      </c>
      <c r="AJ936" s="7"/>
      <c r="AK936" s="170">
        <f>AI936-AE936</f>
      </c>
      <c r="AL936" s="195"/>
      <c r="AM936" s="6"/>
      <c r="AN936" s="171">
        <f>IFERROR(U936/2,"0")</f>
      </c>
    </row>
    <row x14ac:dyDescent="0.25" r="937" customHeight="1" ht="18.75">
      <c r="A937" s="158">
        <f>A936+1</f>
      </c>
      <c r="B937" s="159"/>
      <c r="C937" s="6"/>
      <c r="D937" s="159"/>
      <c r="E937" s="198"/>
      <c r="F937" s="160"/>
      <c r="G937" s="6"/>
      <c r="H937" s="6"/>
      <c r="I937" s="7"/>
      <c r="J937" s="147"/>
      <c r="K937" s="7"/>
      <c r="L937" s="147"/>
      <c r="M937" s="161">
        <f>IFERROR(VLOOKUP(L937,'Material Master'!B:C,2,0),"")</f>
      </c>
      <c r="N937" s="7"/>
      <c r="O937" s="162">
        <f>IFERROR(M937*N937,"")</f>
      </c>
      <c r="P937" s="6"/>
      <c r="Q937" s="158"/>
      <c r="R937" s="163"/>
      <c r="S937" s="147"/>
      <c r="T937" s="6"/>
      <c r="U937" s="158"/>
      <c r="V937" s="164">
        <v>31</v>
      </c>
      <c r="W937" s="165">
        <f>IFERROR(U937*V937,"0")</f>
      </c>
      <c r="X937" s="7"/>
      <c r="Y937" s="191">
        <f>IFERROR((O937/1000)*Masters!$C$3,"0")</f>
      </c>
      <c r="Z937" s="195"/>
      <c r="AA937" s="164">
        <f>IFERROR(VLOOKUP(L937,Masters!G:H,2,0),"0")</f>
      </c>
      <c r="AB937" s="166">
        <f>IFERROR(AA937*N937,"0")</f>
      </c>
      <c r="AC937" s="196"/>
      <c r="AD937" s="7"/>
      <c r="AE937" s="166">
        <f>W937+Y937+AB937+AD937</f>
      </c>
      <c r="AF937" s="195"/>
      <c r="AG937" s="169">
        <f>M937&amp;"-"&amp;F937</f>
      </c>
      <c r="AH937" s="191">
        <f>IFERROR(VLOOKUP(AG937,Masters!N:O,2,0),"0")</f>
      </c>
      <c r="AI937" s="166">
        <f>AH937*N937</f>
      </c>
      <c r="AJ937" s="7"/>
      <c r="AK937" s="170">
        <f>AI937-AE937</f>
      </c>
      <c r="AL937" s="195"/>
      <c r="AM937" s="6"/>
      <c r="AN937" s="171">
        <f>IFERROR(U937/2,"0")</f>
      </c>
    </row>
    <row x14ac:dyDescent="0.25" r="938" customHeight="1" ht="18.75">
      <c r="A938" s="158">
        <f>A937+1</f>
      </c>
      <c r="B938" s="159"/>
      <c r="C938" s="6"/>
      <c r="D938" s="159"/>
      <c r="E938" s="198"/>
      <c r="F938" s="160"/>
      <c r="G938" s="6"/>
      <c r="H938" s="6"/>
      <c r="I938" s="7"/>
      <c r="J938" s="147"/>
      <c r="K938" s="7"/>
      <c r="L938" s="147"/>
      <c r="M938" s="161">
        <f>IFERROR(VLOOKUP(L938,'Material Master'!B:C,2,0),"")</f>
      </c>
      <c r="N938" s="7"/>
      <c r="O938" s="162">
        <f>IFERROR(M938*N938,"")</f>
      </c>
      <c r="P938" s="6"/>
      <c r="Q938" s="158"/>
      <c r="R938" s="163"/>
      <c r="S938" s="147"/>
      <c r="T938" s="6"/>
      <c r="U938" s="158"/>
      <c r="V938" s="164">
        <v>31</v>
      </c>
      <c r="W938" s="165">
        <f>IFERROR(U938*V938,"0")</f>
      </c>
      <c r="X938" s="7"/>
      <c r="Y938" s="191">
        <f>IFERROR((O938/1000)*Masters!$C$3,"0")</f>
      </c>
      <c r="Z938" s="195"/>
      <c r="AA938" s="164">
        <f>IFERROR(VLOOKUP(L938,Masters!G:H,2,0),"0")</f>
      </c>
      <c r="AB938" s="166">
        <f>IFERROR(AA938*N938,"0")</f>
      </c>
      <c r="AC938" s="196"/>
      <c r="AD938" s="7"/>
      <c r="AE938" s="166">
        <f>W938+Y938+AB938+AD938</f>
      </c>
      <c r="AF938" s="195"/>
      <c r="AG938" s="169">
        <f>M938&amp;"-"&amp;F938</f>
      </c>
      <c r="AH938" s="191">
        <f>IFERROR(VLOOKUP(AG938,Masters!N:O,2,0),"0")</f>
      </c>
      <c r="AI938" s="166">
        <f>AH938*N938</f>
      </c>
      <c r="AJ938" s="7"/>
      <c r="AK938" s="170">
        <f>AI938-AE938</f>
      </c>
      <c r="AL938" s="195"/>
      <c r="AM938" s="6"/>
      <c r="AN938" s="171">
        <f>IFERROR(U938/2,"0")</f>
      </c>
    </row>
    <row x14ac:dyDescent="0.25" r="939" customHeight="1" ht="18.75">
      <c r="A939" s="158">
        <f>A938+1</f>
      </c>
      <c r="B939" s="159"/>
      <c r="C939" s="6"/>
      <c r="D939" s="159"/>
      <c r="E939" s="198"/>
      <c r="F939" s="160"/>
      <c r="G939" s="6"/>
      <c r="H939" s="6"/>
      <c r="I939" s="7"/>
      <c r="J939" s="147"/>
      <c r="K939" s="7"/>
      <c r="L939" s="147"/>
      <c r="M939" s="161">
        <f>IFERROR(VLOOKUP(L939,'Material Master'!B:C,2,0),"")</f>
      </c>
      <c r="N939" s="7"/>
      <c r="O939" s="162">
        <f>IFERROR(M939*N939,"")</f>
      </c>
      <c r="P939" s="6"/>
      <c r="Q939" s="158"/>
      <c r="R939" s="163"/>
      <c r="S939" s="147"/>
      <c r="T939" s="6"/>
      <c r="U939" s="158"/>
      <c r="V939" s="164">
        <v>31</v>
      </c>
      <c r="W939" s="165">
        <f>IFERROR(U939*V939,"0")</f>
      </c>
      <c r="X939" s="7"/>
      <c r="Y939" s="191">
        <f>IFERROR((O939/1000)*Masters!$C$3,"0")</f>
      </c>
      <c r="Z939" s="195"/>
      <c r="AA939" s="164">
        <f>IFERROR(VLOOKUP(L939,Masters!G:H,2,0),"0")</f>
      </c>
      <c r="AB939" s="166">
        <f>IFERROR(AA939*N939,"0")</f>
      </c>
      <c r="AC939" s="196"/>
      <c r="AD939" s="7"/>
      <c r="AE939" s="166">
        <f>W939+Y939+AB939+AD939</f>
      </c>
      <c r="AF939" s="195"/>
      <c r="AG939" s="169">
        <f>M939&amp;"-"&amp;F939</f>
      </c>
      <c r="AH939" s="191">
        <f>IFERROR(VLOOKUP(AG939,Masters!N:O,2,0),"0")</f>
      </c>
      <c r="AI939" s="166">
        <f>AH939*N939</f>
      </c>
      <c r="AJ939" s="7"/>
      <c r="AK939" s="170">
        <f>AI939-AE939</f>
      </c>
      <c r="AL939" s="195"/>
      <c r="AM939" s="6"/>
      <c r="AN939" s="171">
        <f>IFERROR(U939/2,"0")</f>
      </c>
    </row>
    <row x14ac:dyDescent="0.25" r="940" customHeight="1" ht="18.75">
      <c r="A940" s="158">
        <f>A939+1</f>
      </c>
      <c r="B940" s="159"/>
      <c r="C940" s="6"/>
      <c r="D940" s="159"/>
      <c r="E940" s="198"/>
      <c r="F940" s="160"/>
      <c r="G940" s="6"/>
      <c r="H940" s="6"/>
      <c r="I940" s="7"/>
      <c r="J940" s="147"/>
      <c r="K940" s="7"/>
      <c r="L940" s="147"/>
      <c r="M940" s="161">
        <f>IFERROR(VLOOKUP(L940,'Material Master'!B:C,2,0),"")</f>
      </c>
      <c r="N940" s="7"/>
      <c r="O940" s="162">
        <f>IFERROR(M940*N940,"")</f>
      </c>
      <c r="P940" s="6"/>
      <c r="Q940" s="158"/>
      <c r="R940" s="163"/>
      <c r="S940" s="147"/>
      <c r="T940" s="6"/>
      <c r="U940" s="158"/>
      <c r="V940" s="164">
        <v>31</v>
      </c>
      <c r="W940" s="165">
        <f>IFERROR(U940*V940,"0")</f>
      </c>
      <c r="X940" s="7"/>
      <c r="Y940" s="191">
        <f>IFERROR((O940/1000)*Masters!$C$3,"0")</f>
      </c>
      <c r="Z940" s="195"/>
      <c r="AA940" s="164">
        <f>IFERROR(VLOOKUP(L940,Masters!G:H,2,0),"0")</f>
      </c>
      <c r="AB940" s="166">
        <f>IFERROR(AA940*N940,"0")</f>
      </c>
      <c r="AC940" s="196"/>
      <c r="AD940" s="7"/>
      <c r="AE940" s="166">
        <f>W940+Y940+AB940+AD940</f>
      </c>
      <c r="AF940" s="195"/>
      <c r="AG940" s="169">
        <f>M940&amp;"-"&amp;F940</f>
      </c>
      <c r="AH940" s="191">
        <f>IFERROR(VLOOKUP(AG940,Masters!N:O,2,0),"0")</f>
      </c>
      <c r="AI940" s="166">
        <f>AH940*N940</f>
      </c>
      <c r="AJ940" s="7"/>
      <c r="AK940" s="170">
        <f>AI940-AE940</f>
      </c>
      <c r="AL940" s="195"/>
      <c r="AM940" s="6"/>
      <c r="AN940" s="171">
        <f>IFERROR(U940/2,"0")</f>
      </c>
    </row>
    <row x14ac:dyDescent="0.25" r="941" customHeight="1" ht="18.75">
      <c r="A941" s="158">
        <f>A940+1</f>
      </c>
      <c r="B941" s="159"/>
      <c r="C941" s="6"/>
      <c r="D941" s="159"/>
      <c r="E941" s="198"/>
      <c r="F941" s="160"/>
      <c r="G941" s="6"/>
      <c r="H941" s="6"/>
      <c r="I941" s="7"/>
      <c r="J941" s="147"/>
      <c r="K941" s="7"/>
      <c r="L941" s="147"/>
      <c r="M941" s="161">
        <f>IFERROR(VLOOKUP(L941,'Material Master'!B:C,2,0),"")</f>
      </c>
      <c r="N941" s="7"/>
      <c r="O941" s="162">
        <f>IFERROR(M941*N941,"")</f>
      </c>
      <c r="P941" s="6"/>
      <c r="Q941" s="158"/>
      <c r="R941" s="163"/>
      <c r="S941" s="147"/>
      <c r="T941" s="6"/>
      <c r="U941" s="158"/>
      <c r="V941" s="164">
        <v>31</v>
      </c>
      <c r="W941" s="165">
        <f>IFERROR(U941*V941,"0")</f>
      </c>
      <c r="X941" s="7"/>
      <c r="Y941" s="191">
        <f>IFERROR((O941/1000)*Masters!$C$3,"0")</f>
      </c>
      <c r="Z941" s="195"/>
      <c r="AA941" s="164">
        <f>IFERROR(VLOOKUP(L941,Masters!G:H,2,0),"0")</f>
      </c>
      <c r="AB941" s="166">
        <f>IFERROR(AA941*N941,"0")</f>
      </c>
      <c r="AC941" s="196"/>
      <c r="AD941" s="7"/>
      <c r="AE941" s="166">
        <f>W941+Y941+AB941+AD941</f>
      </c>
      <c r="AF941" s="195"/>
      <c r="AG941" s="169">
        <f>M941&amp;"-"&amp;F941</f>
      </c>
      <c r="AH941" s="191">
        <f>IFERROR(VLOOKUP(AG941,Masters!N:O,2,0),"0")</f>
      </c>
      <c r="AI941" s="166">
        <f>AH941*N941</f>
      </c>
      <c r="AJ941" s="7"/>
      <c r="AK941" s="170">
        <f>AI941-AE941</f>
      </c>
      <c r="AL941" s="195"/>
      <c r="AM941" s="6"/>
      <c r="AN941" s="171">
        <f>IFERROR(U941/2,"0")</f>
      </c>
    </row>
    <row x14ac:dyDescent="0.25" r="942" customHeight="1" ht="18.75">
      <c r="A942" s="158">
        <f>A941+1</f>
      </c>
      <c r="B942" s="159"/>
      <c r="C942" s="6"/>
      <c r="D942" s="159"/>
      <c r="E942" s="198"/>
      <c r="F942" s="160"/>
      <c r="G942" s="6"/>
      <c r="H942" s="6"/>
      <c r="I942" s="7"/>
      <c r="J942" s="147"/>
      <c r="K942" s="7"/>
      <c r="L942" s="147"/>
      <c r="M942" s="161">
        <f>IFERROR(VLOOKUP(L942,'Material Master'!B:C,2,0),"")</f>
      </c>
      <c r="N942" s="7"/>
      <c r="O942" s="162">
        <f>IFERROR(M942*N942,"")</f>
      </c>
      <c r="P942" s="6"/>
      <c r="Q942" s="158"/>
      <c r="R942" s="163"/>
      <c r="S942" s="147"/>
      <c r="T942" s="6"/>
      <c r="U942" s="158"/>
      <c r="V942" s="164">
        <v>31</v>
      </c>
      <c r="W942" s="165">
        <f>IFERROR(U942*V942,"0")</f>
      </c>
      <c r="X942" s="7"/>
      <c r="Y942" s="191">
        <f>IFERROR((O942/1000)*Masters!$C$3,"0")</f>
      </c>
      <c r="Z942" s="195"/>
      <c r="AA942" s="164">
        <f>IFERROR(VLOOKUP(L942,Masters!G:H,2,0),"0")</f>
      </c>
      <c r="AB942" s="166">
        <f>IFERROR(AA942*N942,"0")</f>
      </c>
      <c r="AC942" s="196"/>
      <c r="AD942" s="7"/>
      <c r="AE942" s="166">
        <f>W942+Y942+AB942+AD942</f>
      </c>
      <c r="AF942" s="195"/>
      <c r="AG942" s="169">
        <f>M942&amp;"-"&amp;F942</f>
      </c>
      <c r="AH942" s="191">
        <f>IFERROR(VLOOKUP(AG942,Masters!N:O,2,0),"0")</f>
      </c>
      <c r="AI942" s="166">
        <f>AH942*N942</f>
      </c>
      <c r="AJ942" s="7"/>
      <c r="AK942" s="170">
        <f>AI942-AE942</f>
      </c>
      <c r="AL942" s="195"/>
      <c r="AM942" s="6"/>
      <c r="AN942" s="171">
        <f>IFERROR(U942/2,"0")</f>
      </c>
    </row>
    <row x14ac:dyDescent="0.25" r="943" customHeight="1" ht="18.75">
      <c r="A943" s="158">
        <f>A942+1</f>
      </c>
      <c r="B943" s="159"/>
      <c r="C943" s="6"/>
      <c r="D943" s="159"/>
      <c r="E943" s="198"/>
      <c r="F943" s="160"/>
      <c r="G943" s="6"/>
      <c r="H943" s="6"/>
      <c r="I943" s="7"/>
      <c r="J943" s="147"/>
      <c r="K943" s="7"/>
      <c r="L943" s="147"/>
      <c r="M943" s="161">
        <f>IFERROR(VLOOKUP(L943,'Material Master'!B:C,2,0),"")</f>
      </c>
      <c r="N943" s="7"/>
      <c r="O943" s="162">
        <f>IFERROR(M943*N943,"")</f>
      </c>
      <c r="P943" s="6"/>
      <c r="Q943" s="158"/>
      <c r="R943" s="163"/>
      <c r="S943" s="147"/>
      <c r="T943" s="6"/>
      <c r="U943" s="158"/>
      <c r="V943" s="164">
        <v>31</v>
      </c>
      <c r="W943" s="165">
        <f>IFERROR(U943*V943,"0")</f>
      </c>
      <c r="X943" s="7"/>
      <c r="Y943" s="191">
        <f>IFERROR((O943/1000)*Masters!$C$3,"0")</f>
      </c>
      <c r="Z943" s="195"/>
      <c r="AA943" s="164">
        <f>IFERROR(VLOOKUP(L943,Masters!G:H,2,0),"0")</f>
      </c>
      <c r="AB943" s="166">
        <f>IFERROR(AA943*N943,"0")</f>
      </c>
      <c r="AC943" s="196"/>
      <c r="AD943" s="7"/>
      <c r="AE943" s="166">
        <f>W943+Y943+AB943+AD943</f>
      </c>
      <c r="AF943" s="195"/>
      <c r="AG943" s="169">
        <f>M943&amp;"-"&amp;F943</f>
      </c>
      <c r="AH943" s="191">
        <f>IFERROR(VLOOKUP(AG943,Masters!N:O,2,0),"0")</f>
      </c>
      <c r="AI943" s="166">
        <f>AH943*N943</f>
      </c>
      <c r="AJ943" s="7"/>
      <c r="AK943" s="170">
        <f>AI943-AE943</f>
      </c>
      <c r="AL943" s="195"/>
      <c r="AM943" s="6"/>
      <c r="AN943" s="171">
        <f>IFERROR(U943/2,"0")</f>
      </c>
    </row>
    <row x14ac:dyDescent="0.25" r="944" customHeight="1" ht="18.75">
      <c r="A944" s="158">
        <f>A943+1</f>
      </c>
      <c r="B944" s="159"/>
      <c r="C944" s="6"/>
      <c r="D944" s="159"/>
      <c r="E944" s="198"/>
      <c r="F944" s="160"/>
      <c r="G944" s="6"/>
      <c r="H944" s="6"/>
      <c r="I944" s="7"/>
      <c r="J944" s="147"/>
      <c r="K944" s="7"/>
      <c r="L944" s="147"/>
      <c r="M944" s="161">
        <f>IFERROR(VLOOKUP(L944,'Material Master'!B:C,2,0),"")</f>
      </c>
      <c r="N944" s="7"/>
      <c r="O944" s="162">
        <f>IFERROR(M944*N944,"")</f>
      </c>
      <c r="P944" s="6"/>
      <c r="Q944" s="158"/>
      <c r="R944" s="163"/>
      <c r="S944" s="147"/>
      <c r="T944" s="6"/>
      <c r="U944" s="158"/>
      <c r="V944" s="164">
        <v>31</v>
      </c>
      <c r="W944" s="165">
        <f>IFERROR(U944*V944,"0")</f>
      </c>
      <c r="X944" s="7"/>
      <c r="Y944" s="191">
        <f>IFERROR((O944/1000)*Masters!$C$3,"0")</f>
      </c>
      <c r="Z944" s="195"/>
      <c r="AA944" s="164">
        <f>IFERROR(VLOOKUP(L944,Masters!G:H,2,0),"0")</f>
      </c>
      <c r="AB944" s="166">
        <f>IFERROR(AA944*N944,"0")</f>
      </c>
      <c r="AC944" s="196"/>
      <c r="AD944" s="7"/>
      <c r="AE944" s="166">
        <f>W944+Y944+AB944+AD944</f>
      </c>
      <c r="AF944" s="195"/>
      <c r="AG944" s="169">
        <f>M944&amp;"-"&amp;F944</f>
      </c>
      <c r="AH944" s="191">
        <f>IFERROR(VLOOKUP(AG944,Masters!N:O,2,0),"0")</f>
      </c>
      <c r="AI944" s="166">
        <f>AH944*N944</f>
      </c>
      <c r="AJ944" s="7"/>
      <c r="AK944" s="170">
        <f>AI944-AE944</f>
      </c>
      <c r="AL944" s="195"/>
      <c r="AM944" s="6"/>
      <c r="AN944" s="171">
        <f>IFERROR(U944/2,"0")</f>
      </c>
    </row>
    <row x14ac:dyDescent="0.25" r="945" customHeight="1" ht="18.75">
      <c r="A945" s="158">
        <f>A944+1</f>
      </c>
      <c r="B945" s="159"/>
      <c r="C945" s="6"/>
      <c r="D945" s="159"/>
      <c r="E945" s="198"/>
      <c r="F945" s="160"/>
      <c r="G945" s="6"/>
      <c r="H945" s="6"/>
      <c r="I945" s="7"/>
      <c r="J945" s="147"/>
      <c r="K945" s="7"/>
      <c r="L945" s="147"/>
      <c r="M945" s="161">
        <f>IFERROR(VLOOKUP(L945,'Material Master'!B:C,2,0),"")</f>
      </c>
      <c r="N945" s="7"/>
      <c r="O945" s="162">
        <f>IFERROR(M945*N945,"")</f>
      </c>
      <c r="P945" s="6"/>
      <c r="Q945" s="158"/>
      <c r="R945" s="163"/>
      <c r="S945" s="147"/>
      <c r="T945" s="6"/>
      <c r="U945" s="158"/>
      <c r="V945" s="164">
        <v>31</v>
      </c>
      <c r="W945" s="165">
        <f>IFERROR(U945*V945,"0")</f>
      </c>
      <c r="X945" s="7"/>
      <c r="Y945" s="191">
        <f>IFERROR((O945/1000)*Masters!$C$3,"0")</f>
      </c>
      <c r="Z945" s="195"/>
      <c r="AA945" s="164">
        <f>IFERROR(VLOOKUP(L945,Masters!G:H,2,0),"0")</f>
      </c>
      <c r="AB945" s="166">
        <f>IFERROR(AA945*N945,"0")</f>
      </c>
      <c r="AC945" s="196"/>
      <c r="AD945" s="7"/>
      <c r="AE945" s="166">
        <f>W945+Y945+AB945+AD945</f>
      </c>
      <c r="AF945" s="195"/>
      <c r="AG945" s="169">
        <f>M945&amp;"-"&amp;F945</f>
      </c>
      <c r="AH945" s="191">
        <f>IFERROR(VLOOKUP(AG945,Masters!N:O,2,0),"0")</f>
      </c>
      <c r="AI945" s="166">
        <f>AH945*N945</f>
      </c>
      <c r="AJ945" s="7"/>
      <c r="AK945" s="170">
        <f>AI945-AE945</f>
      </c>
      <c r="AL945" s="195"/>
      <c r="AM945" s="6"/>
      <c r="AN945" s="171">
        <f>IFERROR(U945/2,"0")</f>
      </c>
    </row>
    <row x14ac:dyDescent="0.25" r="946" customHeight="1" ht="18.75">
      <c r="A946" s="158">
        <f>A945+1</f>
      </c>
      <c r="B946" s="159"/>
      <c r="C946" s="6"/>
      <c r="D946" s="159"/>
      <c r="E946" s="198"/>
      <c r="F946" s="160"/>
      <c r="G946" s="6"/>
      <c r="H946" s="6"/>
      <c r="I946" s="7"/>
      <c r="J946" s="147"/>
      <c r="K946" s="7"/>
      <c r="L946" s="147"/>
      <c r="M946" s="161">
        <f>IFERROR(VLOOKUP(L946,'Material Master'!B:C,2,0),"")</f>
      </c>
      <c r="N946" s="7"/>
      <c r="O946" s="162">
        <f>IFERROR(M946*N946,"")</f>
      </c>
      <c r="P946" s="6"/>
      <c r="Q946" s="158"/>
      <c r="R946" s="163"/>
      <c r="S946" s="147"/>
      <c r="T946" s="6"/>
      <c r="U946" s="158"/>
      <c r="V946" s="164">
        <v>31</v>
      </c>
      <c r="W946" s="165">
        <f>IFERROR(U946*V946,"0")</f>
      </c>
      <c r="X946" s="7"/>
      <c r="Y946" s="191">
        <f>IFERROR((O946/1000)*Masters!$C$3,"0")</f>
      </c>
      <c r="Z946" s="195"/>
      <c r="AA946" s="164">
        <f>IFERROR(VLOOKUP(L946,Masters!G:H,2,0),"0")</f>
      </c>
      <c r="AB946" s="166">
        <f>IFERROR(AA946*N946,"0")</f>
      </c>
      <c r="AC946" s="196"/>
      <c r="AD946" s="7"/>
      <c r="AE946" s="166">
        <f>W946+Y946+AB946+AD946</f>
      </c>
      <c r="AF946" s="195"/>
      <c r="AG946" s="169">
        <f>M946&amp;"-"&amp;F946</f>
      </c>
      <c r="AH946" s="191">
        <f>IFERROR(VLOOKUP(AG946,Masters!N:O,2,0),"0")</f>
      </c>
      <c r="AI946" s="166">
        <f>AH946*N946</f>
      </c>
      <c r="AJ946" s="7"/>
      <c r="AK946" s="170">
        <f>AI946-AE946</f>
      </c>
      <c r="AL946" s="195"/>
      <c r="AM946" s="6"/>
      <c r="AN946" s="171">
        <f>IFERROR(U946/2,"0")</f>
      </c>
    </row>
    <row x14ac:dyDescent="0.25" r="947" customHeight="1" ht="18.75">
      <c r="A947" s="158">
        <f>A946+1</f>
      </c>
      <c r="B947" s="159"/>
      <c r="C947" s="6"/>
      <c r="D947" s="159"/>
      <c r="E947" s="198"/>
      <c r="F947" s="160"/>
      <c r="G947" s="6"/>
      <c r="H947" s="6"/>
      <c r="I947" s="7"/>
      <c r="J947" s="147"/>
      <c r="K947" s="7"/>
      <c r="L947" s="147"/>
      <c r="M947" s="161">
        <f>IFERROR(VLOOKUP(L947,'Material Master'!B:C,2,0),"")</f>
      </c>
      <c r="N947" s="7"/>
      <c r="O947" s="162">
        <f>IFERROR(M947*N947,"")</f>
      </c>
      <c r="P947" s="6"/>
      <c r="Q947" s="158"/>
      <c r="R947" s="163"/>
      <c r="S947" s="147"/>
      <c r="T947" s="6"/>
      <c r="U947" s="158"/>
      <c r="V947" s="164">
        <v>31</v>
      </c>
      <c r="W947" s="165">
        <f>IFERROR(U947*V947,"0")</f>
      </c>
      <c r="X947" s="7"/>
      <c r="Y947" s="191">
        <f>IFERROR((O947/1000)*Masters!$C$3,"0")</f>
      </c>
      <c r="Z947" s="195"/>
      <c r="AA947" s="164">
        <f>IFERROR(VLOOKUP(L947,Masters!G:H,2,0),"0")</f>
      </c>
      <c r="AB947" s="166">
        <f>IFERROR(AA947*N947,"0")</f>
      </c>
      <c r="AC947" s="196"/>
      <c r="AD947" s="7"/>
      <c r="AE947" s="166">
        <f>W947+Y947+AB947+AD947</f>
      </c>
      <c r="AF947" s="195"/>
      <c r="AG947" s="169">
        <f>M947&amp;"-"&amp;F947</f>
      </c>
      <c r="AH947" s="191">
        <f>IFERROR(VLOOKUP(AG947,Masters!N:O,2,0),"0")</f>
      </c>
      <c r="AI947" s="166">
        <f>AH947*N947</f>
      </c>
      <c r="AJ947" s="7"/>
      <c r="AK947" s="170">
        <f>AI947-AE947</f>
      </c>
      <c r="AL947" s="195"/>
      <c r="AM947" s="6"/>
      <c r="AN947" s="171">
        <f>IFERROR(U947/2,"0")</f>
      </c>
    </row>
    <row x14ac:dyDescent="0.25" r="948" customHeight="1" ht="18.75">
      <c r="A948" s="158">
        <f>A947+1</f>
      </c>
      <c r="B948" s="159"/>
      <c r="C948" s="6"/>
      <c r="D948" s="159"/>
      <c r="E948" s="198"/>
      <c r="F948" s="160"/>
      <c r="G948" s="6"/>
      <c r="H948" s="6"/>
      <c r="I948" s="7"/>
      <c r="J948" s="147"/>
      <c r="K948" s="7"/>
      <c r="L948" s="147"/>
      <c r="M948" s="161">
        <f>IFERROR(VLOOKUP(L948,'Material Master'!B:C,2,0),"")</f>
      </c>
      <c r="N948" s="7"/>
      <c r="O948" s="162">
        <f>IFERROR(M948*N948,"")</f>
      </c>
      <c r="P948" s="6"/>
      <c r="Q948" s="158"/>
      <c r="R948" s="163"/>
      <c r="S948" s="147"/>
      <c r="T948" s="6"/>
      <c r="U948" s="158"/>
      <c r="V948" s="164">
        <v>31</v>
      </c>
      <c r="W948" s="165">
        <f>IFERROR(U948*V948,"0")</f>
      </c>
      <c r="X948" s="7"/>
      <c r="Y948" s="191">
        <f>IFERROR((O948/1000)*Masters!$C$3,"0")</f>
      </c>
      <c r="Z948" s="195"/>
      <c r="AA948" s="164">
        <f>IFERROR(VLOOKUP(L948,Masters!G:H,2,0),"0")</f>
      </c>
      <c r="AB948" s="166">
        <f>IFERROR(AA948*N948,"0")</f>
      </c>
      <c r="AC948" s="196"/>
      <c r="AD948" s="7"/>
      <c r="AE948" s="166">
        <f>W948+Y948+AB948+AD948</f>
      </c>
      <c r="AF948" s="195"/>
      <c r="AG948" s="169">
        <f>M948&amp;"-"&amp;F948</f>
      </c>
      <c r="AH948" s="191">
        <f>IFERROR(VLOOKUP(AG948,Masters!N:O,2,0),"0")</f>
      </c>
      <c r="AI948" s="166">
        <f>AH948*N948</f>
      </c>
      <c r="AJ948" s="7"/>
      <c r="AK948" s="170">
        <f>AI948-AE948</f>
      </c>
      <c r="AL948" s="195"/>
      <c r="AM948" s="6"/>
      <c r="AN948" s="171">
        <f>IFERROR(U948/2,"0")</f>
      </c>
    </row>
    <row x14ac:dyDescent="0.25" r="949" customHeight="1" ht="18.75">
      <c r="A949" s="158">
        <f>A948+1</f>
      </c>
      <c r="B949" s="159"/>
      <c r="C949" s="6"/>
      <c r="D949" s="159"/>
      <c r="E949" s="198"/>
      <c r="F949" s="160"/>
      <c r="G949" s="6"/>
      <c r="H949" s="6"/>
      <c r="I949" s="7"/>
      <c r="J949" s="147"/>
      <c r="K949" s="7"/>
      <c r="L949" s="147"/>
      <c r="M949" s="161">
        <f>IFERROR(VLOOKUP(L949,'Material Master'!B:C,2,0),"")</f>
      </c>
      <c r="N949" s="7"/>
      <c r="O949" s="162">
        <f>IFERROR(M949*N949,"")</f>
      </c>
      <c r="P949" s="6"/>
      <c r="Q949" s="158"/>
      <c r="R949" s="163"/>
      <c r="S949" s="147"/>
      <c r="T949" s="6"/>
      <c r="U949" s="158"/>
      <c r="V949" s="164">
        <v>31</v>
      </c>
      <c r="W949" s="165">
        <f>IFERROR(U949*V949,"0")</f>
      </c>
      <c r="X949" s="7"/>
      <c r="Y949" s="191">
        <f>IFERROR((O949/1000)*Masters!$C$3,"0")</f>
      </c>
      <c r="Z949" s="195"/>
      <c r="AA949" s="164">
        <f>IFERROR(VLOOKUP(L949,Masters!G:H,2,0),"0")</f>
      </c>
      <c r="AB949" s="166">
        <f>IFERROR(AA949*N949,"0")</f>
      </c>
      <c r="AC949" s="196"/>
      <c r="AD949" s="7"/>
      <c r="AE949" s="166">
        <f>W949+Y949+AB949+AD949</f>
      </c>
      <c r="AF949" s="195"/>
      <c r="AG949" s="169">
        <f>M949&amp;"-"&amp;F949</f>
      </c>
      <c r="AH949" s="191">
        <f>IFERROR(VLOOKUP(AG949,Masters!N:O,2,0),"0")</f>
      </c>
      <c r="AI949" s="166">
        <f>AH949*N949</f>
      </c>
      <c r="AJ949" s="7"/>
      <c r="AK949" s="170">
        <f>AI949-AE949</f>
      </c>
      <c r="AL949" s="195"/>
      <c r="AM949" s="6"/>
      <c r="AN949" s="171">
        <f>IFERROR(U949/2,"0")</f>
      </c>
    </row>
    <row x14ac:dyDescent="0.25" r="950" customHeight="1" ht="18.75">
      <c r="A950" s="158">
        <f>A949+1</f>
      </c>
      <c r="B950" s="159"/>
      <c r="C950" s="6"/>
      <c r="D950" s="159"/>
      <c r="E950" s="198"/>
      <c r="F950" s="160"/>
      <c r="G950" s="6"/>
      <c r="H950" s="6"/>
      <c r="I950" s="7"/>
      <c r="J950" s="147"/>
      <c r="K950" s="7"/>
      <c r="L950" s="147"/>
      <c r="M950" s="161">
        <f>IFERROR(VLOOKUP(L950,'Material Master'!B:C,2,0),"")</f>
      </c>
      <c r="N950" s="7"/>
      <c r="O950" s="162">
        <f>IFERROR(M950*N950,"")</f>
      </c>
      <c r="P950" s="6"/>
      <c r="Q950" s="158"/>
      <c r="R950" s="163"/>
      <c r="S950" s="147"/>
      <c r="T950" s="6"/>
      <c r="U950" s="158"/>
      <c r="V950" s="164">
        <v>31</v>
      </c>
      <c r="W950" s="165">
        <f>IFERROR(U950*V950,"0")</f>
      </c>
      <c r="X950" s="7"/>
      <c r="Y950" s="191">
        <f>IFERROR((O950/1000)*Masters!$C$3,"0")</f>
      </c>
      <c r="Z950" s="195"/>
      <c r="AA950" s="164">
        <f>IFERROR(VLOOKUP(L950,Masters!G:H,2,0),"0")</f>
      </c>
      <c r="AB950" s="166">
        <f>IFERROR(AA950*N950,"0")</f>
      </c>
      <c r="AC950" s="196"/>
      <c r="AD950" s="7"/>
      <c r="AE950" s="166">
        <f>W950+Y950+AB950+AD950</f>
      </c>
      <c r="AF950" s="195"/>
      <c r="AG950" s="169">
        <f>M950&amp;"-"&amp;F950</f>
      </c>
      <c r="AH950" s="191">
        <f>IFERROR(VLOOKUP(AG950,Masters!N:O,2,0),"0")</f>
      </c>
      <c r="AI950" s="166">
        <f>AH950*N950</f>
      </c>
      <c r="AJ950" s="7"/>
      <c r="AK950" s="170">
        <f>AI950-AE950</f>
      </c>
      <c r="AL950" s="195"/>
      <c r="AM950" s="6"/>
      <c r="AN950" s="171">
        <f>IFERROR(U950/2,"0")</f>
      </c>
    </row>
    <row x14ac:dyDescent="0.25" r="951" customHeight="1" ht="18.75">
      <c r="A951" s="158">
        <f>A950+1</f>
      </c>
      <c r="B951" s="159"/>
      <c r="C951" s="6"/>
      <c r="D951" s="159"/>
      <c r="E951" s="198"/>
      <c r="F951" s="160"/>
      <c r="G951" s="6"/>
      <c r="H951" s="6"/>
      <c r="I951" s="7"/>
      <c r="J951" s="147"/>
      <c r="K951" s="7"/>
      <c r="L951" s="147"/>
      <c r="M951" s="161">
        <f>IFERROR(VLOOKUP(L951,'Material Master'!B:C,2,0),"")</f>
      </c>
      <c r="N951" s="7"/>
      <c r="O951" s="162">
        <f>IFERROR(M951*N951,"")</f>
      </c>
      <c r="P951" s="6"/>
      <c r="Q951" s="158"/>
      <c r="R951" s="163"/>
      <c r="S951" s="147"/>
      <c r="T951" s="6"/>
      <c r="U951" s="158"/>
      <c r="V951" s="164">
        <v>31</v>
      </c>
      <c r="W951" s="165">
        <f>IFERROR(U951*V951,"0")</f>
      </c>
      <c r="X951" s="7"/>
      <c r="Y951" s="191">
        <f>IFERROR((O951/1000)*Masters!$C$3,"0")</f>
      </c>
      <c r="Z951" s="195"/>
      <c r="AA951" s="164">
        <f>IFERROR(VLOOKUP(L951,Masters!G:H,2,0),"0")</f>
      </c>
      <c r="AB951" s="166">
        <f>IFERROR(AA951*N951,"0")</f>
      </c>
      <c r="AC951" s="196"/>
      <c r="AD951" s="7"/>
      <c r="AE951" s="166">
        <f>W951+Y951+AB951+AD951</f>
      </c>
      <c r="AF951" s="195"/>
      <c r="AG951" s="169">
        <f>M951&amp;"-"&amp;F951</f>
      </c>
      <c r="AH951" s="191">
        <f>IFERROR(VLOOKUP(AG951,Masters!N:O,2,0),"0")</f>
      </c>
      <c r="AI951" s="166">
        <f>AH951*N951</f>
      </c>
      <c r="AJ951" s="7"/>
      <c r="AK951" s="170">
        <f>AI951-AE951</f>
      </c>
      <c r="AL951" s="195"/>
      <c r="AM951" s="6"/>
      <c r="AN951" s="171">
        <f>IFERROR(U951/2,"0")</f>
      </c>
    </row>
    <row x14ac:dyDescent="0.25" r="952" customHeight="1" ht="18.75">
      <c r="A952" s="158">
        <f>A951+1</f>
      </c>
      <c r="B952" s="159"/>
      <c r="C952" s="6"/>
      <c r="D952" s="159"/>
      <c r="E952" s="198"/>
      <c r="F952" s="160"/>
      <c r="G952" s="6"/>
      <c r="H952" s="6"/>
      <c r="I952" s="7"/>
      <c r="J952" s="147"/>
      <c r="K952" s="7"/>
      <c r="L952" s="147"/>
      <c r="M952" s="161">
        <f>IFERROR(VLOOKUP(L952,'Material Master'!B:C,2,0),"")</f>
      </c>
      <c r="N952" s="7"/>
      <c r="O952" s="162">
        <f>IFERROR(M952*N952,"")</f>
      </c>
      <c r="P952" s="6"/>
      <c r="Q952" s="158"/>
      <c r="R952" s="163"/>
      <c r="S952" s="147"/>
      <c r="T952" s="6"/>
      <c r="U952" s="158"/>
      <c r="V952" s="164">
        <v>31</v>
      </c>
      <c r="W952" s="165">
        <f>IFERROR(U952*V952,"0")</f>
      </c>
      <c r="X952" s="7"/>
      <c r="Y952" s="191">
        <f>IFERROR((O952/1000)*Masters!$C$3,"0")</f>
      </c>
      <c r="Z952" s="195"/>
      <c r="AA952" s="164">
        <f>IFERROR(VLOOKUP(L952,Masters!G:H,2,0),"0")</f>
      </c>
      <c r="AB952" s="166">
        <f>IFERROR(AA952*N952,"0")</f>
      </c>
      <c r="AC952" s="196"/>
      <c r="AD952" s="7"/>
      <c r="AE952" s="166">
        <f>W952+Y952+AB952+AD952</f>
      </c>
      <c r="AF952" s="195"/>
      <c r="AG952" s="169">
        <f>M952&amp;"-"&amp;F952</f>
      </c>
      <c r="AH952" s="191">
        <f>IFERROR(VLOOKUP(AG952,Masters!N:O,2,0),"0")</f>
      </c>
      <c r="AI952" s="166">
        <f>AH952*N952</f>
      </c>
      <c r="AJ952" s="7"/>
      <c r="AK952" s="170">
        <f>AI952-AE952</f>
      </c>
      <c r="AL952" s="195"/>
      <c r="AM952" s="6"/>
      <c r="AN952" s="171">
        <f>IFERROR(U952/2,"0")</f>
      </c>
    </row>
    <row x14ac:dyDescent="0.25" r="953" customHeight="1" ht="18.75">
      <c r="A953" s="158">
        <f>A952+1</f>
      </c>
      <c r="B953" s="159"/>
      <c r="C953" s="6"/>
      <c r="D953" s="159"/>
      <c r="E953" s="198"/>
      <c r="F953" s="160"/>
      <c r="G953" s="6"/>
      <c r="H953" s="6"/>
      <c r="I953" s="7"/>
      <c r="J953" s="147"/>
      <c r="K953" s="7"/>
      <c r="L953" s="147"/>
      <c r="M953" s="161">
        <f>IFERROR(VLOOKUP(L953,'Material Master'!B:C,2,0),"")</f>
      </c>
      <c r="N953" s="7"/>
      <c r="O953" s="162">
        <f>IFERROR(M953*N953,"")</f>
      </c>
      <c r="P953" s="6"/>
      <c r="Q953" s="158"/>
      <c r="R953" s="163"/>
      <c r="S953" s="147"/>
      <c r="T953" s="6"/>
      <c r="U953" s="158"/>
      <c r="V953" s="164">
        <v>31</v>
      </c>
      <c r="W953" s="165">
        <f>IFERROR(U953*V953,"0")</f>
      </c>
      <c r="X953" s="7"/>
      <c r="Y953" s="191">
        <f>IFERROR((O953/1000)*Masters!$C$3,"0")</f>
      </c>
      <c r="Z953" s="195"/>
      <c r="AA953" s="164">
        <f>IFERROR(VLOOKUP(L953,Masters!G:H,2,0),"0")</f>
      </c>
      <c r="AB953" s="166">
        <f>IFERROR(AA953*N953,"0")</f>
      </c>
      <c r="AC953" s="196"/>
      <c r="AD953" s="7"/>
      <c r="AE953" s="166">
        <f>W953+Y953+AB953+AD953</f>
      </c>
      <c r="AF953" s="195"/>
      <c r="AG953" s="169">
        <f>M953&amp;"-"&amp;F953</f>
      </c>
      <c r="AH953" s="191">
        <f>IFERROR(VLOOKUP(AG953,Masters!N:O,2,0),"0")</f>
      </c>
      <c r="AI953" s="166">
        <f>AH953*N953</f>
      </c>
      <c r="AJ953" s="7"/>
      <c r="AK953" s="170">
        <f>AI953-AE953</f>
      </c>
      <c r="AL953" s="195"/>
      <c r="AM953" s="6"/>
      <c r="AN953" s="171">
        <f>IFERROR(U953/2,"0")</f>
      </c>
    </row>
    <row x14ac:dyDescent="0.25" r="954" customHeight="1" ht="18.75">
      <c r="A954" s="158">
        <f>A953+1</f>
      </c>
      <c r="B954" s="159"/>
      <c r="C954" s="6"/>
      <c r="D954" s="159"/>
      <c r="E954" s="198"/>
      <c r="F954" s="160"/>
      <c r="G954" s="6"/>
      <c r="H954" s="6"/>
      <c r="I954" s="7"/>
      <c r="J954" s="147"/>
      <c r="K954" s="7"/>
      <c r="L954" s="147"/>
      <c r="M954" s="161">
        <f>IFERROR(VLOOKUP(L954,'Material Master'!B:C,2,0),"")</f>
      </c>
      <c r="N954" s="7"/>
      <c r="O954" s="162">
        <f>IFERROR(M954*N954,"")</f>
      </c>
      <c r="P954" s="6"/>
      <c r="Q954" s="158"/>
      <c r="R954" s="163"/>
      <c r="S954" s="147"/>
      <c r="T954" s="6"/>
      <c r="U954" s="158"/>
      <c r="V954" s="164">
        <v>31</v>
      </c>
      <c r="W954" s="165">
        <f>IFERROR(U954*V954,"0")</f>
      </c>
      <c r="X954" s="7"/>
      <c r="Y954" s="191">
        <f>IFERROR((O954/1000)*Masters!$C$3,"0")</f>
      </c>
      <c r="Z954" s="195"/>
      <c r="AA954" s="164">
        <f>IFERROR(VLOOKUP(L954,Masters!G:H,2,0),"0")</f>
      </c>
      <c r="AB954" s="166">
        <f>IFERROR(AA954*N954,"0")</f>
      </c>
      <c r="AC954" s="196"/>
      <c r="AD954" s="7"/>
      <c r="AE954" s="166">
        <f>W954+Y954+AB954+AD954</f>
      </c>
      <c r="AF954" s="195"/>
      <c r="AG954" s="169">
        <f>M954&amp;"-"&amp;F954</f>
      </c>
      <c r="AH954" s="191">
        <f>IFERROR(VLOOKUP(AG954,Masters!N:O,2,0),"0")</f>
      </c>
      <c r="AI954" s="166">
        <f>AH954*N954</f>
      </c>
      <c r="AJ954" s="7"/>
      <c r="AK954" s="170">
        <f>AI954-AE954</f>
      </c>
      <c r="AL954" s="195"/>
      <c r="AM954" s="6"/>
      <c r="AN954" s="171">
        <f>IFERROR(U954/2,"0")</f>
      </c>
    </row>
    <row x14ac:dyDescent="0.25" r="955" customHeight="1" ht="18.75">
      <c r="A955" s="158">
        <f>A954+1</f>
      </c>
      <c r="B955" s="159"/>
      <c r="C955" s="6"/>
      <c r="D955" s="159"/>
      <c r="E955" s="198"/>
      <c r="F955" s="160"/>
      <c r="G955" s="6"/>
      <c r="H955" s="6"/>
      <c r="I955" s="7"/>
      <c r="J955" s="147"/>
      <c r="K955" s="7"/>
      <c r="L955" s="147"/>
      <c r="M955" s="161">
        <f>IFERROR(VLOOKUP(L955,'Material Master'!B:C,2,0),"")</f>
      </c>
      <c r="N955" s="7"/>
      <c r="O955" s="162">
        <f>IFERROR(M955*N955,"")</f>
      </c>
      <c r="P955" s="6"/>
      <c r="Q955" s="158"/>
      <c r="R955" s="163"/>
      <c r="S955" s="147"/>
      <c r="T955" s="6"/>
      <c r="U955" s="158"/>
      <c r="V955" s="164">
        <v>31</v>
      </c>
      <c r="W955" s="165">
        <f>IFERROR(U955*V955,"0")</f>
      </c>
      <c r="X955" s="7"/>
      <c r="Y955" s="191">
        <f>IFERROR((O955/1000)*Masters!$C$3,"0")</f>
      </c>
      <c r="Z955" s="195"/>
      <c r="AA955" s="164">
        <f>IFERROR(VLOOKUP(L955,Masters!G:H,2,0),"0")</f>
      </c>
      <c r="AB955" s="166">
        <f>IFERROR(AA955*N955,"0")</f>
      </c>
      <c r="AC955" s="196"/>
      <c r="AD955" s="7"/>
      <c r="AE955" s="166">
        <f>W955+Y955+AB955+AD955</f>
      </c>
      <c r="AF955" s="195"/>
      <c r="AG955" s="169">
        <f>M955&amp;"-"&amp;F955</f>
      </c>
      <c r="AH955" s="191">
        <f>IFERROR(VLOOKUP(AG955,Masters!N:O,2,0),"0")</f>
      </c>
      <c r="AI955" s="166">
        <f>AH955*N955</f>
      </c>
      <c r="AJ955" s="7"/>
      <c r="AK955" s="170">
        <f>AI955-AE955</f>
      </c>
      <c r="AL955" s="195"/>
      <c r="AM955" s="6"/>
      <c r="AN955" s="171">
        <f>IFERROR(U955/2,"0")</f>
      </c>
    </row>
    <row x14ac:dyDescent="0.25" r="956" customHeight="1" ht="18.75">
      <c r="A956" s="158">
        <f>A955+1</f>
      </c>
      <c r="B956" s="159"/>
      <c r="C956" s="6"/>
      <c r="D956" s="159"/>
      <c r="E956" s="198"/>
      <c r="F956" s="160"/>
      <c r="G956" s="6"/>
      <c r="H956" s="6"/>
      <c r="I956" s="7"/>
      <c r="J956" s="147"/>
      <c r="K956" s="7"/>
      <c r="L956" s="147"/>
      <c r="M956" s="161">
        <f>IFERROR(VLOOKUP(L956,'Material Master'!B:C,2,0),"")</f>
      </c>
      <c r="N956" s="7"/>
      <c r="O956" s="162">
        <f>IFERROR(M956*N956,"")</f>
      </c>
      <c r="P956" s="6"/>
      <c r="Q956" s="158"/>
      <c r="R956" s="163"/>
      <c r="S956" s="147"/>
      <c r="T956" s="6"/>
      <c r="U956" s="158"/>
      <c r="V956" s="164">
        <v>31</v>
      </c>
      <c r="W956" s="165">
        <f>IFERROR(U956*V956,"0")</f>
      </c>
      <c r="X956" s="7"/>
      <c r="Y956" s="191">
        <f>IFERROR((O956/1000)*Masters!$C$3,"0")</f>
      </c>
      <c r="Z956" s="195"/>
      <c r="AA956" s="164">
        <f>IFERROR(VLOOKUP(L956,Masters!G:H,2,0),"0")</f>
      </c>
      <c r="AB956" s="166">
        <f>IFERROR(AA956*N956,"0")</f>
      </c>
      <c r="AC956" s="196"/>
      <c r="AD956" s="7"/>
      <c r="AE956" s="166">
        <f>W956+Y956+AB956+AD956</f>
      </c>
      <c r="AF956" s="195"/>
      <c r="AG956" s="169">
        <f>M956&amp;"-"&amp;F956</f>
      </c>
      <c r="AH956" s="191">
        <f>IFERROR(VLOOKUP(AG956,Masters!N:O,2,0),"0")</f>
      </c>
      <c r="AI956" s="166">
        <f>AH956*N956</f>
      </c>
      <c r="AJ956" s="7"/>
      <c r="AK956" s="170">
        <f>AI956-AE956</f>
      </c>
      <c r="AL956" s="195"/>
      <c r="AM956" s="6"/>
      <c r="AN956" s="171">
        <f>IFERROR(U956/2,"0")</f>
      </c>
    </row>
    <row x14ac:dyDescent="0.25" r="957" customHeight="1" ht="18.75">
      <c r="A957" s="158">
        <f>A956+1</f>
      </c>
      <c r="B957" s="159"/>
      <c r="C957" s="6"/>
      <c r="D957" s="159"/>
      <c r="E957" s="198"/>
      <c r="F957" s="160"/>
      <c r="G957" s="6"/>
      <c r="H957" s="6"/>
      <c r="I957" s="7"/>
      <c r="J957" s="147"/>
      <c r="K957" s="7"/>
      <c r="L957" s="147"/>
      <c r="M957" s="161">
        <f>IFERROR(VLOOKUP(L957,'Material Master'!B:C,2,0),"")</f>
      </c>
      <c r="N957" s="7"/>
      <c r="O957" s="162">
        <f>IFERROR(M957*N957,"")</f>
      </c>
      <c r="P957" s="6"/>
      <c r="Q957" s="158"/>
      <c r="R957" s="163"/>
      <c r="S957" s="147"/>
      <c r="T957" s="6"/>
      <c r="U957" s="158"/>
      <c r="V957" s="164">
        <v>31</v>
      </c>
      <c r="W957" s="165">
        <f>IFERROR(U957*V957,"0")</f>
      </c>
      <c r="X957" s="7"/>
      <c r="Y957" s="191">
        <f>IFERROR((O957/1000)*Masters!$C$3,"0")</f>
      </c>
      <c r="Z957" s="195"/>
      <c r="AA957" s="164">
        <f>IFERROR(VLOOKUP(L957,Masters!G:H,2,0),"0")</f>
      </c>
      <c r="AB957" s="166">
        <f>IFERROR(AA957*N957,"0")</f>
      </c>
      <c r="AC957" s="196"/>
      <c r="AD957" s="7"/>
      <c r="AE957" s="166">
        <f>W957+Y957+AB957+AD957</f>
      </c>
      <c r="AF957" s="195"/>
      <c r="AG957" s="169">
        <f>M957&amp;"-"&amp;F957</f>
      </c>
      <c r="AH957" s="191">
        <f>IFERROR(VLOOKUP(AG957,Masters!N:O,2,0),"0")</f>
      </c>
      <c r="AI957" s="166">
        <f>AH957*N957</f>
      </c>
      <c r="AJ957" s="7"/>
      <c r="AK957" s="170">
        <f>AI957-AE957</f>
      </c>
      <c r="AL957" s="195"/>
      <c r="AM957" s="6"/>
      <c r="AN957" s="171">
        <f>IFERROR(U957/2,"0")</f>
      </c>
    </row>
    <row x14ac:dyDescent="0.25" r="958" customHeight="1" ht="18.75">
      <c r="A958" s="158">
        <f>A957+1</f>
      </c>
      <c r="B958" s="159"/>
      <c r="C958" s="6"/>
      <c r="D958" s="159"/>
      <c r="E958" s="198"/>
      <c r="F958" s="160"/>
      <c r="G958" s="6"/>
      <c r="H958" s="6"/>
      <c r="I958" s="7"/>
      <c r="J958" s="147"/>
      <c r="K958" s="7"/>
      <c r="L958" s="147"/>
      <c r="M958" s="161">
        <f>IFERROR(VLOOKUP(L958,'Material Master'!B:C,2,0),"")</f>
      </c>
      <c r="N958" s="7"/>
      <c r="O958" s="162">
        <f>IFERROR(M958*N958,"")</f>
      </c>
      <c r="P958" s="6"/>
      <c r="Q958" s="158"/>
      <c r="R958" s="163"/>
      <c r="S958" s="147"/>
      <c r="T958" s="6"/>
      <c r="U958" s="158"/>
      <c r="V958" s="164">
        <v>31</v>
      </c>
      <c r="W958" s="165">
        <f>IFERROR(U958*V958,"0")</f>
      </c>
      <c r="X958" s="7"/>
      <c r="Y958" s="191">
        <f>IFERROR((O958/1000)*Masters!$C$3,"0")</f>
      </c>
      <c r="Z958" s="195"/>
      <c r="AA958" s="164">
        <f>IFERROR(VLOOKUP(L958,Masters!G:H,2,0),"0")</f>
      </c>
      <c r="AB958" s="166">
        <f>IFERROR(AA958*N958,"0")</f>
      </c>
      <c r="AC958" s="196"/>
      <c r="AD958" s="7"/>
      <c r="AE958" s="166">
        <f>W958+Y958+AB958+AD958</f>
      </c>
      <c r="AF958" s="195"/>
      <c r="AG958" s="169">
        <f>M958&amp;"-"&amp;F958</f>
      </c>
      <c r="AH958" s="191">
        <f>IFERROR(VLOOKUP(AG958,Masters!N:O,2,0),"0")</f>
      </c>
      <c r="AI958" s="166">
        <f>AH958*N958</f>
      </c>
      <c r="AJ958" s="7"/>
      <c r="AK958" s="170">
        <f>AI958-AE958</f>
      </c>
      <c r="AL958" s="195"/>
      <c r="AM958" s="6"/>
      <c r="AN958" s="171">
        <f>IFERROR(U958/2,"0")</f>
      </c>
    </row>
    <row x14ac:dyDescent="0.25" r="959" customHeight="1" ht="18.75">
      <c r="A959" s="158">
        <f>A958+1</f>
      </c>
      <c r="B959" s="159"/>
      <c r="C959" s="6"/>
      <c r="D959" s="159"/>
      <c r="E959" s="198"/>
      <c r="F959" s="160"/>
      <c r="G959" s="6"/>
      <c r="H959" s="6"/>
      <c r="I959" s="7"/>
      <c r="J959" s="147"/>
      <c r="K959" s="7"/>
      <c r="L959" s="147"/>
      <c r="M959" s="161">
        <f>IFERROR(VLOOKUP(L959,'Material Master'!B:C,2,0),"")</f>
      </c>
      <c r="N959" s="7"/>
      <c r="O959" s="162">
        <f>IFERROR(M959*N959,"")</f>
      </c>
      <c r="P959" s="6"/>
      <c r="Q959" s="158"/>
      <c r="R959" s="163"/>
      <c r="S959" s="147"/>
      <c r="T959" s="6"/>
      <c r="U959" s="158"/>
      <c r="V959" s="164">
        <v>31</v>
      </c>
      <c r="W959" s="165">
        <f>IFERROR(U959*V959,"0")</f>
      </c>
      <c r="X959" s="7"/>
      <c r="Y959" s="191">
        <f>IFERROR((O959/1000)*Masters!$C$3,"0")</f>
      </c>
      <c r="Z959" s="195"/>
      <c r="AA959" s="164">
        <f>IFERROR(VLOOKUP(L959,Masters!G:H,2,0),"0")</f>
      </c>
      <c r="AB959" s="166">
        <f>IFERROR(AA959*N959,"0")</f>
      </c>
      <c r="AC959" s="196"/>
      <c r="AD959" s="7"/>
      <c r="AE959" s="166">
        <f>W959+Y959+AB959+AD959</f>
      </c>
      <c r="AF959" s="195"/>
      <c r="AG959" s="169">
        <f>M959&amp;"-"&amp;F959</f>
      </c>
      <c r="AH959" s="191">
        <f>IFERROR(VLOOKUP(AG959,Masters!N:O,2,0),"0")</f>
      </c>
      <c r="AI959" s="166">
        <f>AH959*N959</f>
      </c>
      <c r="AJ959" s="7"/>
      <c r="AK959" s="170">
        <f>AI959-AE959</f>
      </c>
      <c r="AL959" s="195"/>
      <c r="AM959" s="6"/>
      <c r="AN959" s="171">
        <f>IFERROR(U959/2,"0")</f>
      </c>
    </row>
    <row x14ac:dyDescent="0.25" r="960" customHeight="1" ht="18.75">
      <c r="A960" s="158">
        <f>A959+1</f>
      </c>
      <c r="B960" s="159"/>
      <c r="C960" s="6"/>
      <c r="D960" s="159"/>
      <c r="E960" s="198"/>
      <c r="F960" s="160"/>
      <c r="G960" s="6"/>
      <c r="H960" s="6"/>
      <c r="I960" s="7"/>
      <c r="J960" s="147"/>
      <c r="K960" s="7"/>
      <c r="L960" s="147"/>
      <c r="M960" s="161">
        <f>IFERROR(VLOOKUP(L960,'Material Master'!B:C,2,0),"")</f>
      </c>
      <c r="N960" s="7"/>
      <c r="O960" s="162">
        <f>IFERROR(M960*N960,"")</f>
      </c>
      <c r="P960" s="6"/>
      <c r="Q960" s="158"/>
      <c r="R960" s="163"/>
      <c r="S960" s="147"/>
      <c r="T960" s="6"/>
      <c r="U960" s="158"/>
      <c r="V960" s="164">
        <v>31</v>
      </c>
      <c r="W960" s="165">
        <f>IFERROR(U960*V960,"0")</f>
      </c>
      <c r="X960" s="7"/>
      <c r="Y960" s="191">
        <f>IFERROR((O960/1000)*Masters!$C$3,"0")</f>
      </c>
      <c r="Z960" s="195"/>
      <c r="AA960" s="164">
        <f>IFERROR(VLOOKUP(L960,Masters!G:H,2,0),"0")</f>
      </c>
      <c r="AB960" s="166">
        <f>IFERROR(AA960*N960,"0")</f>
      </c>
      <c r="AC960" s="196"/>
      <c r="AD960" s="7"/>
      <c r="AE960" s="166">
        <f>W960+Y960+AB960+AD960</f>
      </c>
      <c r="AF960" s="195"/>
      <c r="AG960" s="169">
        <f>M960&amp;"-"&amp;F960</f>
      </c>
      <c r="AH960" s="191">
        <f>IFERROR(VLOOKUP(AG960,Masters!N:O,2,0),"0")</f>
      </c>
      <c r="AI960" s="166">
        <f>AH960*N960</f>
      </c>
      <c r="AJ960" s="7"/>
      <c r="AK960" s="170">
        <f>AI960-AE960</f>
      </c>
      <c r="AL960" s="195"/>
      <c r="AM960" s="6"/>
      <c r="AN960" s="171">
        <f>IFERROR(U960/2,"0")</f>
      </c>
    </row>
    <row x14ac:dyDescent="0.25" r="961" customHeight="1" ht="18.75">
      <c r="A961" s="158">
        <f>A960+1</f>
      </c>
      <c r="B961" s="159"/>
      <c r="C961" s="6"/>
      <c r="D961" s="159"/>
      <c r="E961" s="198"/>
      <c r="F961" s="160"/>
      <c r="G961" s="6"/>
      <c r="H961" s="6"/>
      <c r="I961" s="7"/>
      <c r="J961" s="147"/>
      <c r="K961" s="7"/>
      <c r="L961" s="147"/>
      <c r="M961" s="161">
        <f>IFERROR(VLOOKUP(L961,'Material Master'!B:C,2,0),"")</f>
      </c>
      <c r="N961" s="7"/>
      <c r="O961" s="162">
        <f>IFERROR(M961*N961,"")</f>
      </c>
      <c r="P961" s="6"/>
      <c r="Q961" s="158"/>
      <c r="R961" s="163"/>
      <c r="S961" s="147"/>
      <c r="T961" s="6"/>
      <c r="U961" s="158"/>
      <c r="V961" s="164">
        <v>31</v>
      </c>
      <c r="W961" s="165">
        <f>IFERROR(U961*V961,"0")</f>
      </c>
      <c r="X961" s="7"/>
      <c r="Y961" s="191">
        <f>IFERROR((O961/1000)*Masters!$C$3,"0")</f>
      </c>
      <c r="Z961" s="195"/>
      <c r="AA961" s="164">
        <f>IFERROR(VLOOKUP(L961,Masters!G:H,2,0),"0")</f>
      </c>
      <c r="AB961" s="166">
        <f>IFERROR(AA961*N961,"0")</f>
      </c>
      <c r="AC961" s="196"/>
      <c r="AD961" s="7"/>
      <c r="AE961" s="166">
        <f>W961+Y961+AB961+AD961</f>
      </c>
      <c r="AF961" s="195"/>
      <c r="AG961" s="169">
        <f>M961&amp;"-"&amp;F961</f>
      </c>
      <c r="AH961" s="191">
        <f>IFERROR(VLOOKUP(AG961,Masters!N:O,2,0),"0")</f>
      </c>
      <c r="AI961" s="166">
        <f>AH961*N961</f>
      </c>
      <c r="AJ961" s="7"/>
      <c r="AK961" s="170">
        <f>AI961-AE961</f>
      </c>
      <c r="AL961" s="195"/>
      <c r="AM961" s="6"/>
      <c r="AN961" s="171">
        <f>IFERROR(U961/2,"0")</f>
      </c>
    </row>
    <row x14ac:dyDescent="0.25" r="962" customHeight="1" ht="18.75">
      <c r="A962" s="158">
        <f>A961+1</f>
      </c>
      <c r="B962" s="159"/>
      <c r="C962" s="6"/>
      <c r="D962" s="159"/>
      <c r="E962" s="198"/>
      <c r="F962" s="160"/>
      <c r="G962" s="6"/>
      <c r="H962" s="6"/>
      <c r="I962" s="7"/>
      <c r="J962" s="147"/>
      <c r="K962" s="7"/>
      <c r="L962" s="147"/>
      <c r="M962" s="161">
        <f>IFERROR(VLOOKUP(L962,'Material Master'!B:C,2,0),"")</f>
      </c>
      <c r="N962" s="7"/>
      <c r="O962" s="162">
        <f>IFERROR(M962*N962,"")</f>
      </c>
      <c r="P962" s="6"/>
      <c r="Q962" s="158"/>
      <c r="R962" s="163"/>
      <c r="S962" s="147"/>
      <c r="T962" s="6"/>
      <c r="U962" s="158"/>
      <c r="V962" s="164">
        <v>31</v>
      </c>
      <c r="W962" s="165">
        <f>IFERROR(U962*V962,"0")</f>
      </c>
      <c r="X962" s="7"/>
      <c r="Y962" s="191">
        <f>IFERROR((O962/1000)*Masters!$C$3,"0")</f>
      </c>
      <c r="Z962" s="195"/>
      <c r="AA962" s="164">
        <f>IFERROR(VLOOKUP(L962,Masters!G:H,2,0),"0")</f>
      </c>
      <c r="AB962" s="166">
        <f>IFERROR(AA962*N962,"0")</f>
      </c>
      <c r="AC962" s="196"/>
      <c r="AD962" s="7"/>
      <c r="AE962" s="166">
        <f>W962+Y962+AB962+AD962</f>
      </c>
      <c r="AF962" s="195"/>
      <c r="AG962" s="169">
        <f>M962&amp;"-"&amp;F962</f>
      </c>
      <c r="AH962" s="191">
        <f>IFERROR(VLOOKUP(AG962,Masters!N:O,2,0),"0")</f>
      </c>
      <c r="AI962" s="166">
        <f>AH962*N962</f>
      </c>
      <c r="AJ962" s="7"/>
      <c r="AK962" s="170">
        <f>AI962-AE962</f>
      </c>
      <c r="AL962" s="195"/>
      <c r="AM962" s="6"/>
      <c r="AN962" s="171">
        <f>IFERROR(U962/2,"0")</f>
      </c>
    </row>
    <row x14ac:dyDescent="0.25" r="963" customHeight="1" ht="18.75">
      <c r="A963" s="158">
        <f>A962+1</f>
      </c>
      <c r="B963" s="159"/>
      <c r="C963" s="6"/>
      <c r="D963" s="159"/>
      <c r="E963" s="198"/>
      <c r="F963" s="160"/>
      <c r="G963" s="6"/>
      <c r="H963" s="6"/>
      <c r="I963" s="7"/>
      <c r="J963" s="147"/>
      <c r="K963" s="7"/>
      <c r="L963" s="147"/>
      <c r="M963" s="161">
        <f>IFERROR(VLOOKUP(L963,'Material Master'!B:C,2,0),"")</f>
      </c>
      <c r="N963" s="7"/>
      <c r="O963" s="162">
        <f>IFERROR(M963*N963,"")</f>
      </c>
      <c r="P963" s="6"/>
      <c r="Q963" s="158"/>
      <c r="R963" s="163"/>
      <c r="S963" s="147"/>
      <c r="T963" s="6"/>
      <c r="U963" s="158"/>
      <c r="V963" s="164">
        <v>31</v>
      </c>
      <c r="W963" s="165">
        <f>IFERROR(U963*V963,"0")</f>
      </c>
      <c r="X963" s="7"/>
      <c r="Y963" s="191">
        <f>IFERROR((O963/1000)*Masters!$C$3,"0")</f>
      </c>
      <c r="Z963" s="195"/>
      <c r="AA963" s="164">
        <f>IFERROR(VLOOKUP(L963,Masters!G:H,2,0),"0")</f>
      </c>
      <c r="AB963" s="166">
        <f>IFERROR(AA963*N963,"0")</f>
      </c>
      <c r="AC963" s="196"/>
      <c r="AD963" s="7"/>
      <c r="AE963" s="166">
        <f>W963+Y963+AB963+AD963</f>
      </c>
      <c r="AF963" s="195"/>
      <c r="AG963" s="169">
        <f>M963&amp;"-"&amp;F963</f>
      </c>
      <c r="AH963" s="191">
        <f>IFERROR(VLOOKUP(AG963,Masters!N:O,2,0),"0")</f>
      </c>
      <c r="AI963" s="166">
        <f>AH963*N963</f>
      </c>
      <c r="AJ963" s="7"/>
      <c r="AK963" s="170">
        <f>AI963-AE963</f>
      </c>
      <c r="AL963" s="195"/>
      <c r="AM963" s="6"/>
      <c r="AN963" s="171">
        <f>IFERROR(U963/2,"0")</f>
      </c>
    </row>
    <row x14ac:dyDescent="0.25" r="964" customHeight="1" ht="18.75">
      <c r="A964" s="158">
        <f>A963+1</f>
      </c>
      <c r="B964" s="159"/>
      <c r="C964" s="6"/>
      <c r="D964" s="159"/>
      <c r="E964" s="198"/>
      <c r="F964" s="160"/>
      <c r="G964" s="6"/>
      <c r="H964" s="6"/>
      <c r="I964" s="7"/>
      <c r="J964" s="147"/>
      <c r="K964" s="7"/>
      <c r="L964" s="147"/>
      <c r="M964" s="161">
        <f>IFERROR(VLOOKUP(L964,'Material Master'!B:C,2,0),"")</f>
      </c>
      <c r="N964" s="7"/>
      <c r="O964" s="162">
        <f>IFERROR(M964*N964,"")</f>
      </c>
      <c r="P964" s="6"/>
      <c r="Q964" s="158"/>
      <c r="R964" s="163"/>
      <c r="S964" s="147"/>
      <c r="T964" s="6"/>
      <c r="U964" s="158"/>
      <c r="V964" s="164">
        <v>31</v>
      </c>
      <c r="W964" s="165">
        <f>IFERROR(U964*V964,"0")</f>
      </c>
      <c r="X964" s="7"/>
      <c r="Y964" s="191">
        <f>IFERROR((O964/1000)*Masters!$C$3,"0")</f>
      </c>
      <c r="Z964" s="195"/>
      <c r="AA964" s="164">
        <f>IFERROR(VLOOKUP(L964,Masters!G:H,2,0),"0")</f>
      </c>
      <c r="AB964" s="166">
        <f>IFERROR(AA964*N964,"0")</f>
      </c>
      <c r="AC964" s="196"/>
      <c r="AD964" s="7"/>
      <c r="AE964" s="166">
        <f>W964+Y964+AB964+AD964</f>
      </c>
      <c r="AF964" s="195"/>
      <c r="AG964" s="169">
        <f>M964&amp;"-"&amp;F964</f>
      </c>
      <c r="AH964" s="191">
        <f>IFERROR(VLOOKUP(AG964,Masters!N:O,2,0),"0")</f>
      </c>
      <c r="AI964" s="166">
        <f>AH964*N964</f>
      </c>
      <c r="AJ964" s="7"/>
      <c r="AK964" s="170">
        <f>AI964-AE964</f>
      </c>
      <c r="AL964" s="195"/>
      <c r="AM964" s="6"/>
      <c r="AN964" s="171">
        <f>IFERROR(U964/2,"0")</f>
      </c>
    </row>
    <row x14ac:dyDescent="0.25" r="965" customHeight="1" ht="18.75">
      <c r="A965" s="158">
        <f>A964+1</f>
      </c>
      <c r="B965" s="159"/>
      <c r="C965" s="6"/>
      <c r="D965" s="159"/>
      <c r="E965" s="198"/>
      <c r="F965" s="160"/>
      <c r="G965" s="6"/>
      <c r="H965" s="6"/>
      <c r="I965" s="7"/>
      <c r="J965" s="147"/>
      <c r="K965" s="7"/>
      <c r="L965" s="147"/>
      <c r="M965" s="161">
        <f>IFERROR(VLOOKUP(L965,'Material Master'!B:C,2,0),"")</f>
      </c>
      <c r="N965" s="7"/>
      <c r="O965" s="162">
        <f>IFERROR(M965*N965,"")</f>
      </c>
      <c r="P965" s="6"/>
      <c r="Q965" s="158"/>
      <c r="R965" s="163"/>
      <c r="S965" s="147"/>
      <c r="T965" s="6"/>
      <c r="U965" s="158"/>
      <c r="V965" s="164">
        <v>31</v>
      </c>
      <c r="W965" s="165">
        <f>IFERROR(U965*V965,"0")</f>
      </c>
      <c r="X965" s="7"/>
      <c r="Y965" s="191">
        <f>IFERROR((O965/1000)*Masters!$C$3,"0")</f>
      </c>
      <c r="Z965" s="195"/>
      <c r="AA965" s="164">
        <f>IFERROR(VLOOKUP(L965,Masters!G:H,2,0),"0")</f>
      </c>
      <c r="AB965" s="166">
        <f>IFERROR(AA965*N965,"0")</f>
      </c>
      <c r="AC965" s="196"/>
      <c r="AD965" s="7"/>
      <c r="AE965" s="166">
        <f>W965+Y965+AB965+AD965</f>
      </c>
      <c r="AF965" s="195"/>
      <c r="AG965" s="169">
        <f>M965&amp;"-"&amp;F965</f>
      </c>
      <c r="AH965" s="191">
        <f>IFERROR(VLOOKUP(AG965,Masters!N:O,2,0),"0")</f>
      </c>
      <c r="AI965" s="166">
        <f>AH965*N965</f>
      </c>
      <c r="AJ965" s="7"/>
      <c r="AK965" s="170">
        <f>AI965-AE965</f>
      </c>
      <c r="AL965" s="195"/>
      <c r="AM965" s="6"/>
      <c r="AN965" s="171">
        <f>IFERROR(U965/2,"0")</f>
      </c>
    </row>
    <row x14ac:dyDescent="0.25" r="966" customHeight="1" ht="18.75">
      <c r="A966" s="158">
        <f>A965+1</f>
      </c>
      <c r="B966" s="159"/>
      <c r="C966" s="6"/>
      <c r="D966" s="159"/>
      <c r="E966" s="198"/>
      <c r="F966" s="160"/>
      <c r="G966" s="6"/>
      <c r="H966" s="6"/>
      <c r="I966" s="7"/>
      <c r="J966" s="147"/>
      <c r="K966" s="7"/>
      <c r="L966" s="147"/>
      <c r="M966" s="161">
        <f>IFERROR(VLOOKUP(L966,'Material Master'!B:C,2,0),"")</f>
      </c>
      <c r="N966" s="7"/>
      <c r="O966" s="162">
        <f>IFERROR(M966*N966,"")</f>
      </c>
      <c r="P966" s="6"/>
      <c r="Q966" s="158"/>
      <c r="R966" s="163"/>
      <c r="S966" s="147"/>
      <c r="T966" s="6"/>
      <c r="U966" s="158"/>
      <c r="V966" s="164">
        <v>31</v>
      </c>
      <c r="W966" s="165">
        <f>IFERROR(U966*V966,"0")</f>
      </c>
      <c r="X966" s="7"/>
      <c r="Y966" s="191">
        <f>IFERROR((O966/1000)*Masters!$C$3,"0")</f>
      </c>
      <c r="Z966" s="195"/>
      <c r="AA966" s="164">
        <f>IFERROR(VLOOKUP(L966,Masters!G:H,2,0),"0")</f>
      </c>
      <c r="AB966" s="166">
        <f>IFERROR(AA966*N966,"0")</f>
      </c>
      <c r="AC966" s="196"/>
      <c r="AD966" s="7"/>
      <c r="AE966" s="166">
        <f>W966+Y966+AB966+AD966</f>
      </c>
      <c r="AF966" s="195"/>
      <c r="AG966" s="169">
        <f>M966&amp;"-"&amp;F966</f>
      </c>
      <c r="AH966" s="191">
        <f>IFERROR(VLOOKUP(AG966,Masters!N:O,2,0),"0")</f>
      </c>
      <c r="AI966" s="166">
        <f>AH966*N966</f>
      </c>
      <c r="AJ966" s="7"/>
      <c r="AK966" s="170">
        <f>AI966-AE966</f>
      </c>
      <c r="AL966" s="195"/>
      <c r="AM966" s="6"/>
      <c r="AN966" s="171">
        <f>IFERROR(U966/2,"0")</f>
      </c>
    </row>
    <row x14ac:dyDescent="0.25" r="967" customHeight="1" ht="18.75">
      <c r="A967" s="158">
        <f>A966+1</f>
      </c>
      <c r="B967" s="159"/>
      <c r="C967" s="6"/>
      <c r="D967" s="159"/>
      <c r="E967" s="198"/>
      <c r="F967" s="160"/>
      <c r="G967" s="6"/>
      <c r="H967" s="6"/>
      <c r="I967" s="7"/>
      <c r="J967" s="147"/>
      <c r="K967" s="7"/>
      <c r="L967" s="147"/>
      <c r="M967" s="161">
        <f>IFERROR(VLOOKUP(L967,'Material Master'!B:C,2,0),"")</f>
      </c>
      <c r="N967" s="7"/>
      <c r="O967" s="162">
        <f>IFERROR(M967*N967,"")</f>
      </c>
      <c r="P967" s="6"/>
      <c r="Q967" s="158"/>
      <c r="R967" s="163"/>
      <c r="S967" s="147"/>
      <c r="T967" s="6"/>
      <c r="U967" s="158"/>
      <c r="V967" s="164">
        <v>31</v>
      </c>
      <c r="W967" s="165">
        <f>IFERROR(U967*V967,"0")</f>
      </c>
      <c r="X967" s="7"/>
      <c r="Y967" s="191">
        <f>IFERROR((O967/1000)*Masters!$C$3,"0")</f>
      </c>
      <c r="Z967" s="195"/>
      <c r="AA967" s="164">
        <f>IFERROR(VLOOKUP(L967,Masters!G:H,2,0),"0")</f>
      </c>
      <c r="AB967" s="166">
        <f>IFERROR(AA967*N967,"0")</f>
      </c>
      <c r="AC967" s="196"/>
      <c r="AD967" s="7"/>
      <c r="AE967" s="166">
        <f>W967+Y967+AB967+AD967</f>
      </c>
      <c r="AF967" s="195"/>
      <c r="AG967" s="169">
        <f>M967&amp;"-"&amp;F967</f>
      </c>
      <c r="AH967" s="191">
        <f>IFERROR(VLOOKUP(AG967,Masters!N:O,2,0),"0")</f>
      </c>
      <c r="AI967" s="166">
        <f>AH967*N967</f>
      </c>
      <c r="AJ967" s="7"/>
      <c r="AK967" s="170">
        <f>AI967-AE967</f>
      </c>
      <c r="AL967" s="195"/>
      <c r="AM967" s="6"/>
      <c r="AN967" s="171">
        <f>IFERROR(U967/2,"0")</f>
      </c>
    </row>
    <row x14ac:dyDescent="0.25" r="968" customHeight="1" ht="18.75">
      <c r="A968" s="158">
        <f>A967+1</f>
      </c>
      <c r="B968" s="159"/>
      <c r="C968" s="6"/>
      <c r="D968" s="159"/>
      <c r="E968" s="198"/>
      <c r="F968" s="160"/>
      <c r="G968" s="6"/>
      <c r="H968" s="6"/>
      <c r="I968" s="7"/>
      <c r="J968" s="147"/>
      <c r="K968" s="7"/>
      <c r="L968" s="147"/>
      <c r="M968" s="161">
        <f>IFERROR(VLOOKUP(L968,'Material Master'!B:C,2,0),"")</f>
      </c>
      <c r="N968" s="7"/>
      <c r="O968" s="162">
        <f>IFERROR(M968*N968,"")</f>
      </c>
      <c r="P968" s="6"/>
      <c r="Q968" s="158"/>
      <c r="R968" s="163"/>
      <c r="S968" s="147"/>
      <c r="T968" s="6"/>
      <c r="U968" s="158"/>
      <c r="V968" s="164">
        <v>31</v>
      </c>
      <c r="W968" s="165">
        <f>IFERROR(U968*V968,"0")</f>
      </c>
      <c r="X968" s="7"/>
      <c r="Y968" s="191">
        <f>IFERROR((O968/1000)*Masters!$C$3,"0")</f>
      </c>
      <c r="Z968" s="195"/>
      <c r="AA968" s="164">
        <f>IFERROR(VLOOKUP(L968,Masters!G:H,2,0),"0")</f>
      </c>
      <c r="AB968" s="166">
        <f>IFERROR(AA968*N968,"0")</f>
      </c>
      <c r="AC968" s="196"/>
      <c r="AD968" s="7"/>
      <c r="AE968" s="166">
        <f>W968+Y968+AB968+AD968</f>
      </c>
      <c r="AF968" s="195"/>
      <c r="AG968" s="169">
        <f>M968&amp;"-"&amp;F968</f>
      </c>
      <c r="AH968" s="191">
        <f>IFERROR(VLOOKUP(AG968,Masters!N:O,2,0),"0")</f>
      </c>
      <c r="AI968" s="166">
        <f>AH968*N968</f>
      </c>
      <c r="AJ968" s="7"/>
      <c r="AK968" s="170">
        <f>AI968-AE968</f>
      </c>
      <c r="AL968" s="195"/>
      <c r="AM968" s="6"/>
      <c r="AN968" s="171">
        <f>IFERROR(U968/2,"0")</f>
      </c>
    </row>
    <row x14ac:dyDescent="0.25" r="969" customHeight="1" ht="18.75">
      <c r="A969" s="158">
        <f>A968+1</f>
      </c>
      <c r="B969" s="159"/>
      <c r="C969" s="6"/>
      <c r="D969" s="159"/>
      <c r="E969" s="198"/>
      <c r="F969" s="160"/>
      <c r="G969" s="6"/>
      <c r="H969" s="6"/>
      <c r="I969" s="7"/>
      <c r="J969" s="147"/>
      <c r="K969" s="7"/>
      <c r="L969" s="147"/>
      <c r="M969" s="161">
        <f>IFERROR(VLOOKUP(L969,'Material Master'!B:C,2,0),"")</f>
      </c>
      <c r="N969" s="7"/>
      <c r="O969" s="162">
        <f>IFERROR(M969*N969,"")</f>
      </c>
      <c r="P969" s="6"/>
      <c r="Q969" s="158"/>
      <c r="R969" s="163"/>
      <c r="S969" s="147"/>
      <c r="T969" s="6"/>
      <c r="U969" s="158"/>
      <c r="V969" s="164">
        <v>31</v>
      </c>
      <c r="W969" s="165">
        <f>IFERROR(U969*V969,"0")</f>
      </c>
      <c r="X969" s="7"/>
      <c r="Y969" s="191">
        <f>IFERROR((O969/1000)*Masters!$C$3,"0")</f>
      </c>
      <c r="Z969" s="195"/>
      <c r="AA969" s="164">
        <f>IFERROR(VLOOKUP(L969,Masters!G:H,2,0),"0")</f>
      </c>
      <c r="AB969" s="166">
        <f>IFERROR(AA969*N969,"0")</f>
      </c>
      <c r="AC969" s="196"/>
      <c r="AD969" s="7"/>
      <c r="AE969" s="166">
        <f>W969+Y969+AB969+AD969</f>
      </c>
      <c r="AF969" s="195"/>
      <c r="AG969" s="169">
        <f>M969&amp;"-"&amp;F969</f>
      </c>
      <c r="AH969" s="191">
        <f>IFERROR(VLOOKUP(AG969,Masters!N:O,2,0),"0")</f>
      </c>
      <c r="AI969" s="166">
        <f>AH969*N969</f>
      </c>
      <c r="AJ969" s="7"/>
      <c r="AK969" s="170">
        <f>AI969-AE969</f>
      </c>
      <c r="AL969" s="195"/>
      <c r="AM969" s="6"/>
      <c r="AN969" s="171">
        <f>IFERROR(U969/2,"0")</f>
      </c>
    </row>
    <row x14ac:dyDescent="0.25" r="970" customHeight="1" ht="18.75">
      <c r="A970" s="158">
        <f>A969+1</f>
      </c>
      <c r="B970" s="159"/>
      <c r="C970" s="6"/>
      <c r="D970" s="159"/>
      <c r="E970" s="198"/>
      <c r="F970" s="160"/>
      <c r="G970" s="6"/>
      <c r="H970" s="6"/>
      <c r="I970" s="7"/>
      <c r="J970" s="147"/>
      <c r="K970" s="7"/>
      <c r="L970" s="147"/>
      <c r="M970" s="161">
        <f>IFERROR(VLOOKUP(L970,'Material Master'!B:C,2,0),"")</f>
      </c>
      <c r="N970" s="7"/>
      <c r="O970" s="162">
        <f>IFERROR(M970*N970,"")</f>
      </c>
      <c r="P970" s="6"/>
      <c r="Q970" s="158"/>
      <c r="R970" s="163"/>
      <c r="S970" s="147"/>
      <c r="T970" s="6"/>
      <c r="U970" s="158"/>
      <c r="V970" s="164">
        <v>31</v>
      </c>
      <c r="W970" s="165">
        <f>IFERROR(U970*V970,"0")</f>
      </c>
      <c r="X970" s="7"/>
      <c r="Y970" s="191">
        <f>IFERROR((O970/1000)*Masters!$C$3,"0")</f>
      </c>
      <c r="Z970" s="195"/>
      <c r="AA970" s="164">
        <f>IFERROR(VLOOKUP(L970,Masters!G:H,2,0),"0")</f>
      </c>
      <c r="AB970" s="166">
        <f>IFERROR(AA970*N970,"0")</f>
      </c>
      <c r="AC970" s="196"/>
      <c r="AD970" s="7"/>
      <c r="AE970" s="166">
        <f>W970+Y970+AB970+AD970</f>
      </c>
      <c r="AF970" s="195"/>
      <c r="AG970" s="169">
        <f>M970&amp;"-"&amp;F970</f>
      </c>
      <c r="AH970" s="191">
        <f>IFERROR(VLOOKUP(AG970,Masters!N:O,2,0),"0")</f>
      </c>
      <c r="AI970" s="166">
        <f>AH970*N970</f>
      </c>
      <c r="AJ970" s="7"/>
      <c r="AK970" s="170">
        <f>AI970-AE970</f>
      </c>
      <c r="AL970" s="195"/>
      <c r="AM970" s="6"/>
      <c r="AN970" s="171">
        <f>IFERROR(U970/2,"0")</f>
      </c>
    </row>
    <row x14ac:dyDescent="0.25" r="971" customHeight="1" ht="18.75">
      <c r="A971" s="158">
        <f>A970+1</f>
      </c>
      <c r="B971" s="159"/>
      <c r="C971" s="6"/>
      <c r="D971" s="159"/>
      <c r="E971" s="198"/>
      <c r="F971" s="160"/>
      <c r="G971" s="6"/>
      <c r="H971" s="6"/>
      <c r="I971" s="7"/>
      <c r="J971" s="147"/>
      <c r="K971" s="7"/>
      <c r="L971" s="147"/>
      <c r="M971" s="161">
        <f>IFERROR(VLOOKUP(L971,'Material Master'!B:C,2,0),"")</f>
      </c>
      <c r="N971" s="7"/>
      <c r="O971" s="162">
        <f>IFERROR(M971*N971,"")</f>
      </c>
      <c r="P971" s="6"/>
      <c r="Q971" s="158"/>
      <c r="R971" s="163"/>
      <c r="S971" s="147"/>
      <c r="T971" s="6"/>
      <c r="U971" s="158"/>
      <c r="V971" s="164">
        <v>31</v>
      </c>
      <c r="W971" s="165">
        <f>IFERROR(U971*V971,"0")</f>
      </c>
      <c r="X971" s="7"/>
      <c r="Y971" s="191">
        <f>IFERROR((O971/1000)*Masters!$C$3,"0")</f>
      </c>
      <c r="Z971" s="195"/>
      <c r="AA971" s="164">
        <f>IFERROR(VLOOKUP(L971,Masters!G:H,2,0),"0")</f>
      </c>
      <c r="AB971" s="166">
        <f>IFERROR(AA971*N971,"0")</f>
      </c>
      <c r="AC971" s="196"/>
      <c r="AD971" s="7"/>
      <c r="AE971" s="166">
        <f>W971+Y971+AB971+AD971</f>
      </c>
      <c r="AF971" s="195"/>
      <c r="AG971" s="169">
        <f>M971&amp;"-"&amp;F971</f>
      </c>
      <c r="AH971" s="191">
        <f>IFERROR(VLOOKUP(AG971,Masters!N:O,2,0),"0")</f>
      </c>
      <c r="AI971" s="166">
        <f>AH971*N971</f>
      </c>
      <c r="AJ971" s="7"/>
      <c r="AK971" s="170">
        <f>AI971-AE971</f>
      </c>
      <c r="AL971" s="195"/>
      <c r="AM971" s="6"/>
      <c r="AN971" s="171">
        <f>IFERROR(U971/2,"0")</f>
      </c>
    </row>
    <row x14ac:dyDescent="0.25" r="972" customHeight="1" ht="18.75">
      <c r="A972" s="158">
        <f>A971+1</f>
      </c>
      <c r="B972" s="159"/>
      <c r="C972" s="6"/>
      <c r="D972" s="159"/>
      <c r="E972" s="198"/>
      <c r="F972" s="160"/>
      <c r="G972" s="6"/>
      <c r="H972" s="6"/>
      <c r="I972" s="7"/>
      <c r="J972" s="147"/>
      <c r="K972" s="7"/>
      <c r="L972" s="147"/>
      <c r="M972" s="161">
        <f>IFERROR(VLOOKUP(L972,'Material Master'!B:C,2,0),"")</f>
      </c>
      <c r="N972" s="7"/>
      <c r="O972" s="162">
        <f>IFERROR(M972*N972,"")</f>
      </c>
      <c r="P972" s="6"/>
      <c r="Q972" s="158"/>
      <c r="R972" s="163"/>
      <c r="S972" s="147"/>
      <c r="T972" s="6"/>
      <c r="U972" s="158"/>
      <c r="V972" s="164">
        <v>31</v>
      </c>
      <c r="W972" s="165">
        <f>IFERROR(U972*V972,"0")</f>
      </c>
      <c r="X972" s="7"/>
      <c r="Y972" s="191">
        <f>IFERROR((O972/1000)*Masters!$C$3,"0")</f>
      </c>
      <c r="Z972" s="195"/>
      <c r="AA972" s="164">
        <f>IFERROR(VLOOKUP(L972,Masters!G:H,2,0),"0")</f>
      </c>
      <c r="AB972" s="166">
        <f>IFERROR(AA972*N972,"0")</f>
      </c>
      <c r="AC972" s="196"/>
      <c r="AD972" s="7"/>
      <c r="AE972" s="166">
        <f>W972+Y972+AB972+AD972</f>
      </c>
      <c r="AF972" s="195"/>
      <c r="AG972" s="169">
        <f>M972&amp;"-"&amp;F972</f>
      </c>
      <c r="AH972" s="191">
        <f>IFERROR(VLOOKUP(AG972,Masters!N:O,2,0),"0")</f>
      </c>
      <c r="AI972" s="166">
        <f>AH972*N972</f>
      </c>
      <c r="AJ972" s="7"/>
      <c r="AK972" s="170">
        <f>AI972-AE972</f>
      </c>
      <c r="AL972" s="195"/>
      <c r="AM972" s="6"/>
      <c r="AN972" s="171">
        <f>IFERROR(U972/2,"0")</f>
      </c>
    </row>
    <row x14ac:dyDescent="0.25" r="973" customHeight="1" ht="18.75">
      <c r="A973" s="158">
        <f>A972+1</f>
      </c>
      <c r="B973" s="159"/>
      <c r="C973" s="6"/>
      <c r="D973" s="159"/>
      <c r="E973" s="198"/>
      <c r="F973" s="160"/>
      <c r="G973" s="6"/>
      <c r="H973" s="6"/>
      <c r="I973" s="7"/>
      <c r="J973" s="147"/>
      <c r="K973" s="7"/>
      <c r="L973" s="147"/>
      <c r="M973" s="161">
        <f>IFERROR(VLOOKUP(L973,'Material Master'!B:C,2,0),"")</f>
      </c>
      <c r="N973" s="7"/>
      <c r="O973" s="162">
        <f>IFERROR(M973*N973,"")</f>
      </c>
      <c r="P973" s="6"/>
      <c r="Q973" s="158"/>
      <c r="R973" s="163"/>
      <c r="S973" s="147"/>
      <c r="T973" s="6"/>
      <c r="U973" s="158"/>
      <c r="V973" s="164">
        <v>31</v>
      </c>
      <c r="W973" s="165">
        <f>IFERROR(U973*V973,"0")</f>
      </c>
      <c r="X973" s="7"/>
      <c r="Y973" s="191">
        <f>IFERROR((O973/1000)*Masters!$C$3,"0")</f>
      </c>
      <c r="Z973" s="195"/>
      <c r="AA973" s="164">
        <f>IFERROR(VLOOKUP(L973,Masters!G:H,2,0),"0")</f>
      </c>
      <c r="AB973" s="166">
        <f>IFERROR(AA973*N973,"0")</f>
      </c>
      <c r="AC973" s="196"/>
      <c r="AD973" s="7"/>
      <c r="AE973" s="166">
        <f>W973+Y973+AB973+AD973</f>
      </c>
      <c r="AF973" s="195"/>
      <c r="AG973" s="169">
        <f>M973&amp;"-"&amp;F973</f>
      </c>
      <c r="AH973" s="191">
        <f>IFERROR(VLOOKUP(AG973,Masters!N:O,2,0),"0")</f>
      </c>
      <c r="AI973" s="166">
        <f>AH973*N973</f>
      </c>
      <c r="AJ973" s="7"/>
      <c r="AK973" s="170">
        <f>AI973-AE973</f>
      </c>
      <c r="AL973" s="195"/>
      <c r="AM973" s="6"/>
      <c r="AN973" s="171">
        <f>IFERROR(U973/2,"0")</f>
      </c>
    </row>
    <row x14ac:dyDescent="0.25" r="974" customHeight="1" ht="18.75">
      <c r="A974" s="158">
        <f>A973+1</f>
      </c>
      <c r="B974" s="159"/>
      <c r="C974" s="6"/>
      <c r="D974" s="159"/>
      <c r="E974" s="198"/>
      <c r="F974" s="160"/>
      <c r="G974" s="6"/>
      <c r="H974" s="6"/>
      <c r="I974" s="7"/>
      <c r="J974" s="147"/>
      <c r="K974" s="7"/>
      <c r="L974" s="147"/>
      <c r="M974" s="161">
        <f>IFERROR(VLOOKUP(L974,'Material Master'!B:C,2,0),"")</f>
      </c>
      <c r="N974" s="7"/>
      <c r="O974" s="162">
        <f>IFERROR(M974*N974,"")</f>
      </c>
      <c r="P974" s="6"/>
      <c r="Q974" s="158"/>
      <c r="R974" s="163"/>
      <c r="S974" s="147"/>
      <c r="T974" s="6"/>
      <c r="U974" s="158"/>
      <c r="V974" s="164">
        <v>31</v>
      </c>
      <c r="W974" s="165">
        <f>IFERROR(U974*V974,"0")</f>
      </c>
      <c r="X974" s="7"/>
      <c r="Y974" s="191">
        <f>IFERROR((O974/1000)*Masters!$C$3,"0")</f>
      </c>
      <c r="Z974" s="195"/>
      <c r="AA974" s="164">
        <f>IFERROR(VLOOKUP(L974,Masters!G:H,2,0),"0")</f>
      </c>
      <c r="AB974" s="166">
        <f>IFERROR(AA974*N974,"0")</f>
      </c>
      <c r="AC974" s="196"/>
      <c r="AD974" s="7"/>
      <c r="AE974" s="166">
        <f>W974+Y974+AB974+AD974</f>
      </c>
      <c r="AF974" s="195"/>
      <c r="AG974" s="169">
        <f>M974&amp;"-"&amp;F974</f>
      </c>
      <c r="AH974" s="191">
        <f>IFERROR(VLOOKUP(AG974,Masters!N:O,2,0),"0")</f>
      </c>
      <c r="AI974" s="166">
        <f>AH974*N974</f>
      </c>
      <c r="AJ974" s="7"/>
      <c r="AK974" s="170">
        <f>AI974-AE974</f>
      </c>
      <c r="AL974" s="195"/>
      <c r="AM974" s="6"/>
      <c r="AN974" s="171">
        <f>IFERROR(U974/2,"0")</f>
      </c>
    </row>
    <row x14ac:dyDescent="0.25" r="975" customHeight="1" ht="18.75">
      <c r="A975" s="158">
        <f>A974+1</f>
      </c>
      <c r="B975" s="159"/>
      <c r="C975" s="6"/>
      <c r="D975" s="159"/>
      <c r="E975" s="198"/>
      <c r="F975" s="160"/>
      <c r="G975" s="6"/>
      <c r="H975" s="6"/>
      <c r="I975" s="7"/>
      <c r="J975" s="147"/>
      <c r="K975" s="7"/>
      <c r="L975" s="147"/>
      <c r="M975" s="161">
        <f>IFERROR(VLOOKUP(L975,'Material Master'!B:C,2,0),"")</f>
      </c>
      <c r="N975" s="7"/>
      <c r="O975" s="162">
        <f>IFERROR(M975*N975,"")</f>
      </c>
      <c r="P975" s="6"/>
      <c r="Q975" s="158"/>
      <c r="R975" s="163"/>
      <c r="S975" s="147"/>
      <c r="T975" s="6"/>
      <c r="U975" s="158"/>
      <c r="V975" s="164">
        <v>31</v>
      </c>
      <c r="W975" s="165">
        <f>IFERROR(U975*V975,"0")</f>
      </c>
      <c r="X975" s="7"/>
      <c r="Y975" s="191">
        <f>IFERROR((O975/1000)*Masters!$C$3,"0")</f>
      </c>
      <c r="Z975" s="195"/>
      <c r="AA975" s="164">
        <f>IFERROR(VLOOKUP(L975,Masters!G:H,2,0),"0")</f>
      </c>
      <c r="AB975" s="166">
        <f>IFERROR(AA975*N975,"0")</f>
      </c>
      <c r="AC975" s="196"/>
      <c r="AD975" s="7"/>
      <c r="AE975" s="166">
        <f>W975+Y975+AB975+AD975</f>
      </c>
      <c r="AF975" s="195"/>
      <c r="AG975" s="169">
        <f>M975&amp;"-"&amp;F975</f>
      </c>
      <c r="AH975" s="191">
        <f>IFERROR(VLOOKUP(AG975,Masters!N:O,2,0),"0")</f>
      </c>
      <c r="AI975" s="166">
        <f>AH975*N975</f>
      </c>
      <c r="AJ975" s="7"/>
      <c r="AK975" s="170">
        <f>AI975-AE975</f>
      </c>
      <c r="AL975" s="195"/>
      <c r="AM975" s="6"/>
      <c r="AN975" s="171">
        <f>IFERROR(U975/2,"0")</f>
      </c>
    </row>
    <row x14ac:dyDescent="0.25" r="976" customHeight="1" ht="18.75">
      <c r="A976" s="158">
        <f>A975+1</f>
      </c>
      <c r="B976" s="159"/>
      <c r="C976" s="6"/>
      <c r="D976" s="159"/>
      <c r="E976" s="198"/>
      <c r="F976" s="160"/>
      <c r="G976" s="6"/>
      <c r="H976" s="6"/>
      <c r="I976" s="7"/>
      <c r="J976" s="147"/>
      <c r="K976" s="7"/>
      <c r="L976" s="147"/>
      <c r="M976" s="161">
        <f>IFERROR(VLOOKUP(L976,'Material Master'!B:C,2,0),"")</f>
      </c>
      <c r="N976" s="7"/>
      <c r="O976" s="162">
        <f>IFERROR(M976*N976,"")</f>
      </c>
      <c r="P976" s="6"/>
      <c r="Q976" s="158"/>
      <c r="R976" s="163"/>
      <c r="S976" s="147"/>
      <c r="T976" s="6"/>
      <c r="U976" s="158"/>
      <c r="V976" s="164">
        <v>31</v>
      </c>
      <c r="W976" s="165">
        <f>IFERROR(U976*V976,"0")</f>
      </c>
      <c r="X976" s="7"/>
      <c r="Y976" s="191">
        <f>IFERROR((O976/1000)*Masters!$C$3,"0")</f>
      </c>
      <c r="Z976" s="195"/>
      <c r="AA976" s="164">
        <f>IFERROR(VLOOKUP(L976,Masters!G:H,2,0),"0")</f>
      </c>
      <c r="AB976" s="166">
        <f>IFERROR(AA976*N976,"0")</f>
      </c>
      <c r="AC976" s="196"/>
      <c r="AD976" s="7"/>
      <c r="AE976" s="166">
        <f>W976+Y976+AB976+AD976</f>
      </c>
      <c r="AF976" s="195"/>
      <c r="AG976" s="169">
        <f>M976&amp;"-"&amp;F976</f>
      </c>
      <c r="AH976" s="191">
        <f>IFERROR(VLOOKUP(AG976,Masters!N:O,2,0),"0")</f>
      </c>
      <c r="AI976" s="166">
        <f>AH976*N976</f>
      </c>
      <c r="AJ976" s="7"/>
      <c r="AK976" s="170">
        <f>AI976-AE976</f>
      </c>
      <c r="AL976" s="195"/>
      <c r="AM976" s="6"/>
      <c r="AN976" s="171">
        <f>IFERROR(U976/2,"0")</f>
      </c>
    </row>
    <row x14ac:dyDescent="0.25" r="977" customHeight="1" ht="18.75">
      <c r="A977" s="158">
        <f>A976+1</f>
      </c>
      <c r="B977" s="159"/>
      <c r="C977" s="6"/>
      <c r="D977" s="159"/>
      <c r="E977" s="198"/>
      <c r="F977" s="160"/>
      <c r="G977" s="6"/>
      <c r="H977" s="6"/>
      <c r="I977" s="7"/>
      <c r="J977" s="147"/>
      <c r="K977" s="7"/>
      <c r="L977" s="147"/>
      <c r="M977" s="161">
        <f>IFERROR(VLOOKUP(L977,'Material Master'!B:C,2,0),"")</f>
      </c>
      <c r="N977" s="7"/>
      <c r="O977" s="162">
        <f>IFERROR(M977*N977,"")</f>
      </c>
      <c r="P977" s="6"/>
      <c r="Q977" s="158"/>
      <c r="R977" s="163"/>
      <c r="S977" s="147"/>
      <c r="T977" s="6"/>
      <c r="U977" s="158"/>
      <c r="V977" s="164">
        <v>31</v>
      </c>
      <c r="W977" s="165">
        <f>IFERROR(U977*V977,"0")</f>
      </c>
      <c r="X977" s="7"/>
      <c r="Y977" s="191">
        <f>IFERROR((O977/1000)*Masters!$C$3,"0")</f>
      </c>
      <c r="Z977" s="195"/>
      <c r="AA977" s="164">
        <f>IFERROR(VLOOKUP(L977,Masters!G:H,2,0),"0")</f>
      </c>
      <c r="AB977" s="166">
        <f>IFERROR(AA977*N977,"0")</f>
      </c>
      <c r="AC977" s="196"/>
      <c r="AD977" s="7"/>
      <c r="AE977" s="166">
        <f>W977+Y977+AB977+AD977</f>
      </c>
      <c r="AF977" s="195"/>
      <c r="AG977" s="169">
        <f>M977&amp;"-"&amp;F977</f>
      </c>
      <c r="AH977" s="191">
        <f>IFERROR(VLOOKUP(AG977,Masters!N:O,2,0),"0")</f>
      </c>
      <c r="AI977" s="166">
        <f>AH977*N977</f>
      </c>
      <c r="AJ977" s="7"/>
      <c r="AK977" s="170">
        <f>AI977-AE977</f>
      </c>
      <c r="AL977" s="195"/>
      <c r="AM977" s="6"/>
      <c r="AN977" s="171">
        <f>IFERROR(U977/2,"0")</f>
      </c>
    </row>
    <row x14ac:dyDescent="0.25" r="978" customHeight="1" ht="18.75">
      <c r="A978" s="158">
        <f>A977+1</f>
      </c>
      <c r="B978" s="159"/>
      <c r="C978" s="6"/>
      <c r="D978" s="159"/>
      <c r="E978" s="198"/>
      <c r="F978" s="160"/>
      <c r="G978" s="6"/>
      <c r="H978" s="6"/>
      <c r="I978" s="7"/>
      <c r="J978" s="147"/>
      <c r="K978" s="7"/>
      <c r="L978" s="147"/>
      <c r="M978" s="161">
        <f>IFERROR(VLOOKUP(L978,'Material Master'!B:C,2,0),"")</f>
      </c>
      <c r="N978" s="7"/>
      <c r="O978" s="162">
        <f>IFERROR(M978*N978,"")</f>
      </c>
      <c r="P978" s="6"/>
      <c r="Q978" s="158"/>
      <c r="R978" s="163"/>
      <c r="S978" s="147"/>
      <c r="T978" s="6"/>
      <c r="U978" s="158"/>
      <c r="V978" s="164">
        <v>31</v>
      </c>
      <c r="W978" s="165">
        <f>IFERROR(U978*V978,"0")</f>
      </c>
      <c r="X978" s="7"/>
      <c r="Y978" s="191">
        <f>IFERROR((O978/1000)*Masters!$C$3,"0")</f>
      </c>
      <c r="Z978" s="195"/>
      <c r="AA978" s="164">
        <f>IFERROR(VLOOKUP(L978,Masters!G:H,2,0),"0")</f>
      </c>
      <c r="AB978" s="166">
        <f>IFERROR(AA978*N978,"0")</f>
      </c>
      <c r="AC978" s="196"/>
      <c r="AD978" s="7"/>
      <c r="AE978" s="166">
        <f>W978+Y978+AB978+AD978</f>
      </c>
      <c r="AF978" s="195"/>
      <c r="AG978" s="169">
        <f>M978&amp;"-"&amp;F978</f>
      </c>
      <c r="AH978" s="191">
        <f>IFERROR(VLOOKUP(AG978,Masters!N:O,2,0),"0")</f>
      </c>
      <c r="AI978" s="166">
        <f>AH978*N978</f>
      </c>
      <c r="AJ978" s="7"/>
      <c r="AK978" s="170">
        <f>AI978-AE978</f>
      </c>
      <c r="AL978" s="195"/>
      <c r="AM978" s="6"/>
      <c r="AN978" s="171">
        <f>IFERROR(U978/2,"0")</f>
      </c>
    </row>
    <row x14ac:dyDescent="0.25" r="979" customHeight="1" ht="18.75">
      <c r="A979" s="158">
        <f>A978+1</f>
      </c>
      <c r="B979" s="159"/>
      <c r="C979" s="6"/>
      <c r="D979" s="159"/>
      <c r="E979" s="198"/>
      <c r="F979" s="160"/>
      <c r="G979" s="6"/>
      <c r="H979" s="6"/>
      <c r="I979" s="7"/>
      <c r="J979" s="147"/>
      <c r="K979" s="7"/>
      <c r="L979" s="147"/>
      <c r="M979" s="161">
        <f>IFERROR(VLOOKUP(L979,'Material Master'!B:C,2,0),"")</f>
      </c>
      <c r="N979" s="7"/>
      <c r="O979" s="162">
        <f>IFERROR(M979*N979,"")</f>
      </c>
      <c r="P979" s="6"/>
      <c r="Q979" s="158"/>
      <c r="R979" s="163"/>
      <c r="S979" s="147"/>
      <c r="T979" s="6"/>
      <c r="U979" s="158"/>
      <c r="V979" s="164">
        <v>31</v>
      </c>
      <c r="W979" s="165">
        <f>IFERROR(U979*V979,"0")</f>
      </c>
      <c r="X979" s="7"/>
      <c r="Y979" s="191">
        <f>IFERROR((O979/1000)*Masters!$C$3,"0")</f>
      </c>
      <c r="Z979" s="195"/>
      <c r="AA979" s="164">
        <f>IFERROR(VLOOKUP(L979,Masters!G:H,2,0),"0")</f>
      </c>
      <c r="AB979" s="166">
        <f>IFERROR(AA979*N979,"0")</f>
      </c>
      <c r="AC979" s="196"/>
      <c r="AD979" s="7"/>
      <c r="AE979" s="166">
        <f>W979+Y979+AB979+AD979</f>
      </c>
      <c r="AF979" s="195"/>
      <c r="AG979" s="169">
        <f>M979&amp;"-"&amp;F979</f>
      </c>
      <c r="AH979" s="191">
        <f>IFERROR(VLOOKUP(AG979,Masters!N:O,2,0),"0")</f>
      </c>
      <c r="AI979" s="166">
        <f>AH979*N979</f>
      </c>
      <c r="AJ979" s="7"/>
      <c r="AK979" s="170">
        <f>AI979-AE979</f>
      </c>
      <c r="AL979" s="195"/>
      <c r="AM979" s="6"/>
      <c r="AN979" s="171">
        <f>IFERROR(U979/2,"0")</f>
      </c>
    </row>
    <row x14ac:dyDescent="0.25" r="980" customHeight="1" ht="18.75">
      <c r="A980" s="158">
        <f>A979+1</f>
      </c>
      <c r="B980" s="159"/>
      <c r="C980" s="6"/>
      <c r="D980" s="159"/>
      <c r="E980" s="198"/>
      <c r="F980" s="160"/>
      <c r="G980" s="6"/>
      <c r="H980" s="6"/>
      <c r="I980" s="7"/>
      <c r="J980" s="147"/>
      <c r="K980" s="7"/>
      <c r="L980" s="147"/>
      <c r="M980" s="161">
        <f>IFERROR(VLOOKUP(L980,'Material Master'!B:C,2,0),"")</f>
      </c>
      <c r="N980" s="7"/>
      <c r="O980" s="162">
        <f>IFERROR(M980*N980,"")</f>
      </c>
      <c r="P980" s="6"/>
      <c r="Q980" s="158"/>
      <c r="R980" s="163"/>
      <c r="S980" s="147"/>
      <c r="T980" s="6"/>
      <c r="U980" s="158"/>
      <c r="V980" s="164">
        <v>31</v>
      </c>
      <c r="W980" s="165">
        <f>IFERROR(U980*V980,"0")</f>
      </c>
      <c r="X980" s="7"/>
      <c r="Y980" s="191">
        <f>IFERROR((O980/1000)*Masters!$C$3,"0")</f>
      </c>
      <c r="Z980" s="195"/>
      <c r="AA980" s="164">
        <f>IFERROR(VLOOKUP(L980,Masters!G:H,2,0),"0")</f>
      </c>
      <c r="AB980" s="166">
        <f>IFERROR(AA980*N980,"0")</f>
      </c>
      <c r="AC980" s="196"/>
      <c r="AD980" s="7"/>
      <c r="AE980" s="166">
        <f>W980+Y980+AB980+AD980</f>
      </c>
      <c r="AF980" s="195"/>
      <c r="AG980" s="169">
        <f>M980&amp;"-"&amp;F980</f>
      </c>
      <c r="AH980" s="191">
        <f>IFERROR(VLOOKUP(AG980,Masters!N:O,2,0),"0")</f>
      </c>
      <c r="AI980" s="166">
        <f>AH980*N980</f>
      </c>
      <c r="AJ980" s="7"/>
      <c r="AK980" s="170">
        <f>AI980-AE980</f>
      </c>
      <c r="AL980" s="195"/>
      <c r="AM980" s="6"/>
      <c r="AN980" s="171">
        <f>IFERROR(U980/2,"0")</f>
      </c>
    </row>
    <row x14ac:dyDescent="0.25" r="981" customHeight="1" ht="18.75">
      <c r="A981" s="158">
        <f>A980+1</f>
      </c>
      <c r="B981" s="159"/>
      <c r="C981" s="6"/>
      <c r="D981" s="159"/>
      <c r="E981" s="198"/>
      <c r="F981" s="160"/>
      <c r="G981" s="6"/>
      <c r="H981" s="6"/>
      <c r="I981" s="7"/>
      <c r="J981" s="147"/>
      <c r="K981" s="7"/>
      <c r="L981" s="147"/>
      <c r="M981" s="161">
        <f>IFERROR(VLOOKUP(L981,'Material Master'!B:C,2,0),"")</f>
      </c>
      <c r="N981" s="7"/>
      <c r="O981" s="162">
        <f>IFERROR(M981*N981,"")</f>
      </c>
      <c r="P981" s="6"/>
      <c r="Q981" s="158"/>
      <c r="R981" s="163"/>
      <c r="S981" s="147"/>
      <c r="T981" s="6"/>
      <c r="U981" s="158"/>
      <c r="V981" s="164">
        <v>31</v>
      </c>
      <c r="W981" s="165">
        <f>IFERROR(U981*V981,"0")</f>
      </c>
      <c r="X981" s="7"/>
      <c r="Y981" s="191">
        <f>IFERROR((O981/1000)*Masters!$C$3,"0")</f>
      </c>
      <c r="Z981" s="195"/>
      <c r="AA981" s="164">
        <f>IFERROR(VLOOKUP(L981,Masters!G:H,2,0),"0")</f>
      </c>
      <c r="AB981" s="166">
        <f>IFERROR(AA981*N981,"0")</f>
      </c>
      <c r="AC981" s="196"/>
      <c r="AD981" s="7"/>
      <c r="AE981" s="166">
        <f>W981+Y981+AB981+AD981</f>
      </c>
      <c r="AF981" s="195"/>
      <c r="AG981" s="169">
        <f>M981&amp;"-"&amp;F981</f>
      </c>
      <c r="AH981" s="191">
        <f>IFERROR(VLOOKUP(AG981,Masters!N:O,2,0),"0")</f>
      </c>
      <c r="AI981" s="166">
        <f>AH981*N981</f>
      </c>
      <c r="AJ981" s="7"/>
      <c r="AK981" s="170">
        <f>AI981-AE981</f>
      </c>
      <c r="AL981" s="195"/>
      <c r="AM981" s="6"/>
      <c r="AN981" s="171">
        <f>IFERROR(U981/2,"0")</f>
      </c>
    </row>
    <row x14ac:dyDescent="0.25" r="982" customHeight="1" ht="18.75">
      <c r="A982" s="158">
        <f>A981+1</f>
      </c>
      <c r="B982" s="159"/>
      <c r="C982" s="6"/>
      <c r="D982" s="159"/>
      <c r="E982" s="198"/>
      <c r="F982" s="160"/>
      <c r="G982" s="6"/>
      <c r="H982" s="6"/>
      <c r="I982" s="7"/>
      <c r="J982" s="147"/>
      <c r="K982" s="7"/>
      <c r="L982" s="147"/>
      <c r="M982" s="161">
        <f>IFERROR(VLOOKUP(L982,'Material Master'!B:C,2,0),"")</f>
      </c>
      <c r="N982" s="7"/>
      <c r="O982" s="162">
        <f>IFERROR(M982*N982,"")</f>
      </c>
      <c r="P982" s="6"/>
      <c r="Q982" s="158"/>
      <c r="R982" s="163"/>
      <c r="S982" s="147"/>
      <c r="T982" s="6"/>
      <c r="U982" s="158"/>
      <c r="V982" s="164">
        <v>31</v>
      </c>
      <c r="W982" s="165">
        <f>IFERROR(U982*V982,"0")</f>
      </c>
      <c r="X982" s="7"/>
      <c r="Y982" s="191">
        <f>IFERROR((O982/1000)*Masters!$C$3,"0")</f>
      </c>
      <c r="Z982" s="195"/>
      <c r="AA982" s="164">
        <f>IFERROR(VLOOKUP(L982,Masters!G:H,2,0),"0")</f>
      </c>
      <c r="AB982" s="166">
        <f>IFERROR(AA982*N982,"0")</f>
      </c>
      <c r="AC982" s="196"/>
      <c r="AD982" s="7"/>
      <c r="AE982" s="166">
        <f>W982+Y982+AB982+AD982</f>
      </c>
      <c r="AF982" s="195"/>
      <c r="AG982" s="169">
        <f>M982&amp;"-"&amp;F982</f>
      </c>
      <c r="AH982" s="191">
        <f>IFERROR(VLOOKUP(AG982,Masters!N:O,2,0),"0")</f>
      </c>
      <c r="AI982" s="166">
        <f>AH982*N982</f>
      </c>
      <c r="AJ982" s="7"/>
      <c r="AK982" s="170">
        <f>AI982-AE982</f>
      </c>
      <c r="AL982" s="195"/>
      <c r="AM982" s="6"/>
      <c r="AN982" s="171">
        <f>IFERROR(U982/2,"0")</f>
      </c>
    </row>
    <row x14ac:dyDescent="0.25" r="983" customHeight="1" ht="18.75">
      <c r="A983" s="158">
        <f>A982+1</f>
      </c>
      <c r="B983" s="159"/>
      <c r="C983" s="6"/>
      <c r="D983" s="159"/>
      <c r="E983" s="198"/>
      <c r="F983" s="160"/>
      <c r="G983" s="6"/>
      <c r="H983" s="6"/>
      <c r="I983" s="7"/>
      <c r="J983" s="147"/>
      <c r="K983" s="7"/>
      <c r="L983" s="147"/>
      <c r="M983" s="161">
        <f>IFERROR(VLOOKUP(L983,'Material Master'!B:C,2,0),"")</f>
      </c>
      <c r="N983" s="7"/>
      <c r="O983" s="162">
        <f>IFERROR(M983*N983,"")</f>
      </c>
      <c r="P983" s="6"/>
      <c r="Q983" s="158"/>
      <c r="R983" s="163"/>
      <c r="S983" s="147"/>
      <c r="T983" s="6"/>
      <c r="U983" s="158"/>
      <c r="V983" s="164">
        <v>31</v>
      </c>
      <c r="W983" s="165">
        <f>IFERROR(U983*V983,"0")</f>
      </c>
      <c r="X983" s="7"/>
      <c r="Y983" s="191">
        <f>IFERROR((O983/1000)*Masters!$C$3,"0")</f>
      </c>
      <c r="Z983" s="195"/>
      <c r="AA983" s="164">
        <f>IFERROR(VLOOKUP(L983,Masters!G:H,2,0),"0")</f>
      </c>
      <c r="AB983" s="166">
        <f>IFERROR(AA983*N983,"0")</f>
      </c>
      <c r="AC983" s="196"/>
      <c r="AD983" s="7"/>
      <c r="AE983" s="166">
        <f>W983+Y983+AB983+AD983</f>
      </c>
      <c r="AF983" s="195"/>
      <c r="AG983" s="169">
        <f>M983&amp;"-"&amp;F983</f>
      </c>
      <c r="AH983" s="191">
        <f>IFERROR(VLOOKUP(AG983,Masters!N:O,2,0),"0")</f>
      </c>
      <c r="AI983" s="166">
        <f>AH983*N983</f>
      </c>
      <c r="AJ983" s="7"/>
      <c r="AK983" s="170">
        <f>AI983-AE983</f>
      </c>
      <c r="AL983" s="195"/>
      <c r="AM983" s="6"/>
      <c r="AN983" s="171">
        <f>IFERROR(U983/2,"0")</f>
      </c>
    </row>
    <row x14ac:dyDescent="0.25" r="984" customHeight="1" ht="18.75">
      <c r="A984" s="158">
        <f>A983+1</f>
      </c>
      <c r="B984" s="159"/>
      <c r="C984" s="6"/>
      <c r="D984" s="159"/>
      <c r="E984" s="198"/>
      <c r="F984" s="160"/>
      <c r="G984" s="6"/>
      <c r="H984" s="6"/>
      <c r="I984" s="7"/>
      <c r="J984" s="147"/>
      <c r="K984" s="7"/>
      <c r="L984" s="147"/>
      <c r="M984" s="161">
        <f>IFERROR(VLOOKUP(L984,'Material Master'!B:C,2,0),"")</f>
      </c>
      <c r="N984" s="7"/>
      <c r="O984" s="162">
        <f>IFERROR(M984*N984,"")</f>
      </c>
      <c r="P984" s="6"/>
      <c r="Q984" s="158"/>
      <c r="R984" s="163"/>
      <c r="S984" s="147"/>
      <c r="T984" s="6"/>
      <c r="U984" s="158"/>
      <c r="V984" s="164">
        <v>31</v>
      </c>
      <c r="W984" s="165">
        <f>IFERROR(U984*V984,"0")</f>
      </c>
      <c r="X984" s="7"/>
      <c r="Y984" s="191">
        <f>IFERROR((O984/1000)*Masters!$C$3,"0")</f>
      </c>
      <c r="Z984" s="195"/>
      <c r="AA984" s="164">
        <f>IFERROR(VLOOKUP(L984,Masters!G:H,2,0),"0")</f>
      </c>
      <c r="AB984" s="166">
        <f>IFERROR(AA984*N984,"0")</f>
      </c>
      <c r="AC984" s="196"/>
      <c r="AD984" s="7"/>
      <c r="AE984" s="166">
        <f>W984+Y984+AB984+AD984</f>
      </c>
      <c r="AF984" s="195"/>
      <c r="AG984" s="169">
        <f>M984&amp;"-"&amp;F984</f>
      </c>
      <c r="AH984" s="191">
        <f>IFERROR(VLOOKUP(AG984,Masters!N:O,2,0),"0")</f>
      </c>
      <c r="AI984" s="166">
        <f>AH984*N984</f>
      </c>
      <c r="AJ984" s="7"/>
      <c r="AK984" s="170">
        <f>AI984-AE984</f>
      </c>
      <c r="AL984" s="195"/>
      <c r="AM984" s="6"/>
      <c r="AN984" s="171">
        <f>IFERROR(U984/2,"0")</f>
      </c>
    </row>
    <row x14ac:dyDescent="0.25" r="985" customHeight="1" ht="18.75">
      <c r="A985" s="158">
        <f>A984+1</f>
      </c>
      <c r="B985" s="159"/>
      <c r="C985" s="6"/>
      <c r="D985" s="159"/>
      <c r="E985" s="198"/>
      <c r="F985" s="160"/>
      <c r="G985" s="6"/>
      <c r="H985" s="6"/>
      <c r="I985" s="7"/>
      <c r="J985" s="147"/>
      <c r="K985" s="7"/>
      <c r="L985" s="147"/>
      <c r="M985" s="161">
        <f>IFERROR(VLOOKUP(L985,'Material Master'!B:C,2,0),"")</f>
      </c>
      <c r="N985" s="7"/>
      <c r="O985" s="162">
        <f>IFERROR(M985*N985,"")</f>
      </c>
      <c r="P985" s="6"/>
      <c r="Q985" s="158"/>
      <c r="R985" s="163"/>
      <c r="S985" s="147"/>
      <c r="T985" s="6"/>
      <c r="U985" s="158"/>
      <c r="V985" s="164">
        <v>31</v>
      </c>
      <c r="W985" s="165">
        <f>IFERROR(U985*V985,"0")</f>
      </c>
      <c r="X985" s="7"/>
      <c r="Y985" s="191">
        <f>IFERROR((O985/1000)*Masters!$C$3,"0")</f>
      </c>
      <c r="Z985" s="195"/>
      <c r="AA985" s="164">
        <f>IFERROR(VLOOKUP(L985,Masters!G:H,2,0),"0")</f>
      </c>
      <c r="AB985" s="166">
        <f>IFERROR(AA985*N985,"0")</f>
      </c>
      <c r="AC985" s="196"/>
      <c r="AD985" s="7"/>
      <c r="AE985" s="166">
        <f>W985+Y985+AB985+AD985</f>
      </c>
      <c r="AF985" s="195"/>
      <c r="AG985" s="169">
        <f>M985&amp;"-"&amp;F985</f>
      </c>
      <c r="AH985" s="191">
        <f>IFERROR(VLOOKUP(AG985,Masters!N:O,2,0),"0")</f>
      </c>
      <c r="AI985" s="166">
        <f>AH985*N985</f>
      </c>
      <c r="AJ985" s="7"/>
      <c r="AK985" s="170">
        <f>AI985-AE985</f>
      </c>
      <c r="AL985" s="195"/>
      <c r="AM985" s="6"/>
      <c r="AN985" s="171">
        <f>IFERROR(U985/2,"0")</f>
      </c>
    </row>
    <row x14ac:dyDescent="0.25" r="986" customHeight="1" ht="18.75">
      <c r="A986" s="158">
        <f>A985+1</f>
      </c>
      <c r="B986" s="159"/>
      <c r="C986" s="6"/>
      <c r="D986" s="159"/>
      <c r="E986" s="198"/>
      <c r="F986" s="160"/>
      <c r="G986" s="6"/>
      <c r="H986" s="6"/>
      <c r="I986" s="7"/>
      <c r="J986" s="147"/>
      <c r="K986" s="7"/>
      <c r="L986" s="147"/>
      <c r="M986" s="161">
        <f>IFERROR(VLOOKUP(L986,'Material Master'!B:C,2,0),"")</f>
      </c>
      <c r="N986" s="7"/>
      <c r="O986" s="162">
        <f>IFERROR(M986*N986,"")</f>
      </c>
      <c r="P986" s="6"/>
      <c r="Q986" s="158"/>
      <c r="R986" s="163"/>
      <c r="S986" s="147"/>
      <c r="T986" s="6"/>
      <c r="U986" s="158"/>
      <c r="V986" s="164">
        <v>31</v>
      </c>
      <c r="W986" s="165">
        <f>IFERROR(U986*V986,"0")</f>
      </c>
      <c r="X986" s="7"/>
      <c r="Y986" s="191">
        <f>IFERROR((O986/1000)*Masters!$C$3,"0")</f>
      </c>
      <c r="Z986" s="195"/>
      <c r="AA986" s="164">
        <f>IFERROR(VLOOKUP(L986,Masters!G:H,2,0),"0")</f>
      </c>
      <c r="AB986" s="166">
        <f>IFERROR(AA986*N986,"0")</f>
      </c>
      <c r="AC986" s="196"/>
      <c r="AD986" s="7"/>
      <c r="AE986" s="166">
        <f>W986+Y986+AB986+AD986</f>
      </c>
      <c r="AF986" s="195"/>
      <c r="AG986" s="169">
        <f>M986&amp;"-"&amp;F986</f>
      </c>
      <c r="AH986" s="191">
        <f>IFERROR(VLOOKUP(AG986,Masters!N:O,2,0),"0")</f>
      </c>
      <c r="AI986" s="166">
        <f>AH986*N986</f>
      </c>
      <c r="AJ986" s="7"/>
      <c r="AK986" s="170">
        <f>AI986-AE986</f>
      </c>
      <c r="AL986" s="195"/>
      <c r="AM986" s="6"/>
      <c r="AN986" s="171">
        <f>IFERROR(U986/2,"0")</f>
      </c>
    </row>
    <row x14ac:dyDescent="0.25" r="987" customHeight="1" ht="18.75">
      <c r="A987" s="158">
        <f>A986+1</f>
      </c>
      <c r="B987" s="159"/>
      <c r="C987" s="6"/>
      <c r="D987" s="159"/>
      <c r="E987" s="198"/>
      <c r="F987" s="160"/>
      <c r="G987" s="6"/>
      <c r="H987" s="6"/>
      <c r="I987" s="7"/>
      <c r="J987" s="147"/>
      <c r="K987" s="7"/>
      <c r="L987" s="147"/>
      <c r="M987" s="161">
        <f>IFERROR(VLOOKUP(L987,'Material Master'!B:C,2,0),"")</f>
      </c>
      <c r="N987" s="7"/>
      <c r="O987" s="162">
        <f>IFERROR(M987*N987,"")</f>
      </c>
      <c r="P987" s="6"/>
      <c r="Q987" s="158"/>
      <c r="R987" s="163"/>
      <c r="S987" s="147"/>
      <c r="T987" s="6"/>
      <c r="U987" s="158"/>
      <c r="V987" s="164">
        <v>31</v>
      </c>
      <c r="W987" s="165">
        <f>IFERROR(U987*V987,"0")</f>
      </c>
      <c r="X987" s="7"/>
      <c r="Y987" s="191">
        <f>IFERROR((O987/1000)*Masters!$C$3,"0")</f>
      </c>
      <c r="Z987" s="195"/>
      <c r="AA987" s="164">
        <f>IFERROR(VLOOKUP(L987,Masters!G:H,2,0),"0")</f>
      </c>
      <c r="AB987" s="166">
        <f>IFERROR(AA987*N987,"0")</f>
      </c>
      <c r="AC987" s="196"/>
      <c r="AD987" s="7"/>
      <c r="AE987" s="166">
        <f>W987+Y987+AB987+AD987</f>
      </c>
      <c r="AF987" s="195"/>
      <c r="AG987" s="169">
        <f>M987&amp;"-"&amp;F987</f>
      </c>
      <c r="AH987" s="191">
        <f>IFERROR(VLOOKUP(AG987,Masters!N:O,2,0),"0")</f>
      </c>
      <c r="AI987" s="166">
        <f>AH987*N987</f>
      </c>
      <c r="AJ987" s="7"/>
      <c r="AK987" s="170">
        <f>AI987-AE987</f>
      </c>
      <c r="AL987" s="195"/>
      <c r="AM987" s="6"/>
      <c r="AN987" s="171">
        <f>IFERROR(U987/2,"0")</f>
      </c>
    </row>
    <row x14ac:dyDescent="0.25" r="988" customHeight="1" ht="18.75">
      <c r="A988" s="158">
        <f>A987+1</f>
      </c>
      <c r="B988" s="159"/>
      <c r="C988" s="6"/>
      <c r="D988" s="159"/>
      <c r="E988" s="198"/>
      <c r="F988" s="160"/>
      <c r="G988" s="6"/>
      <c r="H988" s="6"/>
      <c r="I988" s="7"/>
      <c r="J988" s="147"/>
      <c r="K988" s="7"/>
      <c r="L988" s="147"/>
      <c r="M988" s="161">
        <f>IFERROR(VLOOKUP(L988,'Material Master'!B:C,2,0),"")</f>
      </c>
      <c r="N988" s="7"/>
      <c r="O988" s="162">
        <f>IFERROR(M988*N988,"")</f>
      </c>
      <c r="P988" s="6"/>
      <c r="Q988" s="158"/>
      <c r="R988" s="163"/>
      <c r="S988" s="147"/>
      <c r="T988" s="6"/>
      <c r="U988" s="158"/>
      <c r="V988" s="164">
        <v>31</v>
      </c>
      <c r="W988" s="165">
        <f>IFERROR(U988*V988,"0")</f>
      </c>
      <c r="X988" s="7"/>
      <c r="Y988" s="191">
        <f>IFERROR((O988/1000)*Masters!$C$3,"0")</f>
      </c>
      <c r="Z988" s="195"/>
      <c r="AA988" s="164">
        <f>IFERROR(VLOOKUP(L988,Masters!G:H,2,0),"0")</f>
      </c>
      <c r="AB988" s="166">
        <f>IFERROR(AA988*N988,"0")</f>
      </c>
      <c r="AC988" s="196"/>
      <c r="AD988" s="7"/>
      <c r="AE988" s="166">
        <f>W988+Y988+AB988+AD988</f>
      </c>
      <c r="AF988" s="195"/>
      <c r="AG988" s="169">
        <f>M988&amp;"-"&amp;F988</f>
      </c>
      <c r="AH988" s="191">
        <f>IFERROR(VLOOKUP(AG988,Masters!N:O,2,0),"0")</f>
      </c>
      <c r="AI988" s="166">
        <f>AH988*N988</f>
      </c>
      <c r="AJ988" s="7"/>
      <c r="AK988" s="170">
        <f>AI988-AE988</f>
      </c>
      <c r="AL988" s="195"/>
      <c r="AM988" s="6"/>
      <c r="AN988" s="171">
        <f>IFERROR(U988/2,"0")</f>
      </c>
    </row>
    <row x14ac:dyDescent="0.25" r="989" customHeight="1" ht="18.75">
      <c r="A989" s="158">
        <f>A988+1</f>
      </c>
      <c r="B989" s="159"/>
      <c r="C989" s="6"/>
      <c r="D989" s="159"/>
      <c r="E989" s="198"/>
      <c r="F989" s="160"/>
      <c r="G989" s="6"/>
      <c r="H989" s="6"/>
      <c r="I989" s="7"/>
      <c r="J989" s="147"/>
      <c r="K989" s="7"/>
      <c r="L989" s="147"/>
      <c r="M989" s="161">
        <f>IFERROR(VLOOKUP(L989,'Material Master'!B:C,2,0),"")</f>
      </c>
      <c r="N989" s="7"/>
      <c r="O989" s="162">
        <f>IFERROR(M989*N989,"")</f>
      </c>
      <c r="P989" s="6"/>
      <c r="Q989" s="158"/>
      <c r="R989" s="163"/>
      <c r="S989" s="147"/>
      <c r="T989" s="6"/>
      <c r="U989" s="158"/>
      <c r="V989" s="164">
        <v>31</v>
      </c>
      <c r="W989" s="165">
        <f>IFERROR(U989*V989,"0")</f>
      </c>
      <c r="X989" s="7"/>
      <c r="Y989" s="191">
        <f>IFERROR((O989/1000)*Masters!$C$3,"0")</f>
      </c>
      <c r="Z989" s="195"/>
      <c r="AA989" s="164">
        <f>IFERROR(VLOOKUP(L989,Masters!G:H,2,0),"0")</f>
      </c>
      <c r="AB989" s="166">
        <f>IFERROR(AA989*N989,"0")</f>
      </c>
      <c r="AC989" s="196"/>
      <c r="AD989" s="7"/>
      <c r="AE989" s="166">
        <f>W989+Y989+AB989+AD989</f>
      </c>
      <c r="AF989" s="195"/>
      <c r="AG989" s="169">
        <f>M989&amp;"-"&amp;F989</f>
      </c>
      <c r="AH989" s="191">
        <f>IFERROR(VLOOKUP(AG989,Masters!N:O,2,0),"0")</f>
      </c>
      <c r="AI989" s="166">
        <f>AH989*N989</f>
      </c>
      <c r="AJ989" s="7"/>
      <c r="AK989" s="170">
        <f>AI989-AE989</f>
      </c>
      <c r="AL989" s="195"/>
      <c r="AM989" s="6"/>
      <c r="AN989" s="171">
        <f>IFERROR(U989/2,"0")</f>
      </c>
    </row>
    <row x14ac:dyDescent="0.25" r="990" customHeight="1" ht="18.75">
      <c r="A990" s="158">
        <f>A989+1</f>
      </c>
      <c r="B990" s="159"/>
      <c r="C990" s="6"/>
      <c r="D990" s="159"/>
      <c r="E990" s="198"/>
      <c r="F990" s="160"/>
      <c r="G990" s="6"/>
      <c r="H990" s="6"/>
      <c r="I990" s="7"/>
      <c r="J990" s="147"/>
      <c r="K990" s="7"/>
      <c r="L990" s="147"/>
      <c r="M990" s="161">
        <f>IFERROR(VLOOKUP(L990,'Material Master'!B:C,2,0),"")</f>
      </c>
      <c r="N990" s="7"/>
      <c r="O990" s="162">
        <f>IFERROR(M990*N990,"")</f>
      </c>
      <c r="P990" s="6"/>
      <c r="Q990" s="158"/>
      <c r="R990" s="163"/>
      <c r="S990" s="147"/>
      <c r="T990" s="6"/>
      <c r="U990" s="158"/>
      <c r="V990" s="164">
        <v>31</v>
      </c>
      <c r="W990" s="165">
        <f>IFERROR(U990*V990,"0")</f>
      </c>
      <c r="X990" s="7"/>
      <c r="Y990" s="191">
        <f>IFERROR((O990/1000)*Masters!$C$3,"0")</f>
      </c>
      <c r="Z990" s="195"/>
      <c r="AA990" s="164">
        <f>IFERROR(VLOOKUP(L990,Masters!G:H,2,0),"0")</f>
      </c>
      <c r="AB990" s="166">
        <f>IFERROR(AA990*N990,"0")</f>
      </c>
      <c r="AC990" s="196"/>
      <c r="AD990" s="7"/>
      <c r="AE990" s="166">
        <f>W990+Y990+AB990+AD990</f>
      </c>
      <c r="AF990" s="195"/>
      <c r="AG990" s="169">
        <f>M990&amp;"-"&amp;F990</f>
      </c>
      <c r="AH990" s="191">
        <f>IFERROR(VLOOKUP(AG990,Masters!N:O,2,0),"0")</f>
      </c>
      <c r="AI990" s="166">
        <f>AH990*N990</f>
      </c>
      <c r="AJ990" s="7"/>
      <c r="AK990" s="170">
        <f>AI990-AE990</f>
      </c>
      <c r="AL990" s="195"/>
      <c r="AM990" s="6"/>
      <c r="AN990" s="171">
        <f>IFERROR(U990/2,"0")</f>
      </c>
    </row>
    <row x14ac:dyDescent="0.25" r="991" customHeight="1" ht="18.75">
      <c r="A991" s="158">
        <f>A990+1</f>
      </c>
      <c r="B991" s="159"/>
      <c r="C991" s="6"/>
      <c r="D991" s="159"/>
      <c r="E991" s="198"/>
      <c r="F991" s="160"/>
      <c r="G991" s="6"/>
      <c r="H991" s="6"/>
      <c r="I991" s="7"/>
      <c r="J991" s="147"/>
      <c r="K991" s="7"/>
      <c r="L991" s="147"/>
      <c r="M991" s="161">
        <f>IFERROR(VLOOKUP(L991,'Material Master'!B:C,2,0),"")</f>
      </c>
      <c r="N991" s="7"/>
      <c r="O991" s="162">
        <f>IFERROR(M991*N991,"")</f>
      </c>
      <c r="P991" s="6"/>
      <c r="Q991" s="158"/>
      <c r="R991" s="163"/>
      <c r="S991" s="147"/>
      <c r="T991" s="6"/>
      <c r="U991" s="158"/>
      <c r="V991" s="164">
        <v>31</v>
      </c>
      <c r="W991" s="165">
        <f>IFERROR(U991*V991,"0")</f>
      </c>
      <c r="X991" s="7"/>
      <c r="Y991" s="191">
        <f>IFERROR((O991/1000)*Masters!$C$3,"0")</f>
      </c>
      <c r="Z991" s="195"/>
      <c r="AA991" s="164">
        <f>IFERROR(VLOOKUP(L991,Masters!G:H,2,0),"0")</f>
      </c>
      <c r="AB991" s="166">
        <f>IFERROR(AA991*N991,"0")</f>
      </c>
      <c r="AC991" s="196"/>
      <c r="AD991" s="7"/>
      <c r="AE991" s="166">
        <f>W991+Y991+AB991+AD991</f>
      </c>
      <c r="AF991" s="195"/>
      <c r="AG991" s="169">
        <f>M991&amp;"-"&amp;F991</f>
      </c>
      <c r="AH991" s="191">
        <f>IFERROR(VLOOKUP(AG991,Masters!N:O,2,0),"0")</f>
      </c>
      <c r="AI991" s="166">
        <f>AH991*N991</f>
      </c>
      <c r="AJ991" s="7"/>
      <c r="AK991" s="170">
        <f>AI991-AE991</f>
      </c>
      <c r="AL991" s="195"/>
      <c r="AM991" s="6"/>
      <c r="AN991" s="171">
        <f>IFERROR(U991/2,"0")</f>
      </c>
    </row>
    <row x14ac:dyDescent="0.25" r="992" customHeight="1" ht="18.75">
      <c r="A992" s="158">
        <f>A991+1</f>
      </c>
      <c r="B992" s="159"/>
      <c r="C992" s="6"/>
      <c r="D992" s="159"/>
      <c r="E992" s="198"/>
      <c r="F992" s="160"/>
      <c r="G992" s="6"/>
      <c r="H992" s="6"/>
      <c r="I992" s="7"/>
      <c r="J992" s="147"/>
      <c r="K992" s="7"/>
      <c r="L992" s="147"/>
      <c r="M992" s="161">
        <f>IFERROR(VLOOKUP(L992,'Material Master'!B:C,2,0),"")</f>
      </c>
      <c r="N992" s="7"/>
      <c r="O992" s="162">
        <f>IFERROR(M992*N992,"")</f>
      </c>
      <c r="P992" s="6"/>
      <c r="Q992" s="158"/>
      <c r="R992" s="163"/>
      <c r="S992" s="147"/>
      <c r="T992" s="6"/>
      <c r="U992" s="158"/>
      <c r="V992" s="164">
        <v>31</v>
      </c>
      <c r="W992" s="165">
        <f>IFERROR(U992*V992,"0")</f>
      </c>
      <c r="X992" s="7"/>
      <c r="Y992" s="191">
        <f>IFERROR((O992/1000)*Masters!$C$3,"0")</f>
      </c>
      <c r="Z992" s="195"/>
      <c r="AA992" s="164">
        <f>IFERROR(VLOOKUP(L992,Masters!G:H,2,0),"0")</f>
      </c>
      <c r="AB992" s="166">
        <f>IFERROR(AA992*N992,"0")</f>
      </c>
      <c r="AC992" s="196"/>
      <c r="AD992" s="7"/>
      <c r="AE992" s="166">
        <f>W992+Y992+AB992+AD992</f>
      </c>
      <c r="AF992" s="195"/>
      <c r="AG992" s="169">
        <f>M992&amp;"-"&amp;F992</f>
      </c>
      <c r="AH992" s="191">
        <f>IFERROR(VLOOKUP(AG992,Masters!N:O,2,0),"0")</f>
      </c>
      <c r="AI992" s="166">
        <f>AH992*N992</f>
      </c>
      <c r="AJ992" s="7"/>
      <c r="AK992" s="170">
        <f>AI992-AE992</f>
      </c>
      <c r="AL992" s="195"/>
      <c r="AM992" s="6"/>
      <c r="AN992" s="171">
        <f>IFERROR(U992/2,"0")</f>
      </c>
    </row>
    <row x14ac:dyDescent="0.25" r="993" customHeight="1" ht="18.75">
      <c r="A993" s="158">
        <f>A992+1</f>
      </c>
      <c r="B993" s="159"/>
      <c r="C993" s="6"/>
      <c r="D993" s="159"/>
      <c r="E993" s="198"/>
      <c r="F993" s="160"/>
      <c r="G993" s="6"/>
      <c r="H993" s="6"/>
      <c r="I993" s="7"/>
      <c r="J993" s="147"/>
      <c r="K993" s="7"/>
      <c r="L993" s="147"/>
      <c r="M993" s="161">
        <f>IFERROR(VLOOKUP(L993,'Material Master'!B:C,2,0),"")</f>
      </c>
      <c r="N993" s="7"/>
      <c r="O993" s="162">
        <f>IFERROR(M993*N993,"")</f>
      </c>
      <c r="P993" s="6"/>
      <c r="Q993" s="158"/>
      <c r="R993" s="163"/>
      <c r="S993" s="147"/>
      <c r="T993" s="6"/>
      <c r="U993" s="158"/>
      <c r="V993" s="164">
        <v>31</v>
      </c>
      <c r="W993" s="165">
        <f>IFERROR(U993*V993,"0")</f>
      </c>
      <c r="X993" s="7"/>
      <c r="Y993" s="191">
        <f>IFERROR((O993/1000)*Masters!$C$3,"0")</f>
      </c>
      <c r="Z993" s="195"/>
      <c r="AA993" s="164">
        <f>IFERROR(VLOOKUP(L993,Masters!G:H,2,0),"0")</f>
      </c>
      <c r="AB993" s="166">
        <f>IFERROR(AA993*N993,"0")</f>
      </c>
      <c r="AC993" s="196"/>
      <c r="AD993" s="7"/>
      <c r="AE993" s="166">
        <f>W993+Y993+AB993+AD993</f>
      </c>
      <c r="AF993" s="195"/>
      <c r="AG993" s="169">
        <f>M993&amp;"-"&amp;F993</f>
      </c>
      <c r="AH993" s="191">
        <f>IFERROR(VLOOKUP(AG993,Masters!N:O,2,0),"0")</f>
      </c>
      <c r="AI993" s="166">
        <f>AH993*N993</f>
      </c>
      <c r="AJ993" s="7"/>
      <c r="AK993" s="170">
        <f>AI993-AE993</f>
      </c>
      <c r="AL993" s="195"/>
      <c r="AM993" s="6"/>
      <c r="AN993" s="171">
        <f>IFERROR(U993/2,"0")</f>
      </c>
    </row>
    <row x14ac:dyDescent="0.25" r="994" customHeight="1" ht="18.75">
      <c r="A994" s="158">
        <f>A993+1</f>
      </c>
      <c r="B994" s="159"/>
      <c r="C994" s="6"/>
      <c r="D994" s="159"/>
      <c r="E994" s="198"/>
      <c r="F994" s="160"/>
      <c r="G994" s="6"/>
      <c r="H994" s="6"/>
      <c r="I994" s="7"/>
      <c r="J994" s="147"/>
      <c r="K994" s="7"/>
      <c r="L994" s="147"/>
      <c r="M994" s="161">
        <f>IFERROR(VLOOKUP(L994,'Material Master'!B:C,2,0),"")</f>
      </c>
      <c r="N994" s="7"/>
      <c r="O994" s="162">
        <f>IFERROR(M994*N994,"")</f>
      </c>
      <c r="P994" s="6"/>
      <c r="Q994" s="158"/>
      <c r="R994" s="163"/>
      <c r="S994" s="147"/>
      <c r="T994" s="6"/>
      <c r="U994" s="158"/>
      <c r="V994" s="164">
        <v>31</v>
      </c>
      <c r="W994" s="165">
        <f>IFERROR(U994*V994,"0")</f>
      </c>
      <c r="X994" s="7"/>
      <c r="Y994" s="191">
        <f>IFERROR((O994/1000)*Masters!$C$3,"0")</f>
      </c>
      <c r="Z994" s="195"/>
      <c r="AA994" s="164">
        <f>IFERROR(VLOOKUP(L994,Masters!G:H,2,0),"0")</f>
      </c>
      <c r="AB994" s="166">
        <f>IFERROR(AA994*N994,"0")</f>
      </c>
      <c r="AC994" s="196"/>
      <c r="AD994" s="7"/>
      <c r="AE994" s="166">
        <f>W994+Y994+AB994+AD994</f>
      </c>
      <c r="AF994" s="195"/>
      <c r="AG994" s="169">
        <f>M994&amp;"-"&amp;F994</f>
      </c>
      <c r="AH994" s="191">
        <f>IFERROR(VLOOKUP(AG994,Masters!N:O,2,0),"0")</f>
      </c>
      <c r="AI994" s="166">
        <f>AH994*N994</f>
      </c>
      <c r="AJ994" s="7"/>
      <c r="AK994" s="170">
        <f>AI994-AE994</f>
      </c>
      <c r="AL994" s="195"/>
      <c r="AM994" s="6"/>
      <c r="AN994" s="171">
        <f>IFERROR(U994/2,"0")</f>
      </c>
    </row>
    <row x14ac:dyDescent="0.25" r="995" customHeight="1" ht="18.75">
      <c r="A995" s="158">
        <f>A994+1</f>
      </c>
      <c r="B995" s="159"/>
      <c r="C995" s="6"/>
      <c r="D995" s="159"/>
      <c r="E995" s="198"/>
      <c r="F995" s="160"/>
      <c r="G995" s="6"/>
      <c r="H995" s="6"/>
      <c r="I995" s="7"/>
      <c r="J995" s="147"/>
      <c r="K995" s="7"/>
      <c r="L995" s="147"/>
      <c r="M995" s="161">
        <f>IFERROR(VLOOKUP(L995,'Material Master'!B:C,2,0),"")</f>
      </c>
      <c r="N995" s="7"/>
      <c r="O995" s="162">
        <f>IFERROR(M995*N995,"")</f>
      </c>
      <c r="P995" s="6"/>
      <c r="Q995" s="158"/>
      <c r="R995" s="163"/>
      <c r="S995" s="147"/>
      <c r="T995" s="6"/>
      <c r="U995" s="158"/>
      <c r="V995" s="164">
        <v>31</v>
      </c>
      <c r="W995" s="165">
        <f>IFERROR(U995*V995,"0")</f>
      </c>
      <c r="X995" s="7"/>
      <c r="Y995" s="191">
        <f>IFERROR((O995/1000)*Masters!$C$3,"0")</f>
      </c>
      <c r="Z995" s="195"/>
      <c r="AA995" s="164">
        <f>IFERROR(VLOOKUP(L995,Masters!G:H,2,0),"0")</f>
      </c>
      <c r="AB995" s="166">
        <f>IFERROR(AA995*N995,"0")</f>
      </c>
      <c r="AC995" s="196"/>
      <c r="AD995" s="7"/>
      <c r="AE995" s="166">
        <f>W995+Y995+AB995+AD995</f>
      </c>
      <c r="AF995" s="195"/>
      <c r="AG995" s="169">
        <f>M995&amp;"-"&amp;F995</f>
      </c>
      <c r="AH995" s="191">
        <f>IFERROR(VLOOKUP(AG995,Masters!N:O,2,0),"0")</f>
      </c>
      <c r="AI995" s="166">
        <f>AH995*N995</f>
      </c>
      <c r="AJ995" s="7"/>
      <c r="AK995" s="170">
        <f>AI995-AE995</f>
      </c>
      <c r="AL995" s="195"/>
      <c r="AM995" s="6"/>
      <c r="AN995" s="171">
        <f>IFERROR(U995/2,"0")</f>
      </c>
    </row>
    <row x14ac:dyDescent="0.25" r="996" customHeight="1" ht="18.75">
      <c r="A996" s="158">
        <f>A995+1</f>
      </c>
      <c r="B996" s="159"/>
      <c r="C996" s="6"/>
      <c r="D996" s="159"/>
      <c r="E996" s="198"/>
      <c r="F996" s="160"/>
      <c r="G996" s="6"/>
      <c r="H996" s="6"/>
      <c r="I996" s="7"/>
      <c r="J996" s="147"/>
      <c r="K996" s="7"/>
      <c r="L996" s="147"/>
      <c r="M996" s="161">
        <f>IFERROR(VLOOKUP(L996,'Material Master'!B:C,2,0),"")</f>
      </c>
      <c r="N996" s="7"/>
      <c r="O996" s="162">
        <f>IFERROR(M996*N996,"")</f>
      </c>
      <c r="P996" s="6"/>
      <c r="Q996" s="158"/>
      <c r="R996" s="163"/>
      <c r="S996" s="147"/>
      <c r="T996" s="6"/>
      <c r="U996" s="158"/>
      <c r="V996" s="164">
        <v>31</v>
      </c>
      <c r="W996" s="165">
        <f>IFERROR(U996*V996,"0")</f>
      </c>
      <c r="X996" s="7"/>
      <c r="Y996" s="191">
        <f>IFERROR((O996/1000)*Masters!$C$3,"0")</f>
      </c>
      <c r="Z996" s="195"/>
      <c r="AA996" s="164">
        <f>IFERROR(VLOOKUP(L996,Masters!G:H,2,0),"0")</f>
      </c>
      <c r="AB996" s="166">
        <f>IFERROR(AA996*N996,"0")</f>
      </c>
      <c r="AC996" s="196"/>
      <c r="AD996" s="7"/>
      <c r="AE996" s="166">
        <f>W996+Y996+AB996+AD996</f>
      </c>
      <c r="AF996" s="195"/>
      <c r="AG996" s="169">
        <f>M996&amp;"-"&amp;F996</f>
      </c>
      <c r="AH996" s="191">
        <f>IFERROR(VLOOKUP(AG996,Masters!N:O,2,0),"0")</f>
      </c>
      <c r="AI996" s="166">
        <f>AH996*N996</f>
      </c>
      <c r="AJ996" s="7"/>
      <c r="AK996" s="170">
        <f>AI996-AE996</f>
      </c>
      <c r="AL996" s="195"/>
      <c r="AM996" s="6"/>
      <c r="AN996" s="171">
        <f>IFERROR(U996/2,"0")</f>
      </c>
    </row>
    <row x14ac:dyDescent="0.25" r="997" customHeight="1" ht="18.75">
      <c r="A997" s="158">
        <f>A996+1</f>
      </c>
      <c r="B997" s="159"/>
      <c r="C997" s="6"/>
      <c r="D997" s="159"/>
      <c r="E997" s="198"/>
      <c r="F997" s="160"/>
      <c r="G997" s="6"/>
      <c r="H997" s="6"/>
      <c r="I997" s="7"/>
      <c r="J997" s="147"/>
      <c r="K997" s="7"/>
      <c r="L997" s="147"/>
      <c r="M997" s="161">
        <f>IFERROR(VLOOKUP(L997,'Material Master'!B:C,2,0),"")</f>
      </c>
      <c r="N997" s="7"/>
      <c r="O997" s="162">
        <f>IFERROR(M997*N997,"")</f>
      </c>
      <c r="P997" s="6"/>
      <c r="Q997" s="158"/>
      <c r="R997" s="163"/>
      <c r="S997" s="147"/>
      <c r="T997" s="6"/>
      <c r="U997" s="158"/>
      <c r="V997" s="164">
        <v>31</v>
      </c>
      <c r="W997" s="165">
        <f>IFERROR(U997*V997,"0")</f>
      </c>
      <c r="X997" s="7"/>
      <c r="Y997" s="191">
        <f>IFERROR((O997/1000)*Masters!$C$3,"0")</f>
      </c>
      <c r="Z997" s="195"/>
      <c r="AA997" s="164">
        <f>IFERROR(VLOOKUP(L997,Masters!G:H,2,0),"0")</f>
      </c>
      <c r="AB997" s="166">
        <f>IFERROR(AA997*N997,"0")</f>
      </c>
      <c r="AC997" s="196"/>
      <c r="AD997" s="7"/>
      <c r="AE997" s="166">
        <f>W997+Y997+AB997+AD997</f>
      </c>
      <c r="AF997" s="195"/>
      <c r="AG997" s="169">
        <f>M997&amp;"-"&amp;F997</f>
      </c>
      <c r="AH997" s="191">
        <f>IFERROR(VLOOKUP(AG997,Masters!N:O,2,0),"0")</f>
      </c>
      <c r="AI997" s="166">
        <f>AH997*N997</f>
      </c>
      <c r="AJ997" s="7"/>
      <c r="AK997" s="170">
        <f>AI997-AE997</f>
      </c>
      <c r="AL997" s="195"/>
      <c r="AM997" s="6"/>
      <c r="AN997" s="171">
        <f>IFERROR(U997/2,"0")</f>
      </c>
    </row>
    <row x14ac:dyDescent="0.25" r="998" customHeight="1" ht="18.75">
      <c r="A998" s="158">
        <f>A997+1</f>
      </c>
      <c r="B998" s="159"/>
      <c r="C998" s="6"/>
      <c r="D998" s="159"/>
      <c r="E998" s="198"/>
      <c r="F998" s="160"/>
      <c r="G998" s="6"/>
      <c r="H998" s="6"/>
      <c r="I998" s="7"/>
      <c r="J998" s="147"/>
      <c r="K998" s="7"/>
      <c r="L998" s="147"/>
      <c r="M998" s="161">
        <f>IFERROR(VLOOKUP(L998,'Material Master'!B:C,2,0),"")</f>
      </c>
      <c r="N998" s="7"/>
      <c r="O998" s="162">
        <f>IFERROR(M998*N998,"")</f>
      </c>
      <c r="P998" s="6"/>
      <c r="Q998" s="158"/>
      <c r="R998" s="163"/>
      <c r="S998" s="147"/>
      <c r="T998" s="6"/>
      <c r="U998" s="158"/>
      <c r="V998" s="164">
        <v>31</v>
      </c>
      <c r="W998" s="165">
        <f>IFERROR(U998*V998,"0")</f>
      </c>
      <c r="X998" s="7"/>
      <c r="Y998" s="191">
        <f>IFERROR((O998/1000)*Masters!$C$3,"0")</f>
      </c>
      <c r="Z998" s="195"/>
      <c r="AA998" s="164">
        <f>IFERROR(VLOOKUP(L998,Masters!G:H,2,0),"0")</f>
      </c>
      <c r="AB998" s="166">
        <f>IFERROR(AA998*N998,"0")</f>
      </c>
      <c r="AC998" s="196"/>
      <c r="AD998" s="7"/>
      <c r="AE998" s="166">
        <f>W998+Y998+AB998+AD998</f>
      </c>
      <c r="AF998" s="195"/>
      <c r="AG998" s="169">
        <f>M998&amp;"-"&amp;F998</f>
      </c>
      <c r="AH998" s="191">
        <f>IFERROR(VLOOKUP(AG998,Masters!N:O,2,0),"0")</f>
      </c>
      <c r="AI998" s="166">
        <f>AH998*N998</f>
      </c>
      <c r="AJ998" s="7"/>
      <c r="AK998" s="170">
        <f>AI998-AE998</f>
      </c>
      <c r="AL998" s="195"/>
      <c r="AM998" s="6"/>
      <c r="AN998" s="171">
        <f>IFERROR(U998/2,"0")</f>
      </c>
    </row>
    <row x14ac:dyDescent="0.25" r="999" customHeight="1" ht="18.75">
      <c r="A999" s="260">
        <f>A998+1</f>
      </c>
      <c r="B999" s="261" t="s">
        <v>1096</v>
      </c>
      <c r="C999" s="262" t="s">
        <v>1096</v>
      </c>
      <c r="D999" s="261" t="s">
        <v>1096</v>
      </c>
      <c r="E999" s="263"/>
      <c r="F999" s="264"/>
      <c r="G999" s="262" t="s">
        <v>1096</v>
      </c>
      <c r="H999" s="262"/>
      <c r="I999" s="265" t="s">
        <v>1096</v>
      </c>
      <c r="J999" s="266"/>
      <c r="K999" s="265"/>
      <c r="L999" s="266"/>
      <c r="M999" s="267">
        <f>IFERROR(VLOOKUP(L999,'Material Master'!B:C,2,0),"")</f>
      </c>
      <c r="N999" s="265"/>
      <c r="O999" s="268">
        <f>IFERROR(M999*N999,"")</f>
      </c>
      <c r="P999" s="262"/>
      <c r="Q999" s="260"/>
      <c r="R999" s="269"/>
      <c r="S999" s="266"/>
      <c r="T999" s="262"/>
      <c r="U999" s="260"/>
      <c r="V999" s="270">
        <v>31</v>
      </c>
      <c r="W999" s="271">
        <f>IFERROR(U999*V999,"0")</f>
      </c>
      <c r="X999" s="265"/>
      <c r="Y999" s="272">
        <f>IFERROR((O999/1000)*Masters!$C$3,"0")</f>
      </c>
      <c r="Z999" s="273"/>
      <c r="AA999" s="270">
        <f>IFERROR(VLOOKUP(L999,Masters!G:H,2,0),"0")</f>
      </c>
      <c r="AB999" s="274">
        <f>IFERROR(AA999*N999,"0")</f>
      </c>
      <c r="AC999" s="275"/>
      <c r="AD999" s="265"/>
      <c r="AE999" s="274">
        <f>W999+Y999+AB999+AD999</f>
      </c>
      <c r="AF999" s="273"/>
      <c r="AG999" s="276">
        <f>M999&amp;"-"&amp;F999</f>
      </c>
      <c r="AH999" s="272">
        <f>IFERROR(VLOOKUP(AG999,Masters!N:O,2,0),"0")</f>
      </c>
      <c r="AI999" s="274">
        <f>AH999*N999</f>
      </c>
      <c r="AJ999" s="265"/>
      <c r="AK999" s="277">
        <f>AI999-AE999</f>
      </c>
      <c r="AL999" s="273"/>
      <c r="AM999" s="262"/>
      <c r="AN999" s="278">
        <f>IFERROR(U999/2,"0")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01"/>
  <sheetViews>
    <sheetView workbookViewId="0"/>
  </sheetViews>
  <sheetFormatPr defaultRowHeight="15" x14ac:dyDescent="0.25"/>
  <cols>
    <col min="1" max="1" style="129" width="12.43357142857143" customWidth="1" bestFit="1"/>
    <col min="2" max="2" style="14" width="11.290714285714287" customWidth="1" bestFit="1"/>
    <col min="3" max="3" style="14" width="12.005" customWidth="1" bestFit="1"/>
    <col min="4" max="4" style="14" width="11.290714285714287" customWidth="1" bestFit="1"/>
    <col min="5" max="5" style="14" width="12.147857142857141" customWidth="1" bestFit="1"/>
    <col min="6" max="6" style="15" width="11.719285714285713" customWidth="1" bestFit="1"/>
    <col min="7" max="7" style="15" width="13.576428571428572" customWidth="1" bestFit="1"/>
    <col min="8" max="8" style="14" width="11.719285714285713" customWidth="1" bestFit="1"/>
  </cols>
  <sheetData>
    <row x14ac:dyDescent="0.25" r="1" customHeight="1" ht="18.75">
      <c r="A1" s="130" t="s">
        <v>46</v>
      </c>
      <c r="B1" s="37" t="s">
        <v>336</v>
      </c>
      <c r="C1" s="37" t="s">
        <v>348</v>
      </c>
      <c r="D1" s="37" t="s">
        <v>349</v>
      </c>
      <c r="E1" s="37" t="s">
        <v>337</v>
      </c>
      <c r="F1" s="38" t="s">
        <v>350</v>
      </c>
      <c r="G1" s="38" t="s">
        <v>351</v>
      </c>
      <c r="H1" s="3"/>
    </row>
    <row x14ac:dyDescent="0.25" r="2" customHeight="1" ht="18.75">
      <c r="A2" s="131">
        <v>45742</v>
      </c>
      <c r="B2" s="132" t="s">
        <v>307</v>
      </c>
      <c r="C2" s="133" t="s">
        <v>352</v>
      </c>
      <c r="D2" s="133" t="s">
        <v>105</v>
      </c>
      <c r="E2" s="134" t="s">
        <v>353</v>
      </c>
      <c r="F2" s="135">
        <v>9991915392</v>
      </c>
      <c r="G2" s="135">
        <v>4500</v>
      </c>
      <c r="H2" s="134"/>
    </row>
    <row x14ac:dyDescent="0.25" r="3" customHeight="1" ht="18.75">
      <c r="A3" s="131">
        <v>45742</v>
      </c>
      <c r="B3" s="132" t="s">
        <v>308</v>
      </c>
      <c r="C3" s="133" t="s">
        <v>352</v>
      </c>
      <c r="D3" s="133" t="s">
        <v>107</v>
      </c>
      <c r="E3" s="134" t="s">
        <v>354</v>
      </c>
      <c r="F3" s="135">
        <v>8930099027</v>
      </c>
      <c r="G3" s="135">
        <v>8500</v>
      </c>
      <c r="H3" s="134"/>
    </row>
    <row x14ac:dyDescent="0.25" r="4" customHeight="1" ht="18.75">
      <c r="A4" s="131">
        <v>45748</v>
      </c>
      <c r="B4" s="132" t="s">
        <v>311</v>
      </c>
      <c r="C4" s="134" t="s">
        <v>352</v>
      </c>
      <c r="D4" s="134" t="s">
        <v>355</v>
      </c>
      <c r="E4" s="134" t="s">
        <v>356</v>
      </c>
      <c r="F4" s="135">
        <v>9664161140</v>
      </c>
      <c r="G4" s="135">
        <v>15000</v>
      </c>
      <c r="H4" s="134"/>
    </row>
    <row x14ac:dyDescent="0.25" r="5" customHeight="1" ht="18.75">
      <c r="A5" s="131">
        <v>45748</v>
      </c>
      <c r="B5" s="132" t="s">
        <v>312</v>
      </c>
      <c r="C5" s="134" t="s">
        <v>352</v>
      </c>
      <c r="D5" s="134" t="s">
        <v>355</v>
      </c>
      <c r="E5" s="134" t="s">
        <v>357</v>
      </c>
      <c r="F5" s="135">
        <v>7823062311</v>
      </c>
      <c r="G5" s="135">
        <v>15000</v>
      </c>
      <c r="H5" s="134"/>
    </row>
    <row x14ac:dyDescent="0.25" r="6" customHeight="1" ht="18.75">
      <c r="A6" s="131">
        <v>45750</v>
      </c>
      <c r="B6" s="132" t="s">
        <v>313</v>
      </c>
      <c r="C6" s="134" t="s">
        <v>352</v>
      </c>
      <c r="D6" s="134" t="s">
        <v>355</v>
      </c>
      <c r="E6" s="134" t="s">
        <v>358</v>
      </c>
      <c r="F6" s="135">
        <v>9358156970</v>
      </c>
      <c r="G6" s="135">
        <v>15000</v>
      </c>
      <c r="H6" s="134"/>
    </row>
    <row x14ac:dyDescent="0.25" r="7" customHeight="1" ht="18.75">
      <c r="A7" s="136">
        <v>45751</v>
      </c>
      <c r="B7" s="132" t="s">
        <v>314</v>
      </c>
      <c r="C7" s="134" t="s">
        <v>352</v>
      </c>
      <c r="D7" s="134" t="s">
        <v>355</v>
      </c>
      <c r="E7" s="134" t="s">
        <v>359</v>
      </c>
      <c r="F7" s="135">
        <v>9991467044</v>
      </c>
      <c r="G7" s="135">
        <v>15000</v>
      </c>
      <c r="H7" s="134"/>
    </row>
    <row x14ac:dyDescent="0.25" r="8" customHeight="1" ht="18.75">
      <c r="A8" s="136">
        <v>45751</v>
      </c>
      <c r="B8" s="132" t="s">
        <v>315</v>
      </c>
      <c r="C8" s="134" t="s">
        <v>352</v>
      </c>
      <c r="D8" s="134" t="s">
        <v>355</v>
      </c>
      <c r="E8" s="134" t="s">
        <v>360</v>
      </c>
      <c r="F8" s="135">
        <v>7568761465</v>
      </c>
      <c r="G8" s="135">
        <v>15000</v>
      </c>
      <c r="H8" s="134"/>
    </row>
    <row x14ac:dyDescent="0.25" r="9" customHeight="1" ht="18.75">
      <c r="A9" s="136">
        <v>45813</v>
      </c>
      <c r="B9" s="132" t="s">
        <v>316</v>
      </c>
      <c r="C9" s="134" t="s">
        <v>352</v>
      </c>
      <c r="D9" s="134" t="s">
        <v>361</v>
      </c>
      <c r="E9" s="134" t="s">
        <v>362</v>
      </c>
      <c r="F9" s="135">
        <v>9992503467</v>
      </c>
      <c r="G9" s="135">
        <v>13000</v>
      </c>
      <c r="H9" s="134"/>
    </row>
    <row x14ac:dyDescent="0.25" r="10" customHeight="1" ht="18.75">
      <c r="A10" s="136">
        <v>45822</v>
      </c>
      <c r="B10" s="132" t="s">
        <v>317</v>
      </c>
      <c r="C10" s="134" t="s">
        <v>352</v>
      </c>
      <c r="D10" s="134" t="s">
        <v>105</v>
      </c>
      <c r="E10" s="134" t="s">
        <v>360</v>
      </c>
      <c r="F10" s="135">
        <v>9812354689</v>
      </c>
      <c r="G10" s="135">
        <v>13000</v>
      </c>
      <c r="H10" s="134"/>
    </row>
    <row x14ac:dyDescent="0.25" r="11" customHeight="1" ht="18.75">
      <c r="A11" s="136">
        <v>45829</v>
      </c>
      <c r="B11" s="132" t="s">
        <v>318</v>
      </c>
      <c r="C11" s="134" t="s">
        <v>352</v>
      </c>
      <c r="D11" s="134" t="s">
        <v>105</v>
      </c>
      <c r="E11" s="134" t="s">
        <v>363</v>
      </c>
      <c r="F11" s="135">
        <v>9728516610</v>
      </c>
      <c r="G11" s="135">
        <v>13000</v>
      </c>
      <c r="H11" s="134"/>
    </row>
    <row x14ac:dyDescent="0.25" r="12" customHeight="1" ht="18.75">
      <c r="A12" s="136">
        <v>45855</v>
      </c>
      <c r="B12" s="132" t="s">
        <v>319</v>
      </c>
      <c r="C12" s="134" t="s">
        <v>352</v>
      </c>
      <c r="D12" s="134" t="s">
        <v>82</v>
      </c>
      <c r="E12" s="134" t="s">
        <v>364</v>
      </c>
      <c r="F12" s="135">
        <v>8528615343</v>
      </c>
      <c r="G12" s="135">
        <v>12000</v>
      </c>
      <c r="H12" s="134"/>
    </row>
    <row x14ac:dyDescent="0.25" r="13" customHeight="1" ht="18.75">
      <c r="A13" s="136">
        <v>45865</v>
      </c>
      <c r="B13" s="132" t="s">
        <v>319</v>
      </c>
      <c r="C13" s="134" t="s">
        <v>352</v>
      </c>
      <c r="D13" s="134" t="s">
        <v>82</v>
      </c>
      <c r="E13" s="134" t="s">
        <v>364</v>
      </c>
      <c r="F13" s="135">
        <v>8528615343</v>
      </c>
      <c r="G13" s="135">
        <v>12500</v>
      </c>
      <c r="H13" s="134"/>
    </row>
    <row x14ac:dyDescent="0.25" r="14" customHeight="1" ht="18.75">
      <c r="A14" s="136">
        <v>45868</v>
      </c>
      <c r="B14" s="132" t="s">
        <v>319</v>
      </c>
      <c r="C14" s="134" t="s">
        <v>352</v>
      </c>
      <c r="D14" s="134" t="s">
        <v>82</v>
      </c>
      <c r="E14" s="134" t="s">
        <v>364</v>
      </c>
      <c r="F14" s="135">
        <v>8528615343</v>
      </c>
      <c r="G14" s="135">
        <v>12500</v>
      </c>
      <c r="H14" s="134"/>
    </row>
    <row x14ac:dyDescent="0.25" r="15" customHeight="1" ht="18.75">
      <c r="A15" s="136">
        <v>45869</v>
      </c>
      <c r="B15" s="132" t="s">
        <v>320</v>
      </c>
      <c r="C15" s="134" t="s">
        <v>352</v>
      </c>
      <c r="D15" s="134" t="s">
        <v>82</v>
      </c>
      <c r="E15" s="134" t="s">
        <v>365</v>
      </c>
      <c r="F15" s="135">
        <v>9812116473</v>
      </c>
      <c r="G15" s="135">
        <v>12500</v>
      </c>
      <c r="H15" s="134"/>
    </row>
    <row x14ac:dyDescent="0.25" r="16" customHeight="1" ht="18.75">
      <c r="A16" s="136">
        <v>45870</v>
      </c>
      <c r="B16" s="132" t="s">
        <v>322</v>
      </c>
      <c r="C16" s="134" t="s">
        <v>352</v>
      </c>
      <c r="D16" s="134" t="s">
        <v>366</v>
      </c>
      <c r="E16" s="134" t="s">
        <v>360</v>
      </c>
      <c r="F16" s="135">
        <v>9996333717</v>
      </c>
      <c r="G16" s="135">
        <v>14000</v>
      </c>
      <c r="H16" s="134"/>
    </row>
    <row x14ac:dyDescent="0.25" r="17" customHeight="1" ht="18.75">
      <c r="A17" s="136">
        <v>45870</v>
      </c>
      <c r="B17" s="132" t="s">
        <v>321</v>
      </c>
      <c r="C17" s="134" t="s">
        <v>352</v>
      </c>
      <c r="D17" s="134" t="s">
        <v>367</v>
      </c>
      <c r="E17" s="134" t="s">
        <v>359</v>
      </c>
      <c r="F17" s="135">
        <v>6362066820</v>
      </c>
      <c r="G17" s="135">
        <v>8500</v>
      </c>
      <c r="H17" s="134"/>
    </row>
    <row x14ac:dyDescent="0.25" r="18" customHeight="1" ht="18.75">
      <c r="A18" s="136">
        <v>45870</v>
      </c>
      <c r="B18" s="132" t="s">
        <v>319</v>
      </c>
      <c r="C18" s="134" t="s">
        <v>352</v>
      </c>
      <c r="D18" s="134" t="s">
        <v>82</v>
      </c>
      <c r="E18" s="134" t="s">
        <v>364</v>
      </c>
      <c r="F18" s="135">
        <v>8528615343</v>
      </c>
      <c r="G18" s="135">
        <v>12500</v>
      </c>
      <c r="H18" s="134"/>
    </row>
    <row x14ac:dyDescent="0.25" r="19" customHeight="1" ht="18.75">
      <c r="A19" s="136">
        <v>45871</v>
      </c>
      <c r="B19" s="132" t="s">
        <v>323</v>
      </c>
      <c r="C19" s="134" t="s">
        <v>352</v>
      </c>
      <c r="D19" s="134" t="s">
        <v>82</v>
      </c>
      <c r="E19" s="134" t="s">
        <v>368</v>
      </c>
      <c r="F19" s="135">
        <v>9050185672</v>
      </c>
      <c r="G19" s="135">
        <v>9000</v>
      </c>
      <c r="H19" s="134"/>
    </row>
    <row x14ac:dyDescent="0.25" r="20" customHeight="1" ht="18.75">
      <c r="A20" s="136">
        <v>45903</v>
      </c>
      <c r="B20" s="132" t="s">
        <v>324</v>
      </c>
      <c r="C20" s="134" t="s">
        <v>352</v>
      </c>
      <c r="D20" s="134" t="s">
        <v>158</v>
      </c>
      <c r="E20" s="134" t="s">
        <v>369</v>
      </c>
      <c r="F20" s="135">
        <v>7015595178</v>
      </c>
      <c r="G20" s="135">
        <v>10000</v>
      </c>
      <c r="H20" s="134"/>
    </row>
    <row x14ac:dyDescent="0.25" r="21" customHeight="1" ht="18.75">
      <c r="A21" s="136">
        <v>45928</v>
      </c>
      <c r="B21" s="132" t="s">
        <v>319</v>
      </c>
      <c r="C21" s="134" t="s">
        <v>352</v>
      </c>
      <c r="D21" s="134" t="s">
        <v>82</v>
      </c>
      <c r="E21" s="134" t="s">
        <v>370</v>
      </c>
      <c r="F21" s="135">
        <v>7015595178</v>
      </c>
      <c r="G21" s="137"/>
      <c r="H21" s="134"/>
    </row>
    <row x14ac:dyDescent="0.25" r="22" customHeight="1" ht="18.75">
      <c r="A22" s="136">
        <v>45930</v>
      </c>
      <c r="B22" s="132" t="s">
        <v>319</v>
      </c>
      <c r="C22" s="134" t="s">
        <v>352</v>
      </c>
      <c r="D22" s="134" t="s">
        <v>82</v>
      </c>
      <c r="E22" s="134" t="s">
        <v>370</v>
      </c>
      <c r="F22" s="135">
        <v>7015595178</v>
      </c>
      <c r="G22" s="137"/>
      <c r="H22" s="134"/>
    </row>
    <row x14ac:dyDescent="0.25" r="23" customHeight="1" ht="18.75">
      <c r="A23" s="136">
        <v>45930</v>
      </c>
      <c r="B23" s="132" t="s">
        <v>325</v>
      </c>
      <c r="C23" s="134" t="s">
        <v>352</v>
      </c>
      <c r="D23" s="134" t="s">
        <v>371</v>
      </c>
      <c r="E23" s="134" t="s">
        <v>372</v>
      </c>
      <c r="F23" s="135">
        <v>9887891170</v>
      </c>
      <c r="G23" s="137"/>
      <c r="H23" s="134"/>
    </row>
    <row x14ac:dyDescent="0.25" r="24" customHeight="1" ht="18.75">
      <c r="A24" s="136">
        <v>45936</v>
      </c>
      <c r="B24" s="132" t="s">
        <v>326</v>
      </c>
      <c r="C24" s="134" t="s">
        <v>352</v>
      </c>
      <c r="D24" s="134" t="s">
        <v>371</v>
      </c>
      <c r="E24" s="134" t="s">
        <v>373</v>
      </c>
      <c r="F24" s="135">
        <v>9812445367</v>
      </c>
      <c r="G24" s="137"/>
      <c r="H24" s="134"/>
    </row>
    <row x14ac:dyDescent="0.25" r="25" customHeight="1" ht="18.75">
      <c r="A25" s="136">
        <v>45936</v>
      </c>
      <c r="B25" s="132" t="s">
        <v>327</v>
      </c>
      <c r="C25" s="134" t="s">
        <v>352</v>
      </c>
      <c r="D25" s="134" t="s">
        <v>371</v>
      </c>
      <c r="E25" s="134" t="s">
        <v>374</v>
      </c>
      <c r="F25" s="135">
        <v>7014547833</v>
      </c>
      <c r="G25" s="137"/>
      <c r="H25" s="134"/>
    </row>
    <row x14ac:dyDescent="0.25" r="26" customHeight="1" ht="18.75">
      <c r="A26" s="136">
        <v>45937</v>
      </c>
      <c r="B26" s="132" t="s">
        <v>328</v>
      </c>
      <c r="C26" s="134" t="s">
        <v>352</v>
      </c>
      <c r="D26" s="134" t="s">
        <v>371</v>
      </c>
      <c r="E26" s="134" t="s">
        <v>375</v>
      </c>
      <c r="F26" s="135">
        <v>8053436689</v>
      </c>
      <c r="G26" s="137"/>
      <c r="H26" s="134"/>
    </row>
    <row x14ac:dyDescent="0.25" r="27" customHeight="1" ht="18.75">
      <c r="A27" s="136">
        <v>45937</v>
      </c>
      <c r="B27" s="132" t="s">
        <v>329</v>
      </c>
      <c r="C27" s="134" t="s">
        <v>352</v>
      </c>
      <c r="D27" s="134" t="s">
        <v>371</v>
      </c>
      <c r="E27" s="134" t="s">
        <v>373</v>
      </c>
      <c r="F27" s="135">
        <v>7015544377</v>
      </c>
      <c r="G27" s="137"/>
      <c r="H27" s="134"/>
    </row>
    <row x14ac:dyDescent="0.25" r="28" customHeight="1" ht="18.75">
      <c r="A28" s="136">
        <v>45938</v>
      </c>
      <c r="B28" s="132" t="s">
        <v>331</v>
      </c>
      <c r="C28" s="134" t="s">
        <v>352</v>
      </c>
      <c r="D28" s="134" t="s">
        <v>371</v>
      </c>
      <c r="E28" s="134" t="s">
        <v>376</v>
      </c>
      <c r="F28" s="135">
        <v>9991642276</v>
      </c>
      <c r="G28" s="137"/>
      <c r="H28" s="134"/>
    </row>
    <row x14ac:dyDescent="0.25" r="29" customHeight="1" ht="18.75">
      <c r="A29" s="136">
        <v>45938</v>
      </c>
      <c r="B29" s="132" t="s">
        <v>330</v>
      </c>
      <c r="C29" s="134" t="s">
        <v>352</v>
      </c>
      <c r="D29" s="134" t="s">
        <v>371</v>
      </c>
      <c r="E29" s="134" t="s">
        <v>377</v>
      </c>
      <c r="F29" s="135">
        <v>7850091362</v>
      </c>
      <c r="G29" s="137"/>
      <c r="H29" s="134"/>
    </row>
    <row x14ac:dyDescent="0.25" r="30" customHeight="1" ht="18.75">
      <c r="A30" s="136">
        <v>45938</v>
      </c>
      <c r="B30" s="132" t="s">
        <v>332</v>
      </c>
      <c r="C30" s="134" t="s">
        <v>352</v>
      </c>
      <c r="D30" s="134" t="s">
        <v>371</v>
      </c>
      <c r="E30" s="134" t="s">
        <v>378</v>
      </c>
      <c r="F30" s="135">
        <v>9812543300</v>
      </c>
      <c r="G30" s="137"/>
      <c r="H30" s="134"/>
    </row>
    <row x14ac:dyDescent="0.25" r="31" customHeight="1" ht="18.75">
      <c r="A31" s="136">
        <v>45939</v>
      </c>
      <c r="B31" s="132" t="s">
        <v>333</v>
      </c>
      <c r="C31" s="134" t="s">
        <v>352</v>
      </c>
      <c r="D31" s="134" t="s">
        <v>371</v>
      </c>
      <c r="E31" s="134" t="s">
        <v>357</v>
      </c>
      <c r="F31" s="135">
        <v>8053437891</v>
      </c>
      <c r="G31" s="137"/>
      <c r="H31" s="138"/>
    </row>
    <row x14ac:dyDescent="0.25" r="32" customHeight="1" ht="18.75">
      <c r="A32" s="139"/>
      <c r="B32" s="132"/>
      <c r="C32" s="134"/>
      <c r="D32" s="134"/>
      <c r="E32" s="134"/>
      <c r="F32" s="137"/>
      <c r="G32" s="140"/>
      <c r="H32" s="113"/>
    </row>
    <row x14ac:dyDescent="0.25" r="33" customHeight="1" ht="18.75">
      <c r="A33" s="139"/>
      <c r="B33" s="132"/>
      <c r="C33" s="134"/>
      <c r="D33" s="134"/>
      <c r="E33" s="134"/>
      <c r="F33" s="137"/>
      <c r="G33" s="140"/>
      <c r="H33" s="33"/>
    </row>
    <row x14ac:dyDescent="0.25" r="34" customHeight="1" ht="18.75">
      <c r="A34" s="139"/>
      <c r="B34" s="132"/>
      <c r="C34" s="134"/>
      <c r="D34" s="134"/>
      <c r="E34" s="134"/>
      <c r="F34" s="137"/>
      <c r="G34" s="140"/>
      <c r="H34" s="33"/>
    </row>
    <row x14ac:dyDescent="0.25" r="35" customHeight="1" ht="18.75">
      <c r="A35" s="139"/>
      <c r="B35" s="132"/>
      <c r="C35" s="134"/>
      <c r="D35" s="134"/>
      <c r="E35" s="134"/>
      <c r="F35" s="137"/>
      <c r="G35" s="140"/>
      <c r="H35" s="33"/>
    </row>
    <row x14ac:dyDescent="0.25" r="36" customHeight="1" ht="18.75">
      <c r="A36" s="139"/>
      <c r="B36" s="132"/>
      <c r="C36" s="134"/>
      <c r="D36" s="134"/>
      <c r="E36" s="134"/>
      <c r="F36" s="137"/>
      <c r="G36" s="140"/>
      <c r="H36" s="33"/>
    </row>
    <row x14ac:dyDescent="0.25" r="37" customHeight="1" ht="18.75">
      <c r="A37" s="139"/>
      <c r="B37" s="132"/>
      <c r="C37" s="134"/>
      <c r="D37" s="134"/>
      <c r="E37" s="134"/>
      <c r="F37" s="137"/>
      <c r="G37" s="140"/>
      <c r="H37" s="33"/>
    </row>
    <row x14ac:dyDescent="0.25" r="38" customHeight="1" ht="18.75">
      <c r="A38" s="139"/>
      <c r="B38" s="132"/>
      <c r="C38" s="134"/>
      <c r="D38" s="134"/>
      <c r="E38" s="134"/>
      <c r="F38" s="137"/>
      <c r="G38" s="140"/>
      <c r="H38" s="33"/>
    </row>
    <row x14ac:dyDescent="0.25" r="39" customHeight="1" ht="18.75">
      <c r="A39" s="139"/>
      <c r="B39" s="132"/>
      <c r="C39" s="134"/>
      <c r="D39" s="134"/>
      <c r="E39" s="134"/>
      <c r="F39" s="137"/>
      <c r="G39" s="140"/>
      <c r="H39" s="33"/>
    </row>
    <row x14ac:dyDescent="0.25" r="40" customHeight="1" ht="18.75">
      <c r="A40" s="139"/>
      <c r="B40" s="132"/>
      <c r="C40" s="134"/>
      <c r="D40" s="134"/>
      <c r="E40" s="134"/>
      <c r="F40" s="137"/>
      <c r="G40" s="140"/>
      <c r="H40" s="33"/>
    </row>
    <row x14ac:dyDescent="0.25" r="41" customHeight="1" ht="18.75">
      <c r="A41" s="139"/>
      <c r="B41" s="132"/>
      <c r="C41" s="134"/>
      <c r="D41" s="134"/>
      <c r="E41" s="134"/>
      <c r="F41" s="137"/>
      <c r="G41" s="140"/>
      <c r="H41" s="33"/>
    </row>
    <row x14ac:dyDescent="0.25" r="42" customHeight="1" ht="18.75">
      <c r="A42" s="139"/>
      <c r="B42" s="132"/>
      <c r="C42" s="134"/>
      <c r="D42" s="134"/>
      <c r="E42" s="134"/>
      <c r="F42" s="137"/>
      <c r="G42" s="140"/>
      <c r="H42" s="33"/>
    </row>
    <row x14ac:dyDescent="0.25" r="43" customHeight="1" ht="18.75">
      <c r="A43" s="139"/>
      <c r="B43" s="132"/>
      <c r="C43" s="134"/>
      <c r="D43" s="134"/>
      <c r="E43" s="134"/>
      <c r="F43" s="137"/>
      <c r="G43" s="140"/>
      <c r="H43" s="33"/>
    </row>
    <row x14ac:dyDescent="0.25" r="44" customHeight="1" ht="18.75">
      <c r="A44" s="139"/>
      <c r="B44" s="132"/>
      <c r="C44" s="134"/>
      <c r="D44" s="134"/>
      <c r="E44" s="134"/>
      <c r="F44" s="137"/>
      <c r="G44" s="140"/>
      <c r="H44" s="33"/>
    </row>
    <row x14ac:dyDescent="0.25" r="45" customHeight="1" ht="18.75">
      <c r="A45" s="139"/>
      <c r="B45" s="132"/>
      <c r="C45" s="134"/>
      <c r="D45" s="134"/>
      <c r="E45" s="134"/>
      <c r="F45" s="137"/>
      <c r="G45" s="140"/>
      <c r="H45" s="33"/>
    </row>
    <row x14ac:dyDescent="0.25" r="46" customHeight="1" ht="18.75">
      <c r="A46" s="139"/>
      <c r="B46" s="132"/>
      <c r="C46" s="134"/>
      <c r="D46" s="134"/>
      <c r="E46" s="134"/>
      <c r="F46" s="137"/>
      <c r="G46" s="140"/>
      <c r="H46" s="33"/>
    </row>
    <row x14ac:dyDescent="0.25" r="47" customHeight="1" ht="18.75">
      <c r="A47" s="139"/>
      <c r="B47" s="132"/>
      <c r="C47" s="134"/>
      <c r="D47" s="134"/>
      <c r="E47" s="134"/>
      <c r="F47" s="137"/>
      <c r="G47" s="140"/>
      <c r="H47" s="33"/>
    </row>
    <row x14ac:dyDescent="0.25" r="48" customHeight="1" ht="18.75">
      <c r="A48" s="139"/>
      <c r="B48" s="132"/>
      <c r="C48" s="134"/>
      <c r="D48" s="134"/>
      <c r="E48" s="134"/>
      <c r="F48" s="137"/>
      <c r="G48" s="140"/>
      <c r="H48" s="33"/>
    </row>
    <row x14ac:dyDescent="0.25" r="49" customHeight="1" ht="18.75">
      <c r="A49" s="139"/>
      <c r="B49" s="132"/>
      <c r="C49" s="134"/>
      <c r="D49" s="134"/>
      <c r="E49" s="134"/>
      <c r="F49" s="137"/>
      <c r="G49" s="140"/>
      <c r="H49" s="33"/>
    </row>
    <row x14ac:dyDescent="0.25" r="50" customHeight="1" ht="18.75">
      <c r="A50" s="139"/>
      <c r="B50" s="132"/>
      <c r="C50" s="134"/>
      <c r="D50" s="134"/>
      <c r="E50" s="134"/>
      <c r="F50" s="137"/>
      <c r="G50" s="140"/>
      <c r="H50" s="33"/>
    </row>
    <row x14ac:dyDescent="0.25" r="51" customHeight="1" ht="18.75">
      <c r="A51" s="139"/>
      <c r="B51" s="132"/>
      <c r="C51" s="134"/>
      <c r="D51" s="134"/>
      <c r="E51" s="134"/>
      <c r="F51" s="137"/>
      <c r="G51" s="140"/>
      <c r="H51" s="33"/>
    </row>
    <row x14ac:dyDescent="0.25" r="52" customHeight="1" ht="18.75">
      <c r="A52" s="139"/>
      <c r="B52" s="132"/>
      <c r="C52" s="134"/>
      <c r="D52" s="134"/>
      <c r="E52" s="134"/>
      <c r="F52" s="137"/>
      <c r="G52" s="140"/>
      <c r="H52" s="33"/>
    </row>
    <row x14ac:dyDescent="0.25" r="53" customHeight="1" ht="18.75">
      <c r="A53" s="139"/>
      <c r="B53" s="132"/>
      <c r="C53" s="134"/>
      <c r="D53" s="134"/>
      <c r="E53" s="134"/>
      <c r="F53" s="137"/>
      <c r="G53" s="140"/>
      <c r="H53" s="33"/>
    </row>
    <row x14ac:dyDescent="0.25" r="54" customHeight="1" ht="18.75">
      <c r="A54" s="139"/>
      <c r="B54" s="132"/>
      <c r="C54" s="134"/>
      <c r="D54" s="134"/>
      <c r="E54" s="134"/>
      <c r="F54" s="137"/>
      <c r="G54" s="140"/>
      <c r="H54" s="33"/>
    </row>
    <row x14ac:dyDescent="0.25" r="55" customHeight="1" ht="18.75">
      <c r="A55" s="139"/>
      <c r="B55" s="132"/>
      <c r="C55" s="134"/>
      <c r="D55" s="134"/>
      <c r="E55" s="134"/>
      <c r="F55" s="137"/>
      <c r="G55" s="140"/>
      <c r="H55" s="33"/>
    </row>
    <row x14ac:dyDescent="0.25" r="56" customHeight="1" ht="18.75">
      <c r="A56" s="139"/>
      <c r="B56" s="132"/>
      <c r="C56" s="134"/>
      <c r="D56" s="134"/>
      <c r="E56" s="134"/>
      <c r="F56" s="137"/>
      <c r="G56" s="140"/>
      <c r="H56" s="33"/>
    </row>
    <row x14ac:dyDescent="0.25" r="57" customHeight="1" ht="18.75">
      <c r="A57" s="139"/>
      <c r="B57" s="132"/>
      <c r="C57" s="134"/>
      <c r="D57" s="134"/>
      <c r="E57" s="134"/>
      <c r="F57" s="137"/>
      <c r="G57" s="140"/>
      <c r="H57" s="33"/>
    </row>
    <row x14ac:dyDescent="0.25" r="58" customHeight="1" ht="18.75">
      <c r="A58" s="139"/>
      <c r="B58" s="132"/>
      <c r="C58" s="134"/>
      <c r="D58" s="134"/>
      <c r="E58" s="134"/>
      <c r="F58" s="137"/>
      <c r="G58" s="140"/>
      <c r="H58" s="33"/>
    </row>
    <row x14ac:dyDescent="0.25" r="59" customHeight="1" ht="18.75">
      <c r="A59" s="139"/>
      <c r="B59" s="132"/>
      <c r="C59" s="134"/>
      <c r="D59" s="134"/>
      <c r="E59" s="134"/>
      <c r="F59" s="137"/>
      <c r="G59" s="140"/>
      <c r="H59" s="33"/>
    </row>
    <row x14ac:dyDescent="0.25" r="60" customHeight="1" ht="18.75">
      <c r="A60" s="139"/>
      <c r="B60" s="132"/>
      <c r="C60" s="134"/>
      <c r="D60" s="134"/>
      <c r="E60" s="134"/>
      <c r="F60" s="137"/>
      <c r="G60" s="140"/>
      <c r="H60" s="33"/>
    </row>
    <row x14ac:dyDescent="0.25" r="61" customHeight="1" ht="18.75">
      <c r="A61" s="139"/>
      <c r="B61" s="132"/>
      <c r="C61" s="134"/>
      <c r="D61" s="134"/>
      <c r="E61" s="134"/>
      <c r="F61" s="137"/>
      <c r="G61" s="140"/>
      <c r="H61" s="33"/>
    </row>
    <row x14ac:dyDescent="0.25" r="62" customHeight="1" ht="18.75">
      <c r="A62" s="139"/>
      <c r="B62" s="132"/>
      <c r="C62" s="134"/>
      <c r="D62" s="134"/>
      <c r="E62" s="134"/>
      <c r="F62" s="137"/>
      <c r="G62" s="140"/>
      <c r="H62" s="33"/>
    </row>
    <row x14ac:dyDescent="0.25" r="63" customHeight="1" ht="18.75">
      <c r="A63" s="139"/>
      <c r="B63" s="132"/>
      <c r="C63" s="134"/>
      <c r="D63" s="134"/>
      <c r="E63" s="134"/>
      <c r="F63" s="137"/>
      <c r="G63" s="140"/>
      <c r="H63" s="33"/>
    </row>
    <row x14ac:dyDescent="0.25" r="64" customHeight="1" ht="18.75">
      <c r="A64" s="139"/>
      <c r="B64" s="132"/>
      <c r="C64" s="134"/>
      <c r="D64" s="134"/>
      <c r="E64" s="134"/>
      <c r="F64" s="137"/>
      <c r="G64" s="140"/>
      <c r="H64" s="33"/>
    </row>
    <row x14ac:dyDescent="0.25" r="65" customHeight="1" ht="18.75">
      <c r="A65" s="139"/>
      <c r="B65" s="132"/>
      <c r="C65" s="134"/>
      <c r="D65" s="134"/>
      <c r="E65" s="134"/>
      <c r="F65" s="137"/>
      <c r="G65" s="140"/>
      <c r="H65" s="33"/>
    </row>
    <row x14ac:dyDescent="0.25" r="66" customHeight="1" ht="18.75">
      <c r="A66" s="139"/>
      <c r="B66" s="132"/>
      <c r="C66" s="134"/>
      <c r="D66" s="134"/>
      <c r="E66" s="134"/>
      <c r="F66" s="137"/>
      <c r="G66" s="140"/>
      <c r="H66" s="33"/>
    </row>
    <row x14ac:dyDescent="0.25" r="67" customHeight="1" ht="18.75">
      <c r="A67" s="139"/>
      <c r="B67" s="132"/>
      <c r="C67" s="134"/>
      <c r="D67" s="134"/>
      <c r="E67" s="134"/>
      <c r="F67" s="137"/>
      <c r="G67" s="140"/>
      <c r="H67" s="33"/>
    </row>
    <row x14ac:dyDescent="0.25" r="68" customHeight="1" ht="18.75">
      <c r="A68" s="139"/>
      <c r="B68" s="132"/>
      <c r="C68" s="134"/>
      <c r="D68" s="134"/>
      <c r="E68" s="134"/>
      <c r="F68" s="137"/>
      <c r="G68" s="140"/>
      <c r="H68" s="33"/>
    </row>
    <row x14ac:dyDescent="0.25" r="69" customHeight="1" ht="18.75">
      <c r="A69" s="139"/>
      <c r="B69" s="132"/>
      <c r="C69" s="134"/>
      <c r="D69" s="134"/>
      <c r="E69" s="134"/>
      <c r="F69" s="137"/>
      <c r="G69" s="140"/>
      <c r="H69" s="33"/>
    </row>
    <row x14ac:dyDescent="0.25" r="70" customHeight="1" ht="18.75">
      <c r="A70" s="139"/>
      <c r="B70" s="132"/>
      <c r="C70" s="134"/>
      <c r="D70" s="134"/>
      <c r="E70" s="134"/>
      <c r="F70" s="137"/>
      <c r="G70" s="140"/>
      <c r="H70" s="33"/>
    </row>
    <row x14ac:dyDescent="0.25" r="71" customHeight="1" ht="18.75">
      <c r="A71" s="139"/>
      <c r="B71" s="132"/>
      <c r="C71" s="134"/>
      <c r="D71" s="134"/>
      <c r="E71" s="134"/>
      <c r="F71" s="137"/>
      <c r="G71" s="140"/>
      <c r="H71" s="33"/>
    </row>
    <row x14ac:dyDescent="0.25" r="72" customHeight="1" ht="18.75">
      <c r="A72" s="139"/>
      <c r="B72" s="132"/>
      <c r="C72" s="134"/>
      <c r="D72" s="134"/>
      <c r="E72" s="134"/>
      <c r="F72" s="137"/>
      <c r="G72" s="140"/>
      <c r="H72" s="33"/>
    </row>
    <row x14ac:dyDescent="0.25" r="73" customHeight="1" ht="18.75">
      <c r="A73" s="139"/>
      <c r="B73" s="132"/>
      <c r="C73" s="134"/>
      <c r="D73" s="134"/>
      <c r="E73" s="134"/>
      <c r="F73" s="137"/>
      <c r="G73" s="140"/>
      <c r="H73" s="33"/>
    </row>
    <row x14ac:dyDescent="0.25" r="74" customHeight="1" ht="18.75">
      <c r="A74" s="139"/>
      <c r="B74" s="132"/>
      <c r="C74" s="134"/>
      <c r="D74" s="134"/>
      <c r="E74" s="134"/>
      <c r="F74" s="137"/>
      <c r="G74" s="140"/>
      <c r="H74" s="33"/>
    </row>
    <row x14ac:dyDescent="0.25" r="75" customHeight="1" ht="18.75">
      <c r="A75" s="139"/>
      <c r="B75" s="132"/>
      <c r="C75" s="134"/>
      <c r="D75" s="134"/>
      <c r="E75" s="134"/>
      <c r="F75" s="137"/>
      <c r="G75" s="140"/>
      <c r="H75" s="33"/>
    </row>
    <row x14ac:dyDescent="0.25" r="76" customHeight="1" ht="18.75">
      <c r="A76" s="139"/>
      <c r="B76" s="132"/>
      <c r="C76" s="134"/>
      <c r="D76" s="134"/>
      <c r="E76" s="134"/>
      <c r="F76" s="137"/>
      <c r="G76" s="140"/>
      <c r="H76" s="33"/>
    </row>
    <row x14ac:dyDescent="0.25" r="77" customHeight="1" ht="18.75">
      <c r="A77" s="139"/>
      <c r="B77" s="132"/>
      <c r="C77" s="134"/>
      <c r="D77" s="134"/>
      <c r="E77" s="134"/>
      <c r="F77" s="137"/>
      <c r="G77" s="140"/>
      <c r="H77" s="33"/>
    </row>
    <row x14ac:dyDescent="0.25" r="78" customHeight="1" ht="18.75">
      <c r="A78" s="139"/>
      <c r="B78" s="132"/>
      <c r="C78" s="134"/>
      <c r="D78" s="134"/>
      <c r="E78" s="134"/>
      <c r="F78" s="137"/>
      <c r="G78" s="140"/>
      <c r="H78" s="33"/>
    </row>
    <row x14ac:dyDescent="0.25" r="79" customHeight="1" ht="18.75">
      <c r="A79" s="139"/>
      <c r="B79" s="132"/>
      <c r="C79" s="134"/>
      <c r="D79" s="134"/>
      <c r="E79" s="134"/>
      <c r="F79" s="137"/>
      <c r="G79" s="140"/>
      <c r="H79" s="33"/>
    </row>
    <row x14ac:dyDescent="0.25" r="80" customHeight="1" ht="18.75">
      <c r="A80" s="139"/>
      <c r="B80" s="132"/>
      <c r="C80" s="134"/>
      <c r="D80" s="134"/>
      <c r="E80" s="134"/>
      <c r="F80" s="137"/>
      <c r="G80" s="140"/>
      <c r="H80" s="33"/>
    </row>
    <row x14ac:dyDescent="0.25" r="81" customHeight="1" ht="18.75">
      <c r="A81" s="139"/>
      <c r="B81" s="132"/>
      <c r="C81" s="134"/>
      <c r="D81" s="134"/>
      <c r="E81" s="134"/>
      <c r="F81" s="137"/>
      <c r="G81" s="140"/>
      <c r="H81" s="33"/>
    </row>
    <row x14ac:dyDescent="0.25" r="82" customHeight="1" ht="18.75">
      <c r="A82" s="139"/>
      <c r="B82" s="132"/>
      <c r="C82" s="134"/>
      <c r="D82" s="134"/>
      <c r="E82" s="134"/>
      <c r="F82" s="137"/>
      <c r="G82" s="140"/>
      <c r="H82" s="33"/>
    </row>
    <row x14ac:dyDescent="0.25" r="83" customHeight="1" ht="18.75">
      <c r="A83" s="139"/>
      <c r="B83" s="132"/>
      <c r="C83" s="134"/>
      <c r="D83" s="134"/>
      <c r="E83" s="134"/>
      <c r="F83" s="137"/>
      <c r="G83" s="140"/>
      <c r="H83" s="33"/>
    </row>
    <row x14ac:dyDescent="0.25" r="84" customHeight="1" ht="18.75">
      <c r="A84" s="139"/>
      <c r="B84" s="132"/>
      <c r="C84" s="134"/>
      <c r="D84" s="134"/>
      <c r="E84" s="134"/>
      <c r="F84" s="137"/>
      <c r="G84" s="140"/>
      <c r="H84" s="33"/>
    </row>
    <row x14ac:dyDescent="0.25" r="85" customHeight="1" ht="18.75">
      <c r="A85" s="139"/>
      <c r="B85" s="132"/>
      <c r="C85" s="134"/>
      <c r="D85" s="134"/>
      <c r="E85" s="134"/>
      <c r="F85" s="137"/>
      <c r="G85" s="140"/>
      <c r="H85" s="33"/>
    </row>
    <row x14ac:dyDescent="0.25" r="86" customHeight="1" ht="18.75">
      <c r="A86" s="139"/>
      <c r="B86" s="132"/>
      <c r="C86" s="134"/>
      <c r="D86" s="134"/>
      <c r="E86" s="134"/>
      <c r="F86" s="137"/>
      <c r="G86" s="140"/>
      <c r="H86" s="33"/>
    </row>
    <row x14ac:dyDescent="0.25" r="87" customHeight="1" ht="18.75">
      <c r="A87" s="139"/>
      <c r="B87" s="132"/>
      <c r="C87" s="134"/>
      <c r="D87" s="134"/>
      <c r="E87" s="134"/>
      <c r="F87" s="137"/>
      <c r="G87" s="140"/>
      <c r="H87" s="33"/>
    </row>
    <row x14ac:dyDescent="0.25" r="88" customHeight="1" ht="18.75">
      <c r="A88" s="139"/>
      <c r="B88" s="132"/>
      <c r="C88" s="134"/>
      <c r="D88" s="134"/>
      <c r="E88" s="134"/>
      <c r="F88" s="137"/>
      <c r="G88" s="140"/>
      <c r="H88" s="33"/>
    </row>
    <row x14ac:dyDescent="0.25" r="89" customHeight="1" ht="18.75">
      <c r="A89" s="139"/>
      <c r="B89" s="132"/>
      <c r="C89" s="134"/>
      <c r="D89" s="134"/>
      <c r="E89" s="134"/>
      <c r="F89" s="137"/>
      <c r="G89" s="140"/>
      <c r="H89" s="33"/>
    </row>
    <row x14ac:dyDescent="0.25" r="90" customHeight="1" ht="18.75">
      <c r="A90" s="139"/>
      <c r="B90" s="132"/>
      <c r="C90" s="134"/>
      <c r="D90" s="134"/>
      <c r="E90" s="134"/>
      <c r="F90" s="137"/>
      <c r="G90" s="140"/>
      <c r="H90" s="33"/>
    </row>
    <row x14ac:dyDescent="0.25" r="91" customHeight="1" ht="18.75">
      <c r="A91" s="139"/>
      <c r="B91" s="132"/>
      <c r="C91" s="134"/>
      <c r="D91" s="134"/>
      <c r="E91" s="134"/>
      <c r="F91" s="137"/>
      <c r="G91" s="140"/>
      <c r="H91" s="33"/>
    </row>
    <row x14ac:dyDescent="0.25" r="92" customHeight="1" ht="18.75">
      <c r="A92" s="139"/>
      <c r="B92" s="132"/>
      <c r="C92" s="134"/>
      <c r="D92" s="134"/>
      <c r="E92" s="134"/>
      <c r="F92" s="137"/>
      <c r="G92" s="140"/>
      <c r="H92" s="33"/>
    </row>
    <row x14ac:dyDescent="0.25" r="93" customHeight="1" ht="18.75">
      <c r="A93" s="139"/>
      <c r="B93" s="132"/>
      <c r="C93" s="134"/>
      <c r="D93" s="134"/>
      <c r="E93" s="134"/>
      <c r="F93" s="137"/>
      <c r="G93" s="140"/>
      <c r="H93" s="33"/>
    </row>
    <row x14ac:dyDescent="0.25" r="94" customHeight="1" ht="18.75">
      <c r="A94" s="139"/>
      <c r="B94" s="132"/>
      <c r="C94" s="134"/>
      <c r="D94" s="134"/>
      <c r="E94" s="134"/>
      <c r="F94" s="137"/>
      <c r="G94" s="140"/>
      <c r="H94" s="33"/>
    </row>
    <row x14ac:dyDescent="0.25" r="95" customHeight="1" ht="18.75">
      <c r="A95" s="139"/>
      <c r="B95" s="132"/>
      <c r="C95" s="134"/>
      <c r="D95" s="134"/>
      <c r="E95" s="134"/>
      <c r="F95" s="137"/>
      <c r="G95" s="140"/>
      <c r="H95" s="33"/>
    </row>
    <row x14ac:dyDescent="0.25" r="96" customHeight="1" ht="18.75">
      <c r="A96" s="139"/>
      <c r="B96" s="132"/>
      <c r="C96" s="134"/>
      <c r="D96" s="134"/>
      <c r="E96" s="134"/>
      <c r="F96" s="137"/>
      <c r="G96" s="140"/>
      <c r="H96" s="33"/>
    </row>
    <row x14ac:dyDescent="0.25" r="97" customHeight="1" ht="18.75">
      <c r="A97" s="139"/>
      <c r="B97" s="132"/>
      <c r="C97" s="134"/>
      <c r="D97" s="134"/>
      <c r="E97" s="134"/>
      <c r="F97" s="137"/>
      <c r="G97" s="140"/>
      <c r="H97" s="33"/>
    </row>
    <row x14ac:dyDescent="0.25" r="98" customHeight="1" ht="18.75">
      <c r="A98" s="139"/>
      <c r="B98" s="132"/>
      <c r="C98" s="134"/>
      <c r="D98" s="134"/>
      <c r="E98" s="134"/>
      <c r="F98" s="137"/>
      <c r="G98" s="140"/>
      <c r="H98" s="33"/>
    </row>
    <row x14ac:dyDescent="0.25" r="99" customHeight="1" ht="18.75">
      <c r="A99" s="139"/>
      <c r="B99" s="132"/>
      <c r="C99" s="134"/>
      <c r="D99" s="134"/>
      <c r="E99" s="134"/>
      <c r="F99" s="137"/>
      <c r="G99" s="140"/>
      <c r="H99" s="33"/>
    </row>
    <row x14ac:dyDescent="0.25" r="100" customHeight="1" ht="18.75">
      <c r="A100" s="139"/>
      <c r="B100" s="132"/>
      <c r="C100" s="134"/>
      <c r="D100" s="134"/>
      <c r="E100" s="134"/>
      <c r="F100" s="137"/>
      <c r="G100" s="140"/>
      <c r="H100" s="33"/>
    </row>
    <row x14ac:dyDescent="0.25" r="101" customHeight="1" ht="18.75">
      <c r="A101" s="139"/>
      <c r="B101" s="132"/>
      <c r="C101" s="134"/>
      <c r="D101" s="134"/>
      <c r="E101" s="134"/>
      <c r="F101" s="137"/>
      <c r="G101" s="140"/>
      <c r="H101" s="33"/>
    </row>
    <row x14ac:dyDescent="0.25" r="102" customHeight="1" ht="18.75">
      <c r="A102" s="139"/>
      <c r="B102" s="132"/>
      <c r="C102" s="134"/>
      <c r="D102" s="134"/>
      <c r="E102" s="134"/>
      <c r="F102" s="137"/>
      <c r="G102" s="140"/>
      <c r="H102" s="33"/>
    </row>
    <row x14ac:dyDescent="0.25" r="103" customHeight="1" ht="18.75">
      <c r="A103" s="139"/>
      <c r="B103" s="132"/>
      <c r="C103" s="134"/>
      <c r="D103" s="134"/>
      <c r="E103" s="134"/>
      <c r="F103" s="137"/>
      <c r="G103" s="140"/>
      <c r="H103" s="33"/>
    </row>
    <row x14ac:dyDescent="0.25" r="104" customHeight="1" ht="18.75">
      <c r="A104" s="139"/>
      <c r="B104" s="132"/>
      <c r="C104" s="134"/>
      <c r="D104" s="134"/>
      <c r="E104" s="134"/>
      <c r="F104" s="137"/>
      <c r="G104" s="140"/>
      <c r="H104" s="33"/>
    </row>
    <row x14ac:dyDescent="0.25" r="105" customHeight="1" ht="18.75">
      <c r="A105" s="139"/>
      <c r="B105" s="132"/>
      <c r="C105" s="134"/>
      <c r="D105" s="134"/>
      <c r="E105" s="134"/>
      <c r="F105" s="137"/>
      <c r="G105" s="140"/>
      <c r="H105" s="33"/>
    </row>
    <row x14ac:dyDescent="0.25" r="106" customHeight="1" ht="18.75">
      <c r="A106" s="139"/>
      <c r="B106" s="132"/>
      <c r="C106" s="134"/>
      <c r="D106" s="134"/>
      <c r="E106" s="134"/>
      <c r="F106" s="137"/>
      <c r="G106" s="140"/>
      <c r="H106" s="33"/>
    </row>
    <row x14ac:dyDescent="0.25" r="107" customHeight="1" ht="18.75">
      <c r="A107" s="139"/>
      <c r="B107" s="132"/>
      <c r="C107" s="134"/>
      <c r="D107" s="134"/>
      <c r="E107" s="134"/>
      <c r="F107" s="137"/>
      <c r="G107" s="140"/>
      <c r="H107" s="33"/>
    </row>
    <row x14ac:dyDescent="0.25" r="108" customHeight="1" ht="18.75">
      <c r="A108" s="139"/>
      <c r="B108" s="132"/>
      <c r="C108" s="134"/>
      <c r="D108" s="134"/>
      <c r="E108" s="134"/>
      <c r="F108" s="137"/>
      <c r="G108" s="140"/>
      <c r="H108" s="33"/>
    </row>
    <row x14ac:dyDescent="0.25" r="109" customHeight="1" ht="18.75">
      <c r="A109" s="139"/>
      <c r="B109" s="132"/>
      <c r="C109" s="134"/>
      <c r="D109" s="134"/>
      <c r="E109" s="134"/>
      <c r="F109" s="137"/>
      <c r="G109" s="140"/>
      <c r="H109" s="33"/>
    </row>
    <row x14ac:dyDescent="0.25" r="110" customHeight="1" ht="18.75">
      <c r="A110" s="139"/>
      <c r="B110" s="132"/>
      <c r="C110" s="134"/>
      <c r="D110" s="134"/>
      <c r="E110" s="134"/>
      <c r="F110" s="137"/>
      <c r="G110" s="140"/>
      <c r="H110" s="33"/>
    </row>
    <row x14ac:dyDescent="0.25" r="111" customHeight="1" ht="18.75">
      <c r="A111" s="139"/>
      <c r="B111" s="132"/>
      <c r="C111" s="134"/>
      <c r="D111" s="134"/>
      <c r="E111" s="134"/>
      <c r="F111" s="137"/>
      <c r="G111" s="140"/>
      <c r="H111" s="33"/>
    </row>
    <row x14ac:dyDescent="0.25" r="112" customHeight="1" ht="18.75">
      <c r="A112" s="139"/>
      <c r="B112" s="132"/>
      <c r="C112" s="134"/>
      <c r="D112" s="134"/>
      <c r="E112" s="134"/>
      <c r="F112" s="137"/>
      <c r="G112" s="140"/>
      <c r="H112" s="33"/>
    </row>
    <row x14ac:dyDescent="0.25" r="113" customHeight="1" ht="18.75">
      <c r="A113" s="139"/>
      <c r="B113" s="132"/>
      <c r="C113" s="134"/>
      <c r="D113" s="134"/>
      <c r="E113" s="134"/>
      <c r="F113" s="137"/>
      <c r="G113" s="140"/>
      <c r="H113" s="33"/>
    </row>
    <row x14ac:dyDescent="0.25" r="114" customHeight="1" ht="18.75">
      <c r="A114" s="139"/>
      <c r="B114" s="132"/>
      <c r="C114" s="134"/>
      <c r="D114" s="134"/>
      <c r="E114" s="134"/>
      <c r="F114" s="137"/>
      <c r="G114" s="140"/>
      <c r="H114" s="33"/>
    </row>
    <row x14ac:dyDescent="0.25" r="115" customHeight="1" ht="18.75">
      <c r="A115" s="139"/>
      <c r="B115" s="132"/>
      <c r="C115" s="134"/>
      <c r="D115" s="134"/>
      <c r="E115" s="134"/>
      <c r="F115" s="137"/>
      <c r="G115" s="140"/>
      <c r="H115" s="33"/>
    </row>
    <row x14ac:dyDescent="0.25" r="116" customHeight="1" ht="18.75">
      <c r="A116" s="139"/>
      <c r="B116" s="132"/>
      <c r="C116" s="134"/>
      <c r="D116" s="134"/>
      <c r="E116" s="134"/>
      <c r="F116" s="137"/>
      <c r="G116" s="140"/>
      <c r="H116" s="33"/>
    </row>
    <row x14ac:dyDescent="0.25" r="117" customHeight="1" ht="18.75">
      <c r="A117" s="139"/>
      <c r="B117" s="132"/>
      <c r="C117" s="134"/>
      <c r="D117" s="134"/>
      <c r="E117" s="134"/>
      <c r="F117" s="137"/>
      <c r="G117" s="140"/>
      <c r="H117" s="33"/>
    </row>
    <row x14ac:dyDescent="0.25" r="118" customHeight="1" ht="18.75">
      <c r="A118" s="139"/>
      <c r="B118" s="132"/>
      <c r="C118" s="134"/>
      <c r="D118" s="134"/>
      <c r="E118" s="134"/>
      <c r="F118" s="137"/>
      <c r="G118" s="140"/>
      <c r="H118" s="33"/>
    </row>
    <row x14ac:dyDescent="0.25" r="119" customHeight="1" ht="18.75">
      <c r="A119" s="139"/>
      <c r="B119" s="132"/>
      <c r="C119" s="134"/>
      <c r="D119" s="134"/>
      <c r="E119" s="134"/>
      <c r="F119" s="137"/>
      <c r="G119" s="140"/>
      <c r="H119" s="33"/>
    </row>
    <row x14ac:dyDescent="0.25" r="120" customHeight="1" ht="18.75">
      <c r="A120" s="139"/>
      <c r="B120" s="132"/>
      <c r="C120" s="134"/>
      <c r="D120" s="134"/>
      <c r="E120" s="134"/>
      <c r="F120" s="137"/>
      <c r="G120" s="140"/>
      <c r="H120" s="33"/>
    </row>
    <row x14ac:dyDescent="0.25" r="121" customHeight="1" ht="18.75">
      <c r="A121" s="139"/>
      <c r="B121" s="132"/>
      <c r="C121" s="134"/>
      <c r="D121" s="134"/>
      <c r="E121" s="134"/>
      <c r="F121" s="137"/>
      <c r="G121" s="140"/>
      <c r="H121" s="33"/>
    </row>
    <row x14ac:dyDescent="0.25" r="122" customHeight="1" ht="18.75">
      <c r="A122" s="139"/>
      <c r="B122" s="132"/>
      <c r="C122" s="134"/>
      <c r="D122" s="134"/>
      <c r="E122" s="134"/>
      <c r="F122" s="137"/>
      <c r="G122" s="140"/>
      <c r="H122" s="33"/>
    </row>
    <row x14ac:dyDescent="0.25" r="123" customHeight="1" ht="18.75">
      <c r="A123" s="139"/>
      <c r="B123" s="132"/>
      <c r="C123" s="134"/>
      <c r="D123" s="134"/>
      <c r="E123" s="134"/>
      <c r="F123" s="137"/>
      <c r="G123" s="140"/>
      <c r="H123" s="33"/>
    </row>
    <row x14ac:dyDescent="0.25" r="124" customHeight="1" ht="18.75">
      <c r="A124" s="139"/>
      <c r="B124" s="132"/>
      <c r="C124" s="134"/>
      <c r="D124" s="134"/>
      <c r="E124" s="134"/>
      <c r="F124" s="137"/>
      <c r="G124" s="140"/>
      <c r="H124" s="33"/>
    </row>
    <row x14ac:dyDescent="0.25" r="125" customHeight="1" ht="18.75">
      <c r="A125" s="139"/>
      <c r="B125" s="132"/>
      <c r="C125" s="134"/>
      <c r="D125" s="134"/>
      <c r="E125" s="134"/>
      <c r="F125" s="137"/>
      <c r="G125" s="140"/>
      <c r="H125" s="33"/>
    </row>
    <row x14ac:dyDescent="0.25" r="126" customHeight="1" ht="18.75">
      <c r="A126" s="139"/>
      <c r="B126" s="132"/>
      <c r="C126" s="134"/>
      <c r="D126" s="134"/>
      <c r="E126" s="134"/>
      <c r="F126" s="137"/>
      <c r="G126" s="140"/>
      <c r="H126" s="33"/>
    </row>
    <row x14ac:dyDescent="0.25" r="127" customHeight="1" ht="18.75">
      <c r="A127" s="139"/>
      <c r="B127" s="132"/>
      <c r="C127" s="134"/>
      <c r="D127" s="134"/>
      <c r="E127" s="134"/>
      <c r="F127" s="137"/>
      <c r="G127" s="140"/>
      <c r="H127" s="33"/>
    </row>
    <row x14ac:dyDescent="0.25" r="128" customHeight="1" ht="18.75">
      <c r="A128" s="139"/>
      <c r="B128" s="132"/>
      <c r="C128" s="134"/>
      <c r="D128" s="134"/>
      <c r="E128" s="134"/>
      <c r="F128" s="137"/>
      <c r="G128" s="140"/>
      <c r="H128" s="33"/>
    </row>
    <row x14ac:dyDescent="0.25" r="129" customHeight="1" ht="18.75">
      <c r="A129" s="139"/>
      <c r="B129" s="132"/>
      <c r="C129" s="134"/>
      <c r="D129" s="134"/>
      <c r="E129" s="134"/>
      <c r="F129" s="137"/>
      <c r="G129" s="140"/>
      <c r="H129" s="33"/>
    </row>
    <row x14ac:dyDescent="0.25" r="130" customHeight="1" ht="18.75">
      <c r="A130" s="139"/>
      <c r="B130" s="132"/>
      <c r="C130" s="134"/>
      <c r="D130" s="134"/>
      <c r="E130" s="134"/>
      <c r="F130" s="137"/>
      <c r="G130" s="140"/>
      <c r="H130" s="33"/>
    </row>
    <row x14ac:dyDescent="0.25" r="131" customHeight="1" ht="18.75">
      <c r="A131" s="139"/>
      <c r="B131" s="132"/>
      <c r="C131" s="134"/>
      <c r="D131" s="134"/>
      <c r="E131" s="134"/>
      <c r="F131" s="137"/>
      <c r="G131" s="140"/>
      <c r="H131" s="33"/>
    </row>
    <row x14ac:dyDescent="0.25" r="132" customHeight="1" ht="18.75">
      <c r="A132" s="139"/>
      <c r="B132" s="132"/>
      <c r="C132" s="134"/>
      <c r="D132" s="134"/>
      <c r="E132" s="134"/>
      <c r="F132" s="137"/>
      <c r="G132" s="140"/>
      <c r="H132" s="33"/>
    </row>
    <row x14ac:dyDescent="0.25" r="133" customHeight="1" ht="18.75">
      <c r="A133" s="139"/>
      <c r="B133" s="132"/>
      <c r="C133" s="134"/>
      <c r="D133" s="134"/>
      <c r="E133" s="134"/>
      <c r="F133" s="137"/>
      <c r="G133" s="140"/>
      <c r="H133" s="33"/>
    </row>
    <row x14ac:dyDescent="0.25" r="134" customHeight="1" ht="18.75">
      <c r="A134" s="139"/>
      <c r="B134" s="132"/>
      <c r="C134" s="134"/>
      <c r="D134" s="134"/>
      <c r="E134" s="134"/>
      <c r="F134" s="137"/>
      <c r="G134" s="140"/>
      <c r="H134" s="33"/>
    </row>
    <row x14ac:dyDescent="0.25" r="135" customHeight="1" ht="18.75">
      <c r="A135" s="139"/>
      <c r="B135" s="132"/>
      <c r="C135" s="134"/>
      <c r="D135" s="134"/>
      <c r="E135" s="134"/>
      <c r="F135" s="137"/>
      <c r="G135" s="140"/>
      <c r="H135" s="33"/>
    </row>
    <row x14ac:dyDescent="0.25" r="136" customHeight="1" ht="18.75">
      <c r="A136" s="139"/>
      <c r="B136" s="132"/>
      <c r="C136" s="134"/>
      <c r="D136" s="134"/>
      <c r="E136" s="134"/>
      <c r="F136" s="137"/>
      <c r="G136" s="140"/>
      <c r="H136" s="33"/>
    </row>
    <row x14ac:dyDescent="0.25" r="137" customHeight="1" ht="18.75">
      <c r="A137" s="139"/>
      <c r="B137" s="132"/>
      <c r="C137" s="134"/>
      <c r="D137" s="134"/>
      <c r="E137" s="134"/>
      <c r="F137" s="137"/>
      <c r="G137" s="140"/>
      <c r="H137" s="33"/>
    </row>
    <row x14ac:dyDescent="0.25" r="138" customHeight="1" ht="18.75">
      <c r="A138" s="139"/>
      <c r="B138" s="132"/>
      <c r="C138" s="134"/>
      <c r="D138" s="134"/>
      <c r="E138" s="134"/>
      <c r="F138" s="137"/>
      <c r="G138" s="140"/>
      <c r="H138" s="33"/>
    </row>
    <row x14ac:dyDescent="0.25" r="139" customHeight="1" ht="18.75">
      <c r="A139" s="139"/>
      <c r="B139" s="132"/>
      <c r="C139" s="134"/>
      <c r="D139" s="134"/>
      <c r="E139" s="134"/>
      <c r="F139" s="137"/>
      <c r="G139" s="140"/>
      <c r="H139" s="33"/>
    </row>
    <row x14ac:dyDescent="0.25" r="140" customHeight="1" ht="18.75">
      <c r="A140" s="139"/>
      <c r="B140" s="132"/>
      <c r="C140" s="134"/>
      <c r="D140" s="134"/>
      <c r="E140" s="134"/>
      <c r="F140" s="137"/>
      <c r="G140" s="140"/>
      <c r="H140" s="33"/>
    </row>
    <row x14ac:dyDescent="0.25" r="141" customHeight="1" ht="18.75">
      <c r="A141" s="139"/>
      <c r="B141" s="132"/>
      <c r="C141" s="134"/>
      <c r="D141" s="134"/>
      <c r="E141" s="134"/>
      <c r="F141" s="137"/>
      <c r="G141" s="140"/>
      <c r="H141" s="33"/>
    </row>
    <row x14ac:dyDescent="0.25" r="142" customHeight="1" ht="18.75">
      <c r="A142" s="139"/>
      <c r="B142" s="132"/>
      <c r="C142" s="134"/>
      <c r="D142" s="134"/>
      <c r="E142" s="134"/>
      <c r="F142" s="137"/>
      <c r="G142" s="140"/>
      <c r="H142" s="33"/>
    </row>
    <row x14ac:dyDescent="0.25" r="143" customHeight="1" ht="18.75">
      <c r="A143" s="139"/>
      <c r="B143" s="132"/>
      <c r="C143" s="134"/>
      <c r="D143" s="134"/>
      <c r="E143" s="134"/>
      <c r="F143" s="137"/>
      <c r="G143" s="140"/>
      <c r="H143" s="33"/>
    </row>
    <row x14ac:dyDescent="0.25" r="144" customHeight="1" ht="18.75">
      <c r="A144" s="139"/>
      <c r="B144" s="132"/>
      <c r="C144" s="134"/>
      <c r="D144" s="134"/>
      <c r="E144" s="134"/>
      <c r="F144" s="137"/>
      <c r="G144" s="140"/>
      <c r="H144" s="33"/>
    </row>
    <row x14ac:dyDescent="0.25" r="145" customHeight="1" ht="18.75">
      <c r="A145" s="139"/>
      <c r="B145" s="132"/>
      <c r="C145" s="134"/>
      <c r="D145" s="134"/>
      <c r="E145" s="134"/>
      <c r="F145" s="137"/>
      <c r="G145" s="140"/>
      <c r="H145" s="33"/>
    </row>
    <row x14ac:dyDescent="0.25" r="146" customHeight="1" ht="18.75">
      <c r="A146" s="139"/>
      <c r="B146" s="132"/>
      <c r="C146" s="134"/>
      <c r="D146" s="134"/>
      <c r="E146" s="134"/>
      <c r="F146" s="137"/>
      <c r="G146" s="140"/>
      <c r="H146" s="33"/>
    </row>
    <row x14ac:dyDescent="0.25" r="147" customHeight="1" ht="18.75">
      <c r="A147" s="139"/>
      <c r="B147" s="132"/>
      <c r="C147" s="134"/>
      <c r="D147" s="134"/>
      <c r="E147" s="134"/>
      <c r="F147" s="137"/>
      <c r="G147" s="140"/>
      <c r="H147" s="33"/>
    </row>
    <row x14ac:dyDescent="0.25" r="148" customHeight="1" ht="18.75">
      <c r="A148" s="139"/>
      <c r="B148" s="132"/>
      <c r="C148" s="134"/>
      <c r="D148" s="134"/>
      <c r="E148" s="134"/>
      <c r="F148" s="137"/>
      <c r="G148" s="140"/>
      <c r="H148" s="33"/>
    </row>
    <row x14ac:dyDescent="0.25" r="149" customHeight="1" ht="18.75">
      <c r="A149" s="139"/>
      <c r="B149" s="132"/>
      <c r="C149" s="134"/>
      <c r="D149" s="134"/>
      <c r="E149" s="134"/>
      <c r="F149" s="137"/>
      <c r="G149" s="140"/>
      <c r="H149" s="33"/>
    </row>
    <row x14ac:dyDescent="0.25" r="150" customHeight="1" ht="18.75">
      <c r="A150" s="139"/>
      <c r="B150" s="132"/>
      <c r="C150" s="134"/>
      <c r="D150" s="134"/>
      <c r="E150" s="134"/>
      <c r="F150" s="137"/>
      <c r="G150" s="140"/>
      <c r="H150" s="33"/>
    </row>
    <row x14ac:dyDescent="0.25" r="151" customHeight="1" ht="18.75">
      <c r="A151" s="139"/>
      <c r="B151" s="132"/>
      <c r="C151" s="134"/>
      <c r="D151" s="134"/>
      <c r="E151" s="134"/>
      <c r="F151" s="137"/>
      <c r="G151" s="140"/>
      <c r="H151" s="33"/>
    </row>
    <row x14ac:dyDescent="0.25" r="152" customHeight="1" ht="18.75">
      <c r="A152" s="139"/>
      <c r="B152" s="132"/>
      <c r="C152" s="134"/>
      <c r="D152" s="134"/>
      <c r="E152" s="134"/>
      <c r="F152" s="137"/>
      <c r="G152" s="140"/>
      <c r="H152" s="33"/>
    </row>
    <row x14ac:dyDescent="0.25" r="153" customHeight="1" ht="18.75">
      <c r="A153" s="139"/>
      <c r="B153" s="132"/>
      <c r="C153" s="134"/>
      <c r="D153" s="134"/>
      <c r="E153" s="134"/>
      <c r="F153" s="137"/>
      <c r="G153" s="140"/>
      <c r="H153" s="33"/>
    </row>
    <row x14ac:dyDescent="0.25" r="154" customHeight="1" ht="18.75">
      <c r="A154" s="139"/>
      <c r="B154" s="132"/>
      <c r="C154" s="134"/>
      <c r="D154" s="134"/>
      <c r="E154" s="134"/>
      <c r="F154" s="137"/>
      <c r="G154" s="140"/>
      <c r="H154" s="33"/>
    </row>
    <row x14ac:dyDescent="0.25" r="155" customHeight="1" ht="18.75">
      <c r="A155" s="139"/>
      <c r="B155" s="132"/>
      <c r="C155" s="134"/>
      <c r="D155" s="134"/>
      <c r="E155" s="134"/>
      <c r="F155" s="137"/>
      <c r="G155" s="140"/>
      <c r="H155" s="33"/>
    </row>
    <row x14ac:dyDescent="0.25" r="156" customHeight="1" ht="18.75">
      <c r="A156" s="139"/>
      <c r="B156" s="132"/>
      <c r="C156" s="134"/>
      <c r="D156" s="134"/>
      <c r="E156" s="134"/>
      <c r="F156" s="137"/>
      <c r="G156" s="140"/>
      <c r="H156" s="33"/>
    </row>
    <row x14ac:dyDescent="0.25" r="157" customHeight="1" ht="18.75">
      <c r="A157" s="139"/>
      <c r="B157" s="132"/>
      <c r="C157" s="134"/>
      <c r="D157" s="134"/>
      <c r="E157" s="134"/>
      <c r="F157" s="137"/>
      <c r="G157" s="140"/>
      <c r="H157" s="33"/>
    </row>
    <row x14ac:dyDescent="0.25" r="158" customHeight="1" ht="18.75">
      <c r="A158" s="139"/>
      <c r="B158" s="132"/>
      <c r="C158" s="134"/>
      <c r="D158" s="134"/>
      <c r="E158" s="134"/>
      <c r="F158" s="137"/>
      <c r="G158" s="140"/>
      <c r="H158" s="33"/>
    </row>
    <row x14ac:dyDescent="0.25" r="159" customHeight="1" ht="18.75">
      <c r="A159" s="139"/>
      <c r="B159" s="132"/>
      <c r="C159" s="134"/>
      <c r="D159" s="134"/>
      <c r="E159" s="134"/>
      <c r="F159" s="137"/>
      <c r="G159" s="140"/>
      <c r="H159" s="33"/>
    </row>
    <row x14ac:dyDescent="0.25" r="160" customHeight="1" ht="18.75">
      <c r="A160" s="139"/>
      <c r="B160" s="132"/>
      <c r="C160" s="134"/>
      <c r="D160" s="134"/>
      <c r="E160" s="134"/>
      <c r="F160" s="137"/>
      <c r="G160" s="140"/>
      <c r="H160" s="33"/>
    </row>
    <row x14ac:dyDescent="0.25" r="161" customHeight="1" ht="18.75">
      <c r="A161" s="139"/>
      <c r="B161" s="132"/>
      <c r="C161" s="134"/>
      <c r="D161" s="134"/>
      <c r="E161" s="134"/>
      <c r="F161" s="137"/>
      <c r="G161" s="140"/>
      <c r="H161" s="33"/>
    </row>
    <row x14ac:dyDescent="0.25" r="162" customHeight="1" ht="18.75">
      <c r="A162" s="139"/>
      <c r="B162" s="132"/>
      <c r="C162" s="134"/>
      <c r="D162" s="134"/>
      <c r="E162" s="134"/>
      <c r="F162" s="137"/>
      <c r="G162" s="140"/>
      <c r="H162" s="33"/>
    </row>
    <row x14ac:dyDescent="0.25" r="163" customHeight="1" ht="18.75">
      <c r="A163" s="139"/>
      <c r="B163" s="132"/>
      <c r="C163" s="134"/>
      <c r="D163" s="134"/>
      <c r="E163" s="134"/>
      <c r="F163" s="137"/>
      <c r="G163" s="140"/>
      <c r="H163" s="33"/>
    </row>
    <row x14ac:dyDescent="0.25" r="164" customHeight="1" ht="18.75">
      <c r="A164" s="139"/>
      <c r="B164" s="132"/>
      <c r="C164" s="134"/>
      <c r="D164" s="134"/>
      <c r="E164" s="134"/>
      <c r="F164" s="137"/>
      <c r="G164" s="140"/>
      <c r="H164" s="33"/>
    </row>
    <row x14ac:dyDescent="0.25" r="165" customHeight="1" ht="18.75">
      <c r="A165" s="139"/>
      <c r="B165" s="132"/>
      <c r="C165" s="134"/>
      <c r="D165" s="134"/>
      <c r="E165" s="134"/>
      <c r="F165" s="137"/>
      <c r="G165" s="140"/>
      <c r="H165" s="33"/>
    </row>
    <row x14ac:dyDescent="0.25" r="166" customHeight="1" ht="18.75">
      <c r="A166" s="139"/>
      <c r="B166" s="132"/>
      <c r="C166" s="134"/>
      <c r="D166" s="134"/>
      <c r="E166" s="134"/>
      <c r="F166" s="137"/>
      <c r="G166" s="140"/>
      <c r="H166" s="33"/>
    </row>
    <row x14ac:dyDescent="0.25" r="167" customHeight="1" ht="18.75">
      <c r="A167" s="139"/>
      <c r="B167" s="132"/>
      <c r="C167" s="134"/>
      <c r="D167" s="134"/>
      <c r="E167" s="134"/>
      <c r="F167" s="137"/>
      <c r="G167" s="140"/>
      <c r="H167" s="33"/>
    </row>
    <row x14ac:dyDescent="0.25" r="168" customHeight="1" ht="18.75">
      <c r="A168" s="139"/>
      <c r="B168" s="132"/>
      <c r="C168" s="134"/>
      <c r="D168" s="134"/>
      <c r="E168" s="134"/>
      <c r="F168" s="137"/>
      <c r="G168" s="140"/>
      <c r="H168" s="33"/>
    </row>
    <row x14ac:dyDescent="0.25" r="169" customHeight="1" ht="18.75">
      <c r="A169" s="139"/>
      <c r="B169" s="132"/>
      <c r="C169" s="134"/>
      <c r="D169" s="134"/>
      <c r="E169" s="134"/>
      <c r="F169" s="137"/>
      <c r="G169" s="140"/>
      <c r="H169" s="33"/>
    </row>
    <row x14ac:dyDescent="0.25" r="170" customHeight="1" ht="18.75">
      <c r="A170" s="139"/>
      <c r="B170" s="132"/>
      <c r="C170" s="134"/>
      <c r="D170" s="134"/>
      <c r="E170" s="134"/>
      <c r="F170" s="137"/>
      <c r="G170" s="140"/>
      <c r="H170" s="33"/>
    </row>
    <row x14ac:dyDescent="0.25" r="171" customHeight="1" ht="18.75">
      <c r="A171" s="139"/>
      <c r="B171" s="132"/>
      <c r="C171" s="134"/>
      <c r="D171" s="134"/>
      <c r="E171" s="134"/>
      <c r="F171" s="137"/>
      <c r="G171" s="140"/>
      <c r="H171" s="33"/>
    </row>
    <row x14ac:dyDescent="0.25" r="172" customHeight="1" ht="18.75">
      <c r="A172" s="139"/>
      <c r="B172" s="132"/>
      <c r="C172" s="134"/>
      <c r="D172" s="134"/>
      <c r="E172" s="134"/>
      <c r="F172" s="137"/>
      <c r="G172" s="140"/>
      <c r="H172" s="33"/>
    </row>
    <row x14ac:dyDescent="0.25" r="173" customHeight="1" ht="18.75">
      <c r="A173" s="139"/>
      <c r="B173" s="132"/>
      <c r="C173" s="134"/>
      <c r="D173" s="134"/>
      <c r="E173" s="134"/>
      <c r="F173" s="137"/>
      <c r="G173" s="140"/>
      <c r="H173" s="33"/>
    </row>
    <row x14ac:dyDescent="0.25" r="174" customHeight="1" ht="18.75">
      <c r="A174" s="139"/>
      <c r="B174" s="132"/>
      <c r="C174" s="134"/>
      <c r="D174" s="134"/>
      <c r="E174" s="134"/>
      <c r="F174" s="137"/>
      <c r="G174" s="140"/>
      <c r="H174" s="33"/>
    </row>
    <row x14ac:dyDescent="0.25" r="175" customHeight="1" ht="18.75">
      <c r="A175" s="139"/>
      <c r="B175" s="132"/>
      <c r="C175" s="134"/>
      <c r="D175" s="134"/>
      <c r="E175" s="134"/>
      <c r="F175" s="137"/>
      <c r="G175" s="140"/>
      <c r="H175" s="33"/>
    </row>
    <row x14ac:dyDescent="0.25" r="176" customHeight="1" ht="18.75">
      <c r="A176" s="139"/>
      <c r="B176" s="132"/>
      <c r="C176" s="134"/>
      <c r="D176" s="134"/>
      <c r="E176" s="134"/>
      <c r="F176" s="137"/>
      <c r="G176" s="140"/>
      <c r="H176" s="33"/>
    </row>
    <row x14ac:dyDescent="0.25" r="177" customHeight="1" ht="18.75">
      <c r="A177" s="139"/>
      <c r="B177" s="132"/>
      <c r="C177" s="134"/>
      <c r="D177" s="134"/>
      <c r="E177" s="134"/>
      <c r="F177" s="137"/>
      <c r="G177" s="140"/>
      <c r="H177" s="33"/>
    </row>
    <row x14ac:dyDescent="0.25" r="178" customHeight="1" ht="18.75">
      <c r="A178" s="139"/>
      <c r="B178" s="132"/>
      <c r="C178" s="134"/>
      <c r="D178" s="134"/>
      <c r="E178" s="134"/>
      <c r="F178" s="137"/>
      <c r="G178" s="140"/>
      <c r="H178" s="33"/>
    </row>
    <row x14ac:dyDescent="0.25" r="179" customHeight="1" ht="18.75">
      <c r="A179" s="139"/>
      <c r="B179" s="132"/>
      <c r="C179" s="134"/>
      <c r="D179" s="134"/>
      <c r="E179" s="134"/>
      <c r="F179" s="137"/>
      <c r="G179" s="140"/>
      <c r="H179" s="33"/>
    </row>
    <row x14ac:dyDescent="0.25" r="180" customHeight="1" ht="18.75">
      <c r="A180" s="139"/>
      <c r="B180" s="132"/>
      <c r="C180" s="134"/>
      <c r="D180" s="134"/>
      <c r="E180" s="134"/>
      <c r="F180" s="137"/>
      <c r="G180" s="140"/>
      <c r="H180" s="33"/>
    </row>
    <row x14ac:dyDescent="0.25" r="181" customHeight="1" ht="18.75">
      <c r="A181" s="139"/>
      <c r="B181" s="132"/>
      <c r="C181" s="134"/>
      <c r="D181" s="134"/>
      <c r="E181" s="134"/>
      <c r="F181" s="137"/>
      <c r="G181" s="140"/>
      <c r="H181" s="33"/>
    </row>
    <row x14ac:dyDescent="0.25" r="182" customHeight="1" ht="18.75">
      <c r="A182" s="139"/>
      <c r="B182" s="132"/>
      <c r="C182" s="134"/>
      <c r="D182" s="134"/>
      <c r="E182" s="134"/>
      <c r="F182" s="137"/>
      <c r="G182" s="140"/>
      <c r="H182" s="33"/>
    </row>
    <row x14ac:dyDescent="0.25" r="183" customHeight="1" ht="18.75">
      <c r="A183" s="139"/>
      <c r="B183" s="132"/>
      <c r="C183" s="134"/>
      <c r="D183" s="134"/>
      <c r="E183" s="134"/>
      <c r="F183" s="137"/>
      <c r="G183" s="140"/>
      <c r="H183" s="33"/>
    </row>
    <row x14ac:dyDescent="0.25" r="184" customHeight="1" ht="18.75">
      <c r="A184" s="139"/>
      <c r="B184" s="132"/>
      <c r="C184" s="134"/>
      <c r="D184" s="134"/>
      <c r="E184" s="134"/>
      <c r="F184" s="137"/>
      <c r="G184" s="140"/>
      <c r="H184" s="33"/>
    </row>
    <row x14ac:dyDescent="0.25" r="185" customHeight="1" ht="18.75">
      <c r="A185" s="139"/>
      <c r="B185" s="132"/>
      <c r="C185" s="134"/>
      <c r="D185" s="134"/>
      <c r="E185" s="134"/>
      <c r="F185" s="137"/>
      <c r="G185" s="140"/>
      <c r="H185" s="33"/>
    </row>
    <row x14ac:dyDescent="0.25" r="186" customHeight="1" ht="18.75">
      <c r="A186" s="139"/>
      <c r="B186" s="132"/>
      <c r="C186" s="134"/>
      <c r="D186" s="134"/>
      <c r="E186" s="134"/>
      <c r="F186" s="137"/>
      <c r="G186" s="140"/>
      <c r="H186" s="33"/>
    </row>
    <row x14ac:dyDescent="0.25" r="187" customHeight="1" ht="18.75">
      <c r="A187" s="139"/>
      <c r="B187" s="132"/>
      <c r="C187" s="134"/>
      <c r="D187" s="134"/>
      <c r="E187" s="134"/>
      <c r="F187" s="137"/>
      <c r="G187" s="140"/>
      <c r="H187" s="33"/>
    </row>
    <row x14ac:dyDescent="0.25" r="188" customHeight="1" ht="18.75">
      <c r="A188" s="139"/>
      <c r="B188" s="132"/>
      <c r="C188" s="134"/>
      <c r="D188" s="134"/>
      <c r="E188" s="134"/>
      <c r="F188" s="137"/>
      <c r="G188" s="140"/>
      <c r="H188" s="33"/>
    </row>
    <row x14ac:dyDescent="0.25" r="189" customHeight="1" ht="18.75">
      <c r="A189" s="139"/>
      <c r="B189" s="132"/>
      <c r="C189" s="134"/>
      <c r="D189" s="134"/>
      <c r="E189" s="134"/>
      <c r="F189" s="137"/>
      <c r="G189" s="140"/>
      <c r="H189" s="33"/>
    </row>
    <row x14ac:dyDescent="0.25" r="190" customHeight="1" ht="18.75">
      <c r="A190" s="139"/>
      <c r="B190" s="132"/>
      <c r="C190" s="134"/>
      <c r="D190" s="134"/>
      <c r="E190" s="134"/>
      <c r="F190" s="137"/>
      <c r="G190" s="140"/>
      <c r="H190" s="33"/>
    </row>
    <row x14ac:dyDescent="0.25" r="191" customHeight="1" ht="18.75">
      <c r="A191" s="139"/>
      <c r="B191" s="132"/>
      <c r="C191" s="134"/>
      <c r="D191" s="134"/>
      <c r="E191" s="134"/>
      <c r="F191" s="137"/>
      <c r="G191" s="140"/>
      <c r="H191" s="33"/>
    </row>
    <row x14ac:dyDescent="0.25" r="192" customHeight="1" ht="18.75">
      <c r="A192" s="139"/>
      <c r="B192" s="132"/>
      <c r="C192" s="134"/>
      <c r="D192" s="134"/>
      <c r="E192" s="134"/>
      <c r="F192" s="137"/>
      <c r="G192" s="140"/>
      <c r="H192" s="33"/>
    </row>
    <row x14ac:dyDescent="0.25" r="193" customHeight="1" ht="18.75">
      <c r="A193" s="139"/>
      <c r="B193" s="132"/>
      <c r="C193" s="134"/>
      <c r="D193" s="134"/>
      <c r="E193" s="134"/>
      <c r="F193" s="137"/>
      <c r="G193" s="140"/>
      <c r="H193" s="33"/>
    </row>
    <row x14ac:dyDescent="0.25" r="194" customHeight="1" ht="18.75">
      <c r="A194" s="139"/>
      <c r="B194" s="132"/>
      <c r="C194" s="134"/>
      <c r="D194" s="134"/>
      <c r="E194" s="134"/>
      <c r="F194" s="137"/>
      <c r="G194" s="140"/>
      <c r="H194" s="33"/>
    </row>
    <row x14ac:dyDescent="0.25" r="195" customHeight="1" ht="18.75">
      <c r="A195" s="139"/>
      <c r="B195" s="132"/>
      <c r="C195" s="134"/>
      <c r="D195" s="134"/>
      <c r="E195" s="134"/>
      <c r="F195" s="137"/>
      <c r="G195" s="140"/>
      <c r="H195" s="33"/>
    </row>
    <row x14ac:dyDescent="0.25" r="196" customHeight="1" ht="18.75">
      <c r="A196" s="139"/>
      <c r="B196" s="132"/>
      <c r="C196" s="134"/>
      <c r="D196" s="134"/>
      <c r="E196" s="134"/>
      <c r="F196" s="137"/>
      <c r="G196" s="140"/>
      <c r="H196" s="33"/>
    </row>
    <row x14ac:dyDescent="0.25" r="197" customHeight="1" ht="18.75">
      <c r="A197" s="139"/>
      <c r="B197" s="132"/>
      <c r="C197" s="134"/>
      <c r="D197" s="134"/>
      <c r="E197" s="134"/>
      <c r="F197" s="137"/>
      <c r="G197" s="140"/>
      <c r="H197" s="33"/>
    </row>
    <row x14ac:dyDescent="0.25" r="198" customHeight="1" ht="18.75">
      <c r="A198" s="139"/>
      <c r="B198" s="132"/>
      <c r="C198" s="134"/>
      <c r="D198" s="134"/>
      <c r="E198" s="134"/>
      <c r="F198" s="137"/>
      <c r="G198" s="140"/>
      <c r="H198" s="33"/>
    </row>
    <row x14ac:dyDescent="0.25" r="199" customHeight="1" ht="18.75">
      <c r="A199" s="139"/>
      <c r="B199" s="132"/>
      <c r="C199" s="134"/>
      <c r="D199" s="134"/>
      <c r="E199" s="134"/>
      <c r="F199" s="137"/>
      <c r="G199" s="140"/>
      <c r="H199" s="33"/>
    </row>
    <row x14ac:dyDescent="0.25" r="200" customHeight="1" ht="18.75">
      <c r="A200" s="139"/>
      <c r="B200" s="132"/>
      <c r="C200" s="134"/>
      <c r="D200" s="134"/>
      <c r="E200" s="134"/>
      <c r="F200" s="137"/>
      <c r="G200" s="140"/>
      <c r="H200" s="33"/>
    </row>
    <row x14ac:dyDescent="0.25" r="201" customHeight="1" ht="18.75">
      <c r="A201" s="139"/>
      <c r="B201" s="132"/>
      <c r="C201" s="134"/>
      <c r="D201" s="134"/>
      <c r="E201" s="134"/>
      <c r="F201" s="137"/>
      <c r="G201" s="140"/>
      <c r="H201" s="33"/>
    </row>
    <row x14ac:dyDescent="0.25" r="202" customHeight="1" ht="18.75">
      <c r="A202" s="139"/>
      <c r="B202" s="132"/>
      <c r="C202" s="134"/>
      <c r="D202" s="134"/>
      <c r="E202" s="134"/>
      <c r="F202" s="137"/>
      <c r="G202" s="140"/>
      <c r="H202" s="33"/>
    </row>
    <row x14ac:dyDescent="0.25" r="203" customHeight="1" ht="18.75">
      <c r="A203" s="139"/>
      <c r="B203" s="132"/>
      <c r="C203" s="134"/>
      <c r="D203" s="134"/>
      <c r="E203" s="134"/>
      <c r="F203" s="137"/>
      <c r="G203" s="140"/>
      <c r="H203" s="33"/>
    </row>
    <row x14ac:dyDescent="0.25" r="204" customHeight="1" ht="18.75">
      <c r="A204" s="139"/>
      <c r="B204" s="132"/>
      <c r="C204" s="134"/>
      <c r="D204" s="134"/>
      <c r="E204" s="134"/>
      <c r="F204" s="137"/>
      <c r="G204" s="140"/>
      <c r="H204" s="33"/>
    </row>
    <row x14ac:dyDescent="0.25" r="205" customHeight="1" ht="18.75">
      <c r="A205" s="139"/>
      <c r="B205" s="132"/>
      <c r="C205" s="134"/>
      <c r="D205" s="134"/>
      <c r="E205" s="134"/>
      <c r="F205" s="137"/>
      <c r="G205" s="140"/>
      <c r="H205" s="33"/>
    </row>
    <row x14ac:dyDescent="0.25" r="206" customHeight="1" ht="18.75">
      <c r="A206" s="139"/>
      <c r="B206" s="132"/>
      <c r="C206" s="134"/>
      <c r="D206" s="134"/>
      <c r="E206" s="134"/>
      <c r="F206" s="137"/>
      <c r="G206" s="140"/>
      <c r="H206" s="33"/>
    </row>
    <row x14ac:dyDescent="0.25" r="207" customHeight="1" ht="18.75">
      <c r="A207" s="139"/>
      <c r="B207" s="132"/>
      <c r="C207" s="134"/>
      <c r="D207" s="134"/>
      <c r="E207" s="134"/>
      <c r="F207" s="137"/>
      <c r="G207" s="140"/>
      <c r="H207" s="33"/>
    </row>
    <row x14ac:dyDescent="0.25" r="208" customHeight="1" ht="18.75">
      <c r="A208" s="139"/>
      <c r="B208" s="132"/>
      <c r="C208" s="134"/>
      <c r="D208" s="134"/>
      <c r="E208" s="134"/>
      <c r="F208" s="137"/>
      <c r="G208" s="140"/>
      <c r="H208" s="33"/>
    </row>
    <row x14ac:dyDescent="0.25" r="209" customHeight="1" ht="18.75">
      <c r="A209" s="139"/>
      <c r="B209" s="132"/>
      <c r="C209" s="134"/>
      <c r="D209" s="134"/>
      <c r="E209" s="134"/>
      <c r="F209" s="137"/>
      <c r="G209" s="140"/>
      <c r="H209" s="33"/>
    </row>
    <row x14ac:dyDescent="0.25" r="210" customHeight="1" ht="18.75">
      <c r="A210" s="139"/>
      <c r="B210" s="132"/>
      <c r="C210" s="134"/>
      <c r="D210" s="134"/>
      <c r="E210" s="134"/>
      <c r="F210" s="137"/>
      <c r="G210" s="140"/>
      <c r="H210" s="33"/>
    </row>
    <row x14ac:dyDescent="0.25" r="211" customHeight="1" ht="18.75">
      <c r="A211" s="139"/>
      <c r="B211" s="132"/>
      <c r="C211" s="134"/>
      <c r="D211" s="134"/>
      <c r="E211" s="134"/>
      <c r="F211" s="137"/>
      <c r="G211" s="140"/>
      <c r="H211" s="33"/>
    </row>
    <row x14ac:dyDescent="0.25" r="212" customHeight="1" ht="18.75">
      <c r="A212" s="139"/>
      <c r="B212" s="132"/>
      <c r="C212" s="134"/>
      <c r="D212" s="134"/>
      <c r="E212" s="134"/>
      <c r="F212" s="137"/>
      <c r="G212" s="140"/>
      <c r="H212" s="33"/>
    </row>
    <row x14ac:dyDescent="0.25" r="213" customHeight="1" ht="18.75">
      <c r="A213" s="139"/>
      <c r="B213" s="132"/>
      <c r="C213" s="134"/>
      <c r="D213" s="134"/>
      <c r="E213" s="134"/>
      <c r="F213" s="137"/>
      <c r="G213" s="140"/>
      <c r="H213" s="33"/>
    </row>
    <row x14ac:dyDescent="0.25" r="214" customHeight="1" ht="18.75">
      <c r="A214" s="139"/>
      <c r="B214" s="132"/>
      <c r="C214" s="134"/>
      <c r="D214" s="134"/>
      <c r="E214" s="134"/>
      <c r="F214" s="137"/>
      <c r="G214" s="140"/>
      <c r="H214" s="33"/>
    </row>
    <row x14ac:dyDescent="0.25" r="215" customHeight="1" ht="18.75">
      <c r="A215" s="139"/>
      <c r="B215" s="132"/>
      <c r="C215" s="134"/>
      <c r="D215" s="134"/>
      <c r="E215" s="134"/>
      <c r="F215" s="137"/>
      <c r="G215" s="140"/>
      <c r="H215" s="33"/>
    </row>
    <row x14ac:dyDescent="0.25" r="216" customHeight="1" ht="18.75">
      <c r="A216" s="139"/>
      <c r="B216" s="132"/>
      <c r="C216" s="134"/>
      <c r="D216" s="134"/>
      <c r="E216" s="134"/>
      <c r="F216" s="137"/>
      <c r="G216" s="140"/>
      <c r="H216" s="33"/>
    </row>
    <row x14ac:dyDescent="0.25" r="217" customHeight="1" ht="18.75">
      <c r="A217" s="139"/>
      <c r="B217" s="132"/>
      <c r="C217" s="134"/>
      <c r="D217" s="134"/>
      <c r="E217" s="134"/>
      <c r="F217" s="137"/>
      <c r="G217" s="140"/>
      <c r="H217" s="33"/>
    </row>
    <row x14ac:dyDescent="0.25" r="218" customHeight="1" ht="18.75">
      <c r="A218" s="139"/>
      <c r="B218" s="132"/>
      <c r="C218" s="134"/>
      <c r="D218" s="134"/>
      <c r="E218" s="134"/>
      <c r="F218" s="137"/>
      <c r="G218" s="140"/>
      <c r="H218" s="33"/>
    </row>
    <row x14ac:dyDescent="0.25" r="219" customHeight="1" ht="18.75">
      <c r="A219" s="139"/>
      <c r="B219" s="132"/>
      <c r="C219" s="134"/>
      <c r="D219" s="134"/>
      <c r="E219" s="134"/>
      <c r="F219" s="137"/>
      <c r="G219" s="140"/>
      <c r="H219" s="33"/>
    </row>
    <row x14ac:dyDescent="0.25" r="220" customHeight="1" ht="18.75">
      <c r="A220" s="139"/>
      <c r="B220" s="132"/>
      <c r="C220" s="134"/>
      <c r="D220" s="134"/>
      <c r="E220" s="134"/>
      <c r="F220" s="137"/>
      <c r="G220" s="140"/>
      <c r="H220" s="33"/>
    </row>
    <row x14ac:dyDescent="0.25" r="221" customHeight="1" ht="18.75">
      <c r="A221" s="139"/>
      <c r="B221" s="132"/>
      <c r="C221" s="134"/>
      <c r="D221" s="134"/>
      <c r="E221" s="134"/>
      <c r="F221" s="137"/>
      <c r="G221" s="140"/>
      <c r="H221" s="33"/>
    </row>
    <row x14ac:dyDescent="0.25" r="222" customHeight="1" ht="18.75">
      <c r="A222" s="139"/>
      <c r="B222" s="132"/>
      <c r="C222" s="134"/>
      <c r="D222" s="134"/>
      <c r="E222" s="134"/>
      <c r="F222" s="137"/>
      <c r="G222" s="140"/>
      <c r="H222" s="33"/>
    </row>
    <row x14ac:dyDescent="0.25" r="223" customHeight="1" ht="18.75">
      <c r="A223" s="139"/>
      <c r="B223" s="132"/>
      <c r="C223" s="134"/>
      <c r="D223" s="134"/>
      <c r="E223" s="134"/>
      <c r="F223" s="137"/>
      <c r="G223" s="140"/>
      <c r="H223" s="33"/>
    </row>
    <row x14ac:dyDescent="0.25" r="224" customHeight="1" ht="18.75">
      <c r="A224" s="139"/>
      <c r="B224" s="132"/>
      <c r="C224" s="134"/>
      <c r="D224" s="134"/>
      <c r="E224" s="134"/>
      <c r="F224" s="137"/>
      <c r="G224" s="140"/>
      <c r="H224" s="33"/>
    </row>
    <row x14ac:dyDescent="0.25" r="225" customHeight="1" ht="18.75">
      <c r="A225" s="139"/>
      <c r="B225" s="132"/>
      <c r="C225" s="134"/>
      <c r="D225" s="134"/>
      <c r="E225" s="134"/>
      <c r="F225" s="137"/>
      <c r="G225" s="140"/>
      <c r="H225" s="33"/>
    </row>
    <row x14ac:dyDescent="0.25" r="226" customHeight="1" ht="18.75">
      <c r="A226" s="139"/>
      <c r="B226" s="132"/>
      <c r="C226" s="134"/>
      <c r="D226" s="134"/>
      <c r="E226" s="134"/>
      <c r="F226" s="137"/>
      <c r="G226" s="140"/>
      <c r="H226" s="33"/>
    </row>
    <row x14ac:dyDescent="0.25" r="227" customHeight="1" ht="18.75">
      <c r="A227" s="139"/>
      <c r="B227" s="132"/>
      <c r="C227" s="134"/>
      <c r="D227" s="134"/>
      <c r="E227" s="134"/>
      <c r="F227" s="137"/>
      <c r="G227" s="140"/>
      <c r="H227" s="33"/>
    </row>
    <row x14ac:dyDescent="0.25" r="228" customHeight="1" ht="18.75">
      <c r="A228" s="139"/>
      <c r="B228" s="132"/>
      <c r="C228" s="134"/>
      <c r="D228" s="134"/>
      <c r="E228" s="134"/>
      <c r="F228" s="137"/>
      <c r="G228" s="140"/>
      <c r="H228" s="33"/>
    </row>
    <row x14ac:dyDescent="0.25" r="229" customHeight="1" ht="18.75">
      <c r="A229" s="139"/>
      <c r="B229" s="132"/>
      <c r="C229" s="134"/>
      <c r="D229" s="134"/>
      <c r="E229" s="134"/>
      <c r="F229" s="137"/>
      <c r="G229" s="140"/>
      <c r="H229" s="33"/>
    </row>
    <row x14ac:dyDescent="0.25" r="230" customHeight="1" ht="18.75">
      <c r="A230" s="139"/>
      <c r="B230" s="132"/>
      <c r="C230" s="134"/>
      <c r="D230" s="134"/>
      <c r="E230" s="134"/>
      <c r="F230" s="137"/>
      <c r="G230" s="140"/>
      <c r="H230" s="33"/>
    </row>
    <row x14ac:dyDescent="0.25" r="231" customHeight="1" ht="18.75">
      <c r="A231" s="139"/>
      <c r="B231" s="132"/>
      <c r="C231" s="134"/>
      <c r="D231" s="134"/>
      <c r="E231" s="134"/>
      <c r="F231" s="137"/>
      <c r="G231" s="140"/>
      <c r="H231" s="33"/>
    </row>
    <row x14ac:dyDescent="0.25" r="232" customHeight="1" ht="18.75">
      <c r="A232" s="139"/>
      <c r="B232" s="132"/>
      <c r="C232" s="134"/>
      <c r="D232" s="134"/>
      <c r="E232" s="134"/>
      <c r="F232" s="137"/>
      <c r="G232" s="140"/>
      <c r="H232" s="33"/>
    </row>
    <row x14ac:dyDescent="0.25" r="233" customHeight="1" ht="18.75">
      <c r="A233" s="139"/>
      <c r="B233" s="132"/>
      <c r="C233" s="134"/>
      <c r="D233" s="134"/>
      <c r="E233" s="134"/>
      <c r="F233" s="137"/>
      <c r="G233" s="140"/>
      <c r="H233" s="33"/>
    </row>
    <row x14ac:dyDescent="0.25" r="234" customHeight="1" ht="18.75">
      <c r="A234" s="139"/>
      <c r="B234" s="132"/>
      <c r="C234" s="134"/>
      <c r="D234" s="134"/>
      <c r="E234" s="134"/>
      <c r="F234" s="137"/>
      <c r="G234" s="140"/>
      <c r="H234" s="33"/>
    </row>
    <row x14ac:dyDescent="0.25" r="235" customHeight="1" ht="18.75">
      <c r="A235" s="139"/>
      <c r="B235" s="132"/>
      <c r="C235" s="134"/>
      <c r="D235" s="134"/>
      <c r="E235" s="134"/>
      <c r="F235" s="137"/>
      <c r="G235" s="140"/>
      <c r="H235" s="33"/>
    </row>
    <row x14ac:dyDescent="0.25" r="236" customHeight="1" ht="18.75">
      <c r="A236" s="139"/>
      <c r="B236" s="132"/>
      <c r="C236" s="134"/>
      <c r="D236" s="134"/>
      <c r="E236" s="134"/>
      <c r="F236" s="137"/>
      <c r="G236" s="140"/>
      <c r="H236" s="33"/>
    </row>
    <row x14ac:dyDescent="0.25" r="237" customHeight="1" ht="18.75">
      <c r="A237" s="139"/>
      <c r="B237" s="132"/>
      <c r="C237" s="134"/>
      <c r="D237" s="134"/>
      <c r="E237" s="134"/>
      <c r="F237" s="137"/>
      <c r="G237" s="140"/>
      <c r="H237" s="33"/>
    </row>
    <row x14ac:dyDescent="0.25" r="238" customHeight="1" ht="18.75">
      <c r="A238" s="139"/>
      <c r="B238" s="132"/>
      <c r="C238" s="134"/>
      <c r="D238" s="134"/>
      <c r="E238" s="134"/>
      <c r="F238" s="137"/>
      <c r="G238" s="140"/>
      <c r="H238" s="33"/>
    </row>
    <row x14ac:dyDescent="0.25" r="239" customHeight="1" ht="18.75">
      <c r="A239" s="139"/>
      <c r="B239" s="132"/>
      <c r="C239" s="134"/>
      <c r="D239" s="134"/>
      <c r="E239" s="134"/>
      <c r="F239" s="137"/>
      <c r="G239" s="140"/>
      <c r="H239" s="33"/>
    </row>
    <row x14ac:dyDescent="0.25" r="240" customHeight="1" ht="18.75">
      <c r="A240" s="139"/>
      <c r="B240" s="132"/>
      <c r="C240" s="134"/>
      <c r="D240" s="134"/>
      <c r="E240" s="134"/>
      <c r="F240" s="137"/>
      <c r="G240" s="140"/>
      <c r="H240" s="33"/>
    </row>
    <row x14ac:dyDescent="0.25" r="241" customHeight="1" ht="18.75">
      <c r="A241" s="139"/>
      <c r="B241" s="132"/>
      <c r="C241" s="134"/>
      <c r="D241" s="134"/>
      <c r="E241" s="134"/>
      <c r="F241" s="137"/>
      <c r="G241" s="140"/>
      <c r="H241" s="33"/>
    </row>
    <row x14ac:dyDescent="0.25" r="242" customHeight="1" ht="18.75">
      <c r="A242" s="139"/>
      <c r="B242" s="132"/>
      <c r="C242" s="134"/>
      <c r="D242" s="134"/>
      <c r="E242" s="134"/>
      <c r="F242" s="137"/>
      <c r="G242" s="140"/>
      <c r="H242" s="33"/>
    </row>
    <row x14ac:dyDescent="0.25" r="243" customHeight="1" ht="18.75">
      <c r="A243" s="139"/>
      <c r="B243" s="132"/>
      <c r="C243" s="134"/>
      <c r="D243" s="134"/>
      <c r="E243" s="134"/>
      <c r="F243" s="137"/>
      <c r="G243" s="140"/>
      <c r="H243" s="33"/>
    </row>
    <row x14ac:dyDescent="0.25" r="244" customHeight="1" ht="18.75">
      <c r="A244" s="139"/>
      <c r="B244" s="132"/>
      <c r="C244" s="134"/>
      <c r="D244" s="134"/>
      <c r="E244" s="134"/>
      <c r="F244" s="137"/>
      <c r="G244" s="140"/>
      <c r="H244" s="33"/>
    </row>
    <row x14ac:dyDescent="0.25" r="245" customHeight="1" ht="18.75">
      <c r="A245" s="139"/>
      <c r="B245" s="132"/>
      <c r="C245" s="134"/>
      <c r="D245" s="134"/>
      <c r="E245" s="134"/>
      <c r="F245" s="137"/>
      <c r="G245" s="140"/>
      <c r="H245" s="33"/>
    </row>
    <row x14ac:dyDescent="0.25" r="246" customHeight="1" ht="18.75">
      <c r="A246" s="139"/>
      <c r="B246" s="132"/>
      <c r="C246" s="134"/>
      <c r="D246" s="134"/>
      <c r="E246" s="134"/>
      <c r="F246" s="137"/>
      <c r="G246" s="140"/>
      <c r="H246" s="33"/>
    </row>
    <row x14ac:dyDescent="0.25" r="247" customHeight="1" ht="18.75">
      <c r="A247" s="139"/>
      <c r="B247" s="132"/>
      <c r="C247" s="134"/>
      <c r="D247" s="134"/>
      <c r="E247" s="134"/>
      <c r="F247" s="137"/>
      <c r="G247" s="140"/>
      <c r="H247" s="33"/>
    </row>
    <row x14ac:dyDescent="0.25" r="248" customHeight="1" ht="18.75">
      <c r="A248" s="139"/>
      <c r="B248" s="132"/>
      <c r="C248" s="134"/>
      <c r="D248" s="134"/>
      <c r="E248" s="134"/>
      <c r="F248" s="137"/>
      <c r="G248" s="140"/>
      <c r="H248" s="33"/>
    </row>
    <row x14ac:dyDescent="0.25" r="249" customHeight="1" ht="18.75">
      <c r="A249" s="139"/>
      <c r="B249" s="132"/>
      <c r="C249" s="134"/>
      <c r="D249" s="134"/>
      <c r="E249" s="134"/>
      <c r="F249" s="137"/>
      <c r="G249" s="140"/>
      <c r="H249" s="33"/>
    </row>
    <row x14ac:dyDescent="0.25" r="250" customHeight="1" ht="18.75">
      <c r="A250" s="139"/>
      <c r="B250" s="132"/>
      <c r="C250" s="134"/>
      <c r="D250" s="134"/>
      <c r="E250" s="134"/>
      <c r="F250" s="137"/>
      <c r="G250" s="140"/>
      <c r="H250" s="33"/>
    </row>
    <row x14ac:dyDescent="0.25" r="251" customHeight="1" ht="18.75">
      <c r="A251" s="139"/>
      <c r="B251" s="132"/>
      <c r="C251" s="134"/>
      <c r="D251" s="134"/>
      <c r="E251" s="134"/>
      <c r="F251" s="137"/>
      <c r="G251" s="140"/>
      <c r="H251" s="33"/>
    </row>
    <row x14ac:dyDescent="0.25" r="252" customHeight="1" ht="18.75">
      <c r="A252" s="139"/>
      <c r="B252" s="132"/>
      <c r="C252" s="134"/>
      <c r="D252" s="134"/>
      <c r="E252" s="134"/>
      <c r="F252" s="137"/>
      <c r="G252" s="140"/>
      <c r="H252" s="33"/>
    </row>
    <row x14ac:dyDescent="0.25" r="253" customHeight="1" ht="18.75">
      <c r="A253" s="139"/>
      <c r="B253" s="132"/>
      <c r="C253" s="134"/>
      <c r="D253" s="134"/>
      <c r="E253" s="134"/>
      <c r="F253" s="137"/>
      <c r="G253" s="140"/>
      <c r="H253" s="33"/>
    </row>
    <row x14ac:dyDescent="0.25" r="254" customHeight="1" ht="18.75">
      <c r="A254" s="139"/>
      <c r="B254" s="132"/>
      <c r="C254" s="134"/>
      <c r="D254" s="134"/>
      <c r="E254" s="134"/>
      <c r="F254" s="137"/>
      <c r="G254" s="140"/>
      <c r="H254" s="33"/>
    </row>
    <row x14ac:dyDescent="0.25" r="255" customHeight="1" ht="18.75">
      <c r="A255" s="139"/>
      <c r="B255" s="132"/>
      <c r="C255" s="134"/>
      <c r="D255" s="134"/>
      <c r="E255" s="134"/>
      <c r="F255" s="137"/>
      <c r="G255" s="140"/>
      <c r="H255" s="33"/>
    </row>
    <row x14ac:dyDescent="0.25" r="256" customHeight="1" ht="18.75">
      <c r="A256" s="139"/>
      <c r="B256" s="132"/>
      <c r="C256" s="134"/>
      <c r="D256" s="134"/>
      <c r="E256" s="134"/>
      <c r="F256" s="137"/>
      <c r="G256" s="140"/>
      <c r="H256" s="33"/>
    </row>
    <row x14ac:dyDescent="0.25" r="257" customHeight="1" ht="18.75">
      <c r="A257" s="139"/>
      <c r="B257" s="132"/>
      <c r="C257" s="134"/>
      <c r="D257" s="134"/>
      <c r="E257" s="134"/>
      <c r="F257" s="137"/>
      <c r="G257" s="140"/>
      <c r="H257" s="33"/>
    </row>
    <row x14ac:dyDescent="0.25" r="258" customHeight="1" ht="18.75">
      <c r="A258" s="139"/>
      <c r="B258" s="132"/>
      <c r="C258" s="134"/>
      <c r="D258" s="134"/>
      <c r="E258" s="134"/>
      <c r="F258" s="137"/>
      <c r="G258" s="140"/>
      <c r="H258" s="33"/>
    </row>
    <row x14ac:dyDescent="0.25" r="259" customHeight="1" ht="18.75">
      <c r="A259" s="139"/>
      <c r="B259" s="132"/>
      <c r="C259" s="134"/>
      <c r="D259" s="134"/>
      <c r="E259" s="134"/>
      <c r="F259" s="137"/>
      <c r="G259" s="140"/>
      <c r="H259" s="33"/>
    </row>
    <row x14ac:dyDescent="0.25" r="260" customHeight="1" ht="18.75">
      <c r="A260" s="139"/>
      <c r="B260" s="132"/>
      <c r="C260" s="134"/>
      <c r="D260" s="134"/>
      <c r="E260" s="134"/>
      <c r="F260" s="137"/>
      <c r="G260" s="140"/>
      <c r="H260" s="33"/>
    </row>
    <row x14ac:dyDescent="0.25" r="261" customHeight="1" ht="18.75">
      <c r="A261" s="139"/>
      <c r="B261" s="132"/>
      <c r="C261" s="134"/>
      <c r="D261" s="134"/>
      <c r="E261" s="134"/>
      <c r="F261" s="137"/>
      <c r="G261" s="140"/>
      <c r="H261" s="33"/>
    </row>
    <row x14ac:dyDescent="0.25" r="262" customHeight="1" ht="18.75">
      <c r="A262" s="139"/>
      <c r="B262" s="132"/>
      <c r="C262" s="134"/>
      <c r="D262" s="134"/>
      <c r="E262" s="134"/>
      <c r="F262" s="137"/>
      <c r="G262" s="140"/>
      <c r="H262" s="33"/>
    </row>
    <row x14ac:dyDescent="0.25" r="263" customHeight="1" ht="18.75">
      <c r="A263" s="139"/>
      <c r="B263" s="132"/>
      <c r="C263" s="134"/>
      <c r="D263" s="134"/>
      <c r="E263" s="134"/>
      <c r="F263" s="137"/>
      <c r="G263" s="140"/>
      <c r="H263" s="33"/>
    </row>
    <row x14ac:dyDescent="0.25" r="264" customHeight="1" ht="18.75">
      <c r="A264" s="139"/>
      <c r="B264" s="132"/>
      <c r="C264" s="134"/>
      <c r="D264" s="134"/>
      <c r="E264" s="134"/>
      <c r="F264" s="137"/>
      <c r="G264" s="140"/>
      <c r="H264" s="33"/>
    </row>
    <row x14ac:dyDescent="0.25" r="265" customHeight="1" ht="18.75">
      <c r="A265" s="139"/>
      <c r="B265" s="132"/>
      <c r="C265" s="134"/>
      <c r="D265" s="134"/>
      <c r="E265" s="134"/>
      <c r="F265" s="137"/>
      <c r="G265" s="140"/>
      <c r="H265" s="33"/>
    </row>
    <row x14ac:dyDescent="0.25" r="266" customHeight="1" ht="18.75">
      <c r="A266" s="139"/>
      <c r="B266" s="132"/>
      <c r="C266" s="134"/>
      <c r="D266" s="134"/>
      <c r="E266" s="134"/>
      <c r="F266" s="137"/>
      <c r="G266" s="140"/>
      <c r="H266" s="33"/>
    </row>
    <row x14ac:dyDescent="0.25" r="267" customHeight="1" ht="18.75">
      <c r="A267" s="139"/>
      <c r="B267" s="132"/>
      <c r="C267" s="134"/>
      <c r="D267" s="134"/>
      <c r="E267" s="134"/>
      <c r="F267" s="137"/>
      <c r="G267" s="140"/>
      <c r="H267" s="33"/>
    </row>
    <row x14ac:dyDescent="0.25" r="268" customHeight="1" ht="18.75">
      <c r="A268" s="139"/>
      <c r="B268" s="132"/>
      <c r="C268" s="134"/>
      <c r="D268" s="134"/>
      <c r="E268" s="134"/>
      <c r="F268" s="137"/>
      <c r="G268" s="140"/>
      <c r="H268" s="33"/>
    </row>
    <row x14ac:dyDescent="0.25" r="269" customHeight="1" ht="18.75">
      <c r="A269" s="139"/>
      <c r="B269" s="132"/>
      <c r="C269" s="134"/>
      <c r="D269" s="134"/>
      <c r="E269" s="134"/>
      <c r="F269" s="137"/>
      <c r="G269" s="140"/>
      <c r="H269" s="33"/>
    </row>
    <row x14ac:dyDescent="0.25" r="270" customHeight="1" ht="18.75">
      <c r="A270" s="139"/>
      <c r="B270" s="132"/>
      <c r="C270" s="134"/>
      <c r="D270" s="134"/>
      <c r="E270" s="134"/>
      <c r="F270" s="137"/>
      <c r="G270" s="140"/>
      <c r="H270" s="33"/>
    </row>
    <row x14ac:dyDescent="0.25" r="271" customHeight="1" ht="18.75">
      <c r="A271" s="139"/>
      <c r="B271" s="132"/>
      <c r="C271" s="134"/>
      <c r="D271" s="134"/>
      <c r="E271" s="134"/>
      <c r="F271" s="137"/>
      <c r="G271" s="140"/>
      <c r="H271" s="33"/>
    </row>
    <row x14ac:dyDescent="0.25" r="272" customHeight="1" ht="18.75">
      <c r="A272" s="139"/>
      <c r="B272" s="132"/>
      <c r="C272" s="134"/>
      <c r="D272" s="134"/>
      <c r="E272" s="134"/>
      <c r="F272" s="137"/>
      <c r="G272" s="140"/>
      <c r="H272" s="33"/>
    </row>
    <row x14ac:dyDescent="0.25" r="273" customHeight="1" ht="18.75">
      <c r="A273" s="139"/>
      <c r="B273" s="132"/>
      <c r="C273" s="134"/>
      <c r="D273" s="134"/>
      <c r="E273" s="134"/>
      <c r="F273" s="137"/>
      <c r="G273" s="140"/>
      <c r="H273" s="33"/>
    </row>
    <row x14ac:dyDescent="0.25" r="274" customHeight="1" ht="18.75">
      <c r="A274" s="139"/>
      <c r="B274" s="132"/>
      <c r="C274" s="134"/>
      <c r="D274" s="134"/>
      <c r="E274" s="134"/>
      <c r="F274" s="137"/>
      <c r="G274" s="140"/>
      <c r="H274" s="33"/>
    </row>
    <row x14ac:dyDescent="0.25" r="275" customHeight="1" ht="18.75">
      <c r="A275" s="139"/>
      <c r="B275" s="132"/>
      <c r="C275" s="134"/>
      <c r="D275" s="134"/>
      <c r="E275" s="134"/>
      <c r="F275" s="137"/>
      <c r="G275" s="140"/>
      <c r="H275" s="33"/>
    </row>
    <row x14ac:dyDescent="0.25" r="276" customHeight="1" ht="18.75">
      <c r="A276" s="139"/>
      <c r="B276" s="132"/>
      <c r="C276" s="134"/>
      <c r="D276" s="134"/>
      <c r="E276" s="134"/>
      <c r="F276" s="137"/>
      <c r="G276" s="140"/>
      <c r="H276" s="33"/>
    </row>
    <row x14ac:dyDescent="0.25" r="277" customHeight="1" ht="18.75">
      <c r="A277" s="139"/>
      <c r="B277" s="132"/>
      <c r="C277" s="134"/>
      <c r="D277" s="134"/>
      <c r="E277" s="134"/>
      <c r="F277" s="137"/>
      <c r="G277" s="140"/>
      <c r="H277" s="33"/>
    </row>
    <row x14ac:dyDescent="0.25" r="278" customHeight="1" ht="18.75">
      <c r="A278" s="139"/>
      <c r="B278" s="132"/>
      <c r="C278" s="134"/>
      <c r="D278" s="134"/>
      <c r="E278" s="134"/>
      <c r="F278" s="137"/>
      <c r="G278" s="140"/>
      <c r="H278" s="33"/>
    </row>
    <row x14ac:dyDescent="0.25" r="279" customHeight="1" ht="18.75">
      <c r="A279" s="139"/>
      <c r="B279" s="132"/>
      <c r="C279" s="134"/>
      <c r="D279" s="134"/>
      <c r="E279" s="134"/>
      <c r="F279" s="137"/>
      <c r="G279" s="140"/>
      <c r="H279" s="33"/>
    </row>
    <row x14ac:dyDescent="0.25" r="280" customHeight="1" ht="18.75">
      <c r="A280" s="139"/>
      <c r="B280" s="132"/>
      <c r="C280" s="134"/>
      <c r="D280" s="134"/>
      <c r="E280" s="134"/>
      <c r="F280" s="137"/>
      <c r="G280" s="140"/>
      <c r="H280" s="33"/>
    </row>
    <row x14ac:dyDescent="0.25" r="281" customHeight="1" ht="18.75">
      <c r="A281" s="139"/>
      <c r="B281" s="132"/>
      <c r="C281" s="134"/>
      <c r="D281" s="134"/>
      <c r="E281" s="134"/>
      <c r="F281" s="137"/>
      <c r="G281" s="140"/>
      <c r="H281" s="33"/>
    </row>
    <row x14ac:dyDescent="0.25" r="282" customHeight="1" ht="18.75">
      <c r="A282" s="139"/>
      <c r="B282" s="132"/>
      <c r="C282" s="134"/>
      <c r="D282" s="134"/>
      <c r="E282" s="134"/>
      <c r="F282" s="137"/>
      <c r="G282" s="140"/>
      <c r="H282" s="33"/>
    </row>
    <row x14ac:dyDescent="0.25" r="283" customHeight="1" ht="18.75">
      <c r="A283" s="139"/>
      <c r="B283" s="132"/>
      <c r="C283" s="134"/>
      <c r="D283" s="134"/>
      <c r="E283" s="134"/>
      <c r="F283" s="137"/>
      <c r="G283" s="140"/>
      <c r="H283" s="33"/>
    </row>
    <row x14ac:dyDescent="0.25" r="284" customHeight="1" ht="18.75">
      <c r="A284" s="139"/>
      <c r="B284" s="132"/>
      <c r="C284" s="134"/>
      <c r="D284" s="134"/>
      <c r="E284" s="134"/>
      <c r="F284" s="137"/>
      <c r="G284" s="140"/>
      <c r="H284" s="33"/>
    </row>
    <row x14ac:dyDescent="0.25" r="285" customHeight="1" ht="18.75">
      <c r="A285" s="139"/>
      <c r="B285" s="132"/>
      <c r="C285" s="134"/>
      <c r="D285" s="134"/>
      <c r="E285" s="134"/>
      <c r="F285" s="137"/>
      <c r="G285" s="140"/>
      <c r="H285" s="33"/>
    </row>
    <row x14ac:dyDescent="0.25" r="286" customHeight="1" ht="18.75">
      <c r="A286" s="139"/>
      <c r="B286" s="132"/>
      <c r="C286" s="134"/>
      <c r="D286" s="134"/>
      <c r="E286" s="134"/>
      <c r="F286" s="137"/>
      <c r="G286" s="140"/>
      <c r="H286" s="33"/>
    </row>
    <row x14ac:dyDescent="0.25" r="287" customHeight="1" ht="18.75">
      <c r="A287" s="139"/>
      <c r="B287" s="132"/>
      <c r="C287" s="134"/>
      <c r="D287" s="134"/>
      <c r="E287" s="134"/>
      <c r="F287" s="137"/>
      <c r="G287" s="140"/>
      <c r="H287" s="33"/>
    </row>
    <row x14ac:dyDescent="0.25" r="288" customHeight="1" ht="18.75">
      <c r="A288" s="139"/>
      <c r="B288" s="132"/>
      <c r="C288" s="134"/>
      <c r="D288" s="134"/>
      <c r="E288" s="134"/>
      <c r="F288" s="137"/>
      <c r="G288" s="140"/>
      <c r="H288" s="33"/>
    </row>
    <row x14ac:dyDescent="0.25" r="289" customHeight="1" ht="18.75">
      <c r="A289" s="139"/>
      <c r="B289" s="132"/>
      <c r="C289" s="134"/>
      <c r="D289" s="134"/>
      <c r="E289" s="134"/>
      <c r="F289" s="137"/>
      <c r="G289" s="140"/>
      <c r="H289" s="33"/>
    </row>
    <row x14ac:dyDescent="0.25" r="290" customHeight="1" ht="18.75">
      <c r="A290" s="139"/>
      <c r="B290" s="132"/>
      <c r="C290" s="134"/>
      <c r="D290" s="134"/>
      <c r="E290" s="134"/>
      <c r="F290" s="137"/>
      <c r="G290" s="140"/>
      <c r="H290" s="33"/>
    </row>
    <row x14ac:dyDescent="0.25" r="291" customHeight="1" ht="18.75">
      <c r="A291" s="139"/>
      <c r="B291" s="132"/>
      <c r="C291" s="134"/>
      <c r="D291" s="134"/>
      <c r="E291" s="134"/>
      <c r="F291" s="137"/>
      <c r="G291" s="140"/>
      <c r="H291" s="33"/>
    </row>
    <row x14ac:dyDescent="0.25" r="292" customHeight="1" ht="18.75">
      <c r="A292" s="139"/>
      <c r="B292" s="132"/>
      <c r="C292" s="134"/>
      <c r="D292" s="134"/>
      <c r="E292" s="134"/>
      <c r="F292" s="137"/>
      <c r="G292" s="140"/>
      <c r="H292" s="33"/>
    </row>
    <row x14ac:dyDescent="0.25" r="293" customHeight="1" ht="18.75">
      <c r="A293" s="139"/>
      <c r="B293" s="132"/>
      <c r="C293" s="134"/>
      <c r="D293" s="134"/>
      <c r="E293" s="134"/>
      <c r="F293" s="137"/>
      <c r="G293" s="140"/>
      <c r="H293" s="33"/>
    </row>
    <row x14ac:dyDescent="0.25" r="294" customHeight="1" ht="18.75">
      <c r="A294" s="139"/>
      <c r="B294" s="132"/>
      <c r="C294" s="134"/>
      <c r="D294" s="134"/>
      <c r="E294" s="134"/>
      <c r="F294" s="137"/>
      <c r="G294" s="140"/>
      <c r="H294" s="33"/>
    </row>
    <row x14ac:dyDescent="0.25" r="295" customHeight="1" ht="18.75">
      <c r="A295" s="139"/>
      <c r="B295" s="132"/>
      <c r="C295" s="134"/>
      <c r="D295" s="134"/>
      <c r="E295" s="134"/>
      <c r="F295" s="137"/>
      <c r="G295" s="140"/>
      <c r="H295" s="33"/>
    </row>
    <row x14ac:dyDescent="0.25" r="296" customHeight="1" ht="18.75">
      <c r="A296" s="139"/>
      <c r="B296" s="132"/>
      <c r="C296" s="134"/>
      <c r="D296" s="134"/>
      <c r="E296" s="134"/>
      <c r="F296" s="137"/>
      <c r="G296" s="140"/>
      <c r="H296" s="33"/>
    </row>
    <row x14ac:dyDescent="0.25" r="297" customHeight="1" ht="18.75">
      <c r="A297" s="139"/>
      <c r="B297" s="132"/>
      <c r="C297" s="134"/>
      <c r="D297" s="134"/>
      <c r="E297" s="134"/>
      <c r="F297" s="137"/>
      <c r="G297" s="140"/>
      <c r="H297" s="33"/>
    </row>
    <row x14ac:dyDescent="0.25" r="298" customHeight="1" ht="18.75">
      <c r="A298" s="139"/>
      <c r="B298" s="132"/>
      <c r="C298" s="134"/>
      <c r="D298" s="134"/>
      <c r="E298" s="134"/>
      <c r="F298" s="137"/>
      <c r="G298" s="140"/>
      <c r="H298" s="33"/>
    </row>
    <row x14ac:dyDescent="0.25" r="299" customHeight="1" ht="18.75">
      <c r="A299" s="139"/>
      <c r="B299" s="132"/>
      <c r="C299" s="134"/>
      <c r="D299" s="134"/>
      <c r="E299" s="134"/>
      <c r="F299" s="137"/>
      <c r="G299" s="140"/>
      <c r="H299" s="33"/>
    </row>
    <row x14ac:dyDescent="0.25" r="300" customHeight="1" ht="18.75">
      <c r="A300" s="139"/>
      <c r="B300" s="132"/>
      <c r="C300" s="134"/>
      <c r="D300" s="134"/>
      <c r="E300" s="134"/>
      <c r="F300" s="137"/>
      <c r="G300" s="140"/>
      <c r="H300" s="33"/>
    </row>
    <row x14ac:dyDescent="0.25" r="301" customHeight="1" ht="18.75">
      <c r="A301" s="139"/>
      <c r="B301" s="132"/>
      <c r="C301" s="134"/>
      <c r="D301" s="134"/>
      <c r="E301" s="134"/>
      <c r="F301" s="137"/>
      <c r="G301" s="140"/>
      <c r="H301" s="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R1012"/>
  <sheetViews>
    <sheetView workbookViewId="0"/>
  </sheetViews>
  <sheetFormatPr defaultRowHeight="15" x14ac:dyDescent="0.25"/>
  <cols>
    <col min="1" max="1" style="129" width="13.147857142857141" customWidth="1" bestFit="1"/>
    <col min="2" max="2" style="129" width="13.147857142857141" customWidth="1" bestFit="1"/>
    <col min="3" max="3" style="14" width="14.43357142857143" customWidth="1" bestFit="1"/>
    <col min="4" max="4" style="14" width="12.147857142857141" customWidth="1" bestFit="1"/>
    <col min="5" max="5" style="15" width="15.147857142857141" customWidth="1" bestFit="1"/>
    <col min="6" max="6" style="15" width="13.576428571428572" customWidth="1" bestFit="1"/>
    <col min="7" max="7" style="15" width="10.43357142857143" customWidth="1" bestFit="1"/>
    <col min="8" max="8" style="14" width="8.43357142857143" customWidth="1" bestFit="1"/>
    <col min="9" max="9" style="73" width="18.576428571428572" customWidth="1" bestFit="1"/>
    <col min="10" max="10" style="15" width="37.14785714285715" customWidth="1" bestFit="1"/>
    <col min="11" max="11" style="14" width="13.576428571428572" customWidth="1" bestFit="1"/>
    <col min="12" max="12" style="14" width="13.576428571428572" customWidth="1" bestFit="1"/>
    <col min="13" max="13" style="14" width="13.576428571428572" customWidth="1" bestFit="1"/>
    <col min="14" max="14" style="14" width="13.576428571428572" customWidth="1" bestFit="1"/>
    <col min="15" max="15" style="14" width="13.576428571428572" customWidth="1" bestFit="1"/>
    <col min="16" max="16" style="14" width="13.576428571428572" customWidth="1" bestFit="1"/>
    <col min="17" max="17" style="14" width="13.576428571428572" customWidth="1" bestFit="1"/>
    <col min="18" max="18" style="14" width="13.576428571428572" customWidth="1" bestFit="1"/>
    <col min="19" max="19" style="14" width="13.576428571428572" customWidth="1" bestFit="1"/>
    <col min="20" max="20" style="14" width="13.576428571428572" customWidth="1" bestFit="1"/>
    <col min="21" max="21" style="14" width="13.576428571428572" customWidth="1" bestFit="1"/>
    <col min="22" max="22" style="14" width="13.576428571428572" customWidth="1" bestFit="1"/>
    <col min="23" max="23" style="14" width="13.576428571428572" customWidth="1" bestFit="1"/>
    <col min="24" max="24" style="14" width="13.576428571428572" customWidth="1" bestFit="1"/>
    <col min="25" max="25" style="14" width="13.576428571428572" customWidth="1" bestFit="1"/>
    <col min="26" max="26" style="14" width="13.576428571428572" customWidth="1" bestFit="1"/>
    <col min="27" max="27" style="14" width="13.576428571428572" customWidth="1" bestFit="1"/>
    <col min="28" max="28" style="14" width="13.576428571428572" customWidth="1" bestFit="1"/>
    <col min="29" max="29" style="14" width="13.576428571428572" customWidth="1" bestFit="1"/>
    <col min="30" max="30" style="14" width="13.576428571428572" customWidth="1" bestFit="1"/>
    <col min="31" max="31" style="14" width="13.576428571428572" customWidth="1" bestFit="1"/>
    <col min="32" max="32" style="14" width="13.576428571428572" customWidth="1" bestFit="1"/>
    <col min="33" max="33" style="14" width="13.576428571428572" customWidth="1" bestFit="1"/>
    <col min="34" max="34" style="14" width="13.576428571428572" customWidth="1" bestFit="1"/>
    <col min="35" max="35" style="14" width="13.576428571428572" customWidth="1" bestFit="1"/>
    <col min="36" max="36" style="14" width="13.576428571428572" customWidth="1" bestFit="1"/>
    <col min="37" max="37" style="14" width="13.576428571428572" customWidth="1" bestFit="1"/>
    <col min="38" max="38" style="14" width="13.576428571428572" customWidth="1" bestFit="1"/>
    <col min="39" max="39" style="14" width="13.576428571428572" customWidth="1" bestFit="1"/>
    <col min="40" max="40" style="14" width="13.576428571428572" customWidth="1" bestFit="1"/>
    <col min="41" max="41" style="14" width="13.576428571428572" customWidth="1" bestFit="1"/>
    <col min="42" max="42" style="14" width="13.576428571428572" customWidth="1" bestFit="1"/>
    <col min="43" max="43" style="14" width="13.576428571428572" customWidth="1" bestFit="1"/>
    <col min="44" max="44" style="14" width="13.576428571428572" customWidth="1" bestFit="1"/>
    <col min="45" max="45" style="14" width="13.576428571428572" customWidth="1" bestFit="1"/>
    <col min="46" max="46" style="14" width="13.576428571428572" customWidth="1" bestFit="1"/>
    <col min="47" max="47" style="14" width="13.576428571428572" customWidth="1" bestFit="1"/>
    <col min="48" max="48" style="14" width="13.576428571428572" customWidth="1" bestFit="1"/>
    <col min="49" max="49" style="14" width="13.576428571428572" customWidth="1" bestFit="1"/>
    <col min="50" max="50" style="14" width="13.576428571428572" customWidth="1" bestFit="1"/>
    <col min="51" max="51" style="14" width="13.576428571428572" customWidth="1" bestFit="1"/>
    <col min="52" max="52" style="14" width="13.576428571428572" customWidth="1" bestFit="1"/>
    <col min="53" max="53" style="14" width="13.576428571428572" customWidth="1" bestFit="1"/>
    <col min="54" max="54" style="14" width="13.576428571428572" customWidth="1" bestFit="1"/>
    <col min="55" max="55" style="14" width="13.576428571428572" customWidth="1" bestFit="1"/>
    <col min="56" max="56" style="14" width="13.576428571428572" customWidth="1" bestFit="1"/>
    <col min="57" max="57" style="14" width="13.576428571428572" customWidth="1" bestFit="1"/>
    <col min="58" max="58" style="14" width="13.576428571428572" customWidth="1" bestFit="1"/>
    <col min="59" max="59" style="14" width="13.576428571428572" customWidth="1" bestFit="1"/>
    <col min="60" max="60" style="14" width="13.576428571428572" customWidth="1" bestFit="1"/>
    <col min="61" max="61" style="14" width="13.576428571428572" customWidth="1" bestFit="1"/>
    <col min="62" max="62" style="14" width="13.576428571428572" customWidth="1" bestFit="1"/>
    <col min="63" max="63" style="14" width="13.576428571428572" customWidth="1" bestFit="1"/>
    <col min="64" max="64" style="14" width="13.576428571428572" customWidth="1" bestFit="1"/>
    <col min="65" max="65" style="14" width="13.576428571428572" customWidth="1" bestFit="1"/>
    <col min="66" max="66" style="14" width="13.576428571428572" customWidth="1" bestFit="1"/>
    <col min="67" max="67" style="14" width="13.576428571428572" customWidth="1" bestFit="1"/>
    <col min="68" max="68" style="14" width="13.576428571428572" customWidth="1" bestFit="1"/>
    <col min="69" max="69" style="14" width="13.576428571428572" customWidth="1" bestFit="1"/>
    <col min="70" max="70" style="14" width="13.576428571428572" customWidth="1" bestFit="1"/>
    <col min="71" max="71" style="14" width="13.576428571428572" customWidth="1" bestFit="1"/>
    <col min="72" max="72" style="14" width="13.576428571428572" customWidth="1" bestFit="1"/>
    <col min="73" max="73" style="14" width="13.576428571428572" customWidth="1" bestFit="1"/>
    <col min="74" max="74" style="14" width="13.576428571428572" customWidth="1" bestFit="1"/>
    <col min="75" max="75" style="14" width="13.576428571428572" customWidth="1" bestFit="1"/>
    <col min="76" max="76" style="14" width="13.576428571428572" customWidth="1" bestFit="1"/>
    <col min="77" max="77" style="14" width="13.576428571428572" customWidth="1" bestFit="1"/>
    <col min="78" max="78" style="14" width="13.576428571428572" customWidth="1" bestFit="1"/>
    <col min="79" max="79" style="14" width="13.576428571428572" customWidth="1" bestFit="1"/>
    <col min="80" max="80" style="14" width="13.576428571428572" customWidth="1" bestFit="1"/>
    <col min="81" max="81" style="14" width="13.576428571428572" customWidth="1" bestFit="1"/>
    <col min="82" max="82" style="14" width="13.576428571428572" customWidth="1" bestFit="1"/>
    <col min="83" max="83" style="14" width="13.576428571428572" customWidth="1" bestFit="1"/>
    <col min="84" max="84" style="14" width="13.576428571428572" customWidth="1" bestFit="1"/>
    <col min="85" max="85" style="14" width="13.576428571428572" customWidth="1" bestFit="1"/>
    <col min="86" max="86" style="14" width="13.576428571428572" customWidth="1" bestFit="1"/>
    <col min="87" max="87" style="14" width="13.576428571428572" customWidth="1" bestFit="1"/>
    <col min="88" max="88" style="14" width="13.576428571428572" customWidth="1" bestFit="1"/>
    <col min="89" max="89" style="14" width="13.576428571428572" customWidth="1" bestFit="1"/>
    <col min="90" max="90" style="14" width="13.576428571428572" customWidth="1" bestFit="1"/>
    <col min="91" max="91" style="14" width="13.576428571428572" customWidth="1" bestFit="1"/>
    <col min="92" max="92" style="14" width="13.576428571428572" customWidth="1" bestFit="1"/>
    <col min="93" max="93" style="14" width="13.576428571428572" customWidth="1" bestFit="1"/>
    <col min="94" max="94" style="14" width="13.576428571428572" customWidth="1" bestFit="1"/>
    <col min="95" max="95" style="14" width="13.576428571428572" customWidth="1" bestFit="1"/>
    <col min="96" max="96" style="14" width="13.576428571428572" customWidth="1" bestFit="1"/>
    <col min="97" max="97" style="14" width="13.576428571428572" customWidth="1" bestFit="1"/>
    <col min="98" max="98" style="14" width="13.576428571428572" customWidth="1" bestFit="1"/>
    <col min="99" max="99" style="14" width="13.576428571428572" customWidth="1" bestFit="1"/>
    <col min="100" max="100" style="14" width="13.576428571428572" customWidth="1" bestFit="1"/>
    <col min="101" max="101" style="14" width="13.576428571428572" customWidth="1" bestFit="1"/>
    <col min="102" max="102" style="14" width="13.576428571428572" customWidth="1" bestFit="1"/>
    <col min="103" max="103" style="14" width="13.576428571428572" customWidth="1" bestFit="1"/>
    <col min="104" max="104" style="14" width="13.576428571428572" customWidth="1" bestFit="1"/>
    <col min="105" max="105" style="14" width="13.576428571428572" customWidth="1" bestFit="1"/>
    <col min="106" max="106" style="14" width="13.576428571428572" customWidth="1" bestFit="1"/>
    <col min="107" max="107" style="14" width="13.576428571428572" customWidth="1" bestFit="1"/>
    <col min="108" max="108" style="14" width="13.576428571428572" customWidth="1" bestFit="1"/>
    <col min="109" max="109" style="14" width="13.576428571428572" customWidth="1" bestFit="1"/>
    <col min="110" max="110" style="14" width="13.576428571428572" customWidth="1" bestFit="1"/>
    <col min="111" max="111" style="14" width="13.576428571428572" customWidth="1" bestFit="1"/>
    <col min="112" max="112" style="14" width="13.576428571428572" customWidth="1" bestFit="1"/>
    <col min="113" max="113" style="14" width="13.576428571428572" customWidth="1" bestFit="1"/>
    <col min="114" max="114" style="14" width="13.576428571428572" customWidth="1" bestFit="1"/>
    <col min="115" max="115" style="14" width="13.576428571428572" customWidth="1" bestFit="1"/>
    <col min="116" max="116" style="14" width="13.576428571428572" customWidth="1" bestFit="1"/>
    <col min="117" max="117" style="14" width="13.576428571428572" customWidth="1" bestFit="1"/>
    <col min="118" max="118" style="14" width="13.576428571428572" customWidth="1" bestFit="1"/>
    <col min="119" max="119" style="14" width="13.576428571428572" customWidth="1" bestFit="1"/>
    <col min="120" max="120" style="14" width="13.576428571428572" customWidth="1" bestFit="1"/>
    <col min="121" max="121" style="14" width="13.576428571428572" customWidth="1" bestFit="1"/>
    <col min="122" max="122" style="14" width="13.576428571428572" customWidth="1" bestFit="1"/>
    <col min="123" max="123" style="14" width="13.576428571428572" customWidth="1" bestFit="1"/>
    <col min="124" max="124" style="14" width="13.576428571428572" customWidth="1" bestFit="1"/>
    <col min="125" max="125" style="14" width="13.576428571428572" customWidth="1" bestFit="1"/>
    <col min="126" max="126" style="14" width="13.576428571428572" customWidth="1" bestFit="1"/>
    <col min="127" max="127" style="14" width="13.576428571428572" customWidth="1" bestFit="1"/>
    <col min="128" max="128" style="14" width="13.576428571428572" customWidth="1" bestFit="1"/>
    <col min="129" max="129" style="14" width="13.576428571428572" customWidth="1" bestFit="1"/>
    <col min="130" max="130" style="14" width="13.576428571428572" customWidth="1" bestFit="1"/>
    <col min="131" max="131" style="14" width="13.576428571428572" customWidth="1" bestFit="1"/>
    <col min="132" max="132" style="14" width="13.576428571428572" customWidth="1" bestFit="1"/>
    <col min="133" max="133" style="14" width="13.576428571428572" customWidth="1" bestFit="1"/>
    <col min="134" max="134" style="14" width="13.576428571428572" customWidth="1" bestFit="1"/>
    <col min="135" max="135" style="14" width="13.576428571428572" customWidth="1" bestFit="1"/>
    <col min="136" max="136" style="14" width="13.576428571428572" customWidth="1" bestFit="1"/>
    <col min="137" max="137" style="14" width="13.576428571428572" customWidth="1" bestFit="1"/>
    <col min="138" max="138" style="14" width="13.576428571428572" customWidth="1" bestFit="1"/>
    <col min="139" max="139" style="14" width="13.576428571428572" customWidth="1" bestFit="1"/>
    <col min="140" max="140" style="14" width="13.576428571428572" customWidth="1" bestFit="1"/>
    <col min="141" max="141" style="14" width="13.576428571428572" customWidth="1" bestFit="1"/>
    <col min="142" max="142" style="14" width="13.576428571428572" customWidth="1" bestFit="1"/>
    <col min="143" max="143" style="14" width="13.576428571428572" customWidth="1" bestFit="1"/>
    <col min="144" max="144" style="14" width="13.576428571428572" customWidth="1" bestFit="1"/>
    <col min="145" max="145" style="14" width="13.576428571428572" customWidth="1" bestFit="1"/>
    <col min="146" max="146" style="14" width="13.576428571428572" customWidth="1" bestFit="1"/>
    <col min="147" max="147" style="14" width="13.576428571428572" customWidth="1" bestFit="1"/>
    <col min="148" max="148" style="14" width="13.576428571428572" customWidth="1" bestFit="1"/>
    <col min="149" max="149" style="14" width="13.576428571428572" customWidth="1" bestFit="1"/>
    <col min="150" max="150" style="14" width="13.576428571428572" customWidth="1" bestFit="1"/>
    <col min="151" max="151" style="14" width="13.576428571428572" customWidth="1" bestFit="1"/>
    <col min="152" max="152" style="14" width="13.576428571428572" customWidth="1" bestFit="1"/>
    <col min="153" max="153" style="14" width="13.576428571428572" customWidth="1" bestFit="1"/>
    <col min="154" max="154" style="14" width="13.576428571428572" customWidth="1" bestFit="1"/>
    <col min="155" max="155" style="14" width="13.576428571428572" customWidth="1" bestFit="1"/>
    <col min="156" max="156" style="14" width="13.576428571428572" customWidth="1" bestFit="1"/>
    <col min="157" max="157" style="14" width="13.576428571428572" customWidth="1" bestFit="1"/>
    <col min="158" max="158" style="14" width="13.576428571428572" customWidth="1" bestFit="1"/>
    <col min="159" max="159" style="14" width="13.576428571428572" customWidth="1" bestFit="1"/>
    <col min="160" max="160" style="14" width="13.576428571428572" customWidth="1" bestFit="1"/>
    <col min="161" max="161" style="14" width="13.576428571428572" customWidth="1" bestFit="1"/>
    <col min="162" max="162" style="14" width="13.576428571428572" customWidth="1" bestFit="1"/>
    <col min="163" max="163" style="14" width="13.576428571428572" customWidth="1" bestFit="1"/>
    <col min="164" max="164" style="14" width="13.576428571428572" customWidth="1" bestFit="1"/>
    <col min="165" max="165" style="14" width="13.576428571428572" customWidth="1" bestFit="1"/>
    <col min="166" max="166" style="14" width="13.576428571428572" customWidth="1" bestFit="1"/>
    <col min="167" max="167" style="14" width="13.576428571428572" customWidth="1" bestFit="1"/>
    <col min="168" max="168" style="14" width="13.576428571428572" customWidth="1" bestFit="1"/>
    <col min="169" max="169" style="14" width="13.576428571428572" customWidth="1" bestFit="1"/>
    <col min="170" max="170" style="14" width="13.576428571428572" customWidth="1" bestFit="1"/>
    <col min="171" max="171" style="14" width="13.576428571428572" customWidth="1" bestFit="1"/>
    <col min="172" max="172" style="14" width="13.576428571428572" customWidth="1" bestFit="1"/>
    <col min="173" max="173" style="14" width="13.576428571428572" customWidth="1" bestFit="1"/>
    <col min="174" max="174" style="14" width="13.576428571428572" customWidth="1" bestFit="1"/>
  </cols>
  <sheetData>
    <row x14ac:dyDescent="0.25" r="1" customHeight="1" ht="18.75">
      <c r="A1" s="104" t="s">
        <v>334</v>
      </c>
      <c r="B1" s="104" t="s">
        <v>335</v>
      </c>
      <c r="C1" s="78" t="s">
        <v>336</v>
      </c>
      <c r="D1" s="78" t="s">
        <v>337</v>
      </c>
      <c r="E1" s="79" t="s">
        <v>338</v>
      </c>
      <c r="F1" s="79" t="s">
        <v>339</v>
      </c>
      <c r="G1" s="79" t="s">
        <v>340</v>
      </c>
      <c r="H1" s="78"/>
      <c r="I1" s="105" t="s">
        <v>0</v>
      </c>
      <c r="J1" s="11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</row>
    <row x14ac:dyDescent="0.25" r="2" customHeight="1" ht="18.75">
      <c r="A2" s="106">
        <v>45734</v>
      </c>
      <c r="B2" s="106">
        <v>45735</v>
      </c>
      <c r="C2" s="107" t="s">
        <v>305</v>
      </c>
      <c r="D2" s="107" t="s">
        <v>41</v>
      </c>
      <c r="E2" s="108">
        <v>91386</v>
      </c>
      <c r="F2" s="108">
        <v>91575</v>
      </c>
      <c r="G2" s="109">
        <f>IF((F2-E2)&lt;0,0,(F2-E2))</f>
      </c>
      <c r="H2" s="110"/>
      <c r="I2" s="111">
        <f>IFERROR(SUMPRODUCT($G2*VLOOKUP($C2,'Vehicle Master'!$D:$F,3,0)),"")</f>
      </c>
      <c r="J2" s="1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</row>
    <row x14ac:dyDescent="0.25" r="3" customHeight="1" ht="18.75">
      <c r="A3" s="106">
        <v>45734</v>
      </c>
      <c r="B3" s="106">
        <v>45735</v>
      </c>
      <c r="C3" s="107" t="s">
        <v>302</v>
      </c>
      <c r="D3" s="107" t="s">
        <v>38</v>
      </c>
      <c r="E3" s="108">
        <v>66666</v>
      </c>
      <c r="F3" s="108">
        <v>66805</v>
      </c>
      <c r="G3" s="109">
        <f>IF((F3-E3)&lt;0,0,(F3-E3))</f>
      </c>
      <c r="H3" s="110"/>
      <c r="I3" s="111">
        <f>IFERROR(SUMPRODUCT($G3*VLOOKUP($C3,'Vehicle Master'!$D:$F,3,0)),"")</f>
      </c>
      <c r="J3" s="1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</row>
    <row x14ac:dyDescent="0.25" r="4" customHeight="1" ht="18.75">
      <c r="A4" s="106">
        <v>45734</v>
      </c>
      <c r="B4" s="106">
        <v>45736</v>
      </c>
      <c r="C4" s="107" t="s">
        <v>304</v>
      </c>
      <c r="D4" s="107" t="s">
        <v>341</v>
      </c>
      <c r="E4" s="108">
        <v>100949</v>
      </c>
      <c r="F4" s="108">
        <v>101270</v>
      </c>
      <c r="G4" s="109">
        <f>IF((F4-E4)&lt;0,0,(F4-E4))</f>
      </c>
      <c r="H4" s="110"/>
      <c r="I4" s="111">
        <f>IFERROR(SUMPRODUCT($G4*VLOOKUP($C4,'Vehicle Master'!$D:$F,3,0)),"")</f>
      </c>
      <c r="J4" s="1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</row>
    <row x14ac:dyDescent="0.25" r="5" customHeight="1" ht="18.75">
      <c r="A5" s="106">
        <v>45734</v>
      </c>
      <c r="B5" s="112">
        <v>45735</v>
      </c>
      <c r="C5" s="107" t="s">
        <v>303</v>
      </c>
      <c r="D5" s="107" t="s">
        <v>342</v>
      </c>
      <c r="E5" s="108">
        <v>88855</v>
      </c>
      <c r="F5" s="108">
        <v>88928</v>
      </c>
      <c r="G5" s="109">
        <f>IF((F5-E5)&lt;0,0,(F5-E5))</f>
      </c>
      <c r="H5" s="110"/>
      <c r="I5" s="111">
        <f>IFERROR(SUMPRODUCT($G5*VLOOKUP($C5,'Vehicle Master'!$D:$F,3,0)),"")</f>
      </c>
      <c r="J5" s="1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</row>
    <row x14ac:dyDescent="0.25" r="6" customHeight="1" ht="18.75">
      <c r="A6" s="106">
        <v>45735</v>
      </c>
      <c r="B6" s="112">
        <v>45736</v>
      </c>
      <c r="C6" s="107" t="s">
        <v>303</v>
      </c>
      <c r="D6" s="107" t="s">
        <v>342</v>
      </c>
      <c r="E6" s="108">
        <v>88928</v>
      </c>
      <c r="F6" s="108">
        <v>89111</v>
      </c>
      <c r="G6" s="109">
        <f>IF((F6-E6)&lt;0,0,(F6-E6))</f>
      </c>
      <c r="H6" s="110"/>
      <c r="I6" s="111">
        <f>IFERROR(SUMPRODUCT($G6*VLOOKUP($C6,'Vehicle Master'!$D:$F,3,0)),"")</f>
      </c>
      <c r="J6" s="1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</row>
    <row x14ac:dyDescent="0.25" r="7" customHeight="1" ht="18.75">
      <c r="A7" s="106">
        <v>45735</v>
      </c>
      <c r="B7" s="112">
        <v>45737</v>
      </c>
      <c r="C7" s="107" t="s">
        <v>302</v>
      </c>
      <c r="D7" s="107" t="s">
        <v>38</v>
      </c>
      <c r="E7" s="108">
        <v>66805</v>
      </c>
      <c r="F7" s="108">
        <v>67177</v>
      </c>
      <c r="G7" s="109">
        <f>IF((F7-E7)&lt;0,0,(F7-E7))</f>
      </c>
      <c r="H7" s="110"/>
      <c r="I7" s="111">
        <f>IFERROR(SUMPRODUCT($G7*VLOOKUP($C7,'Vehicle Master'!$D:$F,3,0)),"")</f>
      </c>
      <c r="J7" s="1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</row>
    <row x14ac:dyDescent="0.25" r="8" customHeight="1" ht="18.75">
      <c r="A8" s="106">
        <v>45735</v>
      </c>
      <c r="B8" s="112">
        <v>45736</v>
      </c>
      <c r="C8" s="107" t="s">
        <v>305</v>
      </c>
      <c r="D8" s="107" t="s">
        <v>41</v>
      </c>
      <c r="E8" s="108">
        <v>91575</v>
      </c>
      <c r="F8" s="108">
        <v>91741</v>
      </c>
      <c r="G8" s="109">
        <f>IF((F8-E8)&lt;0,0,(F8-E8))</f>
      </c>
      <c r="H8" s="110"/>
      <c r="I8" s="111">
        <f>IFERROR(SUMPRODUCT($G8*VLOOKUP($C8,'Vehicle Master'!$D:$F,3,0)),"")</f>
      </c>
      <c r="J8" s="1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</row>
    <row x14ac:dyDescent="0.25" r="9" customHeight="1" ht="18.75">
      <c r="A9" s="106">
        <v>45736</v>
      </c>
      <c r="B9" s="112">
        <v>45737</v>
      </c>
      <c r="C9" s="107" t="s">
        <v>304</v>
      </c>
      <c r="D9" s="107" t="s">
        <v>40</v>
      </c>
      <c r="E9" s="108">
        <v>101270</v>
      </c>
      <c r="F9" s="108">
        <v>101513</v>
      </c>
      <c r="G9" s="109">
        <f>IF((F9-E9)&lt;0,0,(F9-E9))</f>
      </c>
      <c r="H9" s="110"/>
      <c r="I9" s="111">
        <f>IFERROR(SUMPRODUCT($G9*VLOOKUP($C9,'Vehicle Master'!$D:$F,3,0)),"")</f>
      </c>
      <c r="J9" s="1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</row>
    <row x14ac:dyDescent="0.25" r="10" customHeight="1" ht="18.75">
      <c r="A10" s="106">
        <v>45736</v>
      </c>
      <c r="B10" s="112">
        <v>45737</v>
      </c>
      <c r="C10" s="107" t="s">
        <v>305</v>
      </c>
      <c r="D10" s="107" t="s">
        <v>41</v>
      </c>
      <c r="E10" s="108">
        <v>91741</v>
      </c>
      <c r="F10" s="108">
        <v>91887</v>
      </c>
      <c r="G10" s="109">
        <f>IF((F10-E10)&lt;0,0,(F10-E10))</f>
      </c>
      <c r="H10" s="110"/>
      <c r="I10" s="111">
        <f>IFERROR(SUMPRODUCT($G10*VLOOKUP($C10,'Vehicle Master'!$D:$F,3,0)),"")</f>
      </c>
      <c r="J10" s="1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</row>
    <row x14ac:dyDescent="0.25" r="11" customHeight="1" ht="18.75">
      <c r="A11" s="106">
        <v>45736</v>
      </c>
      <c r="B11" s="112">
        <v>45737</v>
      </c>
      <c r="C11" s="107" t="s">
        <v>303</v>
      </c>
      <c r="D11" s="107" t="s">
        <v>342</v>
      </c>
      <c r="E11" s="108">
        <v>89111</v>
      </c>
      <c r="F11" s="108">
        <v>89288</v>
      </c>
      <c r="G11" s="109">
        <f>IF((F11-E11)&lt;0,0,(F11-E11))</f>
      </c>
      <c r="H11" s="110"/>
      <c r="I11" s="111">
        <f>IFERROR(SUMPRODUCT($G11*VLOOKUP($C11,'Vehicle Master'!$D:$F,3,0)),"")</f>
      </c>
      <c r="J11" s="1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</row>
    <row x14ac:dyDescent="0.25" r="12" customHeight="1" ht="18.75">
      <c r="A12" s="106">
        <v>45737</v>
      </c>
      <c r="B12" s="112">
        <v>45738</v>
      </c>
      <c r="C12" s="107" t="s">
        <v>302</v>
      </c>
      <c r="D12" s="107" t="s">
        <v>38</v>
      </c>
      <c r="E12" s="108">
        <v>67177</v>
      </c>
      <c r="F12" s="108">
        <v>67548</v>
      </c>
      <c r="G12" s="109">
        <f>IF((F12-E12)&lt;0,0,(F12-E12))</f>
      </c>
      <c r="H12" s="110"/>
      <c r="I12" s="111">
        <f>IFERROR(SUMPRODUCT($G12*VLOOKUP($C12,'Vehicle Master'!$D:$F,3,0)),"")</f>
      </c>
      <c r="J12" s="1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</row>
    <row x14ac:dyDescent="0.25" r="13" customHeight="1" ht="18.75">
      <c r="A13" s="106">
        <v>45737</v>
      </c>
      <c r="B13" s="112">
        <v>45738</v>
      </c>
      <c r="C13" s="107" t="s">
        <v>304</v>
      </c>
      <c r="D13" s="107" t="s">
        <v>40</v>
      </c>
      <c r="E13" s="108">
        <v>101513</v>
      </c>
      <c r="F13" s="108">
        <v>101645</v>
      </c>
      <c r="G13" s="109">
        <f>IF((F13-E13)&lt;0,0,(F13-E13))</f>
      </c>
      <c r="H13" s="110"/>
      <c r="I13" s="111">
        <f>IFERROR(SUMPRODUCT($G13*VLOOKUP($C13,'Vehicle Master'!$D:$F,3,0)),"")</f>
      </c>
      <c r="J13" s="11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</row>
    <row x14ac:dyDescent="0.25" r="14" customHeight="1" ht="18.75">
      <c r="A14" s="106">
        <v>45737</v>
      </c>
      <c r="B14" s="112">
        <v>45740</v>
      </c>
      <c r="C14" s="107" t="s">
        <v>303</v>
      </c>
      <c r="D14" s="107" t="s">
        <v>342</v>
      </c>
      <c r="E14" s="108">
        <v>89288</v>
      </c>
      <c r="F14" s="108">
        <v>89790</v>
      </c>
      <c r="G14" s="109">
        <f>IF((F14-E14)&lt;0,0,(F14-E14))</f>
      </c>
      <c r="H14" s="110"/>
      <c r="I14" s="111">
        <f>IFERROR(SUMPRODUCT($G14*VLOOKUP($C14,'Vehicle Master'!$D:$F,3,0)),"")</f>
      </c>
      <c r="J14" s="11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</row>
    <row x14ac:dyDescent="0.25" r="15" customHeight="1" ht="18.75">
      <c r="A15" s="106">
        <v>45737</v>
      </c>
      <c r="B15" s="112">
        <v>45740</v>
      </c>
      <c r="C15" s="107" t="s">
        <v>305</v>
      </c>
      <c r="D15" s="107" t="s">
        <v>41</v>
      </c>
      <c r="E15" s="108">
        <v>91887</v>
      </c>
      <c r="F15" s="108">
        <v>92046</v>
      </c>
      <c r="G15" s="109">
        <f>IF((F15-E15)&lt;0,0,(F15-E15))</f>
      </c>
      <c r="H15" s="110"/>
      <c r="I15" s="111">
        <f>IFERROR(SUMPRODUCT($G15*VLOOKUP($C15,'Vehicle Master'!$D:$F,3,0)),"")</f>
      </c>
      <c r="J15" s="11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</row>
    <row x14ac:dyDescent="0.25" r="16" customHeight="1" ht="18.75">
      <c r="A16" s="106">
        <v>45738</v>
      </c>
      <c r="B16" s="112">
        <v>45740</v>
      </c>
      <c r="C16" s="107" t="s">
        <v>302</v>
      </c>
      <c r="D16" s="107" t="s">
        <v>38</v>
      </c>
      <c r="E16" s="108">
        <v>67548</v>
      </c>
      <c r="F16" s="108">
        <v>67748</v>
      </c>
      <c r="G16" s="109">
        <f>IF((F16-E16)&lt;0,0,(F16-E16))</f>
      </c>
      <c r="H16" s="110"/>
      <c r="I16" s="111">
        <f>IFERROR(SUMPRODUCT($G16*VLOOKUP($C16,'Vehicle Master'!$D:$F,3,0)),"")</f>
      </c>
      <c r="J16" s="11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</row>
    <row x14ac:dyDescent="0.25" r="17" customHeight="1" ht="18.75">
      <c r="A17" s="106">
        <v>45738</v>
      </c>
      <c r="B17" s="112">
        <v>45739</v>
      </c>
      <c r="C17" s="107" t="s">
        <v>304</v>
      </c>
      <c r="D17" s="107" t="s">
        <v>40</v>
      </c>
      <c r="E17" s="108">
        <v>101645</v>
      </c>
      <c r="F17" s="108">
        <v>101816</v>
      </c>
      <c r="G17" s="109">
        <f>IF((F17-E17)&lt;0,0,(F17-E17))</f>
      </c>
      <c r="H17" s="110"/>
      <c r="I17" s="111">
        <f>IFERROR(SUMPRODUCT($G17*VLOOKUP($C17,'Vehicle Master'!$D:$F,3,0)),"")</f>
      </c>
      <c r="J17" s="11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</row>
    <row x14ac:dyDescent="0.25" r="18" customHeight="1" ht="18.75">
      <c r="A18" s="106">
        <v>45740</v>
      </c>
      <c r="B18" s="112">
        <v>45741</v>
      </c>
      <c r="C18" s="107" t="s">
        <v>305</v>
      </c>
      <c r="D18" s="107" t="s">
        <v>41</v>
      </c>
      <c r="E18" s="108">
        <v>92069</v>
      </c>
      <c r="F18" s="108">
        <v>92248</v>
      </c>
      <c r="G18" s="109">
        <f>IF((F18-E18)&lt;0,0,(F18-E18))</f>
      </c>
      <c r="H18" s="110"/>
      <c r="I18" s="111">
        <f>IFERROR(SUMPRODUCT($G18*VLOOKUP($C18,'Vehicle Master'!$D:$F,3,0)),"")</f>
      </c>
      <c r="J18" s="11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</row>
    <row x14ac:dyDescent="0.25" r="19" customHeight="1" ht="18.75">
      <c r="A19" s="106">
        <v>45740</v>
      </c>
      <c r="B19" s="112">
        <v>45741</v>
      </c>
      <c r="C19" s="107" t="s">
        <v>302</v>
      </c>
      <c r="D19" s="107" t="s">
        <v>38</v>
      </c>
      <c r="E19" s="108">
        <v>67748</v>
      </c>
      <c r="F19" s="108">
        <v>68068</v>
      </c>
      <c r="G19" s="109">
        <f>IF((F19-E19)&lt;0,0,(F19-E19))</f>
      </c>
      <c r="H19" s="110"/>
      <c r="I19" s="111">
        <f>IFERROR(SUMPRODUCT($G19*VLOOKUP($C19,'Vehicle Master'!$D:$F,3,0)),"")</f>
      </c>
      <c r="J19" s="11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</row>
    <row x14ac:dyDescent="0.25" r="20" customHeight="1" ht="18.75">
      <c r="A20" s="106">
        <v>45740</v>
      </c>
      <c r="B20" s="112">
        <v>45743</v>
      </c>
      <c r="C20" s="107" t="s">
        <v>304</v>
      </c>
      <c r="D20" s="107" t="s">
        <v>40</v>
      </c>
      <c r="E20" s="108">
        <v>101816</v>
      </c>
      <c r="F20" s="108">
        <v>102204</v>
      </c>
      <c r="G20" s="109">
        <f>IF((F20-E20)&lt;0,0,(F20-E20))</f>
      </c>
      <c r="H20" s="110"/>
      <c r="I20" s="111">
        <f>IFERROR(SUMPRODUCT($G20*VLOOKUP($C20,'Vehicle Master'!$D:$F,3,0)),"")</f>
      </c>
      <c r="J20" s="11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</row>
    <row x14ac:dyDescent="0.25" r="21" customHeight="1" ht="18.75">
      <c r="A21" s="106">
        <v>45741</v>
      </c>
      <c r="B21" s="112">
        <v>45742</v>
      </c>
      <c r="C21" s="113" t="s">
        <v>303</v>
      </c>
      <c r="D21" s="113" t="s">
        <v>342</v>
      </c>
      <c r="E21" s="114">
        <v>89813</v>
      </c>
      <c r="F21" s="114">
        <v>90037</v>
      </c>
      <c r="G21" s="115">
        <v>224</v>
      </c>
      <c r="H21" s="116"/>
      <c r="I21" s="111">
        <f>IFERROR(SUMPRODUCT($G21*VLOOKUP($C21,'Vehicle Master'!$D:$F,3,0)),"")</f>
      </c>
      <c r="J21" s="11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</row>
    <row x14ac:dyDescent="0.25" r="22" customHeight="1" ht="18.75">
      <c r="A22" s="106">
        <v>45741</v>
      </c>
      <c r="B22" s="112">
        <v>45742</v>
      </c>
      <c r="C22" s="113" t="s">
        <v>305</v>
      </c>
      <c r="D22" s="113" t="s">
        <v>41</v>
      </c>
      <c r="E22" s="114">
        <v>92248</v>
      </c>
      <c r="F22" s="114">
        <v>92391</v>
      </c>
      <c r="G22" s="115">
        <v>143</v>
      </c>
      <c r="H22" s="116"/>
      <c r="I22" s="111">
        <f>IFERROR(SUMPRODUCT($G22*VLOOKUP($C22,'Vehicle Master'!$D:$F,3,0)),"")</f>
      </c>
      <c r="J22" s="11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</row>
    <row x14ac:dyDescent="0.25" r="23" customHeight="1" ht="18.75">
      <c r="A23" s="106">
        <v>45741</v>
      </c>
      <c r="B23" s="112">
        <v>45742</v>
      </c>
      <c r="C23" s="113" t="s">
        <v>302</v>
      </c>
      <c r="D23" s="113" t="s">
        <v>38</v>
      </c>
      <c r="E23" s="114">
        <v>68068</v>
      </c>
      <c r="F23" s="114">
        <v>68208</v>
      </c>
      <c r="G23" s="115">
        <v>140</v>
      </c>
      <c r="H23" s="116"/>
      <c r="I23" s="111">
        <f>IFERROR(SUMPRODUCT($G23*VLOOKUP($C23,'Vehicle Master'!$D:$F,3,0)),"")</f>
      </c>
      <c r="J23" s="11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</row>
    <row x14ac:dyDescent="0.25" r="24" customHeight="1" ht="18.75">
      <c r="A24" s="106">
        <v>45742</v>
      </c>
      <c r="B24" s="112">
        <v>45743</v>
      </c>
      <c r="C24" s="113" t="s">
        <v>305</v>
      </c>
      <c r="D24" s="113" t="s">
        <v>41</v>
      </c>
      <c r="E24" s="114">
        <v>92391</v>
      </c>
      <c r="F24" s="114">
        <v>92563</v>
      </c>
      <c r="G24" s="115">
        <v>172</v>
      </c>
      <c r="H24" s="116"/>
      <c r="I24" s="111">
        <f>IFERROR(SUMPRODUCT($G24*VLOOKUP($C24,'Vehicle Master'!$D:$F,3,0)),"")</f>
      </c>
      <c r="J24" s="11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</row>
    <row x14ac:dyDescent="0.25" r="25" customHeight="1" ht="18.75">
      <c r="A25" s="106">
        <v>45742</v>
      </c>
      <c r="B25" s="112">
        <v>45743</v>
      </c>
      <c r="C25" s="113" t="s">
        <v>302</v>
      </c>
      <c r="D25" s="113" t="s">
        <v>38</v>
      </c>
      <c r="E25" s="114">
        <v>68208</v>
      </c>
      <c r="F25" s="114">
        <v>68387</v>
      </c>
      <c r="G25" s="115">
        <v>179</v>
      </c>
      <c r="H25" s="116"/>
      <c r="I25" s="111">
        <f>IFERROR(SUMPRODUCT($G25*VLOOKUP($C25,'Vehicle Master'!$D:$F,3,0)),"")</f>
      </c>
      <c r="J25" s="11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</row>
    <row x14ac:dyDescent="0.25" r="26" customHeight="1" ht="18.75">
      <c r="A26" s="106">
        <v>45742</v>
      </c>
      <c r="B26" s="112">
        <v>45743</v>
      </c>
      <c r="C26" s="113" t="s">
        <v>303</v>
      </c>
      <c r="D26" s="113" t="s">
        <v>342</v>
      </c>
      <c r="E26" s="114">
        <v>90037</v>
      </c>
      <c r="F26" s="114">
        <v>90160</v>
      </c>
      <c r="G26" s="115">
        <v>123</v>
      </c>
      <c r="H26" s="116"/>
      <c r="I26" s="111">
        <f>IFERROR(SUMPRODUCT($G26*VLOOKUP($C26,'Vehicle Master'!$D:$F,3,0)),"")</f>
      </c>
      <c r="J26" s="11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</row>
    <row x14ac:dyDescent="0.25" r="27" customHeight="1" ht="18.75">
      <c r="A27" s="106">
        <v>45743</v>
      </c>
      <c r="B27" s="112">
        <v>45743</v>
      </c>
      <c r="C27" s="113" t="s">
        <v>303</v>
      </c>
      <c r="D27" s="113" t="s">
        <v>342</v>
      </c>
      <c r="E27" s="114">
        <v>90161</v>
      </c>
      <c r="F27" s="114">
        <v>90340</v>
      </c>
      <c r="G27" s="115">
        <v>179</v>
      </c>
      <c r="H27" s="116"/>
      <c r="I27" s="111">
        <f>IFERROR(SUMPRODUCT($G27*VLOOKUP($C27,'Vehicle Master'!$D:$F,3,0)),"")</f>
      </c>
      <c r="J27" s="11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</row>
    <row x14ac:dyDescent="0.25" r="28" customHeight="1" ht="18.75">
      <c r="A28" s="106">
        <v>45743</v>
      </c>
      <c r="B28" s="112">
        <v>45743</v>
      </c>
      <c r="C28" s="113" t="s">
        <v>304</v>
      </c>
      <c r="D28" s="113" t="s">
        <v>40</v>
      </c>
      <c r="E28" s="114">
        <v>102204</v>
      </c>
      <c r="F28" s="114">
        <v>102240</v>
      </c>
      <c r="G28" s="115">
        <v>36</v>
      </c>
      <c r="H28" s="116"/>
      <c r="I28" s="111">
        <f>IFERROR(SUMPRODUCT($G28*VLOOKUP($C28,'Vehicle Master'!$D:$F,3,0)),"")</f>
      </c>
      <c r="J28" s="11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</row>
    <row x14ac:dyDescent="0.25" r="29" customHeight="1" ht="18.75">
      <c r="A29" s="106">
        <v>45743</v>
      </c>
      <c r="B29" s="112">
        <v>45744</v>
      </c>
      <c r="C29" s="113" t="s">
        <v>302</v>
      </c>
      <c r="D29" s="113" t="s">
        <v>38</v>
      </c>
      <c r="E29" s="114">
        <v>68387</v>
      </c>
      <c r="F29" s="114">
        <v>68567</v>
      </c>
      <c r="G29" s="115">
        <v>180</v>
      </c>
      <c r="H29" s="116"/>
      <c r="I29" s="111">
        <f>IFERROR(SUMPRODUCT($G29*VLOOKUP($C29,'Vehicle Master'!$D:$F,3,0)),"")</f>
      </c>
      <c r="J29" s="11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</row>
    <row x14ac:dyDescent="0.25" r="30" customHeight="1" ht="18.75">
      <c r="A30" s="106">
        <v>45744</v>
      </c>
      <c r="B30" s="112">
        <v>45745</v>
      </c>
      <c r="C30" s="113" t="s">
        <v>303</v>
      </c>
      <c r="D30" s="113" t="s">
        <v>342</v>
      </c>
      <c r="E30" s="114">
        <v>90340</v>
      </c>
      <c r="F30" s="114">
        <v>90515</v>
      </c>
      <c r="G30" s="115">
        <v>175</v>
      </c>
      <c r="H30" s="116"/>
      <c r="I30" s="111">
        <f>IFERROR(SUMPRODUCT($G30*VLOOKUP($C30,'Vehicle Master'!$D:$F,3,0)),"")</f>
      </c>
      <c r="J30" s="11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</row>
    <row x14ac:dyDescent="0.25" r="31" customHeight="1" ht="18.75">
      <c r="A31" s="106">
        <v>45744</v>
      </c>
      <c r="B31" s="112">
        <v>45746</v>
      </c>
      <c r="C31" s="113" t="s">
        <v>309</v>
      </c>
      <c r="D31" s="113" t="s">
        <v>38</v>
      </c>
      <c r="E31" s="114">
        <v>282816</v>
      </c>
      <c r="F31" s="114">
        <v>283096</v>
      </c>
      <c r="G31" s="115">
        <v>280</v>
      </c>
      <c r="H31" s="116"/>
      <c r="I31" s="111">
        <f>IFERROR(SUMPRODUCT($G31*VLOOKUP($C31,'Vehicle Master'!$D:$F,3,0)),"")</f>
      </c>
      <c r="J31" s="11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</row>
    <row x14ac:dyDescent="0.25" r="32" customHeight="1" ht="18.75">
      <c r="A32" s="106">
        <v>45744</v>
      </c>
      <c r="B32" s="112">
        <v>45745</v>
      </c>
      <c r="C32" s="113" t="s">
        <v>305</v>
      </c>
      <c r="D32" s="113" t="s">
        <v>41</v>
      </c>
      <c r="E32" s="114">
        <v>92563</v>
      </c>
      <c r="F32" s="114">
        <v>92742</v>
      </c>
      <c r="G32" s="115">
        <v>179</v>
      </c>
      <c r="H32" s="116"/>
      <c r="I32" s="111">
        <f>IFERROR(SUMPRODUCT($G32*VLOOKUP($C32,'Vehicle Master'!$D:$F,3,0)),"")</f>
      </c>
      <c r="J32" s="11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</row>
    <row x14ac:dyDescent="0.25" r="33" customHeight="1" ht="18.75">
      <c r="A33" s="106">
        <v>45744</v>
      </c>
      <c r="B33" s="112">
        <v>45745</v>
      </c>
      <c r="C33" s="113" t="s">
        <v>304</v>
      </c>
      <c r="D33" s="113" t="s">
        <v>40</v>
      </c>
      <c r="E33" s="114">
        <v>102264</v>
      </c>
      <c r="F33" s="114">
        <v>102636</v>
      </c>
      <c r="G33" s="115">
        <v>372</v>
      </c>
      <c r="H33" s="116"/>
      <c r="I33" s="111">
        <f>IFERROR(SUMPRODUCT($G33*VLOOKUP($C33,'Vehicle Master'!$D:$F,3,0)),"")</f>
      </c>
      <c r="J33" s="11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</row>
    <row x14ac:dyDescent="0.25" r="34" customHeight="1" ht="18.75">
      <c r="A34" s="106">
        <v>45744</v>
      </c>
      <c r="B34" s="112">
        <v>45745</v>
      </c>
      <c r="C34" s="113" t="s">
        <v>302</v>
      </c>
      <c r="D34" s="113" t="s">
        <v>38</v>
      </c>
      <c r="E34" s="114">
        <v>68567</v>
      </c>
      <c r="F34" s="114">
        <v>68714</v>
      </c>
      <c r="G34" s="115">
        <v>147</v>
      </c>
      <c r="H34" s="116"/>
      <c r="I34" s="111">
        <f>IFERROR(SUMPRODUCT($G34*VLOOKUP($C34,'Vehicle Master'!$D:$F,3,0)),"")</f>
      </c>
      <c r="J34" s="11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</row>
    <row x14ac:dyDescent="0.25" r="35" customHeight="1" ht="18.75">
      <c r="A35" s="106">
        <v>45745</v>
      </c>
      <c r="B35" s="112">
        <v>45746</v>
      </c>
      <c r="C35" s="113" t="s">
        <v>302</v>
      </c>
      <c r="D35" s="113" t="s">
        <v>343</v>
      </c>
      <c r="E35" s="114">
        <v>68714</v>
      </c>
      <c r="F35" s="114">
        <v>68919</v>
      </c>
      <c r="G35" s="115">
        <v>205</v>
      </c>
      <c r="H35" s="116"/>
      <c r="I35" s="111">
        <f>IFERROR(SUMPRODUCT($G35*VLOOKUP($C35,'Vehicle Master'!$D:$F,3,0)),"")</f>
      </c>
      <c r="J35" s="11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</row>
    <row x14ac:dyDescent="0.25" r="36" customHeight="1" ht="18.75">
      <c r="A36" s="106">
        <v>45745</v>
      </c>
      <c r="B36" s="112">
        <v>45746</v>
      </c>
      <c r="C36" s="113" t="s">
        <v>303</v>
      </c>
      <c r="D36" s="113" t="s">
        <v>40</v>
      </c>
      <c r="E36" s="114">
        <v>90515</v>
      </c>
      <c r="F36" s="114">
        <v>90696</v>
      </c>
      <c r="G36" s="115">
        <v>181</v>
      </c>
      <c r="H36" s="116"/>
      <c r="I36" s="111">
        <f>IFERROR(SUMPRODUCT($G36*VLOOKUP($C36,'Vehicle Master'!$D:$F,3,0)),"")</f>
      </c>
      <c r="J36" s="11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</row>
    <row x14ac:dyDescent="0.25" r="37" customHeight="1" ht="18.75">
      <c r="A37" s="106">
        <v>45745</v>
      </c>
      <c r="B37" s="112">
        <v>45746</v>
      </c>
      <c r="C37" s="107" t="s">
        <v>304</v>
      </c>
      <c r="D37" s="107" t="s">
        <v>41</v>
      </c>
      <c r="E37" s="108">
        <v>102636</v>
      </c>
      <c r="F37" s="108">
        <v>102770</v>
      </c>
      <c r="G37" s="109">
        <f>IF((F37-E37)&lt;0,0,(F37-E37))</f>
      </c>
      <c r="H37" s="110"/>
      <c r="I37" s="111">
        <f>IFERROR(SUMPRODUCT($G37*VLOOKUP($C37,'Vehicle Master'!$D:$F,3,0)),"")</f>
      </c>
      <c r="J37" s="11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</row>
    <row x14ac:dyDescent="0.25" r="38" customHeight="1" ht="18.75">
      <c r="A38" s="106">
        <v>45745</v>
      </c>
      <c r="B38" s="112">
        <v>45746</v>
      </c>
      <c r="C38" s="107" t="s">
        <v>305</v>
      </c>
      <c r="D38" s="107" t="s">
        <v>342</v>
      </c>
      <c r="E38" s="108">
        <v>92742</v>
      </c>
      <c r="F38" s="108">
        <v>93040</v>
      </c>
      <c r="G38" s="109">
        <f>IF((F38-E38)&lt;0,0,(F38-E38))</f>
      </c>
      <c r="H38" s="110"/>
      <c r="I38" s="111">
        <f>IFERROR(SUMPRODUCT($G38*VLOOKUP($C38,'Vehicle Master'!$D:$F,3,0)),"")</f>
      </c>
      <c r="J38" s="11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</row>
    <row x14ac:dyDescent="0.25" r="39" customHeight="1" ht="18.75">
      <c r="A39" s="112">
        <v>45746</v>
      </c>
      <c r="B39" s="112">
        <v>45747</v>
      </c>
      <c r="C39" s="107" t="s">
        <v>309</v>
      </c>
      <c r="D39" s="107" t="s">
        <v>38</v>
      </c>
      <c r="E39" s="108">
        <v>283096</v>
      </c>
      <c r="F39" s="108">
        <v>283286</v>
      </c>
      <c r="G39" s="109">
        <f>IF((F39-E39)&lt;0,0,(F39-E39))</f>
      </c>
      <c r="H39" s="110"/>
      <c r="I39" s="111">
        <f>IFERROR(SUMPRODUCT($G39*VLOOKUP($C39,'Vehicle Master'!$D:$F,3,0)),"")</f>
      </c>
      <c r="J39" s="11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</row>
    <row x14ac:dyDescent="0.25" r="40" customHeight="1" ht="18.75">
      <c r="A40" s="112">
        <v>45746</v>
      </c>
      <c r="B40" s="112">
        <v>45747</v>
      </c>
      <c r="C40" s="107" t="s">
        <v>302</v>
      </c>
      <c r="D40" s="107" t="s">
        <v>41</v>
      </c>
      <c r="E40" s="108">
        <v>68819</v>
      </c>
      <c r="F40" s="108">
        <v>68970</v>
      </c>
      <c r="G40" s="109">
        <f>IF((F40-E40)&lt;0,0,(F40-E40))</f>
      </c>
      <c r="H40" s="110"/>
      <c r="I40" s="111">
        <f>IFERROR(SUMPRODUCT($G40*VLOOKUP($C40,'Vehicle Master'!$D:$F,3,0)),"")</f>
      </c>
      <c r="J40" s="11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</row>
    <row x14ac:dyDescent="0.25" r="41" customHeight="1" ht="18.75">
      <c r="A41" s="112">
        <v>45746</v>
      </c>
      <c r="B41" s="112">
        <v>45747</v>
      </c>
      <c r="C41" s="107" t="s">
        <v>304</v>
      </c>
      <c r="D41" s="107" t="s">
        <v>342</v>
      </c>
      <c r="E41" s="108">
        <v>102695</v>
      </c>
      <c r="F41" s="108">
        <v>102912</v>
      </c>
      <c r="G41" s="109">
        <f>IF((F41-E41)&lt;0,0,(F41-E41))</f>
      </c>
      <c r="H41" s="110"/>
      <c r="I41" s="111">
        <f>IFERROR(SUMPRODUCT($G41*VLOOKUP($C41,'Vehicle Master'!$D:$F,3,0)),"")</f>
      </c>
      <c r="J41" s="11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</row>
    <row x14ac:dyDescent="0.25" r="42" customHeight="1" ht="18.75">
      <c r="A42" s="112">
        <v>45746</v>
      </c>
      <c r="B42" s="112">
        <v>45747</v>
      </c>
      <c r="C42" s="107" t="s">
        <v>303</v>
      </c>
      <c r="D42" s="107" t="s">
        <v>41</v>
      </c>
      <c r="E42" s="108">
        <v>90696</v>
      </c>
      <c r="F42" s="108">
        <v>90808</v>
      </c>
      <c r="G42" s="109">
        <f>IF((F42-E42)&lt;0,0,(F42-E42))</f>
      </c>
      <c r="H42" s="110"/>
      <c r="I42" s="111">
        <f>IFERROR(SUMPRODUCT($G42*VLOOKUP($C42,'Vehicle Master'!$D:$F,3,0)),"")</f>
      </c>
      <c r="J42" s="11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</row>
    <row x14ac:dyDescent="0.25" r="43" customHeight="1" ht="18.75">
      <c r="A43" s="112">
        <v>45747</v>
      </c>
      <c r="B43" s="112">
        <v>45748</v>
      </c>
      <c r="C43" s="107" t="s">
        <v>309</v>
      </c>
      <c r="D43" s="107" t="s">
        <v>342</v>
      </c>
      <c r="E43" s="108">
        <v>283286</v>
      </c>
      <c r="F43" s="108">
        <v>283533</v>
      </c>
      <c r="G43" s="109">
        <f>IF((F43-E43)&lt;0,0,(F43-E43))</f>
      </c>
      <c r="H43" s="110"/>
      <c r="I43" s="111">
        <f>IFERROR(SUMPRODUCT($G43*VLOOKUP($C43,'Vehicle Master'!$D:$F,3,0)),"")</f>
      </c>
      <c r="J43" s="11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</row>
    <row x14ac:dyDescent="0.25" r="44" customHeight="1" ht="18.75">
      <c r="A44" s="112">
        <v>45747</v>
      </c>
      <c r="B44" s="112">
        <v>45748</v>
      </c>
      <c r="C44" s="107" t="s">
        <v>304</v>
      </c>
      <c r="D44" s="107" t="s">
        <v>38</v>
      </c>
      <c r="E44" s="108">
        <v>102912</v>
      </c>
      <c r="F44" s="108">
        <v>103093</v>
      </c>
      <c r="G44" s="109">
        <f>IF((F44-E44)&lt;0,0,(F44-E44))</f>
      </c>
      <c r="H44" s="110"/>
      <c r="I44" s="111">
        <f>IFERROR(SUMPRODUCT($G44*VLOOKUP($C44,'Vehicle Master'!$D:$F,3,0)),"")</f>
      </c>
      <c r="J44" s="11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</row>
    <row x14ac:dyDescent="0.25" r="45" customHeight="1" ht="18.75">
      <c r="A45" s="112">
        <v>45747</v>
      </c>
      <c r="B45" s="112">
        <v>45748</v>
      </c>
      <c r="C45" s="107" t="s">
        <v>302</v>
      </c>
      <c r="D45" s="107" t="s">
        <v>41</v>
      </c>
      <c r="E45" s="108">
        <v>68970</v>
      </c>
      <c r="F45" s="108">
        <v>69144</v>
      </c>
      <c r="G45" s="109">
        <f>IF((F45-E45)&lt;0,0,(F45-E45))</f>
      </c>
      <c r="H45" s="110"/>
      <c r="I45" s="111">
        <f>IFERROR(SUMPRODUCT($G45*VLOOKUP($C45,'Vehicle Master'!$D:$F,3,0)),"")</f>
      </c>
      <c r="J45" s="11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</row>
    <row x14ac:dyDescent="0.25" r="46" customHeight="1" ht="18.75">
      <c r="A46" s="112">
        <v>45747</v>
      </c>
      <c r="B46" s="112">
        <v>45748</v>
      </c>
      <c r="C46" s="107" t="s">
        <v>303</v>
      </c>
      <c r="D46" s="107" t="s">
        <v>342</v>
      </c>
      <c r="E46" s="108">
        <v>90808</v>
      </c>
      <c r="F46" s="108">
        <v>90920</v>
      </c>
      <c r="G46" s="109">
        <f>IF((F46-E46)&lt;0,0,(F46-E46))</f>
      </c>
      <c r="H46" s="110"/>
      <c r="I46" s="111">
        <f>IFERROR(SUMPRODUCT($G46*VLOOKUP($C46,'Vehicle Master'!$D:$F,3,0)),"")</f>
      </c>
      <c r="J46" s="11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</row>
    <row x14ac:dyDescent="0.25" r="47" customHeight="1" ht="18.75">
      <c r="A47" s="112">
        <v>45748</v>
      </c>
      <c r="B47" s="112">
        <v>45749</v>
      </c>
      <c r="C47" s="107" t="s">
        <v>309</v>
      </c>
      <c r="D47" s="107" t="s">
        <v>38</v>
      </c>
      <c r="E47" s="108">
        <v>283533</v>
      </c>
      <c r="F47" s="108">
        <v>284107</v>
      </c>
      <c r="G47" s="109">
        <f>IF((F47-E47)&lt;0,0,(F47-E47))</f>
      </c>
      <c r="H47" s="110"/>
      <c r="I47" s="111">
        <f>IFERROR(SUMPRODUCT($G47*VLOOKUP($C47,'Vehicle Master'!$D:$F,3,0)),"")</f>
      </c>
      <c r="J47" s="11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</row>
    <row x14ac:dyDescent="0.25" r="48" customHeight="1" ht="18.75">
      <c r="A48" s="112">
        <v>45748</v>
      </c>
      <c r="B48" s="112">
        <v>45749</v>
      </c>
      <c r="C48" s="107" t="s">
        <v>302</v>
      </c>
      <c r="D48" s="107" t="s">
        <v>44</v>
      </c>
      <c r="E48" s="108">
        <v>69144</v>
      </c>
      <c r="F48" s="108">
        <v>69320</v>
      </c>
      <c r="G48" s="109">
        <f>IF((F48-E48)&lt;0,0,(F48-E48))</f>
      </c>
      <c r="H48" s="110"/>
      <c r="I48" s="111">
        <f>IFERROR(SUMPRODUCT($G48*VLOOKUP($C48,'Vehicle Master'!$D:$F,3,0)),"")</f>
      </c>
      <c r="J48" s="11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</row>
    <row x14ac:dyDescent="0.25" r="49" customHeight="1" ht="18.75">
      <c r="A49" s="112">
        <v>45748</v>
      </c>
      <c r="B49" s="112">
        <v>45749</v>
      </c>
      <c r="C49" s="107" t="s">
        <v>303</v>
      </c>
      <c r="D49" s="107" t="s">
        <v>42</v>
      </c>
      <c r="E49" s="108">
        <v>90920</v>
      </c>
      <c r="F49" s="108">
        <v>91114</v>
      </c>
      <c r="G49" s="109">
        <f>IF((F49-E49)&lt;0,0,(F49-E49))</f>
      </c>
      <c r="H49" s="110"/>
      <c r="I49" s="111">
        <f>IFERROR(SUMPRODUCT($G49*VLOOKUP($C49,'Vehicle Master'!$D:$F,3,0)),"")</f>
      </c>
      <c r="J49" s="11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</row>
    <row x14ac:dyDescent="0.25" r="50" customHeight="1" ht="18.75">
      <c r="A50" s="112">
        <v>45748</v>
      </c>
      <c r="B50" s="112">
        <v>45750</v>
      </c>
      <c r="C50" s="107" t="s">
        <v>304</v>
      </c>
      <c r="D50" s="107" t="s">
        <v>342</v>
      </c>
      <c r="E50" s="108">
        <v>103093</v>
      </c>
      <c r="F50" s="108">
        <v>103130</v>
      </c>
      <c r="G50" s="109">
        <f>IF((F50-E50)&lt;0,0,(F50-E50))</f>
      </c>
      <c r="H50" s="110"/>
      <c r="I50" s="111">
        <f>IFERROR(SUMPRODUCT($G50*VLOOKUP($C50,'Vehicle Master'!$D:$F,3,0)),"")</f>
      </c>
      <c r="J50" s="11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</row>
    <row x14ac:dyDescent="0.25" r="51" customHeight="1" ht="18.75">
      <c r="A51" s="112">
        <v>45748</v>
      </c>
      <c r="B51" s="112">
        <v>45749</v>
      </c>
      <c r="C51" s="107" t="s">
        <v>305</v>
      </c>
      <c r="D51" s="107" t="s">
        <v>43</v>
      </c>
      <c r="E51" s="108">
        <v>93040</v>
      </c>
      <c r="F51" s="108">
        <v>93324</v>
      </c>
      <c r="G51" s="109">
        <f>IF((F51-E51)&lt;0,0,(F51-E51))</f>
      </c>
      <c r="H51" s="110"/>
      <c r="I51" s="111">
        <f>IFERROR(SUMPRODUCT($G51*VLOOKUP($C51,'Vehicle Master'!$D:$F,3,0)),"")</f>
      </c>
      <c r="J51" s="11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</row>
    <row x14ac:dyDescent="0.25" r="52" customHeight="1" ht="18.75">
      <c r="A52" s="112">
        <v>45749</v>
      </c>
      <c r="B52" s="112">
        <v>45750</v>
      </c>
      <c r="C52" s="107" t="s">
        <v>302</v>
      </c>
      <c r="D52" s="107" t="s">
        <v>44</v>
      </c>
      <c r="E52" s="108">
        <v>69320</v>
      </c>
      <c r="F52" s="108">
        <v>69499</v>
      </c>
      <c r="G52" s="109">
        <f>IF((F52-E52)&lt;0,0,(F52-E52))</f>
      </c>
      <c r="H52" s="110"/>
      <c r="I52" s="111">
        <f>IFERROR(SUMPRODUCT($G52*VLOOKUP($C52,'Vehicle Master'!$D:$F,3,0)),"")</f>
      </c>
      <c r="J52" s="11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</row>
    <row x14ac:dyDescent="0.25" r="53" customHeight="1" ht="18.75">
      <c r="A53" s="112">
        <v>45749</v>
      </c>
      <c r="B53" s="112">
        <v>45751</v>
      </c>
      <c r="C53" s="107" t="s">
        <v>303</v>
      </c>
      <c r="D53" s="107" t="s">
        <v>42</v>
      </c>
      <c r="E53" s="108">
        <v>91114</v>
      </c>
      <c r="F53" s="108">
        <v>91451</v>
      </c>
      <c r="G53" s="109">
        <f>IF((F53-E53)&lt;0,0,(F53-E53))</f>
      </c>
      <c r="H53" s="110"/>
      <c r="I53" s="111">
        <f>IFERROR(SUMPRODUCT($G53*VLOOKUP($C53,'Vehicle Master'!$D:$F,3,0)),"")</f>
      </c>
      <c r="J53" s="11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</row>
    <row x14ac:dyDescent="0.25" r="54" customHeight="1" ht="18.75">
      <c r="A54" s="112">
        <v>45749</v>
      </c>
      <c r="B54" s="112">
        <v>45750</v>
      </c>
      <c r="C54" s="107" t="s">
        <v>305</v>
      </c>
      <c r="D54" s="107" t="s">
        <v>43</v>
      </c>
      <c r="E54" s="108">
        <v>93324</v>
      </c>
      <c r="F54" s="108">
        <v>93632</v>
      </c>
      <c r="G54" s="109">
        <f>IF((F54-E54)&lt;0,0,(F54-E54))</f>
      </c>
      <c r="H54" s="110"/>
      <c r="I54" s="111">
        <f>IFERROR(SUMPRODUCT($G54*VLOOKUP($C54,'Vehicle Master'!$D:$F,3,0)),"")</f>
      </c>
      <c r="J54" s="11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</row>
    <row x14ac:dyDescent="0.25" r="55" customHeight="1" ht="18.75">
      <c r="A55" s="112">
        <v>45750</v>
      </c>
      <c r="B55" s="112">
        <v>45751</v>
      </c>
      <c r="C55" s="107" t="s">
        <v>309</v>
      </c>
      <c r="D55" s="107" t="s">
        <v>38</v>
      </c>
      <c r="E55" s="108">
        <v>284107</v>
      </c>
      <c r="F55" s="108">
        <v>284288</v>
      </c>
      <c r="G55" s="109">
        <f>IF((F55-E55)&lt;0,0,(F55-E55))</f>
      </c>
      <c r="H55" s="110"/>
      <c r="I55" s="111">
        <f>IFERROR(SUMPRODUCT($G55*VLOOKUP($C55,'Vehicle Master'!$D:$F,3,0)),"")</f>
      </c>
      <c r="J55" s="11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</row>
    <row x14ac:dyDescent="0.25" r="56" customHeight="1" ht="18.75">
      <c r="A56" s="112">
        <v>45750</v>
      </c>
      <c r="B56" s="112">
        <v>45751</v>
      </c>
      <c r="C56" s="107" t="s">
        <v>304</v>
      </c>
      <c r="D56" s="107" t="s">
        <v>344</v>
      </c>
      <c r="E56" s="108">
        <v>103130</v>
      </c>
      <c r="F56" s="108">
        <v>103564</v>
      </c>
      <c r="G56" s="109">
        <f>IF((F56-E56)&lt;0,0,(F56-E56))</f>
      </c>
      <c r="H56" s="110"/>
      <c r="I56" s="111">
        <f>IFERROR(SUMPRODUCT($G56*VLOOKUP($C56,'Vehicle Master'!$D:$F,3,0)),"")</f>
      </c>
      <c r="J56" s="11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</row>
    <row x14ac:dyDescent="0.25" r="57" customHeight="1" ht="18.75">
      <c r="A57" s="112">
        <v>45750</v>
      </c>
      <c r="B57" s="112">
        <v>45751</v>
      </c>
      <c r="C57" s="107" t="s">
        <v>302</v>
      </c>
      <c r="D57" s="107" t="s">
        <v>44</v>
      </c>
      <c r="E57" s="108">
        <v>69499</v>
      </c>
      <c r="F57" s="108">
        <v>69807</v>
      </c>
      <c r="G57" s="109">
        <f>IF((F57-E57)&lt;0,0,(F57-E57))</f>
      </c>
      <c r="H57" s="110"/>
      <c r="I57" s="111">
        <f>IFERROR(SUMPRODUCT($G57*VLOOKUP($C57,'Vehicle Master'!$D:$F,3,0)),"")</f>
      </c>
      <c r="J57" s="11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</row>
    <row x14ac:dyDescent="0.25" r="58" customHeight="1" ht="18.75">
      <c r="A58" s="112">
        <v>45751</v>
      </c>
      <c r="B58" s="112">
        <v>45755</v>
      </c>
      <c r="C58" s="107" t="s">
        <v>305</v>
      </c>
      <c r="D58" s="107" t="s">
        <v>43</v>
      </c>
      <c r="E58" s="108">
        <v>93632</v>
      </c>
      <c r="F58" s="108">
        <v>94290</v>
      </c>
      <c r="G58" s="109">
        <f>IF((F58-E58)&lt;0,0,(F58-E58))</f>
      </c>
      <c r="H58" s="110"/>
      <c r="I58" s="111">
        <f>IFERROR(SUMPRODUCT($G58*VLOOKUP($C58,'Vehicle Master'!$D:$F,3,0)),"")</f>
      </c>
      <c r="J58" s="11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</row>
    <row x14ac:dyDescent="0.25" r="59" customHeight="1" ht="18.75">
      <c r="A59" s="112">
        <v>45752</v>
      </c>
      <c r="B59" s="112">
        <v>45754</v>
      </c>
      <c r="C59" s="107" t="s">
        <v>302</v>
      </c>
      <c r="D59" s="107" t="s">
        <v>44</v>
      </c>
      <c r="E59" s="108">
        <v>69807</v>
      </c>
      <c r="F59" s="108">
        <v>70196</v>
      </c>
      <c r="G59" s="109">
        <f>IF((F59-E59)&lt;0,0,(F59-E59))</f>
      </c>
      <c r="H59" s="110"/>
      <c r="I59" s="111">
        <f>IFERROR(SUMPRODUCT($G59*VLOOKUP($C59,'Vehicle Master'!$D:$F,3,0)),"")</f>
      </c>
      <c r="J59" s="11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</row>
    <row x14ac:dyDescent="0.25" r="60" customHeight="1" ht="18.75">
      <c r="A60" s="112">
        <v>45752</v>
      </c>
      <c r="B60" s="112">
        <v>45755</v>
      </c>
      <c r="C60" s="107" t="s">
        <v>303</v>
      </c>
      <c r="D60" s="107" t="s">
        <v>42</v>
      </c>
      <c r="E60" s="108">
        <v>91451</v>
      </c>
      <c r="F60" s="108">
        <v>91981</v>
      </c>
      <c r="G60" s="109">
        <f>IF((F60-E60)&lt;0,0,(F60-E60))</f>
      </c>
      <c r="H60" s="110"/>
      <c r="I60" s="111">
        <f>IFERROR(SUMPRODUCT($G60*VLOOKUP($C60,'Vehicle Master'!$D:$F,3,0)),"")</f>
      </c>
      <c r="J60" s="11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</row>
    <row x14ac:dyDescent="0.25" r="61" customHeight="1" ht="18.75">
      <c r="A61" s="112">
        <v>45752</v>
      </c>
      <c r="B61" s="112">
        <v>45754</v>
      </c>
      <c r="C61" s="107" t="s">
        <v>304</v>
      </c>
      <c r="D61" s="107" t="s">
        <v>344</v>
      </c>
      <c r="E61" s="108">
        <v>103564</v>
      </c>
      <c r="F61" s="108">
        <v>104049</v>
      </c>
      <c r="G61" s="109">
        <f>IF((F61-E61)&lt;0,0,(F61-E61))</f>
      </c>
      <c r="H61" s="110"/>
      <c r="I61" s="111">
        <f>IFERROR(SUMPRODUCT($G61*VLOOKUP($C61,'Vehicle Master'!$D:$F,3,0)),"")</f>
      </c>
      <c r="J61" s="11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</row>
    <row x14ac:dyDescent="0.25" r="62" customHeight="1" ht="18.75">
      <c r="A62" s="112">
        <v>45754</v>
      </c>
      <c r="B62" s="112">
        <v>45755</v>
      </c>
      <c r="C62" s="107" t="s">
        <v>302</v>
      </c>
      <c r="D62" s="107" t="s">
        <v>44</v>
      </c>
      <c r="E62" s="108">
        <v>70196</v>
      </c>
      <c r="F62" s="108">
        <v>70505</v>
      </c>
      <c r="G62" s="109">
        <f>IF((F62-E62)&lt;0,0,(F62-E62))</f>
      </c>
      <c r="H62" s="110"/>
      <c r="I62" s="111">
        <f>IFERROR(SUMPRODUCT($G62*VLOOKUP($C62,'Vehicle Master'!$D:$F,3,0)),"")</f>
      </c>
      <c r="J62" s="11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</row>
    <row x14ac:dyDescent="0.25" r="63" customHeight="1" ht="18.75">
      <c r="A63" s="112">
        <v>45754</v>
      </c>
      <c r="B63" s="112">
        <v>45755</v>
      </c>
      <c r="C63" s="107" t="s">
        <v>304</v>
      </c>
      <c r="D63" s="107" t="s">
        <v>342</v>
      </c>
      <c r="E63" s="108">
        <v>104049</v>
      </c>
      <c r="F63" s="108">
        <v>104482</v>
      </c>
      <c r="G63" s="109">
        <f>IF((F63-E63)&lt;0,0,(F63-E63))</f>
      </c>
      <c r="H63" s="110"/>
      <c r="I63" s="111">
        <f>IFERROR(SUMPRODUCT($G63*VLOOKUP($C63,'Vehicle Master'!$D:$F,3,0)),"")</f>
      </c>
      <c r="J63" s="11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</row>
    <row x14ac:dyDescent="0.25" r="64" customHeight="1" ht="18.75">
      <c r="A64" s="112">
        <v>45755</v>
      </c>
      <c r="B64" s="112">
        <v>45757</v>
      </c>
      <c r="C64" s="107" t="s">
        <v>303</v>
      </c>
      <c r="D64" s="107" t="s">
        <v>42</v>
      </c>
      <c r="E64" s="108">
        <v>91981</v>
      </c>
      <c r="F64" s="108">
        <v>92195</v>
      </c>
      <c r="G64" s="109">
        <f>IF((F64-E64)&lt;0,0,(F64-E64))</f>
      </c>
      <c r="H64" s="110"/>
      <c r="I64" s="111">
        <f>IFERROR(SUMPRODUCT($G64*VLOOKUP($C64,'Vehicle Master'!$D:$F,3,0)),"")</f>
      </c>
      <c r="J64" s="11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</row>
    <row x14ac:dyDescent="0.25" r="65" customHeight="1" ht="18.75">
      <c r="A65" s="112">
        <v>45755</v>
      </c>
      <c r="B65" s="112">
        <v>45756</v>
      </c>
      <c r="C65" s="107" t="s">
        <v>302</v>
      </c>
      <c r="D65" s="107" t="s">
        <v>44</v>
      </c>
      <c r="E65" s="108">
        <v>70505</v>
      </c>
      <c r="F65" s="108">
        <v>70646</v>
      </c>
      <c r="G65" s="109">
        <f>IF((F65-E65)&lt;0,0,(F65-E65))</f>
      </c>
      <c r="H65" s="110"/>
      <c r="I65" s="111">
        <f>IFERROR(SUMPRODUCT($G65*VLOOKUP($C65,'Vehicle Master'!$D:$F,3,0)),"")</f>
      </c>
      <c r="J65" s="11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</row>
    <row x14ac:dyDescent="0.25" r="66" customHeight="1" ht="18.75">
      <c r="A66" s="112">
        <v>45755</v>
      </c>
      <c r="B66" s="112">
        <v>45756</v>
      </c>
      <c r="C66" s="107" t="s">
        <v>305</v>
      </c>
      <c r="D66" s="107" t="s">
        <v>43</v>
      </c>
      <c r="E66" s="108">
        <v>94290</v>
      </c>
      <c r="F66" s="108">
        <v>94605</v>
      </c>
      <c r="G66" s="109">
        <f>IF((F66-E66)&lt;0,0,(F66-E66))</f>
      </c>
      <c r="H66" s="110"/>
      <c r="I66" s="111">
        <f>IFERROR(SUMPRODUCT($G66*VLOOKUP($C66,'Vehicle Master'!$D:$F,3,0)),"")</f>
      </c>
      <c r="J66" s="11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</row>
    <row x14ac:dyDescent="0.25" r="67" customHeight="1" ht="18.75">
      <c r="A67" s="112">
        <v>45755</v>
      </c>
      <c r="B67" s="112">
        <v>45757</v>
      </c>
      <c r="C67" s="107" t="s">
        <v>304</v>
      </c>
      <c r="D67" s="107" t="s">
        <v>344</v>
      </c>
      <c r="E67" s="108">
        <v>104482</v>
      </c>
      <c r="F67" s="108">
        <v>104778</v>
      </c>
      <c r="G67" s="109">
        <f>IF((F67-E67)&lt;0,0,(F67-E67))</f>
      </c>
      <c r="H67" s="110"/>
      <c r="I67" s="111">
        <f>IFERROR(SUMPRODUCT($G67*VLOOKUP($C67,'Vehicle Master'!$D:$F,3,0)),"")</f>
      </c>
      <c r="J67" s="11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</row>
    <row x14ac:dyDescent="0.25" r="68" customHeight="1" ht="18.75">
      <c r="A68" s="112">
        <v>45756</v>
      </c>
      <c r="B68" s="112">
        <v>45756</v>
      </c>
      <c r="C68" s="107" t="s">
        <v>302</v>
      </c>
      <c r="D68" s="107" t="s">
        <v>44</v>
      </c>
      <c r="E68" s="108">
        <v>70646</v>
      </c>
      <c r="F68" s="108">
        <v>70720</v>
      </c>
      <c r="G68" s="109">
        <f>IF((F68-E68)&lt;0,0,(F68-E68))</f>
      </c>
      <c r="H68" s="110"/>
      <c r="I68" s="111">
        <f>IFERROR(SUMPRODUCT($G68*VLOOKUP($C68,'Vehicle Master'!$D:$F,3,0)),"")</f>
      </c>
      <c r="J68" s="11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</row>
    <row x14ac:dyDescent="0.25" r="69" customHeight="1" ht="18.75">
      <c r="A69" s="112">
        <v>45756</v>
      </c>
      <c r="B69" s="112">
        <v>45757</v>
      </c>
      <c r="C69" s="107" t="s">
        <v>305</v>
      </c>
      <c r="D69" s="107" t="s">
        <v>43</v>
      </c>
      <c r="E69" s="108">
        <v>94605</v>
      </c>
      <c r="F69" s="108">
        <v>94797</v>
      </c>
      <c r="G69" s="109">
        <f>IF((F69-E69)&lt;0,0,(F69-E69))</f>
      </c>
      <c r="H69" s="110"/>
      <c r="I69" s="111">
        <f>IFERROR(SUMPRODUCT($G69*VLOOKUP($C69,'Vehicle Master'!$D:$F,3,0)),"")</f>
      </c>
      <c r="J69" s="11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</row>
    <row x14ac:dyDescent="0.25" r="70" customHeight="1" ht="18.75">
      <c r="A70" s="112">
        <v>45756</v>
      </c>
      <c r="B70" s="112">
        <v>45758</v>
      </c>
      <c r="C70" s="107" t="s">
        <v>302</v>
      </c>
      <c r="D70" s="107" t="s">
        <v>44</v>
      </c>
      <c r="E70" s="108">
        <v>70720</v>
      </c>
      <c r="F70" s="108">
        <v>71155</v>
      </c>
      <c r="G70" s="109">
        <f>IF((F70-E70)&lt;0,0,(F70-E70))</f>
      </c>
      <c r="H70" s="110"/>
      <c r="I70" s="111">
        <f>IFERROR(SUMPRODUCT($G70*VLOOKUP($C70,'Vehicle Master'!$D:$F,3,0)),"")</f>
      </c>
      <c r="J70" s="11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</row>
    <row x14ac:dyDescent="0.25" r="71" customHeight="1" ht="18.75">
      <c r="A71" s="112">
        <v>45757</v>
      </c>
      <c r="B71" s="112">
        <v>45757</v>
      </c>
      <c r="C71" s="107" t="s">
        <v>303</v>
      </c>
      <c r="D71" s="107" t="s">
        <v>42</v>
      </c>
      <c r="E71" s="108">
        <v>92195</v>
      </c>
      <c r="F71" s="108">
        <v>92270</v>
      </c>
      <c r="G71" s="109">
        <f>IF((F71-E71)&lt;0,0,(F71-E71))</f>
      </c>
      <c r="H71" s="110"/>
      <c r="I71" s="111">
        <f>IFERROR(SUMPRODUCT($G71*VLOOKUP($C71,'Vehicle Master'!$D:$F,3,0)),"")</f>
      </c>
      <c r="J71" s="11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</row>
    <row x14ac:dyDescent="0.25" r="72" customHeight="1" ht="18.75">
      <c r="A72" s="112">
        <v>45757</v>
      </c>
      <c r="B72" s="112">
        <v>45758</v>
      </c>
      <c r="C72" s="107" t="s">
        <v>304</v>
      </c>
      <c r="D72" s="107" t="s">
        <v>344</v>
      </c>
      <c r="E72" s="108">
        <v>104778</v>
      </c>
      <c r="F72" s="108">
        <v>105194</v>
      </c>
      <c r="G72" s="109">
        <f>IF((F72-E72)&lt;0,0,(F72-E72))</f>
      </c>
      <c r="H72" s="110"/>
      <c r="I72" s="111">
        <f>IFERROR(SUMPRODUCT($G72*VLOOKUP($C72,'Vehicle Master'!$D:$F,3,0)),"")</f>
      </c>
      <c r="J72" s="11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</row>
    <row x14ac:dyDescent="0.25" r="73" customHeight="1" ht="18.75">
      <c r="A73" s="112">
        <v>45757</v>
      </c>
      <c r="B73" s="112">
        <v>45759</v>
      </c>
      <c r="C73" s="107" t="s">
        <v>305</v>
      </c>
      <c r="D73" s="107" t="s">
        <v>43</v>
      </c>
      <c r="E73" s="108">
        <v>94797</v>
      </c>
      <c r="F73" s="108">
        <v>95121</v>
      </c>
      <c r="G73" s="109">
        <f>IF((F73-E73)&lt;0,0,(F73-E73))</f>
      </c>
      <c r="H73" s="110"/>
      <c r="I73" s="111">
        <f>IFERROR(SUMPRODUCT($G73*VLOOKUP($C73,'Vehicle Master'!$D:$F,3,0)),"")</f>
      </c>
      <c r="J73" s="11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</row>
    <row x14ac:dyDescent="0.25" r="74" customHeight="1" ht="18.75">
      <c r="A74" s="112">
        <v>45757</v>
      </c>
      <c r="B74" s="112">
        <v>45758</v>
      </c>
      <c r="C74" s="107" t="s">
        <v>303</v>
      </c>
      <c r="D74" s="107" t="s">
        <v>42</v>
      </c>
      <c r="E74" s="108">
        <v>92270</v>
      </c>
      <c r="F74" s="108">
        <v>92564</v>
      </c>
      <c r="G74" s="109">
        <f>IF((F74-E74)&lt;0,0,(F74-E74))</f>
      </c>
      <c r="H74" s="110"/>
      <c r="I74" s="111">
        <f>IFERROR(SUMPRODUCT($G74*VLOOKUP($C74,'Vehicle Master'!$D:$F,3,0)),"")</f>
      </c>
      <c r="J74" s="11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</row>
    <row x14ac:dyDescent="0.25" r="75" customHeight="1" ht="18.75">
      <c r="A75" s="112">
        <v>45758</v>
      </c>
      <c r="B75" s="112">
        <v>45759</v>
      </c>
      <c r="C75" s="107" t="s">
        <v>302</v>
      </c>
      <c r="D75" s="107" t="s">
        <v>44</v>
      </c>
      <c r="E75" s="108">
        <v>71155</v>
      </c>
      <c r="F75" s="108">
        <v>71380</v>
      </c>
      <c r="G75" s="109">
        <f>IF((F75-E75)&lt;0,0,(F75-E75))</f>
      </c>
      <c r="H75" s="110"/>
      <c r="I75" s="111">
        <f>IFERROR(SUMPRODUCT($G75*VLOOKUP($C75,'Vehicle Master'!$D:$F,3,0)),"")</f>
      </c>
      <c r="J75" s="11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</row>
    <row x14ac:dyDescent="0.25" r="76" customHeight="1" ht="18.75">
      <c r="A76" s="112">
        <v>45758</v>
      </c>
      <c r="B76" s="112">
        <v>45759</v>
      </c>
      <c r="C76" s="107" t="s">
        <v>303</v>
      </c>
      <c r="D76" s="107" t="s">
        <v>42</v>
      </c>
      <c r="E76" s="108">
        <v>92564</v>
      </c>
      <c r="F76" s="108">
        <v>92897</v>
      </c>
      <c r="G76" s="109">
        <f>IF((F76-E76)&lt;0,0,(F76-E76))</f>
      </c>
      <c r="H76" s="110"/>
      <c r="I76" s="111">
        <f>IFERROR(SUMPRODUCT($G76*VLOOKUP($C76,'Vehicle Master'!$D:$F,3,0)),"")</f>
      </c>
      <c r="J76" s="11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</row>
    <row x14ac:dyDescent="0.25" r="77" customHeight="1" ht="18.75">
      <c r="A77" s="112">
        <v>45759</v>
      </c>
      <c r="B77" s="112">
        <v>45759</v>
      </c>
      <c r="C77" s="107" t="s">
        <v>304</v>
      </c>
      <c r="D77" s="107" t="s">
        <v>39</v>
      </c>
      <c r="E77" s="108">
        <v>105194</v>
      </c>
      <c r="F77" s="108">
        <v>105355</v>
      </c>
      <c r="G77" s="109">
        <f>IF((F77-E77)&lt;0,0,(F77-E77))</f>
      </c>
      <c r="H77" s="110"/>
      <c r="I77" s="111">
        <f>IFERROR(SUMPRODUCT($G77*VLOOKUP($C77,'Vehicle Master'!$D:$F,3,0)),"")</f>
      </c>
      <c r="J77" s="11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</row>
    <row x14ac:dyDescent="0.25" r="78" customHeight="1" ht="18.75">
      <c r="A78" s="112">
        <v>45759</v>
      </c>
      <c r="B78" s="112">
        <v>45762</v>
      </c>
      <c r="C78" s="107" t="s">
        <v>302</v>
      </c>
      <c r="D78" s="107" t="s">
        <v>44</v>
      </c>
      <c r="E78" s="108">
        <v>71380</v>
      </c>
      <c r="F78" s="108">
        <v>71722</v>
      </c>
      <c r="G78" s="109">
        <f>IF((F78-E78)&lt;0,0,(F78-E78))</f>
      </c>
      <c r="H78" s="110"/>
      <c r="I78" s="111">
        <f>IFERROR(SUMPRODUCT($G78*VLOOKUP($C78,'Vehicle Master'!$D:$F,3,0)),"")</f>
      </c>
      <c r="J78" s="11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</row>
    <row x14ac:dyDescent="0.25" r="79" customHeight="1" ht="18.75">
      <c r="A79" s="112">
        <v>45759</v>
      </c>
      <c r="B79" s="112">
        <v>45761</v>
      </c>
      <c r="C79" s="107" t="s">
        <v>305</v>
      </c>
      <c r="D79" s="107" t="s">
        <v>43</v>
      </c>
      <c r="E79" s="108">
        <v>95121</v>
      </c>
      <c r="F79" s="108">
        <v>95245</v>
      </c>
      <c r="G79" s="109">
        <f>IF((F79-E79)&lt;0,0,(F79-E79))</f>
      </c>
      <c r="H79" s="110"/>
      <c r="I79" s="111">
        <f>IFERROR(SUMPRODUCT($G79*VLOOKUP($C79,'Vehicle Master'!$D:$F,3,0)),"")</f>
      </c>
      <c r="J79" s="11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</row>
    <row x14ac:dyDescent="0.25" r="80" customHeight="1" ht="18.75">
      <c r="A80" s="112">
        <v>45761</v>
      </c>
      <c r="B80" s="112">
        <v>45762</v>
      </c>
      <c r="C80" s="107" t="s">
        <v>304</v>
      </c>
      <c r="D80" s="107" t="s">
        <v>39</v>
      </c>
      <c r="E80" s="108">
        <v>105355</v>
      </c>
      <c r="F80" s="108">
        <v>105724</v>
      </c>
      <c r="G80" s="109">
        <f>IF((F80-E80)&lt;0,0,(F80-E80))</f>
      </c>
      <c r="H80" s="110"/>
      <c r="I80" s="111">
        <f>IFERROR(SUMPRODUCT($G80*VLOOKUP($C80,'Vehicle Master'!$D:$F,3,0)),"")</f>
      </c>
      <c r="J80" s="11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</row>
    <row x14ac:dyDescent="0.25" r="81" customHeight="1" ht="18.75">
      <c r="A81" s="112">
        <v>45762</v>
      </c>
      <c r="B81" s="112">
        <v>45762</v>
      </c>
      <c r="C81" s="107" t="s">
        <v>305</v>
      </c>
      <c r="D81" s="107" t="s">
        <v>43</v>
      </c>
      <c r="E81" s="108">
        <v>95245</v>
      </c>
      <c r="F81" s="108">
        <v>95319</v>
      </c>
      <c r="G81" s="109">
        <f>IF((F81-E81)&lt;0,0,(F81-E81))</f>
      </c>
      <c r="H81" s="110"/>
      <c r="I81" s="111">
        <f>IFERROR(SUMPRODUCT($G81*VLOOKUP($C81,'Vehicle Master'!$D:$F,3,0)),"")</f>
      </c>
      <c r="J81" s="11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</row>
    <row x14ac:dyDescent="0.25" r="82" customHeight="1" ht="18.75">
      <c r="A82" s="112">
        <v>45762</v>
      </c>
      <c r="B82" s="112">
        <v>45762</v>
      </c>
      <c r="C82" s="107" t="s">
        <v>302</v>
      </c>
      <c r="D82" s="107" t="s">
        <v>44</v>
      </c>
      <c r="E82" s="108">
        <v>71722</v>
      </c>
      <c r="F82" s="108">
        <v>71785</v>
      </c>
      <c r="G82" s="109">
        <f>IF((F82-E82)&lt;0,0,(F82-E82))</f>
      </c>
      <c r="H82" s="110"/>
      <c r="I82" s="111">
        <f>IFERROR(SUMPRODUCT($G82*VLOOKUP($C82,'Vehicle Master'!$D:$F,3,0)),"")</f>
      </c>
      <c r="J82" s="11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</row>
    <row x14ac:dyDescent="0.25" r="83" customHeight="1" ht="18.75">
      <c r="A83" s="112">
        <v>45762</v>
      </c>
      <c r="B83" s="112">
        <v>45764</v>
      </c>
      <c r="C83" s="107" t="s">
        <v>303</v>
      </c>
      <c r="D83" s="107" t="s">
        <v>42</v>
      </c>
      <c r="E83" s="108">
        <v>92897</v>
      </c>
      <c r="F83" s="108">
        <v>93520</v>
      </c>
      <c r="G83" s="109">
        <f>IF((F83-E83)&lt;0,0,(F83-E83))</f>
      </c>
      <c r="H83" s="110"/>
      <c r="I83" s="111">
        <f>IFERROR(SUMPRODUCT($G83*VLOOKUP($C83,'Vehicle Master'!$D:$F,3,0)),"")</f>
      </c>
      <c r="J83" s="11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</row>
    <row x14ac:dyDescent="0.25" r="84" customHeight="1" ht="18.75">
      <c r="A84" s="112">
        <v>45762</v>
      </c>
      <c r="B84" s="112">
        <v>45763</v>
      </c>
      <c r="C84" s="107" t="s">
        <v>305</v>
      </c>
      <c r="D84" s="107" t="s">
        <v>43</v>
      </c>
      <c r="E84" s="108">
        <v>95319</v>
      </c>
      <c r="F84" s="108">
        <v>95511</v>
      </c>
      <c r="G84" s="109">
        <f>IF((F84-E84)&lt;0,0,(F84-E84))</f>
      </c>
      <c r="H84" s="110"/>
      <c r="I84" s="111">
        <f>IFERROR(SUMPRODUCT($G84*VLOOKUP($C84,'Vehicle Master'!$D:$F,3,0)),"")</f>
      </c>
      <c r="J84" s="11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</row>
    <row x14ac:dyDescent="0.25" r="85" customHeight="1" ht="18.75">
      <c r="A85" s="112">
        <v>45762</v>
      </c>
      <c r="B85" s="112">
        <v>45763</v>
      </c>
      <c r="C85" s="107" t="s">
        <v>302</v>
      </c>
      <c r="D85" s="107" t="s">
        <v>44</v>
      </c>
      <c r="E85" s="108">
        <v>71785</v>
      </c>
      <c r="F85" s="108">
        <v>72093</v>
      </c>
      <c r="G85" s="109">
        <f>IF((F85-E85)&lt;0,0,(F85-E85))</f>
      </c>
      <c r="H85" s="110"/>
      <c r="I85" s="111">
        <f>IFERROR(SUMPRODUCT($G85*VLOOKUP($C85,'Vehicle Master'!$D:$F,3,0)),"")</f>
      </c>
      <c r="J85" s="11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</row>
    <row x14ac:dyDescent="0.25" r="86" customHeight="1" ht="18.75">
      <c r="A86" s="112">
        <v>45763</v>
      </c>
      <c r="B86" s="112">
        <v>45764</v>
      </c>
      <c r="C86" s="107" t="s">
        <v>304</v>
      </c>
      <c r="D86" s="107" t="s">
        <v>44</v>
      </c>
      <c r="E86" s="108">
        <v>105724</v>
      </c>
      <c r="F86" s="108">
        <v>105974</v>
      </c>
      <c r="G86" s="109">
        <f>IF((F86-E86)&lt;0,0,(F86-E86))</f>
      </c>
      <c r="H86" s="110"/>
      <c r="I86" s="111">
        <f>IFERROR(SUMPRODUCT($G86*VLOOKUP($C86,'Vehicle Master'!$D:$F,3,0)),"")</f>
      </c>
      <c r="J86" s="11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</row>
    <row x14ac:dyDescent="0.25" r="87" customHeight="1" ht="18.75">
      <c r="A87" s="112">
        <v>45764</v>
      </c>
      <c r="B87" s="112">
        <v>45766</v>
      </c>
      <c r="C87" s="107" t="s">
        <v>305</v>
      </c>
      <c r="D87" s="107" t="s">
        <v>43</v>
      </c>
      <c r="E87" s="108">
        <v>95511</v>
      </c>
      <c r="F87" s="108">
        <v>95656</v>
      </c>
      <c r="G87" s="109">
        <f>IF((F87-E87)&lt;0,0,(F87-E87))</f>
      </c>
      <c r="H87" s="110"/>
      <c r="I87" s="111">
        <f>IFERROR(SUMPRODUCT($G87*VLOOKUP($C87,'Vehicle Master'!$D:$F,3,0)),"")</f>
      </c>
      <c r="J87" s="11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</row>
    <row x14ac:dyDescent="0.25" r="88" customHeight="1" ht="18.75">
      <c r="A88" s="112">
        <v>45765</v>
      </c>
      <c r="B88" s="112">
        <v>45765</v>
      </c>
      <c r="C88" s="107" t="s">
        <v>302</v>
      </c>
      <c r="D88" s="107" t="s">
        <v>44</v>
      </c>
      <c r="E88" s="108">
        <v>72093</v>
      </c>
      <c r="F88" s="108">
        <v>72156</v>
      </c>
      <c r="G88" s="109">
        <f>IF((F88-E88)&lt;0,0,(F88-E88))</f>
      </c>
      <c r="H88" s="110"/>
      <c r="I88" s="111">
        <f>IFERROR(SUMPRODUCT($G88*VLOOKUP($C88,'Vehicle Master'!$D:$F,3,0)),"")</f>
      </c>
      <c r="J88" s="11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</row>
    <row x14ac:dyDescent="0.25" r="89" customHeight="1" ht="18.75">
      <c r="A89" s="112">
        <v>45765</v>
      </c>
      <c r="B89" s="112">
        <v>45766</v>
      </c>
      <c r="C89" s="107" t="s">
        <v>303</v>
      </c>
      <c r="D89" s="107" t="s">
        <v>42</v>
      </c>
      <c r="E89" s="108">
        <v>93520</v>
      </c>
      <c r="F89" s="108">
        <v>93730</v>
      </c>
      <c r="G89" s="109">
        <f>IF((F89-E89)&lt;0,0,(F89-E89))</f>
      </c>
      <c r="H89" s="110"/>
      <c r="I89" s="111">
        <f>IFERROR(SUMPRODUCT($G89*VLOOKUP($C89,'Vehicle Master'!$D:$F,3,0)),"")</f>
      </c>
      <c r="J89" s="11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</row>
    <row x14ac:dyDescent="0.25" r="90" customHeight="1" ht="18.75">
      <c r="A90" s="112">
        <v>45765</v>
      </c>
      <c r="B90" s="112">
        <v>45766</v>
      </c>
      <c r="C90" s="107" t="s">
        <v>304</v>
      </c>
      <c r="D90" s="107" t="s">
        <v>39</v>
      </c>
      <c r="E90" s="108">
        <v>105974</v>
      </c>
      <c r="F90" s="108">
        <v>106452</v>
      </c>
      <c r="G90" s="109">
        <f>IF((F90-E90)&lt;0,0,(F90-E90))</f>
      </c>
      <c r="H90" s="110"/>
      <c r="I90" s="111">
        <f>IFERROR(SUMPRODUCT($G90*VLOOKUP($C90,'Vehicle Master'!$D:$F,3,0)),"")</f>
      </c>
      <c r="J90" s="11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</row>
    <row x14ac:dyDescent="0.25" r="91" customHeight="1" ht="18.75">
      <c r="A91" s="112">
        <v>45765</v>
      </c>
      <c r="B91" s="112">
        <v>45766</v>
      </c>
      <c r="C91" s="107" t="s">
        <v>302</v>
      </c>
      <c r="D91" s="107" t="s">
        <v>44</v>
      </c>
      <c r="E91" s="108">
        <v>72156</v>
      </c>
      <c r="F91" s="108">
        <v>72632</v>
      </c>
      <c r="G91" s="109">
        <f>IF((F91-E91)&lt;0,0,(F91-E91))</f>
      </c>
      <c r="H91" s="110"/>
      <c r="I91" s="111">
        <f>IFERROR(SUMPRODUCT($G91*VLOOKUP($C91,'Vehicle Master'!$D:$F,3,0)),"")</f>
      </c>
      <c r="J91" s="11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</row>
    <row x14ac:dyDescent="0.25" r="92" customHeight="1" ht="18.75">
      <c r="A92" s="112">
        <v>45766</v>
      </c>
      <c r="B92" s="112">
        <v>45766</v>
      </c>
      <c r="C92" s="107" t="s">
        <v>303</v>
      </c>
      <c r="D92" s="107" t="s">
        <v>42</v>
      </c>
      <c r="E92" s="108">
        <v>93730</v>
      </c>
      <c r="F92" s="108">
        <v>93797</v>
      </c>
      <c r="G92" s="109">
        <f>IF((F92-E92)&lt;0,0,(F92-E92))</f>
      </c>
      <c r="H92" s="110"/>
      <c r="I92" s="111">
        <f>IFERROR(SUMPRODUCT($G92*VLOOKUP($C92,'Vehicle Master'!$D:$F,3,0)),"")</f>
      </c>
      <c r="J92" s="11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</row>
    <row x14ac:dyDescent="0.25" r="93" customHeight="1" ht="18.75">
      <c r="A93" s="112">
        <v>45766</v>
      </c>
      <c r="B93" s="112">
        <v>45767</v>
      </c>
      <c r="C93" s="107" t="s">
        <v>305</v>
      </c>
      <c r="D93" s="107" t="s">
        <v>43</v>
      </c>
      <c r="E93" s="108">
        <v>95656</v>
      </c>
      <c r="F93" s="108">
        <v>96006</v>
      </c>
      <c r="G93" s="109">
        <f>IF((F93-E93)&lt;0,0,(F93-E93))</f>
      </c>
      <c r="H93" s="110"/>
      <c r="I93" s="111">
        <f>IFERROR(SUMPRODUCT($G93*VLOOKUP($C93,'Vehicle Master'!$D:$F,3,0)),"")</f>
      </c>
      <c r="J93" s="11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</row>
    <row x14ac:dyDescent="0.25" r="94" customHeight="1" ht="18.75">
      <c r="A94" s="112">
        <v>45768</v>
      </c>
      <c r="B94" s="112">
        <v>45768</v>
      </c>
      <c r="C94" s="107" t="s">
        <v>303</v>
      </c>
      <c r="D94" s="107" t="s">
        <v>42</v>
      </c>
      <c r="E94" s="108">
        <v>93797</v>
      </c>
      <c r="F94" s="108">
        <v>93823</v>
      </c>
      <c r="G94" s="109">
        <f>IF((F94-E94)&lt;0,0,(F94-E94))</f>
      </c>
      <c r="H94" s="110"/>
      <c r="I94" s="111">
        <f>IFERROR(SUMPRODUCT($G94*VLOOKUP($C94,'Vehicle Master'!$D:$F,3,0)),"")</f>
      </c>
      <c r="J94" s="11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</row>
    <row x14ac:dyDescent="0.25" r="95" customHeight="1" ht="18.75">
      <c r="A95" s="112">
        <v>45768</v>
      </c>
      <c r="B95" s="112">
        <v>45769</v>
      </c>
      <c r="C95" s="107" t="s">
        <v>304</v>
      </c>
      <c r="D95" s="107" t="s">
        <v>39</v>
      </c>
      <c r="E95" s="108">
        <v>106452</v>
      </c>
      <c r="F95" s="108">
        <v>106515</v>
      </c>
      <c r="G95" s="109">
        <f>IF((F95-E95)&lt;0,0,(F95-E95))</f>
      </c>
      <c r="H95" s="110"/>
      <c r="I95" s="111">
        <f>IFERROR(SUMPRODUCT($G95*VLOOKUP($C95,'Vehicle Master'!$D:$F,3,0)),"")</f>
      </c>
      <c r="J95" s="11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</row>
    <row x14ac:dyDescent="0.25" r="96" customHeight="1" ht="18.75">
      <c r="A96" s="112">
        <v>45768</v>
      </c>
      <c r="B96" s="112">
        <v>45769</v>
      </c>
      <c r="C96" s="107" t="s">
        <v>305</v>
      </c>
      <c r="D96" s="107" t="s">
        <v>43</v>
      </c>
      <c r="E96" s="108">
        <v>96006</v>
      </c>
      <c r="F96" s="108">
        <v>96176</v>
      </c>
      <c r="G96" s="109">
        <f>IF((F96-E96)&lt;0,0,(F96-E96))</f>
      </c>
      <c r="H96" s="110"/>
      <c r="I96" s="111">
        <f>IFERROR(SUMPRODUCT($G96*VLOOKUP($C96,'Vehicle Master'!$D:$F,3,0)),"")</f>
      </c>
      <c r="J96" s="11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</row>
    <row x14ac:dyDescent="0.25" r="97" customHeight="1" ht="18.75">
      <c r="A97" s="112">
        <v>45769</v>
      </c>
      <c r="B97" s="112">
        <v>45769</v>
      </c>
      <c r="C97" s="107" t="s">
        <v>302</v>
      </c>
      <c r="D97" s="107" t="s">
        <v>44</v>
      </c>
      <c r="E97" s="108">
        <v>72632</v>
      </c>
      <c r="F97" s="108">
        <v>72722</v>
      </c>
      <c r="G97" s="109">
        <f>IF((F97-E97)&lt;0,0,(F97-E97))</f>
      </c>
      <c r="H97" s="110"/>
      <c r="I97" s="111">
        <f>IFERROR(SUMPRODUCT($G97*VLOOKUP($C97,'Vehicle Master'!$D:$F,3,0)),"")</f>
      </c>
      <c r="J97" s="11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</row>
    <row x14ac:dyDescent="0.25" r="98" customHeight="1" ht="18.75">
      <c r="A98" s="112">
        <v>45769</v>
      </c>
      <c r="B98" s="112">
        <v>45770</v>
      </c>
      <c r="C98" s="107" t="s">
        <v>303</v>
      </c>
      <c r="D98" s="107" t="s">
        <v>42</v>
      </c>
      <c r="E98" s="108">
        <v>93823</v>
      </c>
      <c r="F98" s="108">
        <v>94167</v>
      </c>
      <c r="G98" s="109">
        <f>IF((F98-E98)&lt;0,0,(F98-E98))</f>
      </c>
      <c r="H98" s="110"/>
      <c r="I98" s="111">
        <f>IFERROR(SUMPRODUCT($G98*VLOOKUP($C98,'Vehicle Master'!$D:$F,3,0)),"")</f>
      </c>
      <c r="J98" s="11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</row>
    <row x14ac:dyDescent="0.25" r="99" customHeight="1" ht="18.75">
      <c r="A99" s="112">
        <v>45769</v>
      </c>
      <c r="B99" s="112">
        <v>45770</v>
      </c>
      <c r="C99" s="107" t="s">
        <v>304</v>
      </c>
      <c r="D99" s="107" t="s">
        <v>39</v>
      </c>
      <c r="E99" s="108">
        <v>106515</v>
      </c>
      <c r="F99" s="108">
        <v>106745</v>
      </c>
      <c r="G99" s="109">
        <f>IF((F99-E99)&lt;0,0,(F99-E99))</f>
      </c>
      <c r="H99" s="110"/>
      <c r="I99" s="111">
        <f>IFERROR(SUMPRODUCT($G99*VLOOKUP($C99,'Vehicle Master'!$D:$F,3,0)),"")</f>
      </c>
      <c r="J99" s="11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</row>
    <row x14ac:dyDescent="0.25" r="100" customHeight="1" ht="18.75">
      <c r="A100" s="112">
        <v>45769</v>
      </c>
      <c r="B100" s="112">
        <v>45770</v>
      </c>
      <c r="C100" s="107" t="s">
        <v>305</v>
      </c>
      <c r="D100" s="107" t="s">
        <v>43</v>
      </c>
      <c r="E100" s="108">
        <v>96176</v>
      </c>
      <c r="F100" s="108">
        <v>96732</v>
      </c>
      <c r="G100" s="109">
        <f>IF((F100-E100)&lt;0,0,(F100-E100))</f>
      </c>
      <c r="H100" s="110"/>
      <c r="I100" s="111">
        <f>IFERROR(SUMPRODUCT($G100*VLOOKUP($C100,'Vehicle Master'!$D:$F,3,0)),"")</f>
      </c>
      <c r="J100" s="11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</row>
    <row x14ac:dyDescent="0.25" r="101" customHeight="1" ht="18.75">
      <c r="A101" s="112">
        <v>45770</v>
      </c>
      <c r="B101" s="112">
        <v>45770</v>
      </c>
      <c r="C101" s="107" t="s">
        <v>302</v>
      </c>
      <c r="D101" s="107" t="s">
        <v>44</v>
      </c>
      <c r="E101" s="108">
        <v>72722</v>
      </c>
      <c r="F101" s="108">
        <v>72867</v>
      </c>
      <c r="G101" s="109">
        <f>IF((F101-E101)&lt;0,0,(F101-E101))</f>
      </c>
      <c r="H101" s="110"/>
      <c r="I101" s="111">
        <f>IFERROR(SUMPRODUCT($G101*VLOOKUP($C101,'Vehicle Master'!$D:$F,3,0)),"")</f>
      </c>
      <c r="J101" s="11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</row>
    <row x14ac:dyDescent="0.25" r="102" customHeight="1" ht="18.75">
      <c r="A102" s="112">
        <v>45771</v>
      </c>
      <c r="B102" s="112">
        <v>45772</v>
      </c>
      <c r="C102" s="107" t="s">
        <v>304</v>
      </c>
      <c r="D102" s="107" t="s">
        <v>39</v>
      </c>
      <c r="E102" s="108">
        <v>106745</v>
      </c>
      <c r="F102" s="108">
        <v>106942</v>
      </c>
      <c r="G102" s="109">
        <f>IF((F102-E102)&lt;0,0,(F102-E102))</f>
      </c>
      <c r="H102" s="110"/>
      <c r="I102" s="111">
        <f>IFERROR(SUMPRODUCT($G102*VLOOKUP($C102,'Vehicle Master'!$D:$F,3,0)),"")</f>
      </c>
      <c r="J102" s="11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</row>
    <row x14ac:dyDescent="0.25" r="103" customHeight="1" ht="18.75">
      <c r="A103" s="112">
        <v>45771</v>
      </c>
      <c r="B103" s="112">
        <v>45772</v>
      </c>
      <c r="C103" s="107" t="s">
        <v>305</v>
      </c>
      <c r="D103" s="107" t="s">
        <v>43</v>
      </c>
      <c r="E103" s="108">
        <v>96732</v>
      </c>
      <c r="F103" s="108">
        <v>96967</v>
      </c>
      <c r="G103" s="109">
        <f>IF((F103-E103)&lt;0,0,(F103-E103))</f>
      </c>
      <c r="H103" s="110"/>
      <c r="I103" s="111">
        <f>IFERROR(SUMPRODUCT($G103*VLOOKUP($C103,'Vehicle Master'!$D:$F,3,0)),"")</f>
      </c>
      <c r="J103" s="11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</row>
    <row x14ac:dyDescent="0.25" r="104" customHeight="1" ht="18.75">
      <c r="A104" s="112">
        <v>45771</v>
      </c>
      <c r="B104" s="112">
        <v>45772</v>
      </c>
      <c r="C104" s="107" t="s">
        <v>302</v>
      </c>
      <c r="D104" s="107" t="s">
        <v>44</v>
      </c>
      <c r="E104" s="108">
        <v>72867</v>
      </c>
      <c r="F104" s="108">
        <v>73090</v>
      </c>
      <c r="G104" s="109">
        <f>IF((F104-E104)&lt;0,0,(F104-E104))</f>
      </c>
      <c r="H104" s="110"/>
      <c r="I104" s="111">
        <f>IFERROR(SUMPRODUCT($G104*VLOOKUP($C104,'Vehicle Master'!$D:$F,3,0)),"")</f>
      </c>
      <c r="J104" s="11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</row>
    <row x14ac:dyDescent="0.25" r="105" customHeight="1" ht="18.75">
      <c r="A105" s="112">
        <v>45771</v>
      </c>
      <c r="B105" s="112">
        <v>45772</v>
      </c>
      <c r="C105" s="107" t="s">
        <v>303</v>
      </c>
      <c r="D105" s="107" t="s">
        <v>42</v>
      </c>
      <c r="E105" s="108">
        <v>94167</v>
      </c>
      <c r="F105" s="108">
        <v>94359</v>
      </c>
      <c r="G105" s="109">
        <f>IF((F105-E105)&lt;0,0,(F105-E105))</f>
      </c>
      <c r="H105" s="110"/>
      <c r="I105" s="111">
        <f>IFERROR(SUMPRODUCT($G105*VLOOKUP($C105,'Vehicle Master'!$D:$F,3,0)),"")</f>
      </c>
      <c r="J105" s="11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</row>
    <row x14ac:dyDescent="0.25" r="106" customHeight="1" ht="18.75">
      <c r="A106" s="112">
        <v>45772</v>
      </c>
      <c r="B106" s="112">
        <v>45773</v>
      </c>
      <c r="C106" s="107" t="s">
        <v>305</v>
      </c>
      <c r="D106" s="107" t="s">
        <v>43</v>
      </c>
      <c r="E106" s="108">
        <v>96967</v>
      </c>
      <c r="F106" s="108">
        <v>97561</v>
      </c>
      <c r="G106" s="109">
        <f>IF((F106-E106)&lt;0,0,(F106-E106))</f>
      </c>
      <c r="H106" s="110"/>
      <c r="I106" s="111">
        <f>IFERROR(SUMPRODUCT($G106*VLOOKUP($C106,'Vehicle Master'!$D:$F,3,0)),"")</f>
      </c>
      <c r="J106" s="11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</row>
    <row x14ac:dyDescent="0.25" r="107" customHeight="1" ht="18.75">
      <c r="A107" s="112">
        <v>45772</v>
      </c>
      <c r="B107" s="112">
        <v>45772</v>
      </c>
      <c r="C107" s="107" t="s">
        <v>304</v>
      </c>
      <c r="D107" s="107" t="s">
        <v>39</v>
      </c>
      <c r="E107" s="108">
        <v>106942</v>
      </c>
      <c r="F107" s="108">
        <v>107160</v>
      </c>
      <c r="G107" s="109">
        <f>IF((F107-E107)&lt;0,0,(F107-E107))</f>
      </c>
      <c r="H107" s="110"/>
      <c r="I107" s="111">
        <f>IFERROR(SUMPRODUCT($G107*VLOOKUP($C107,'Vehicle Master'!$D:$F,3,0)),"")</f>
      </c>
      <c r="J107" s="11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</row>
    <row x14ac:dyDescent="0.25" r="108" customHeight="1" ht="18.75">
      <c r="A108" s="112">
        <v>45772</v>
      </c>
      <c r="B108" s="112">
        <v>45773</v>
      </c>
      <c r="C108" s="107" t="s">
        <v>302</v>
      </c>
      <c r="D108" s="107" t="s">
        <v>44</v>
      </c>
      <c r="E108" s="108">
        <v>73090</v>
      </c>
      <c r="F108" s="108">
        <v>73585</v>
      </c>
      <c r="G108" s="109">
        <f>IF((F108-E108)&lt;0,0,(F108-E108))</f>
      </c>
      <c r="H108" s="110"/>
      <c r="I108" s="111">
        <f>IFERROR(SUMPRODUCT($G108*VLOOKUP($C108,'Vehicle Master'!$D:$F,3,0)),"")</f>
      </c>
      <c r="J108" s="11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</row>
    <row x14ac:dyDescent="0.25" r="109" customHeight="1" ht="18.75">
      <c r="A109" s="112">
        <v>45772</v>
      </c>
      <c r="B109" s="112">
        <v>45773</v>
      </c>
      <c r="C109" s="107" t="s">
        <v>303</v>
      </c>
      <c r="D109" s="107" t="s">
        <v>42</v>
      </c>
      <c r="E109" s="108">
        <v>94359</v>
      </c>
      <c r="F109" s="108">
        <v>94705</v>
      </c>
      <c r="G109" s="109">
        <f>IF((F109-E109)&lt;0,0,(F109-E109))</f>
      </c>
      <c r="H109" s="110"/>
      <c r="I109" s="111">
        <f>IFERROR(SUMPRODUCT($G109*VLOOKUP($C109,'Vehicle Master'!$D:$F,3,0)),"")</f>
      </c>
      <c r="J109" s="11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</row>
    <row x14ac:dyDescent="0.25" r="110" customHeight="1" ht="18.75">
      <c r="A110" s="112">
        <v>45773</v>
      </c>
      <c r="B110" s="112">
        <v>45774</v>
      </c>
      <c r="C110" s="107" t="s">
        <v>304</v>
      </c>
      <c r="D110" s="107" t="s">
        <v>39</v>
      </c>
      <c r="E110" s="108">
        <v>107160</v>
      </c>
      <c r="F110" s="108">
        <v>107391</v>
      </c>
      <c r="G110" s="109">
        <f>IF((F110-E110)&lt;0,0,(F110-E110))</f>
      </c>
      <c r="H110" s="110"/>
      <c r="I110" s="111">
        <f>IFERROR(SUMPRODUCT($G110*VLOOKUP($C110,'Vehicle Master'!$D:$F,3,0)),"")</f>
      </c>
      <c r="J110" s="11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</row>
    <row x14ac:dyDescent="0.25" r="111" customHeight="1" ht="18.75">
      <c r="A111" s="112">
        <v>45774</v>
      </c>
      <c r="B111" s="112">
        <v>45775</v>
      </c>
      <c r="C111" s="107" t="s">
        <v>305</v>
      </c>
      <c r="D111" s="107" t="s">
        <v>43</v>
      </c>
      <c r="E111" s="108">
        <v>97561</v>
      </c>
      <c r="F111" s="108">
        <v>97979</v>
      </c>
      <c r="G111" s="109">
        <f>IF((F111-E111)&lt;0,0,(F111-E111))</f>
      </c>
      <c r="H111" s="110"/>
      <c r="I111" s="111">
        <f>IFERROR(SUMPRODUCT($G111*VLOOKUP($C111,'Vehicle Master'!$D:$F,3,0)),"")</f>
      </c>
      <c r="J111" s="11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</row>
    <row x14ac:dyDescent="0.25" r="112" customHeight="1" ht="18.75">
      <c r="A112" s="112">
        <v>45774</v>
      </c>
      <c r="B112" s="112">
        <v>45776</v>
      </c>
      <c r="C112" s="107" t="s">
        <v>304</v>
      </c>
      <c r="D112" s="107" t="s">
        <v>39</v>
      </c>
      <c r="E112" s="108">
        <v>107391</v>
      </c>
      <c r="F112" s="108">
        <v>107664</v>
      </c>
      <c r="G112" s="109">
        <f>IF((F112-E112)&lt;0,0,(F112-E112))</f>
      </c>
      <c r="H112" s="110"/>
      <c r="I112" s="111">
        <f>IFERROR(SUMPRODUCT($G112*VLOOKUP($C112,'Vehicle Master'!$D:$F,3,0)),"")</f>
      </c>
      <c r="J112" s="11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</row>
    <row x14ac:dyDescent="0.25" r="113" customHeight="1" ht="18.75">
      <c r="A113" s="112">
        <v>45774</v>
      </c>
      <c r="B113" s="112">
        <v>45775</v>
      </c>
      <c r="C113" s="107" t="s">
        <v>302</v>
      </c>
      <c r="D113" s="107" t="s">
        <v>44</v>
      </c>
      <c r="E113" s="108">
        <v>73585</v>
      </c>
      <c r="F113" s="108">
        <v>73801</v>
      </c>
      <c r="G113" s="109">
        <f>IF((F113-E113)&lt;0,0,(F113-E113))</f>
      </c>
      <c r="H113" s="110"/>
      <c r="I113" s="111">
        <f>IFERROR(SUMPRODUCT($G113*VLOOKUP($C113,'Vehicle Master'!$D:$F,3,0)),"")</f>
      </c>
      <c r="J113" s="11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</row>
    <row x14ac:dyDescent="0.25" r="114" customHeight="1" ht="18.75">
      <c r="A114" s="112">
        <v>45774</v>
      </c>
      <c r="B114" s="112">
        <v>45775</v>
      </c>
      <c r="C114" s="107" t="s">
        <v>303</v>
      </c>
      <c r="D114" s="107" t="s">
        <v>42</v>
      </c>
      <c r="E114" s="108">
        <v>94705</v>
      </c>
      <c r="F114" s="108">
        <v>95248</v>
      </c>
      <c r="G114" s="109">
        <f>IF((F114-E114)&lt;0,0,(F114-E114))</f>
      </c>
      <c r="H114" s="110"/>
      <c r="I114" s="111">
        <f>IFERROR(SUMPRODUCT($G114*VLOOKUP($C114,'Vehicle Master'!$D:$F,3,0)),"")</f>
      </c>
      <c r="J114" s="11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</row>
    <row x14ac:dyDescent="0.25" r="115" customHeight="1" ht="18.75">
      <c r="A115" s="112">
        <v>45775</v>
      </c>
      <c r="B115" s="112">
        <v>45775</v>
      </c>
      <c r="C115" s="107" t="s">
        <v>305</v>
      </c>
      <c r="D115" s="107" t="s">
        <v>43</v>
      </c>
      <c r="E115" s="108">
        <v>97979</v>
      </c>
      <c r="F115" s="108">
        <v>98053</v>
      </c>
      <c r="G115" s="109">
        <f>IF((F115-E115)&lt;0,0,(F115-E115))</f>
      </c>
      <c r="H115" s="110"/>
      <c r="I115" s="111">
        <f>IFERROR(SUMPRODUCT($G115*VLOOKUP($C115,'Vehicle Master'!$D:$F,3,0)),"")</f>
      </c>
      <c r="J115" s="11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</row>
    <row x14ac:dyDescent="0.25" r="116" customHeight="1" ht="18.75">
      <c r="A116" s="112">
        <v>45776</v>
      </c>
      <c r="B116" s="112">
        <v>45776</v>
      </c>
      <c r="C116" s="107" t="s">
        <v>302</v>
      </c>
      <c r="D116" s="107" t="s">
        <v>44</v>
      </c>
      <c r="E116" s="108">
        <v>73801</v>
      </c>
      <c r="F116" s="108">
        <v>73935</v>
      </c>
      <c r="G116" s="109">
        <f>IF((F116-E116)&lt;0,0,(F116-E116))</f>
      </c>
      <c r="H116" s="110"/>
      <c r="I116" s="111">
        <f>IFERROR(SUMPRODUCT($G116*VLOOKUP($C116,'Vehicle Master'!$D:$F,3,0)),"")</f>
      </c>
      <c r="J116" s="11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</row>
    <row x14ac:dyDescent="0.25" r="117" customHeight="1" ht="18.75">
      <c r="A117" s="112">
        <v>45776</v>
      </c>
      <c r="B117" s="112">
        <v>45777</v>
      </c>
      <c r="C117" s="107" t="s">
        <v>303</v>
      </c>
      <c r="D117" s="107" t="s">
        <v>42</v>
      </c>
      <c r="E117" s="108">
        <v>95248</v>
      </c>
      <c r="F117" s="108">
        <v>95565</v>
      </c>
      <c r="G117" s="109">
        <f>IF((F117-E117)&lt;0,0,(F117-E117))</f>
      </c>
      <c r="H117" s="110"/>
      <c r="I117" s="111">
        <f>IFERROR(SUMPRODUCT($G117*VLOOKUP($C117,'Vehicle Master'!$D:$F,3,0)),"")</f>
      </c>
      <c r="J117" s="11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</row>
    <row x14ac:dyDescent="0.25" r="118" customHeight="1" ht="18.75">
      <c r="A118" s="112">
        <v>45776</v>
      </c>
      <c r="B118" s="112">
        <v>45777</v>
      </c>
      <c r="C118" s="107" t="s">
        <v>305</v>
      </c>
      <c r="D118" s="107" t="s">
        <v>43</v>
      </c>
      <c r="E118" s="108">
        <v>98053</v>
      </c>
      <c r="F118" s="108">
        <v>98400</v>
      </c>
      <c r="G118" s="109">
        <f>IF((F118-E118)&lt;0,0,(F118-E118))</f>
      </c>
      <c r="H118" s="110"/>
      <c r="I118" s="111">
        <f>IFERROR(SUMPRODUCT($G118*VLOOKUP($C118,'Vehicle Master'!$D:$F,3,0)),"")</f>
      </c>
      <c r="J118" s="11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</row>
    <row x14ac:dyDescent="0.25" r="119" customHeight="1" ht="18.75">
      <c r="A119" s="112">
        <v>45776</v>
      </c>
      <c r="B119" s="112">
        <v>45777</v>
      </c>
      <c r="C119" s="107" t="s">
        <v>302</v>
      </c>
      <c r="D119" s="107" t="s">
        <v>44</v>
      </c>
      <c r="E119" s="108">
        <v>73935</v>
      </c>
      <c r="F119" s="108">
        <v>74572</v>
      </c>
      <c r="G119" s="109">
        <f>IF((F119-E119)&lt;0,0,(F119-E119))</f>
      </c>
      <c r="H119" s="110"/>
      <c r="I119" s="111">
        <f>IFERROR(SUMPRODUCT($G119*VLOOKUP($C119,'Vehicle Master'!$D:$F,3,0)),"")</f>
      </c>
      <c r="J119" s="11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</row>
    <row x14ac:dyDescent="0.25" r="120" customHeight="1" ht="18.75">
      <c r="A120" s="112">
        <v>45777</v>
      </c>
      <c r="B120" s="112">
        <v>45778</v>
      </c>
      <c r="C120" s="107" t="s">
        <v>304</v>
      </c>
      <c r="D120" s="107" t="s">
        <v>39</v>
      </c>
      <c r="E120" s="108">
        <v>107664</v>
      </c>
      <c r="F120" s="108">
        <v>107997</v>
      </c>
      <c r="G120" s="109">
        <f>IF((F120-E120)&lt;0,0,(F120-E120))</f>
      </c>
      <c r="H120" s="110"/>
      <c r="I120" s="111">
        <f>IFERROR(SUMPRODUCT($G120*VLOOKUP($C120,'Vehicle Master'!$D:$F,3,0)),"")</f>
      </c>
      <c r="J120" s="11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</row>
    <row x14ac:dyDescent="0.25" r="121" customHeight="1" ht="18.75">
      <c r="A121" s="112">
        <v>45777</v>
      </c>
      <c r="B121" s="112">
        <v>45778</v>
      </c>
      <c r="C121" s="107" t="s">
        <v>303</v>
      </c>
      <c r="D121" s="107" t="s">
        <v>42</v>
      </c>
      <c r="E121" s="108">
        <v>95565</v>
      </c>
      <c r="F121" s="108">
        <v>95900</v>
      </c>
      <c r="G121" s="109">
        <f>IF((F121-E121)&lt;0,0,(F121-E121))</f>
      </c>
      <c r="H121" s="110"/>
      <c r="I121" s="111">
        <f>IFERROR(SUMPRODUCT($G121*VLOOKUP($C121,'Vehicle Master'!$D:$F,3,0)),"")</f>
      </c>
      <c r="J121" s="11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</row>
    <row x14ac:dyDescent="0.25" r="122" customHeight="1" ht="18.75">
      <c r="A122" s="112">
        <v>45777</v>
      </c>
      <c r="B122" s="112">
        <v>45778</v>
      </c>
      <c r="C122" s="107" t="s">
        <v>305</v>
      </c>
      <c r="D122" s="107" t="s">
        <v>43</v>
      </c>
      <c r="E122" s="108">
        <v>98400</v>
      </c>
      <c r="F122" s="108">
        <v>98489</v>
      </c>
      <c r="G122" s="109">
        <f>IF((F122-E122)&lt;0,0,(F122-E122))</f>
      </c>
      <c r="H122" s="110"/>
      <c r="I122" s="111">
        <f>IFERROR(SUMPRODUCT($G122*VLOOKUP($C122,'Vehicle Master'!$D:$F,3,0)),"")</f>
      </c>
      <c r="J122" s="11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</row>
    <row x14ac:dyDescent="0.25" r="123" customHeight="1" ht="18.75">
      <c r="A123" s="112">
        <v>45779</v>
      </c>
      <c r="B123" s="112">
        <v>45780</v>
      </c>
      <c r="C123" s="107" t="s">
        <v>302</v>
      </c>
      <c r="D123" s="107" t="s">
        <v>44</v>
      </c>
      <c r="E123" s="108">
        <v>74572</v>
      </c>
      <c r="F123" s="108">
        <v>74806</v>
      </c>
      <c r="G123" s="109">
        <f>IF((F123-E123)&lt;0,0,(F123-E123))</f>
      </c>
      <c r="H123" s="110"/>
      <c r="I123" s="111">
        <f>IFERROR(SUMPRODUCT($G123*VLOOKUP($C123,'Vehicle Master'!$D:$F,3,0)),"")</f>
      </c>
      <c r="J123" s="11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</row>
    <row x14ac:dyDescent="0.25" r="124" customHeight="1" ht="18.75">
      <c r="A124" s="112">
        <v>45779</v>
      </c>
      <c r="B124" s="112">
        <v>45780</v>
      </c>
      <c r="C124" s="107" t="s">
        <v>304</v>
      </c>
      <c r="D124" s="107" t="s">
        <v>39</v>
      </c>
      <c r="E124" s="108">
        <v>107997</v>
      </c>
      <c r="F124" s="108">
        <v>108292</v>
      </c>
      <c r="G124" s="109">
        <f>IF((F124-E124)&lt;0,0,(F124-E124))</f>
      </c>
      <c r="H124" s="110"/>
      <c r="I124" s="111">
        <f>IFERROR(SUMPRODUCT($G124*VLOOKUP($C124,'Vehicle Master'!$D:$F,3,0)),"")</f>
      </c>
      <c r="J124" s="11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</row>
    <row x14ac:dyDescent="0.25" r="125" customHeight="1" ht="18.75">
      <c r="A125" s="112">
        <v>45779</v>
      </c>
      <c r="B125" s="112">
        <v>45780</v>
      </c>
      <c r="C125" s="107" t="s">
        <v>303</v>
      </c>
      <c r="D125" s="107" t="s">
        <v>42</v>
      </c>
      <c r="E125" s="108">
        <v>95900</v>
      </c>
      <c r="F125" s="108">
        <v>96080</v>
      </c>
      <c r="G125" s="109">
        <f>IF((F125-E125)&lt;0,0,(F125-E125))</f>
      </c>
      <c r="H125" s="110"/>
      <c r="I125" s="111">
        <f>IFERROR(SUMPRODUCT($G125*VLOOKUP($C125,'Vehicle Master'!$D:$F,3,0)),"")</f>
      </c>
      <c r="J125" s="11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</row>
    <row x14ac:dyDescent="0.25" r="126" customHeight="1" ht="18.75">
      <c r="A126" s="112">
        <v>45779</v>
      </c>
      <c r="B126" s="112">
        <v>45780</v>
      </c>
      <c r="C126" s="107" t="s">
        <v>305</v>
      </c>
      <c r="D126" s="107" t="s">
        <v>43</v>
      </c>
      <c r="E126" s="108">
        <v>98489</v>
      </c>
      <c r="F126" s="108">
        <v>98619</v>
      </c>
      <c r="G126" s="109">
        <f>IF((F126-E126)&lt;0,0,(F126-E126))</f>
      </c>
      <c r="H126" s="110"/>
      <c r="I126" s="111">
        <f>IFERROR(SUMPRODUCT($G126*VLOOKUP($C126,'Vehicle Master'!$D:$F,3,0)),"")</f>
      </c>
      <c r="J126" s="11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</row>
    <row x14ac:dyDescent="0.25" r="127" customHeight="1" ht="18.75">
      <c r="A127" s="112">
        <v>45780</v>
      </c>
      <c r="B127" s="112">
        <v>45780</v>
      </c>
      <c r="C127" s="107" t="s">
        <v>302</v>
      </c>
      <c r="D127" s="107" t="s">
        <v>44</v>
      </c>
      <c r="E127" s="108">
        <v>74806</v>
      </c>
      <c r="F127" s="108">
        <v>74868</v>
      </c>
      <c r="G127" s="109">
        <f>IF((F127-E127)&lt;0,0,(F127-E127))</f>
      </c>
      <c r="H127" s="110"/>
      <c r="I127" s="111">
        <f>IFERROR(SUMPRODUCT($G127*VLOOKUP($C127,'Vehicle Master'!$D:$F,3,0)),"")</f>
      </c>
      <c r="J127" s="11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</row>
    <row x14ac:dyDescent="0.25" r="128" customHeight="1" ht="18.75">
      <c r="A128" s="112">
        <v>45780</v>
      </c>
      <c r="B128" s="112">
        <v>45782</v>
      </c>
      <c r="C128" s="107" t="s">
        <v>302</v>
      </c>
      <c r="D128" s="107" t="s">
        <v>44</v>
      </c>
      <c r="E128" s="108">
        <v>74868</v>
      </c>
      <c r="F128" s="108">
        <v>75044</v>
      </c>
      <c r="G128" s="109">
        <f>IF((F128-E128)&lt;0,0,(F128-E128))</f>
      </c>
      <c r="H128" s="110"/>
      <c r="I128" s="111">
        <f>IFERROR(SUMPRODUCT($G128*VLOOKUP($C128,'Vehicle Master'!$D:$F,3,0)),"")</f>
      </c>
      <c r="J128" s="11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</row>
    <row x14ac:dyDescent="0.25" r="129" customHeight="1" ht="18.75">
      <c r="A129" s="112">
        <v>45780</v>
      </c>
      <c r="B129" s="112">
        <v>45781</v>
      </c>
      <c r="C129" s="107" t="s">
        <v>305</v>
      </c>
      <c r="D129" s="107" t="s">
        <v>43</v>
      </c>
      <c r="E129" s="108">
        <v>98619</v>
      </c>
      <c r="F129" s="108">
        <v>98935</v>
      </c>
      <c r="G129" s="109">
        <f>IF((F129-E129)&lt;0,0,(F129-E129))</f>
      </c>
      <c r="H129" s="110"/>
      <c r="I129" s="111">
        <f>IFERROR(SUMPRODUCT($G129*VLOOKUP($C129,'Vehicle Master'!$D:$F,3,0)),"")</f>
      </c>
      <c r="J129" s="11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</row>
    <row x14ac:dyDescent="0.25" r="130" customHeight="1" ht="18.75">
      <c r="A130" s="112">
        <v>45780</v>
      </c>
      <c r="B130" s="112">
        <v>45782</v>
      </c>
      <c r="C130" s="107" t="s">
        <v>303</v>
      </c>
      <c r="D130" s="107" t="s">
        <v>42</v>
      </c>
      <c r="E130" s="108">
        <v>96080</v>
      </c>
      <c r="F130" s="108">
        <v>96449</v>
      </c>
      <c r="G130" s="109">
        <f>IF((F130-E130)&lt;0,0,(F130-E130))</f>
      </c>
      <c r="H130" s="110"/>
      <c r="I130" s="111">
        <f>IFERROR(SUMPRODUCT($G130*VLOOKUP($C130,'Vehicle Master'!$D:$F,3,0)),"")</f>
      </c>
      <c r="J130" s="11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</row>
    <row x14ac:dyDescent="0.25" r="131" customHeight="1" ht="18.75">
      <c r="A131" s="112">
        <v>45780</v>
      </c>
      <c r="B131" s="112">
        <v>45781</v>
      </c>
      <c r="C131" s="107" t="s">
        <v>304</v>
      </c>
      <c r="D131" s="107" t="s">
        <v>39</v>
      </c>
      <c r="E131" s="108">
        <v>108292</v>
      </c>
      <c r="F131" s="108">
        <v>108621</v>
      </c>
      <c r="G131" s="109">
        <f>IF((F131-E131)&lt;0,0,(F131-E131))</f>
      </c>
      <c r="H131" s="110"/>
      <c r="I131" s="111">
        <f>IFERROR(SUMPRODUCT($G131*VLOOKUP($C131,'Vehicle Master'!$D:$F,3,0)),"")</f>
      </c>
      <c r="J131" s="11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</row>
    <row x14ac:dyDescent="0.25" r="132" customHeight="1" ht="18.75">
      <c r="A132" s="112">
        <v>45782</v>
      </c>
      <c r="B132" s="112">
        <v>45783</v>
      </c>
      <c r="C132" s="107" t="s">
        <v>305</v>
      </c>
      <c r="D132" s="107" t="s">
        <v>43</v>
      </c>
      <c r="E132" s="108">
        <v>98935</v>
      </c>
      <c r="F132" s="108">
        <v>99096</v>
      </c>
      <c r="G132" s="109">
        <f>IF((F132-E132)&lt;0,0,(F132-E132))</f>
      </c>
      <c r="H132" s="110"/>
      <c r="I132" s="111">
        <f>IFERROR(SUMPRODUCT($G132*VLOOKUP($C132,'Vehicle Master'!$D:$F,3,0)),"")</f>
      </c>
      <c r="J132" s="11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</row>
    <row x14ac:dyDescent="0.25" r="133" customHeight="1" ht="18.75">
      <c r="A133" s="112">
        <v>45782</v>
      </c>
      <c r="B133" s="112">
        <v>45783</v>
      </c>
      <c r="C133" s="107" t="s">
        <v>304</v>
      </c>
      <c r="D133" s="107" t="s">
        <v>42</v>
      </c>
      <c r="E133" s="108">
        <v>108621</v>
      </c>
      <c r="F133" s="108">
        <v>108982</v>
      </c>
      <c r="G133" s="109">
        <f>IF((F133-E133)&lt;0,0,(F133-E133))</f>
      </c>
      <c r="H133" s="110"/>
      <c r="I133" s="111">
        <f>IFERROR(SUMPRODUCT($G133*VLOOKUP($C133,'Vehicle Master'!$D:$F,3,0)),"")</f>
      </c>
      <c r="J133" s="11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</row>
    <row x14ac:dyDescent="0.25" r="134" customHeight="1" ht="18.75">
      <c r="A134" s="112">
        <v>45782</v>
      </c>
      <c r="B134" s="112">
        <v>45783</v>
      </c>
      <c r="C134" s="107" t="s">
        <v>302</v>
      </c>
      <c r="D134" s="107" t="s">
        <v>44</v>
      </c>
      <c r="E134" s="108">
        <v>75044</v>
      </c>
      <c r="F134" s="108">
        <v>75222</v>
      </c>
      <c r="G134" s="109">
        <f>IF((F134-E134)&lt;0,0,(F134-E134))</f>
      </c>
      <c r="H134" s="110"/>
      <c r="I134" s="111">
        <f>IFERROR(SUMPRODUCT($G134*VLOOKUP($C134,'Vehicle Master'!$D:$F,3,0)),"")</f>
      </c>
      <c r="J134" s="11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</row>
    <row x14ac:dyDescent="0.25" r="135" customHeight="1" ht="18.75">
      <c r="A135" s="112">
        <v>45782</v>
      </c>
      <c r="B135" s="112">
        <v>45783</v>
      </c>
      <c r="C135" s="107" t="s">
        <v>303</v>
      </c>
      <c r="D135" s="107" t="s">
        <v>42</v>
      </c>
      <c r="E135" s="108">
        <v>96449</v>
      </c>
      <c r="F135" s="108">
        <v>96625</v>
      </c>
      <c r="G135" s="109">
        <f>IF((F135-E135)&lt;0,0,(F135-E135))</f>
      </c>
      <c r="H135" s="110"/>
      <c r="I135" s="111">
        <f>IFERROR(SUMPRODUCT($G135*VLOOKUP($C135,'Vehicle Master'!$D:$F,3,0)),"")</f>
      </c>
      <c r="J135" s="11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</row>
    <row x14ac:dyDescent="0.25" r="136" customHeight="1" ht="18.75">
      <c r="A136" s="112">
        <v>45783</v>
      </c>
      <c r="B136" s="112">
        <v>45783</v>
      </c>
      <c r="C136" s="107" t="s">
        <v>305</v>
      </c>
      <c r="D136" s="107" t="s">
        <v>43</v>
      </c>
      <c r="E136" s="108">
        <v>99096</v>
      </c>
      <c r="F136" s="108">
        <v>99171</v>
      </c>
      <c r="G136" s="109">
        <f>IF((F136-E136)&lt;0,0,(F136-E136))</f>
      </c>
      <c r="H136" s="110"/>
      <c r="I136" s="111">
        <f>IFERROR(SUMPRODUCT($G136*VLOOKUP($C136,'Vehicle Master'!$D:$F,3,0)),"")</f>
      </c>
      <c r="J136" s="11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</row>
    <row x14ac:dyDescent="0.25" r="137" customHeight="1" ht="18.75">
      <c r="A137" s="112">
        <v>45783</v>
      </c>
      <c r="B137" s="112">
        <v>45784</v>
      </c>
      <c r="C137" s="107" t="s">
        <v>304</v>
      </c>
      <c r="D137" s="107" t="s">
        <v>39</v>
      </c>
      <c r="E137" s="108">
        <v>108982</v>
      </c>
      <c r="F137" s="108">
        <v>109127</v>
      </c>
      <c r="G137" s="109">
        <f>IF((F137-E137)&lt;0,0,(F137-E137))</f>
      </c>
      <c r="H137" s="110"/>
      <c r="I137" s="111">
        <f>IFERROR(SUMPRODUCT($G137*VLOOKUP($C137,'Vehicle Master'!$D:$F,3,0)),"")</f>
      </c>
      <c r="J137" s="11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</row>
    <row x14ac:dyDescent="0.25" r="138" customHeight="1" ht="18.75">
      <c r="A138" s="112">
        <v>45783</v>
      </c>
      <c r="B138" s="112">
        <v>45784</v>
      </c>
      <c r="C138" s="107" t="s">
        <v>303</v>
      </c>
      <c r="D138" s="107" t="s">
        <v>42</v>
      </c>
      <c r="E138" s="108">
        <v>96625</v>
      </c>
      <c r="F138" s="108">
        <v>96988</v>
      </c>
      <c r="G138" s="109">
        <f>IF((F138-E138)&lt;0,0,(F138-E138))</f>
      </c>
      <c r="H138" s="110"/>
      <c r="I138" s="111">
        <f>IFERROR(SUMPRODUCT($G138*VLOOKUP($C138,'Vehicle Master'!$D:$F,3,0)),"")</f>
      </c>
      <c r="J138" s="11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</row>
    <row x14ac:dyDescent="0.25" r="139" customHeight="1" ht="18.75">
      <c r="A139" s="112">
        <v>45783</v>
      </c>
      <c r="B139" s="112">
        <v>45784</v>
      </c>
      <c r="C139" s="107" t="s">
        <v>302</v>
      </c>
      <c r="D139" s="107" t="s">
        <v>44</v>
      </c>
      <c r="E139" s="108">
        <v>75222</v>
      </c>
      <c r="F139" s="108">
        <v>75399</v>
      </c>
      <c r="G139" s="109">
        <f>IF((F139-E139)&lt;0,0,(F139-E139))</f>
      </c>
      <c r="H139" s="110"/>
      <c r="I139" s="111">
        <f>IFERROR(SUMPRODUCT($G139*VLOOKUP($C139,'Vehicle Master'!$D:$F,3,0)),"")</f>
      </c>
      <c r="J139" s="11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</row>
    <row x14ac:dyDescent="0.25" r="140" customHeight="1" ht="18.75">
      <c r="A140" s="112">
        <v>45783</v>
      </c>
      <c r="B140" s="112">
        <v>45784</v>
      </c>
      <c r="C140" s="107" t="s">
        <v>305</v>
      </c>
      <c r="D140" s="107" t="s">
        <v>43</v>
      </c>
      <c r="E140" s="108">
        <v>99171</v>
      </c>
      <c r="F140" s="108">
        <v>99311</v>
      </c>
      <c r="G140" s="109">
        <f>IF((F140-E140)&lt;0,0,(F140-E140))</f>
      </c>
      <c r="H140" s="110"/>
      <c r="I140" s="111">
        <f>IFERROR(SUMPRODUCT($G140*VLOOKUP($C140,'Vehicle Master'!$D:$F,3,0)),"")</f>
      </c>
      <c r="J140" s="11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</row>
    <row x14ac:dyDescent="0.25" r="141" customHeight="1" ht="18.75">
      <c r="A141" s="112">
        <v>45784</v>
      </c>
      <c r="B141" s="112">
        <v>45785</v>
      </c>
      <c r="C141" s="107" t="s">
        <v>304</v>
      </c>
      <c r="D141" s="107" t="s">
        <v>39</v>
      </c>
      <c r="E141" s="108">
        <v>109127</v>
      </c>
      <c r="F141" s="108">
        <v>109613</v>
      </c>
      <c r="G141" s="109">
        <f>IF((F141-E141)&lt;0,0,(F141-E141))</f>
      </c>
      <c r="H141" s="110"/>
      <c r="I141" s="111">
        <f>IFERROR(SUMPRODUCT($G141*VLOOKUP($C141,'Vehicle Master'!$D:$F,3,0)),"")</f>
      </c>
      <c r="J141" s="11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</row>
    <row x14ac:dyDescent="0.25" r="142" customHeight="1" ht="18.75">
      <c r="A142" s="112">
        <v>45784</v>
      </c>
      <c r="B142" s="112">
        <v>45784</v>
      </c>
      <c r="C142" s="107" t="s">
        <v>302</v>
      </c>
      <c r="D142" s="107" t="s">
        <v>44</v>
      </c>
      <c r="E142" s="108">
        <v>75399</v>
      </c>
      <c r="F142" s="108">
        <v>75463</v>
      </c>
      <c r="G142" s="109">
        <f>IF((F142-E142)&lt;0,0,(F142-E142))</f>
      </c>
      <c r="H142" s="110"/>
      <c r="I142" s="111">
        <f>IFERROR(SUMPRODUCT($G142*VLOOKUP($C142,'Vehicle Master'!$D:$F,3,0)),"")</f>
      </c>
      <c r="J142" s="11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</row>
    <row x14ac:dyDescent="0.25" r="143" customHeight="1" ht="18.75">
      <c r="A143" s="112">
        <v>45784</v>
      </c>
      <c r="B143" s="112">
        <v>45785</v>
      </c>
      <c r="C143" s="107" t="s">
        <v>305</v>
      </c>
      <c r="D143" s="107" t="s">
        <v>43</v>
      </c>
      <c r="E143" s="108">
        <v>99311</v>
      </c>
      <c r="F143" s="108">
        <v>99519</v>
      </c>
      <c r="G143" s="109">
        <f>IF((F143-E143)&lt;0,0,(F143-E143))</f>
      </c>
      <c r="H143" s="110"/>
      <c r="I143" s="111">
        <f>IFERROR(SUMPRODUCT($G143*VLOOKUP($C143,'Vehicle Master'!$D:$F,3,0)),"")</f>
      </c>
      <c r="J143" s="11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</row>
    <row x14ac:dyDescent="0.25" r="144" customHeight="1" ht="18.75">
      <c r="A144" s="112">
        <v>45784</v>
      </c>
      <c r="B144" s="112">
        <v>45785</v>
      </c>
      <c r="C144" s="107" t="s">
        <v>303</v>
      </c>
      <c r="D144" s="107" t="s">
        <v>42</v>
      </c>
      <c r="E144" s="108">
        <v>96988</v>
      </c>
      <c r="F144" s="108">
        <v>97199</v>
      </c>
      <c r="G144" s="109">
        <f>IF((F144-E144)&lt;0,0,(F144-E144))</f>
      </c>
      <c r="H144" s="110"/>
      <c r="I144" s="111">
        <f>IFERROR(SUMPRODUCT($G144*VLOOKUP($C144,'Vehicle Master'!$D:$F,3,0)),"")</f>
      </c>
      <c r="J144" s="11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</row>
    <row x14ac:dyDescent="0.25" r="145" customHeight="1" ht="18.75">
      <c r="A145" s="112">
        <v>45785</v>
      </c>
      <c r="B145" s="112">
        <v>45785</v>
      </c>
      <c r="C145" s="107" t="s">
        <v>302</v>
      </c>
      <c r="D145" s="107" t="s">
        <v>44</v>
      </c>
      <c r="E145" s="108">
        <v>75463</v>
      </c>
      <c r="F145" s="108">
        <v>75615</v>
      </c>
      <c r="G145" s="109">
        <f>IF((F145-E145)&lt;0,0,(F145-E145))</f>
      </c>
      <c r="H145" s="110"/>
      <c r="I145" s="111">
        <f>IFERROR(SUMPRODUCT($G145*VLOOKUP($C145,'Vehicle Master'!$D:$F,3,0)),"")</f>
      </c>
      <c r="J145" s="11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</row>
    <row x14ac:dyDescent="0.25" r="146" customHeight="1" ht="18.75">
      <c r="A146" s="112">
        <v>45785</v>
      </c>
      <c r="B146" s="112">
        <v>45786</v>
      </c>
      <c r="C146" s="107" t="s">
        <v>305</v>
      </c>
      <c r="D146" s="107" t="s">
        <v>43</v>
      </c>
      <c r="E146" s="108">
        <v>99519</v>
      </c>
      <c r="F146" s="108">
        <v>99669</v>
      </c>
      <c r="G146" s="109">
        <f>IF((F146-E146)&lt;0,0,(F146-E146))</f>
      </c>
      <c r="H146" s="110"/>
      <c r="I146" s="111">
        <f>IFERROR(SUMPRODUCT($G146*VLOOKUP($C146,'Vehicle Master'!$D:$F,3,0)),"")</f>
      </c>
      <c r="J146" s="11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</row>
    <row x14ac:dyDescent="0.25" r="147" customHeight="1" ht="18.75">
      <c r="A147" s="112">
        <v>45786</v>
      </c>
      <c r="B147" s="112">
        <v>45787</v>
      </c>
      <c r="C147" s="107" t="s">
        <v>303</v>
      </c>
      <c r="D147" s="107" t="s">
        <v>42</v>
      </c>
      <c r="E147" s="108">
        <v>97199</v>
      </c>
      <c r="F147" s="108">
        <v>97382</v>
      </c>
      <c r="G147" s="109">
        <v>183</v>
      </c>
      <c r="H147" s="110"/>
      <c r="I147" s="111">
        <f>IFERROR(SUMPRODUCT($G147*VLOOKUP($C147,'Vehicle Master'!$D:$F,3,0)),"")</f>
      </c>
      <c r="J147" s="11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</row>
    <row x14ac:dyDescent="0.25" r="148" customHeight="1" ht="18.75">
      <c r="A148" s="112">
        <v>45786</v>
      </c>
      <c r="B148" s="112">
        <v>45786</v>
      </c>
      <c r="C148" s="107" t="s">
        <v>302</v>
      </c>
      <c r="D148" s="107" t="s">
        <v>44</v>
      </c>
      <c r="E148" s="108">
        <v>75615</v>
      </c>
      <c r="F148" s="108">
        <v>75770</v>
      </c>
      <c r="G148" s="109">
        <f>IF((F148-E148)&lt;0,0,(F148-E148))</f>
      </c>
      <c r="H148" s="110"/>
      <c r="I148" s="111">
        <f>IFERROR(SUMPRODUCT($G148*VLOOKUP($C148,'Vehicle Master'!$D:$F,3,0)),"")</f>
      </c>
      <c r="J148" s="11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</row>
    <row x14ac:dyDescent="0.25" r="149" customHeight="1" ht="18.75">
      <c r="A149" s="112">
        <v>45787</v>
      </c>
      <c r="B149" s="112">
        <v>45789</v>
      </c>
      <c r="C149" s="107" t="s">
        <v>304</v>
      </c>
      <c r="D149" s="107" t="s">
        <v>39</v>
      </c>
      <c r="E149" s="108">
        <v>109613</v>
      </c>
      <c r="F149" s="108">
        <v>109993</v>
      </c>
      <c r="G149" s="109">
        <f>IF((F149-E149)&lt;0,0,(F149-E149))</f>
      </c>
      <c r="H149" s="110"/>
      <c r="I149" s="111">
        <f>IFERROR(SUMPRODUCT($G149*VLOOKUP($C149,'Vehicle Master'!$D:$F,3,0)),"")</f>
      </c>
      <c r="J149" s="11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</row>
    <row x14ac:dyDescent="0.25" r="150" customHeight="1" ht="18.75">
      <c r="A150" s="112">
        <v>45787</v>
      </c>
      <c r="B150" s="112">
        <v>45788</v>
      </c>
      <c r="C150" s="107" t="s">
        <v>305</v>
      </c>
      <c r="D150" s="107" t="s">
        <v>43</v>
      </c>
      <c r="E150" s="108">
        <v>99669</v>
      </c>
      <c r="F150" s="108">
        <v>99967</v>
      </c>
      <c r="G150" s="109">
        <f>IF((F150-E150)&lt;0,0,(F150-E150))</f>
      </c>
      <c r="H150" s="110"/>
      <c r="I150" s="111">
        <f>IFERROR(SUMPRODUCT($G150*VLOOKUP($C150,'Vehicle Master'!$D:$F,3,0)),"")</f>
      </c>
      <c r="J150" s="11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</row>
    <row x14ac:dyDescent="0.25" r="151" customHeight="1" ht="18.75">
      <c r="A151" s="112">
        <v>45787</v>
      </c>
      <c r="B151" s="112">
        <v>45788</v>
      </c>
      <c r="C151" s="107" t="s">
        <v>302</v>
      </c>
      <c r="D151" s="107" t="s">
        <v>44</v>
      </c>
      <c r="E151" s="108">
        <v>75770</v>
      </c>
      <c r="F151" s="108">
        <v>76006</v>
      </c>
      <c r="G151" s="109">
        <f>IF((F151-E151)&lt;0,0,(F151-E151))</f>
      </c>
      <c r="H151" s="110"/>
      <c r="I151" s="111">
        <f>IFERROR(SUMPRODUCT($G151*VLOOKUP($C151,'Vehicle Master'!$D:$F,3,0)),"")</f>
      </c>
      <c r="J151" s="11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</row>
    <row x14ac:dyDescent="0.25" r="152" customHeight="1" ht="18.75">
      <c r="A152" s="112">
        <v>45789</v>
      </c>
      <c r="B152" s="112">
        <v>45789</v>
      </c>
      <c r="C152" s="107" t="s">
        <v>303</v>
      </c>
      <c r="D152" s="107" t="s">
        <v>42</v>
      </c>
      <c r="E152" s="108">
        <v>97382</v>
      </c>
      <c r="F152" s="108">
        <v>97485</v>
      </c>
      <c r="G152" s="109">
        <f>IF((F152-E152)&lt;0,0,(F152-E152))</f>
      </c>
      <c r="H152" s="110"/>
      <c r="I152" s="111">
        <f>IFERROR(SUMPRODUCT($G152*VLOOKUP($C152,'Vehicle Master'!$D:$F,3,0)),"")</f>
      </c>
      <c r="J152" s="11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</row>
    <row x14ac:dyDescent="0.25" r="153" customHeight="1" ht="18.75">
      <c r="A153" s="112">
        <v>45789</v>
      </c>
      <c r="B153" s="112">
        <v>45789</v>
      </c>
      <c r="C153" s="107" t="s">
        <v>302</v>
      </c>
      <c r="D153" s="107" t="s">
        <v>44</v>
      </c>
      <c r="E153" s="108">
        <v>76006</v>
      </c>
      <c r="F153" s="108">
        <v>76185</v>
      </c>
      <c r="G153" s="109">
        <f>IF((F153-E153)&lt;0,0,(F153-E153))</f>
      </c>
      <c r="H153" s="110"/>
      <c r="I153" s="111">
        <f>IFERROR(SUMPRODUCT($G153*VLOOKUP($C153,'Vehicle Master'!$D:$F,3,0)),"")</f>
      </c>
      <c r="J153" s="11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</row>
    <row x14ac:dyDescent="0.25" r="154" customHeight="1" ht="18.75">
      <c r="A154" s="112">
        <v>45790</v>
      </c>
      <c r="B154" s="112">
        <v>45790</v>
      </c>
      <c r="C154" s="107" t="s">
        <v>305</v>
      </c>
      <c r="D154" s="107" t="s">
        <v>43</v>
      </c>
      <c r="E154" s="108">
        <v>99967</v>
      </c>
      <c r="F154" s="108">
        <v>100040</v>
      </c>
      <c r="G154" s="109">
        <f>IF((F154-E154)&lt;0,0,(F154-E154))</f>
      </c>
      <c r="H154" s="110"/>
      <c r="I154" s="111">
        <f>IFERROR(SUMPRODUCT($G154*VLOOKUP($C154,'Vehicle Master'!$D:$F,3,0)),"")</f>
      </c>
      <c r="J154" s="11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</row>
    <row x14ac:dyDescent="0.25" r="155" customHeight="1" ht="18.75">
      <c r="A155" s="112">
        <v>45790</v>
      </c>
      <c r="B155" s="112">
        <v>45791</v>
      </c>
      <c r="C155" s="107" t="s">
        <v>304</v>
      </c>
      <c r="D155" s="107" t="s">
        <v>39</v>
      </c>
      <c r="E155" s="108">
        <v>109993</v>
      </c>
      <c r="F155" s="108">
        <v>110145</v>
      </c>
      <c r="G155" s="109">
        <f>IF((F155-E155)&lt;0,0,(F155-E155))</f>
      </c>
      <c r="H155" s="110"/>
      <c r="I155" s="111">
        <f>IFERROR(SUMPRODUCT($G155*VLOOKUP($C155,'Vehicle Master'!$D:$F,3,0)),"")</f>
      </c>
      <c r="J155" s="11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</row>
    <row x14ac:dyDescent="0.25" r="156" customHeight="1" ht="18.75">
      <c r="A156" s="112">
        <v>45790</v>
      </c>
      <c r="B156" s="112">
        <v>45791</v>
      </c>
      <c r="C156" s="107" t="s">
        <v>303</v>
      </c>
      <c r="D156" s="107" t="s">
        <v>42</v>
      </c>
      <c r="E156" s="108">
        <v>97485</v>
      </c>
      <c r="F156" s="108">
        <v>98123</v>
      </c>
      <c r="G156" s="109">
        <f>IF((F156-E156)&lt;0,0,(F156-E156))</f>
      </c>
      <c r="H156" s="110"/>
      <c r="I156" s="111">
        <f>IFERROR(SUMPRODUCT($G156*VLOOKUP($C156,'Vehicle Master'!$D:$F,3,0)),"")</f>
      </c>
      <c r="J156" s="11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</row>
    <row x14ac:dyDescent="0.25" r="157" customHeight="1" ht="18.75">
      <c r="A157" s="112">
        <v>45791</v>
      </c>
      <c r="B157" s="112">
        <v>45791</v>
      </c>
      <c r="C157" s="107" t="s">
        <v>302</v>
      </c>
      <c r="D157" s="107" t="s">
        <v>44</v>
      </c>
      <c r="E157" s="108">
        <v>76185</v>
      </c>
      <c r="F157" s="108">
        <v>76259</v>
      </c>
      <c r="G157" s="109">
        <f>IF((F157-E157)&lt;0,0,(F157-E157))</f>
      </c>
      <c r="H157" s="110"/>
      <c r="I157" s="111">
        <f>IFERROR(SUMPRODUCT($G157*VLOOKUP($C157,'Vehicle Master'!$D:$F,3,0)),"")</f>
      </c>
      <c r="J157" s="11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</row>
    <row x14ac:dyDescent="0.25" r="158" customHeight="1" ht="18.75">
      <c r="A158" s="112">
        <v>45791</v>
      </c>
      <c r="B158" s="112">
        <v>45791</v>
      </c>
      <c r="C158" s="107" t="s">
        <v>305</v>
      </c>
      <c r="D158" s="107" t="s">
        <v>43</v>
      </c>
      <c r="E158" s="108">
        <v>100040</v>
      </c>
      <c r="F158" s="108">
        <v>100115</v>
      </c>
      <c r="G158" s="109">
        <f>IF((F158-E158)&lt;0,0,(F158-E158))</f>
      </c>
      <c r="H158" s="110"/>
      <c r="I158" s="111">
        <f>IFERROR(SUMPRODUCT($G158*VLOOKUP($C158,'Vehicle Master'!$D:$F,3,0)),"")</f>
      </c>
      <c r="J158" s="11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</row>
    <row x14ac:dyDescent="0.25" r="159" customHeight="1" ht="18.75">
      <c r="A159" s="112">
        <v>45791</v>
      </c>
      <c r="B159" s="112">
        <v>45792</v>
      </c>
      <c r="C159" s="107" t="s">
        <v>304</v>
      </c>
      <c r="D159" s="107" t="s">
        <v>39</v>
      </c>
      <c r="E159" s="108">
        <v>110145</v>
      </c>
      <c r="F159" s="108">
        <v>110231</v>
      </c>
      <c r="G159" s="109">
        <f>IF((F159-E159)&lt;0,0,(F159-E159))</f>
      </c>
      <c r="H159" s="110"/>
      <c r="I159" s="111">
        <f>IFERROR(SUMPRODUCT($G159*VLOOKUP($C159,'Vehicle Master'!$D:$F,3,0)),"")</f>
      </c>
      <c r="J159" s="11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</row>
    <row x14ac:dyDescent="0.25" r="160" customHeight="1" ht="18.75">
      <c r="A160" s="112">
        <v>45792</v>
      </c>
      <c r="B160" s="112">
        <v>45793</v>
      </c>
      <c r="C160" s="107" t="s">
        <v>305</v>
      </c>
      <c r="D160" s="107" t="s">
        <v>43</v>
      </c>
      <c r="E160" s="108">
        <v>100115</v>
      </c>
      <c r="F160" s="108">
        <v>100751</v>
      </c>
      <c r="G160" s="109">
        <f>IF((F160-E160)&lt;0,0,(F160-E160))</f>
      </c>
      <c r="H160" s="110"/>
      <c r="I160" s="111">
        <f>IFERROR(SUMPRODUCT($G160*VLOOKUP($C160,'Vehicle Master'!$D:$F,3,0)),"")</f>
      </c>
      <c r="J160" s="11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</row>
    <row x14ac:dyDescent="0.25" r="161" customHeight="1" ht="18.75">
      <c r="A161" s="112">
        <v>45792</v>
      </c>
      <c r="B161" s="112">
        <v>45793</v>
      </c>
      <c r="C161" s="107" t="s">
        <v>302</v>
      </c>
      <c r="D161" s="107" t="s">
        <v>44</v>
      </c>
      <c r="E161" s="108">
        <v>76259</v>
      </c>
      <c r="F161" s="108">
        <v>76516</v>
      </c>
      <c r="G161" s="109">
        <f>IF((F161-E161)&lt;0,0,(F161-E161))</f>
      </c>
      <c r="H161" s="110"/>
      <c r="I161" s="111">
        <f>IFERROR(SUMPRODUCT($G161*VLOOKUP($C161,'Vehicle Master'!$D:$F,3,0)),"")</f>
      </c>
      <c r="J161" s="11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</row>
    <row x14ac:dyDescent="0.25" r="162" customHeight="1" ht="18.75">
      <c r="A162" s="112">
        <v>45792</v>
      </c>
      <c r="B162" s="112">
        <v>45793</v>
      </c>
      <c r="C162" s="107" t="s">
        <v>303</v>
      </c>
      <c r="D162" s="107" t="s">
        <v>42</v>
      </c>
      <c r="E162" s="108">
        <v>98123</v>
      </c>
      <c r="F162" s="108">
        <v>98293</v>
      </c>
      <c r="G162" s="109">
        <f>IF((F162-E162)&lt;0,0,(F162-E162))</f>
      </c>
      <c r="H162" s="110"/>
      <c r="I162" s="111">
        <f>IFERROR(SUMPRODUCT($G162*VLOOKUP($C162,'Vehicle Master'!$D:$F,3,0)),"")</f>
      </c>
      <c r="J162" s="11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</row>
    <row x14ac:dyDescent="0.25" r="163" customHeight="1" ht="18.75">
      <c r="A163" s="112">
        <v>45793</v>
      </c>
      <c r="B163" s="112">
        <v>45794</v>
      </c>
      <c r="C163" s="107" t="s">
        <v>304</v>
      </c>
      <c r="D163" s="107" t="s">
        <v>39</v>
      </c>
      <c r="E163" s="108">
        <v>110231</v>
      </c>
      <c r="F163" s="108">
        <v>110650</v>
      </c>
      <c r="G163" s="109">
        <f>IF((F163-E163)&lt;0,0,(F163-E163))</f>
      </c>
      <c r="H163" s="110"/>
      <c r="I163" s="111">
        <f>IFERROR(SUMPRODUCT($G163*VLOOKUP($C163,'Vehicle Master'!$D:$F,3,0)),"")</f>
      </c>
      <c r="J163" s="11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</row>
    <row x14ac:dyDescent="0.25" r="164" customHeight="1" ht="18.75">
      <c r="A164" s="112">
        <v>45793</v>
      </c>
      <c r="B164" s="112">
        <v>45794</v>
      </c>
      <c r="C164" s="107" t="s">
        <v>303</v>
      </c>
      <c r="D164" s="107" t="s">
        <v>42</v>
      </c>
      <c r="E164" s="108">
        <v>98293</v>
      </c>
      <c r="F164" s="108">
        <v>98482</v>
      </c>
      <c r="G164" s="109">
        <f>IF((F164-E164)&lt;0,0,(F164-E164))</f>
      </c>
      <c r="H164" s="110"/>
      <c r="I164" s="111">
        <f>IFERROR(SUMPRODUCT($G164*VLOOKUP($C164,'Vehicle Master'!$D:$F,3,0)),"")</f>
      </c>
      <c r="J164" s="11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</row>
    <row x14ac:dyDescent="0.25" r="165" customHeight="1" ht="18.75">
      <c r="A165" s="112">
        <v>45794</v>
      </c>
      <c r="B165" s="112">
        <v>45795</v>
      </c>
      <c r="C165" s="107" t="s">
        <v>305</v>
      </c>
      <c r="D165" s="107" t="s">
        <v>43</v>
      </c>
      <c r="E165" s="108">
        <v>100751</v>
      </c>
      <c r="F165" s="108">
        <v>100987</v>
      </c>
      <c r="G165" s="109">
        <f>IF((F165-E165)&lt;0,0,(F165-E165))</f>
      </c>
      <c r="H165" s="110"/>
      <c r="I165" s="111">
        <f>IFERROR(SUMPRODUCT($G165*VLOOKUP($C165,'Vehicle Master'!$D:$F,3,0)),"")</f>
      </c>
      <c r="J165" s="11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</row>
    <row x14ac:dyDescent="0.25" r="166" customHeight="1" ht="18.75">
      <c r="A166" s="112">
        <v>45794</v>
      </c>
      <c r="B166" s="112">
        <v>45795</v>
      </c>
      <c r="C166" s="107" t="s">
        <v>302</v>
      </c>
      <c r="D166" s="107" t="s">
        <v>44</v>
      </c>
      <c r="E166" s="108">
        <v>76516</v>
      </c>
      <c r="F166" s="108">
        <v>76945</v>
      </c>
      <c r="G166" s="109">
        <f>IF((F166-E166)&lt;0,0,(F166-E166))</f>
      </c>
      <c r="H166" s="110"/>
      <c r="I166" s="111">
        <f>IFERROR(SUMPRODUCT($G166*VLOOKUP($C166,'Vehicle Master'!$D:$F,3,0)),"")</f>
      </c>
      <c r="J166" s="11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</row>
    <row x14ac:dyDescent="0.25" r="167" customHeight="1" ht="18.75">
      <c r="A167" s="112">
        <v>45796</v>
      </c>
      <c r="B167" s="112">
        <v>45796</v>
      </c>
      <c r="C167" s="107" t="s">
        <v>303</v>
      </c>
      <c r="D167" s="107" t="s">
        <v>42</v>
      </c>
      <c r="E167" s="108">
        <v>98482</v>
      </c>
      <c r="F167" s="108">
        <v>98557</v>
      </c>
      <c r="G167" s="109">
        <f>IF((F167-E167)&lt;0,0,(F167-E167))</f>
      </c>
      <c r="H167" s="110"/>
      <c r="I167" s="111">
        <f>IFERROR(SUMPRODUCT($G167*VLOOKUP($C167,'Vehicle Master'!$D:$F,3,0)),"")</f>
      </c>
      <c r="J167" s="11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</row>
    <row x14ac:dyDescent="0.25" r="168" customHeight="1" ht="18.75">
      <c r="A168" s="112">
        <v>45796</v>
      </c>
      <c r="B168" s="112">
        <v>45797</v>
      </c>
      <c r="C168" s="107" t="s">
        <v>304</v>
      </c>
      <c r="D168" s="107" t="s">
        <v>39</v>
      </c>
      <c r="E168" s="108">
        <v>110650</v>
      </c>
      <c r="F168" s="108">
        <v>111299</v>
      </c>
      <c r="G168" s="109">
        <f>IF((F168-E168)&lt;0,0,(F168-E168))</f>
      </c>
      <c r="H168" s="110"/>
      <c r="I168" s="111">
        <f>IFERROR(SUMPRODUCT($G168*VLOOKUP($C168,'Vehicle Master'!$D:$F,3,0)),"")</f>
      </c>
      <c r="J168" s="11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</row>
    <row x14ac:dyDescent="0.25" r="169" customHeight="1" ht="18.75">
      <c r="A169" s="112">
        <v>45796</v>
      </c>
      <c r="B169" s="112">
        <v>45797</v>
      </c>
      <c r="C169" s="107" t="s">
        <v>302</v>
      </c>
      <c r="D169" s="107" t="s">
        <v>44</v>
      </c>
      <c r="E169" s="108">
        <v>76945</v>
      </c>
      <c r="F169" s="108">
        <v>77373</v>
      </c>
      <c r="G169" s="109">
        <f>IF((F169-E169)&lt;0,0,(F169-E169))</f>
      </c>
      <c r="H169" s="110"/>
      <c r="I169" s="111">
        <f>IFERROR(SUMPRODUCT($G169*VLOOKUP($C169,'Vehicle Master'!$D:$F,3,0)),"")</f>
      </c>
      <c r="J169" s="11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</row>
    <row x14ac:dyDescent="0.25" r="170" customHeight="1" ht="18.75">
      <c r="A170" s="112">
        <v>45796</v>
      </c>
      <c r="B170" s="112">
        <v>45796</v>
      </c>
      <c r="C170" s="107" t="s">
        <v>305</v>
      </c>
      <c r="D170" s="107" t="s">
        <v>43</v>
      </c>
      <c r="E170" s="108">
        <v>100987</v>
      </c>
      <c r="F170" s="108">
        <v>101061</v>
      </c>
      <c r="G170" s="109">
        <f>IF((F170-E170)&lt;0,0,(F170-E170))</f>
      </c>
      <c r="H170" s="110"/>
      <c r="I170" s="111">
        <f>IFERROR(SUMPRODUCT($G170*VLOOKUP($C170,'Vehicle Master'!$D:$F,3,0)),"")</f>
      </c>
      <c r="J170" s="11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</row>
    <row x14ac:dyDescent="0.25" r="171" customHeight="1" ht="18.75">
      <c r="A171" s="112">
        <v>45797</v>
      </c>
      <c r="B171" s="112">
        <v>45798</v>
      </c>
      <c r="C171" s="107" t="s">
        <v>303</v>
      </c>
      <c r="D171" s="107" t="s">
        <v>42</v>
      </c>
      <c r="E171" s="108">
        <v>98557</v>
      </c>
      <c r="F171" s="108">
        <v>98917</v>
      </c>
      <c r="G171" s="109">
        <f>IF((F171-E171)&lt;0,0,(F171-E171))</f>
      </c>
      <c r="H171" s="110"/>
      <c r="I171" s="111">
        <f>IFERROR(SUMPRODUCT($G171*VLOOKUP($C171,'Vehicle Master'!$D:$F,3,0)),"")</f>
      </c>
      <c r="J171" s="11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</row>
    <row x14ac:dyDescent="0.25" r="172" customHeight="1" ht="18.75">
      <c r="A172" s="112">
        <v>45797</v>
      </c>
      <c r="B172" s="112">
        <v>45798</v>
      </c>
      <c r="C172" s="107" t="s">
        <v>302</v>
      </c>
      <c r="D172" s="107" t="s">
        <v>44</v>
      </c>
      <c r="E172" s="108">
        <v>77373</v>
      </c>
      <c r="F172" s="108">
        <v>77743</v>
      </c>
      <c r="G172" s="109">
        <f>IF((F172-E172)&lt;0,0,(F172-E172))</f>
      </c>
      <c r="H172" s="110"/>
      <c r="I172" s="111">
        <f>IFERROR(SUMPRODUCT($G172*VLOOKUP($C172,'Vehicle Master'!$D:$F,3,0)),"")</f>
      </c>
      <c r="J172" s="11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</row>
    <row x14ac:dyDescent="0.25" r="173" customHeight="1" ht="18.75">
      <c r="A173" s="112">
        <v>45798</v>
      </c>
      <c r="B173" s="112">
        <v>45799</v>
      </c>
      <c r="C173" s="107" t="s">
        <v>305</v>
      </c>
      <c r="D173" s="107" t="s">
        <v>43</v>
      </c>
      <c r="E173" s="108">
        <v>101061</v>
      </c>
      <c r="F173" s="108">
        <v>101556</v>
      </c>
      <c r="G173" s="109">
        <f>IF((F173-E173)&lt;0,0,(F173-E173))</f>
      </c>
      <c r="H173" s="110"/>
      <c r="I173" s="111">
        <f>IFERROR(SUMPRODUCT($G173*VLOOKUP($C173,'Vehicle Master'!$D:$F,3,0)),"")</f>
      </c>
      <c r="J173" s="11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</row>
    <row x14ac:dyDescent="0.25" r="174" customHeight="1" ht="18.75">
      <c r="A174" s="112">
        <v>45798</v>
      </c>
      <c r="B174" s="112">
        <v>45799</v>
      </c>
      <c r="C174" s="107" t="s">
        <v>303</v>
      </c>
      <c r="D174" s="107" t="s">
        <v>42</v>
      </c>
      <c r="E174" s="108">
        <v>98917</v>
      </c>
      <c r="F174" s="108">
        <v>99148</v>
      </c>
      <c r="G174" s="109">
        <f>IF((F174-E174)&lt;0,0,(F174-E174))</f>
      </c>
      <c r="H174" s="110"/>
      <c r="I174" s="111">
        <f>IFERROR(SUMPRODUCT($G174*VLOOKUP($C174,'Vehicle Master'!$D:$F,3,0)),"")</f>
      </c>
      <c r="J174" s="11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</row>
    <row x14ac:dyDescent="0.25" r="175" customHeight="1" ht="18.75">
      <c r="A175" s="112">
        <v>45798</v>
      </c>
      <c r="B175" s="112">
        <v>45799</v>
      </c>
      <c r="C175" s="107" t="s">
        <v>304</v>
      </c>
      <c r="D175" s="107" t="s">
        <v>39</v>
      </c>
      <c r="E175" s="108">
        <v>111299</v>
      </c>
      <c r="F175" s="108">
        <v>111490</v>
      </c>
      <c r="G175" s="109">
        <f>IF((F175-E175)&lt;0,0,(F175-E175))</f>
      </c>
      <c r="H175" s="110"/>
      <c r="I175" s="111">
        <f>IFERROR(SUMPRODUCT($G175*VLOOKUP($C175,'Vehicle Master'!$D:$F,3,0)),"")</f>
      </c>
      <c r="J175" s="11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</row>
    <row x14ac:dyDescent="0.25" r="176" customHeight="1" ht="18.75">
      <c r="A176" s="112">
        <v>45798</v>
      </c>
      <c r="B176" s="112">
        <v>45799</v>
      </c>
      <c r="C176" s="107" t="s">
        <v>302</v>
      </c>
      <c r="D176" s="107" t="s">
        <v>44</v>
      </c>
      <c r="E176" s="108">
        <v>77743</v>
      </c>
      <c r="F176" s="108">
        <v>77811</v>
      </c>
      <c r="G176" s="109">
        <f>IF((F176-E176)&lt;0,0,(F176-E176))</f>
      </c>
      <c r="H176" s="110"/>
      <c r="I176" s="111">
        <f>IFERROR(SUMPRODUCT($G176*VLOOKUP($C176,'Vehicle Master'!$D:$F,3,0)),"")</f>
      </c>
      <c r="J176" s="11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</row>
    <row x14ac:dyDescent="0.25" r="177" customHeight="1" ht="18.75">
      <c r="A177" s="112">
        <v>45799</v>
      </c>
      <c r="B177" s="112">
        <v>45800</v>
      </c>
      <c r="C177" s="107" t="s">
        <v>304</v>
      </c>
      <c r="D177" s="107" t="s">
        <v>39</v>
      </c>
      <c r="E177" s="108">
        <v>111490</v>
      </c>
      <c r="F177" s="108">
        <v>111898</v>
      </c>
      <c r="G177" s="109">
        <f>IF((F177-E177)&lt;0,0,(F177-E177))</f>
      </c>
      <c r="H177" s="110"/>
      <c r="I177" s="111">
        <f>IFERROR(SUMPRODUCT($G177*VLOOKUP($C177,'Vehicle Master'!$D:$F,3,0)),"")</f>
      </c>
      <c r="J177" s="11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</row>
    <row x14ac:dyDescent="0.25" r="178" customHeight="1" ht="18.75">
      <c r="A178" s="112">
        <v>45800</v>
      </c>
      <c r="B178" s="112">
        <v>45801</v>
      </c>
      <c r="C178" s="107" t="s">
        <v>303</v>
      </c>
      <c r="D178" s="107" t="s">
        <v>42</v>
      </c>
      <c r="E178" s="108">
        <v>99148</v>
      </c>
      <c r="F178" s="108">
        <v>99561</v>
      </c>
      <c r="G178" s="109">
        <f>IF((F178-E178)&lt;0,0,(F178-E178))</f>
      </c>
      <c r="H178" s="110"/>
      <c r="I178" s="111">
        <f>IFERROR(SUMPRODUCT($G178*VLOOKUP($C178,'Vehicle Master'!$D:$F,3,0)),"")</f>
      </c>
      <c r="J178" s="11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</row>
    <row x14ac:dyDescent="0.25" r="179" customHeight="1" ht="18.75">
      <c r="A179" s="112">
        <v>45800</v>
      </c>
      <c r="B179" s="112">
        <v>45801</v>
      </c>
      <c r="C179" s="107" t="s">
        <v>302</v>
      </c>
      <c r="D179" s="107" t="s">
        <v>44</v>
      </c>
      <c r="E179" s="108">
        <v>77811</v>
      </c>
      <c r="F179" s="108">
        <v>78156</v>
      </c>
      <c r="G179" s="109">
        <f>IF((F179-E179)&lt;0,0,(F179-E179))</f>
      </c>
      <c r="H179" s="110"/>
      <c r="I179" s="111">
        <f>IFERROR(SUMPRODUCT($G179*VLOOKUP($C179,'Vehicle Master'!$D:$F,3,0)),"")</f>
      </c>
      <c r="J179" s="11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</row>
    <row x14ac:dyDescent="0.25" r="180" customHeight="1" ht="18.75">
      <c r="A180" s="112">
        <v>45801</v>
      </c>
      <c r="B180" s="112">
        <v>45802</v>
      </c>
      <c r="C180" s="107" t="s">
        <v>304</v>
      </c>
      <c r="D180" s="107" t="s">
        <v>39</v>
      </c>
      <c r="E180" s="108">
        <v>111898</v>
      </c>
      <c r="F180" s="108">
        <v>112078</v>
      </c>
      <c r="G180" s="109">
        <f>IF((F180-E180)&lt;0,0,(F180-E180))</f>
      </c>
      <c r="H180" s="110"/>
      <c r="I180" s="111">
        <f>IFERROR(SUMPRODUCT($G180*VLOOKUP($C180,'Vehicle Master'!$D:$F,3,0)),"")</f>
      </c>
      <c r="J180" s="11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</row>
    <row x14ac:dyDescent="0.25" r="181" customHeight="1" ht="18.75">
      <c r="A181" s="112">
        <v>45801</v>
      </c>
      <c r="B181" s="112">
        <v>45802</v>
      </c>
      <c r="C181" s="107" t="s">
        <v>305</v>
      </c>
      <c r="D181" s="107" t="s">
        <v>43</v>
      </c>
      <c r="E181" s="108">
        <v>101556</v>
      </c>
      <c r="F181" s="108">
        <v>101738</v>
      </c>
      <c r="G181" s="109">
        <f>IF((F181-E181)&lt;0,0,(F181-E181))</f>
      </c>
      <c r="H181" s="110"/>
      <c r="I181" s="111">
        <f>IFERROR(SUMPRODUCT($G181*VLOOKUP($C181,'Vehicle Master'!$D:$F,3,0)),"")</f>
      </c>
      <c r="J181" s="11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</row>
    <row x14ac:dyDescent="0.25" r="182" customHeight="1" ht="18.75">
      <c r="A182" s="112">
        <v>45801</v>
      </c>
      <c r="B182" s="112">
        <v>45803</v>
      </c>
      <c r="C182" s="107" t="s">
        <v>302</v>
      </c>
      <c r="D182" s="107" t="s">
        <v>44</v>
      </c>
      <c r="E182" s="108">
        <v>78156</v>
      </c>
      <c r="F182" s="108">
        <v>78403</v>
      </c>
      <c r="G182" s="109">
        <f>IF((F182-E182)&lt;0,0,(F182-E182))</f>
      </c>
      <c r="H182" s="110"/>
      <c r="I182" s="111">
        <f>IFERROR(SUMPRODUCT($G182*VLOOKUP($C182,'Vehicle Master'!$D:$F,3,0)),"")</f>
      </c>
      <c r="J182" s="11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</row>
    <row x14ac:dyDescent="0.25" r="183" customHeight="1" ht="18.75">
      <c r="A183" s="112">
        <v>45801</v>
      </c>
      <c r="B183" s="112">
        <v>45802</v>
      </c>
      <c r="C183" s="107" t="s">
        <v>303</v>
      </c>
      <c r="D183" s="107" t="s">
        <v>42</v>
      </c>
      <c r="E183" s="108">
        <v>99561</v>
      </c>
      <c r="F183" s="108">
        <v>99759</v>
      </c>
      <c r="G183" s="109">
        <f>IF((F183-E183)&lt;0,0,(F183-E183))</f>
      </c>
      <c r="H183" s="110"/>
      <c r="I183" s="111">
        <f>IFERROR(SUMPRODUCT($G183*VLOOKUP($C183,'Vehicle Master'!$D:$F,3,0)),"")</f>
      </c>
      <c r="J183" s="11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</row>
    <row x14ac:dyDescent="0.25" r="184" customHeight="1" ht="18.75">
      <c r="A184" s="112">
        <v>45802</v>
      </c>
      <c r="B184" s="112">
        <v>45803</v>
      </c>
      <c r="C184" s="107" t="s">
        <v>305</v>
      </c>
      <c r="D184" s="107" t="s">
        <v>43</v>
      </c>
      <c r="E184" s="108">
        <v>101738</v>
      </c>
      <c r="F184" s="108">
        <v>102058</v>
      </c>
      <c r="G184" s="109">
        <f>IF((F184-E184)&lt;0,0,(F184-E184))</f>
      </c>
      <c r="H184" s="110"/>
      <c r="I184" s="111">
        <f>IFERROR(SUMPRODUCT($G184*VLOOKUP($C184,'Vehicle Master'!$D:$F,3,0)),"")</f>
      </c>
      <c r="J184" s="11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</row>
    <row x14ac:dyDescent="0.25" r="185" customHeight="1" ht="18.75">
      <c r="A185" s="112">
        <v>45802</v>
      </c>
      <c r="B185" s="112">
        <v>45803</v>
      </c>
      <c r="C185" s="107" t="s">
        <v>304</v>
      </c>
      <c r="D185" s="107" t="s">
        <v>39</v>
      </c>
      <c r="E185" s="108">
        <v>112078</v>
      </c>
      <c r="F185" s="108">
        <v>112569</v>
      </c>
      <c r="G185" s="109">
        <f>IF((F185-E185)&lt;0,0,(F185-E185))</f>
      </c>
      <c r="H185" s="110"/>
      <c r="I185" s="111">
        <f>IFERROR(SUMPRODUCT($G185*VLOOKUP($C185,'Vehicle Master'!$D:$F,3,0)),"")</f>
      </c>
      <c r="J185" s="11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</row>
    <row x14ac:dyDescent="0.25" r="186" customHeight="1" ht="18.75">
      <c r="A186" s="112">
        <v>45803</v>
      </c>
      <c r="B186" s="112">
        <v>45803</v>
      </c>
      <c r="C186" s="107" t="s">
        <v>303</v>
      </c>
      <c r="D186" s="107" t="s">
        <v>42</v>
      </c>
      <c r="E186" s="108">
        <v>99759</v>
      </c>
      <c r="F186" s="108">
        <v>99833</v>
      </c>
      <c r="G186" s="109">
        <f>IF((F186-E186)&lt;0,0,(F186-E186))</f>
      </c>
      <c r="H186" s="110"/>
      <c r="I186" s="111">
        <f>IFERROR(SUMPRODUCT($G186*VLOOKUP($C186,'Vehicle Master'!$D:$F,3,0)),"")</f>
      </c>
      <c r="J186" s="11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</row>
    <row x14ac:dyDescent="0.25" r="187" customHeight="1" ht="18.75">
      <c r="A187" s="112">
        <v>45803</v>
      </c>
      <c r="B187" s="112">
        <v>45803</v>
      </c>
      <c r="C187" s="107" t="s">
        <v>305</v>
      </c>
      <c r="D187" s="107" t="s">
        <v>43</v>
      </c>
      <c r="E187" s="108">
        <v>102058</v>
      </c>
      <c r="F187" s="108">
        <v>102137</v>
      </c>
      <c r="G187" s="109">
        <f>IF((F187-E187)&lt;0,0,(F187-E187))</f>
      </c>
      <c r="H187" s="110"/>
      <c r="I187" s="111">
        <f>IFERROR(SUMPRODUCT($G187*VLOOKUP($C187,'Vehicle Master'!$D:$F,3,0)),"")</f>
      </c>
      <c r="J187" s="11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</row>
    <row x14ac:dyDescent="0.25" r="188" customHeight="1" ht="18.75">
      <c r="A188" s="112">
        <v>45803</v>
      </c>
      <c r="B188" s="112">
        <v>45804</v>
      </c>
      <c r="C188" s="107" t="s">
        <v>302</v>
      </c>
      <c r="D188" s="107" t="s">
        <v>44</v>
      </c>
      <c r="E188" s="108">
        <v>78403</v>
      </c>
      <c r="F188" s="108">
        <v>78809</v>
      </c>
      <c r="G188" s="109">
        <f>IF((F188-E188)&lt;0,0,(F188-E188))</f>
      </c>
      <c r="H188" s="110"/>
      <c r="I188" s="111">
        <f>IFERROR(SUMPRODUCT($G188*VLOOKUP($C188,'Vehicle Master'!$D:$F,3,0)),"")</f>
      </c>
      <c r="J188" s="11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</row>
    <row x14ac:dyDescent="0.25" r="189" customHeight="1" ht="18.75">
      <c r="A189" s="112">
        <v>45804</v>
      </c>
      <c r="B189" s="112">
        <v>45805</v>
      </c>
      <c r="C189" s="107" t="s">
        <v>303</v>
      </c>
      <c r="D189" s="107" t="s">
        <v>42</v>
      </c>
      <c r="E189" s="108">
        <v>99833</v>
      </c>
      <c r="F189" s="108">
        <v>100474</v>
      </c>
      <c r="G189" s="109">
        <f>IF((F189-E189)&lt;0,0,(F189-E189))</f>
      </c>
      <c r="H189" s="110"/>
      <c r="I189" s="111">
        <f>IFERROR(SUMPRODUCT($G189*VLOOKUP($C189,'Vehicle Master'!$D:$F,3,0)),"")</f>
      </c>
      <c r="J189" s="11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</row>
    <row x14ac:dyDescent="0.25" r="190" customHeight="1" ht="18.75">
      <c r="A190" s="112">
        <v>45804</v>
      </c>
      <c r="B190" s="112">
        <v>45804</v>
      </c>
      <c r="C190" s="107" t="s">
        <v>304</v>
      </c>
      <c r="D190" s="107" t="s">
        <v>39</v>
      </c>
      <c r="E190" s="108">
        <v>112569</v>
      </c>
      <c r="F190" s="108">
        <v>112644</v>
      </c>
      <c r="G190" s="109">
        <f>IF((F190-E190)&lt;0,0,(F190-E190))</f>
      </c>
      <c r="H190" s="110"/>
      <c r="I190" s="111">
        <f>IFERROR(SUMPRODUCT($G190*VLOOKUP($C190,'Vehicle Master'!$D:$F,3,0)),"")</f>
      </c>
      <c r="J190" s="11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</row>
    <row x14ac:dyDescent="0.25" r="191" customHeight="1" ht="18.75">
      <c r="A191" s="112">
        <v>45804</v>
      </c>
      <c r="B191" s="112">
        <v>45805</v>
      </c>
      <c r="C191" s="107" t="s">
        <v>305</v>
      </c>
      <c r="D191" s="107" t="s">
        <v>43</v>
      </c>
      <c r="E191" s="108">
        <v>102137</v>
      </c>
      <c r="F191" s="108">
        <v>102463</v>
      </c>
      <c r="G191" s="109">
        <f>IF((F191-E191)&lt;0,0,(F191-E191))</f>
      </c>
      <c r="H191" s="110"/>
      <c r="I191" s="111">
        <f>IFERROR(SUMPRODUCT($G191*VLOOKUP($C191,'Vehicle Master'!$D:$F,3,0)),"")</f>
      </c>
      <c r="J191" s="11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</row>
    <row x14ac:dyDescent="0.25" r="192" customHeight="1" ht="18.75">
      <c r="A192" s="112">
        <v>45805</v>
      </c>
      <c r="B192" s="112">
        <v>45797</v>
      </c>
      <c r="C192" s="107" t="s">
        <v>304</v>
      </c>
      <c r="D192" s="107" t="s">
        <v>39</v>
      </c>
      <c r="E192" s="108">
        <v>112644</v>
      </c>
      <c r="F192" s="108">
        <v>112955</v>
      </c>
      <c r="G192" s="109">
        <f>IF((F192-E192)&lt;0,0,(F192-E192))</f>
      </c>
      <c r="H192" s="110"/>
      <c r="I192" s="111">
        <f>IFERROR(SUMPRODUCT($G192*VLOOKUP($C192,'Vehicle Master'!$D:$F,3,0)),"")</f>
      </c>
      <c r="J192" s="11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</row>
    <row x14ac:dyDescent="0.25" r="193" customHeight="1" ht="18.75">
      <c r="A193" s="112">
        <v>45805</v>
      </c>
      <c r="B193" s="112">
        <v>45806</v>
      </c>
      <c r="C193" s="107" t="s">
        <v>302</v>
      </c>
      <c r="D193" s="107" t="s">
        <v>44</v>
      </c>
      <c r="E193" s="108">
        <v>78809</v>
      </c>
      <c r="F193" s="108">
        <v>79254</v>
      </c>
      <c r="G193" s="109">
        <f>IF((F193-E193)&lt;0,0,(F193-E193))</f>
      </c>
      <c r="H193" s="110"/>
      <c r="I193" s="111">
        <f>IFERROR(SUMPRODUCT($G193*VLOOKUP($C193,'Vehicle Master'!$D:$F,3,0)),"")</f>
      </c>
      <c r="J193" s="11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</row>
    <row x14ac:dyDescent="0.25" r="194" customHeight="1" ht="18.75">
      <c r="A194" s="112">
        <v>45805</v>
      </c>
      <c r="B194" s="112">
        <v>45806</v>
      </c>
      <c r="C194" s="107" t="s">
        <v>305</v>
      </c>
      <c r="D194" s="107" t="s">
        <v>43</v>
      </c>
      <c r="E194" s="108">
        <v>102463</v>
      </c>
      <c r="F194" s="108">
        <v>102612</v>
      </c>
      <c r="G194" s="109">
        <f>IF((F194-E194)&lt;0,0,(F194-E194))</f>
      </c>
      <c r="H194" s="110"/>
      <c r="I194" s="111">
        <f>IFERROR(SUMPRODUCT($G194*VLOOKUP($C194,'Vehicle Master'!$D:$F,3,0)),"")</f>
      </c>
      <c r="J194" s="11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</row>
    <row x14ac:dyDescent="0.25" r="195" customHeight="1" ht="18.75">
      <c r="A195" s="112">
        <v>45806</v>
      </c>
      <c r="B195" s="112">
        <v>45806</v>
      </c>
      <c r="C195" s="107" t="s">
        <v>303</v>
      </c>
      <c r="D195" s="107" t="s">
        <v>42</v>
      </c>
      <c r="E195" s="108">
        <v>100474</v>
      </c>
      <c r="F195" s="108">
        <v>100611</v>
      </c>
      <c r="G195" s="109">
        <f>IF((F195-E195)&lt;0,0,(F195-E195))</f>
      </c>
      <c r="H195" s="110"/>
      <c r="I195" s="111">
        <f>IFERROR(SUMPRODUCT($G195*VLOOKUP($C195,'Vehicle Master'!$D:$F,3,0)),"")</f>
      </c>
      <c r="J195" s="11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</row>
    <row x14ac:dyDescent="0.25" r="196" customHeight="1" ht="18.75">
      <c r="A196" s="112">
        <v>45806</v>
      </c>
      <c r="B196" s="112">
        <v>45806</v>
      </c>
      <c r="C196" s="107" t="s">
        <v>305</v>
      </c>
      <c r="D196" s="107" t="s">
        <v>43</v>
      </c>
      <c r="E196" s="108">
        <v>102612</v>
      </c>
      <c r="F196" s="108">
        <v>102675</v>
      </c>
      <c r="G196" s="109">
        <f>IF((F196-E196)&lt;0,0,(F196-E196))</f>
      </c>
      <c r="H196" s="110"/>
      <c r="I196" s="111">
        <f>IFERROR(SUMPRODUCT($G196*VLOOKUP($C196,'Vehicle Master'!$D:$F,3,0)),"")</f>
      </c>
      <c r="J196" s="11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</row>
    <row x14ac:dyDescent="0.25" r="197" customHeight="1" ht="18.75">
      <c r="A197" s="112">
        <v>45806</v>
      </c>
      <c r="B197" s="112">
        <v>45807</v>
      </c>
      <c r="C197" s="107" t="s">
        <v>304</v>
      </c>
      <c r="D197" s="107" t="s">
        <v>39</v>
      </c>
      <c r="E197" s="108">
        <v>112955</v>
      </c>
      <c r="F197" s="108">
        <v>113050</v>
      </c>
      <c r="G197" s="109">
        <f>IF((F197-E197)&lt;0,0,(F197-E197))</f>
      </c>
      <c r="H197" s="110"/>
      <c r="I197" s="111">
        <f>IFERROR(SUMPRODUCT($G197*VLOOKUP($C197,'Vehicle Master'!$D:$F,3,0)),"")</f>
      </c>
      <c r="J197" s="11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</row>
    <row x14ac:dyDescent="0.25" r="198" customHeight="1" ht="18.75">
      <c r="A198" s="112">
        <v>45807</v>
      </c>
      <c r="B198" s="112">
        <v>45808</v>
      </c>
      <c r="C198" s="107" t="s">
        <v>305</v>
      </c>
      <c r="D198" s="107" t="s">
        <v>43</v>
      </c>
      <c r="E198" s="108">
        <v>102612</v>
      </c>
      <c r="F198" s="108">
        <v>103294</v>
      </c>
      <c r="G198" s="109">
        <f>IF((F198-E198)&lt;0,0,(F198-E198))</f>
      </c>
      <c r="H198" s="110"/>
      <c r="I198" s="111">
        <f>IFERROR(SUMPRODUCT($G198*VLOOKUP($C198,'Vehicle Master'!$D:$F,3,0)),"")</f>
      </c>
      <c r="J198" s="11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</row>
    <row x14ac:dyDescent="0.25" r="199" customHeight="1" ht="18.75">
      <c r="A199" s="112">
        <v>45807</v>
      </c>
      <c r="B199" s="112">
        <v>45807</v>
      </c>
      <c r="C199" s="107" t="s">
        <v>303</v>
      </c>
      <c r="D199" s="107" t="s">
        <v>42</v>
      </c>
      <c r="E199" s="108">
        <v>100611</v>
      </c>
      <c r="F199" s="108">
        <v>100738</v>
      </c>
      <c r="G199" s="109">
        <f>IF((F199-E199)&lt;0,0,(F199-E199))</f>
      </c>
      <c r="H199" s="110"/>
      <c r="I199" s="111">
        <f>IFERROR(SUMPRODUCT($G199*VLOOKUP($C199,'Vehicle Master'!$D:$F,3,0)),"")</f>
      </c>
      <c r="J199" s="11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</row>
    <row x14ac:dyDescent="0.25" r="200" customHeight="1" ht="18.75">
      <c r="A200" s="112">
        <v>45807</v>
      </c>
      <c r="B200" s="112">
        <v>45807</v>
      </c>
      <c r="C200" s="107" t="s">
        <v>302</v>
      </c>
      <c r="D200" s="107" t="s">
        <v>44</v>
      </c>
      <c r="E200" s="108">
        <v>79254</v>
      </c>
      <c r="F200" s="108">
        <v>79377</v>
      </c>
      <c r="G200" s="109">
        <f>IF((F200-E200)&lt;0,0,(F200-E200))</f>
      </c>
      <c r="H200" s="110"/>
      <c r="I200" s="111">
        <f>IFERROR(SUMPRODUCT($G200*VLOOKUP($C200,'Vehicle Master'!$D:$F,3,0)),"")</f>
      </c>
      <c r="J200" s="11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</row>
    <row x14ac:dyDescent="0.25" r="201" customHeight="1" ht="12">
      <c r="A201" s="112">
        <v>45807</v>
      </c>
      <c r="B201" s="112">
        <v>45807</v>
      </c>
      <c r="C201" s="107" t="s">
        <v>304</v>
      </c>
      <c r="D201" s="107" t="s">
        <v>39</v>
      </c>
      <c r="E201" s="108">
        <v>113050</v>
      </c>
      <c r="F201" s="108">
        <v>113198</v>
      </c>
      <c r="G201" s="109">
        <f>IF((F201-E201)&lt;0,0,(F201-E201))</f>
      </c>
      <c r="H201" s="110"/>
      <c r="I201" s="111">
        <f>IFERROR(SUMPRODUCT($G201*VLOOKUP($C201,'Vehicle Master'!$D:$F,3,0)),"")</f>
      </c>
      <c r="J201" s="11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</row>
    <row x14ac:dyDescent="0.25" r="202" customHeight="1" ht="14.15">
      <c r="A202" s="112">
        <v>45808</v>
      </c>
      <c r="B202" s="112">
        <v>45808</v>
      </c>
      <c r="C202" s="107" t="s">
        <v>302</v>
      </c>
      <c r="D202" s="107" t="s">
        <v>44</v>
      </c>
      <c r="E202" s="108">
        <v>79377</v>
      </c>
      <c r="F202" s="108">
        <v>79527</v>
      </c>
      <c r="G202" s="109">
        <f>IF((F202-E202)&lt;0,0,(F202-E202))</f>
      </c>
      <c r="H202" s="110"/>
      <c r="I202" s="111">
        <f>IFERROR(SUMPRODUCT($G202*VLOOKUP($C202,'Vehicle Master'!$D:$F,3,0)),"")</f>
      </c>
      <c r="J202" s="11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</row>
    <row x14ac:dyDescent="0.25" r="203" customHeight="1" ht="14.15">
      <c r="A203" s="112">
        <v>45808</v>
      </c>
      <c r="B203" s="112">
        <v>45808</v>
      </c>
      <c r="C203" s="107" t="s">
        <v>303</v>
      </c>
      <c r="D203" s="107" t="s">
        <v>42</v>
      </c>
      <c r="E203" s="108">
        <v>100738</v>
      </c>
      <c r="F203" s="108">
        <v>100886</v>
      </c>
      <c r="G203" s="109">
        <f>IF((F203-E203)&lt;0,0,(F203-E203))</f>
      </c>
      <c r="H203" s="110"/>
      <c r="I203" s="111">
        <f>IFERROR(SUMPRODUCT($G203*VLOOKUP($C203,'Vehicle Master'!$D:$F,3,0)),"")</f>
      </c>
      <c r="J203" s="11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</row>
    <row x14ac:dyDescent="0.25" r="204" customHeight="1" ht="14.15">
      <c r="A204" s="112">
        <v>45808</v>
      </c>
      <c r="B204" s="112">
        <v>45810</v>
      </c>
      <c r="C204" s="107" t="s">
        <v>304</v>
      </c>
      <c r="D204" s="107" t="s">
        <v>39</v>
      </c>
      <c r="E204" s="108">
        <v>113198</v>
      </c>
      <c r="F204" s="108">
        <v>113725</v>
      </c>
      <c r="G204" s="109">
        <f>IF((F204-E204)&lt;0,0,(F204-E204))</f>
      </c>
      <c r="H204" s="110"/>
      <c r="I204" s="111">
        <f>IFERROR(SUMPRODUCT($G204*VLOOKUP($C204,'Vehicle Master'!$D:$F,3,0)),"")</f>
      </c>
      <c r="J204" s="11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</row>
    <row x14ac:dyDescent="0.25" r="205" customHeight="1" ht="14.15">
      <c r="A205" s="112">
        <v>45808</v>
      </c>
      <c r="B205" s="112">
        <v>45808</v>
      </c>
      <c r="C205" s="107" t="s">
        <v>303</v>
      </c>
      <c r="D205" s="107" t="s">
        <v>42</v>
      </c>
      <c r="E205" s="108">
        <v>100886</v>
      </c>
      <c r="F205" s="108">
        <v>101158</v>
      </c>
      <c r="G205" s="109">
        <f>IF((F205-E205)&lt;0,0,(F205-E205))</f>
      </c>
      <c r="H205" s="110"/>
      <c r="I205" s="111">
        <f>IFERROR(SUMPRODUCT($G205*VLOOKUP($C205,'Vehicle Master'!$D:$F,3,0)),"")</f>
      </c>
      <c r="J205" s="11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</row>
    <row x14ac:dyDescent="0.25" r="206" customHeight="1" ht="14.15">
      <c r="A206" s="112">
        <v>45808</v>
      </c>
      <c r="B206" s="112">
        <v>45808</v>
      </c>
      <c r="C206" s="107" t="s">
        <v>302</v>
      </c>
      <c r="D206" s="107" t="s">
        <v>44</v>
      </c>
      <c r="E206" s="108">
        <v>79527</v>
      </c>
      <c r="F206" s="108">
        <v>79814</v>
      </c>
      <c r="G206" s="109">
        <f>IF((F206-E206)&lt;0,0,(F206-E206))</f>
      </c>
      <c r="H206" s="110"/>
      <c r="I206" s="111">
        <f>IFERROR(SUMPRODUCT($G206*VLOOKUP($C206,'Vehicle Master'!$D:$F,3,0)),"")</f>
      </c>
      <c r="J206" s="11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</row>
    <row x14ac:dyDescent="0.25" r="207" customHeight="1" ht="14.15">
      <c r="A207" s="112">
        <v>45810</v>
      </c>
      <c r="B207" s="112">
        <v>45811</v>
      </c>
      <c r="C207" s="107" t="s">
        <v>303</v>
      </c>
      <c r="D207" s="107" t="s">
        <v>42</v>
      </c>
      <c r="E207" s="108">
        <v>101158</v>
      </c>
      <c r="F207" s="108">
        <v>101523</v>
      </c>
      <c r="G207" s="109">
        <f>IF((F207-E207)&lt;0,0,(F207-E207))</f>
      </c>
      <c r="H207" s="110"/>
      <c r="I207" s="111">
        <f>IFERROR(SUMPRODUCT($G207*VLOOKUP($C207,'Vehicle Master'!$D:$F,3,0)),"")</f>
      </c>
      <c r="J207" s="11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</row>
    <row x14ac:dyDescent="0.25" r="208" customHeight="1" ht="14.15">
      <c r="A208" s="112">
        <v>45810</v>
      </c>
      <c r="B208" s="112">
        <v>45810</v>
      </c>
      <c r="C208" s="107" t="s">
        <v>305</v>
      </c>
      <c r="D208" s="107" t="s">
        <v>43</v>
      </c>
      <c r="E208" s="108">
        <v>103294</v>
      </c>
      <c r="F208" s="108">
        <v>103376</v>
      </c>
      <c r="G208" s="109">
        <f>IF((F208-E208)&lt;0,0,(F208-E208))</f>
      </c>
      <c r="H208" s="110"/>
      <c r="I208" s="111">
        <f>IFERROR(SUMPRODUCT($G208*VLOOKUP($C208,'Vehicle Master'!$D:$F,3,0)),"")</f>
      </c>
      <c r="J208" s="11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</row>
    <row x14ac:dyDescent="0.25" r="209" customHeight="1" ht="14.15">
      <c r="A209" s="112">
        <v>45810</v>
      </c>
      <c r="B209" s="112">
        <v>45811</v>
      </c>
      <c r="C209" s="107" t="s">
        <v>302</v>
      </c>
      <c r="D209" s="107" t="s">
        <v>44</v>
      </c>
      <c r="E209" s="108">
        <v>79814</v>
      </c>
      <c r="F209" s="108">
        <v>80202</v>
      </c>
      <c r="G209" s="109">
        <f>IF((F209-E209)&lt;0,0,(F209-E209))</f>
      </c>
      <c r="H209" s="110"/>
      <c r="I209" s="111">
        <f>IFERROR(SUMPRODUCT($G209*VLOOKUP($C209,'Vehicle Master'!$D:$F,3,0)),"")</f>
      </c>
      <c r="J209" s="11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</row>
    <row x14ac:dyDescent="0.25" r="210" customHeight="1" ht="14.15">
      <c r="A210" s="112">
        <v>45810</v>
      </c>
      <c r="B210" s="112">
        <v>45812</v>
      </c>
      <c r="C210" s="107" t="s">
        <v>305</v>
      </c>
      <c r="D210" s="107" t="s">
        <v>43</v>
      </c>
      <c r="E210" s="108">
        <v>103376</v>
      </c>
      <c r="F210" s="108">
        <v>104596</v>
      </c>
      <c r="G210" s="109">
        <f>IF((F210-E210)&lt;0,0,(F210-E210))</f>
      </c>
      <c r="H210" s="110"/>
      <c r="I210" s="111">
        <f>IFERROR(SUMPRODUCT($G210*VLOOKUP($C210,'Vehicle Master'!$D:$F,3,0)),"")</f>
      </c>
      <c r="J210" s="11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</row>
    <row x14ac:dyDescent="0.25" r="211" customHeight="1" ht="14.15">
      <c r="A211" s="112">
        <v>45811</v>
      </c>
      <c r="B211" s="112">
        <v>45812</v>
      </c>
      <c r="C211" s="107" t="s">
        <v>304</v>
      </c>
      <c r="D211" s="107" t="s">
        <v>39</v>
      </c>
      <c r="E211" s="108">
        <v>113725</v>
      </c>
      <c r="F211" s="108">
        <v>114064</v>
      </c>
      <c r="G211" s="109">
        <f>IF((F211-E211)&lt;0,0,(F211-E211))</f>
      </c>
      <c r="H211" s="110"/>
      <c r="I211" s="111">
        <f>IFERROR(SUMPRODUCT($G211*VLOOKUP($C211,'Vehicle Master'!$D:$F,3,0)),"")</f>
      </c>
      <c r="J211" s="11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</row>
    <row x14ac:dyDescent="0.25" r="212" customHeight="1" ht="14.15">
      <c r="A212" s="112">
        <v>45811</v>
      </c>
      <c r="B212" s="112">
        <v>45812</v>
      </c>
      <c r="C212" s="107" t="s">
        <v>303</v>
      </c>
      <c r="D212" s="107" t="s">
        <v>42</v>
      </c>
      <c r="E212" s="108">
        <v>101523</v>
      </c>
      <c r="F212" s="108">
        <v>101767</v>
      </c>
      <c r="G212" s="109">
        <f>IF((F212-E212)&lt;0,0,(F212-E212))</f>
      </c>
      <c r="H212" s="110"/>
      <c r="I212" s="111">
        <f>IFERROR(SUMPRODUCT($G212*VLOOKUP($C212,'Vehicle Master'!$D:$F,3,0)),"")</f>
      </c>
      <c r="J212" s="11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</row>
    <row x14ac:dyDescent="0.25" r="213" customHeight="1" ht="14.15">
      <c r="A213" s="112">
        <v>45812</v>
      </c>
      <c r="B213" s="112">
        <v>45812</v>
      </c>
      <c r="C213" s="107" t="s">
        <v>302</v>
      </c>
      <c r="D213" s="107" t="s">
        <v>44</v>
      </c>
      <c r="E213" s="108">
        <v>80202</v>
      </c>
      <c r="F213" s="108">
        <v>80276</v>
      </c>
      <c r="G213" s="109">
        <f>IF((F213-E213)&lt;0,0,(F213-E213))</f>
      </c>
      <c r="H213" s="110"/>
      <c r="I213" s="111">
        <f>IFERROR(SUMPRODUCT($G213*VLOOKUP($C213,'Vehicle Master'!$D:$F,3,0)),"")</f>
      </c>
      <c r="J213" s="11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</row>
    <row x14ac:dyDescent="0.25" r="214" customHeight="1" ht="14.15">
      <c r="A214" s="112">
        <v>45812</v>
      </c>
      <c r="B214" s="112">
        <v>45813</v>
      </c>
      <c r="C214" s="107" t="s">
        <v>303</v>
      </c>
      <c r="D214" s="107" t="s">
        <v>42</v>
      </c>
      <c r="E214" s="108">
        <v>101767</v>
      </c>
      <c r="F214" s="108">
        <v>101963</v>
      </c>
      <c r="G214" s="109">
        <f>IF((F214-E214)&lt;0,0,(F214-E214))</f>
      </c>
      <c r="H214" s="110"/>
      <c r="I214" s="111">
        <f>IFERROR(SUMPRODUCT($G214*VLOOKUP($C214,'Vehicle Master'!$D:$F,3,0)),"")</f>
      </c>
      <c r="J214" s="11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</row>
    <row x14ac:dyDescent="0.25" r="215" customHeight="1" ht="14.15">
      <c r="A215" s="112">
        <v>45812</v>
      </c>
      <c r="B215" s="112">
        <v>45813</v>
      </c>
      <c r="C215" s="107" t="s">
        <v>304</v>
      </c>
      <c r="D215" s="107" t="s">
        <v>39</v>
      </c>
      <c r="E215" s="108">
        <v>114064</v>
      </c>
      <c r="F215" s="108">
        <v>114423</v>
      </c>
      <c r="G215" s="109">
        <f>IF((F215-E215)&lt;0,0,(F215-E215))</f>
      </c>
      <c r="H215" s="110"/>
      <c r="I215" s="111">
        <f>IFERROR(SUMPRODUCT($G215*VLOOKUP($C215,'Vehicle Master'!$D:$F,3,0)),"")</f>
      </c>
      <c r="J215" s="11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</row>
    <row x14ac:dyDescent="0.25" r="216" customHeight="1" ht="14.15">
      <c r="A216" s="112">
        <v>45813</v>
      </c>
      <c r="B216" s="112">
        <v>45814</v>
      </c>
      <c r="C216" s="107" t="s">
        <v>302</v>
      </c>
      <c r="D216" s="107" t="s">
        <v>44</v>
      </c>
      <c r="E216" s="108">
        <v>80276</v>
      </c>
      <c r="F216" s="108">
        <v>80629</v>
      </c>
      <c r="G216" s="109">
        <f>IF((F216-E216)&lt;0,0,(F216-E216))</f>
      </c>
      <c r="H216" s="110"/>
      <c r="I216" s="111">
        <f>IFERROR(SUMPRODUCT($G216*VLOOKUP($C216,'Vehicle Master'!$D:$F,3,0)),"")</f>
      </c>
      <c r="J216" s="11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</row>
    <row x14ac:dyDescent="0.25" r="217" customHeight="1" ht="14.15">
      <c r="A217" s="112">
        <v>45813</v>
      </c>
      <c r="B217" s="112">
        <v>45814</v>
      </c>
      <c r="C217" s="107" t="s">
        <v>305</v>
      </c>
      <c r="D217" s="107" t="s">
        <v>43</v>
      </c>
      <c r="E217" s="108">
        <v>104596</v>
      </c>
      <c r="F217" s="108">
        <v>104885</v>
      </c>
      <c r="G217" s="109">
        <f>IF((F217-E217)&lt;0,0,(F217-E217))</f>
      </c>
      <c r="H217" s="110"/>
      <c r="I217" s="111">
        <f>IFERROR(SUMPRODUCT($G217*VLOOKUP($C217,'Vehicle Master'!$D:$F,3,0)),"")</f>
      </c>
      <c r="J217" s="11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</row>
    <row x14ac:dyDescent="0.25" r="218" customHeight="1" ht="14.15">
      <c r="A218" s="112">
        <v>45814</v>
      </c>
      <c r="B218" s="112">
        <v>45816</v>
      </c>
      <c r="C218" s="107" t="s">
        <v>303</v>
      </c>
      <c r="D218" s="107" t="s">
        <v>42</v>
      </c>
      <c r="E218" s="108">
        <v>101963</v>
      </c>
      <c r="F218" s="108">
        <v>102572</v>
      </c>
      <c r="G218" s="109">
        <f>IF((F218-E218)&lt;0,0,(F218-E218))</f>
      </c>
      <c r="H218" s="110"/>
      <c r="I218" s="111">
        <f>IFERROR(SUMPRODUCT($G218*VLOOKUP($C218,'Vehicle Master'!$D:$F,3,0)),"")</f>
      </c>
      <c r="J218" s="11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</row>
    <row x14ac:dyDescent="0.25" r="219" customHeight="1" ht="14.15">
      <c r="A219" s="112">
        <v>45814</v>
      </c>
      <c r="B219" s="112">
        <v>45814</v>
      </c>
      <c r="C219" s="107" t="s">
        <v>302</v>
      </c>
      <c r="D219" s="107" t="s">
        <v>44</v>
      </c>
      <c r="E219" s="108">
        <v>80629</v>
      </c>
      <c r="F219" s="108">
        <v>80692</v>
      </c>
      <c r="G219" s="109">
        <f>IF((F219-E219)&lt;0,0,(F219-E219))</f>
      </c>
      <c r="H219" s="110"/>
      <c r="I219" s="111">
        <f>IFERROR(SUMPRODUCT($G219*VLOOKUP($C219,'Vehicle Master'!$D:$F,3,0)),"")</f>
      </c>
      <c r="J219" s="11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</row>
    <row x14ac:dyDescent="0.25" r="220" customHeight="1" ht="14.15">
      <c r="A220" s="112">
        <v>45814</v>
      </c>
      <c r="B220" s="112">
        <v>45814</v>
      </c>
      <c r="C220" s="107" t="s">
        <v>304</v>
      </c>
      <c r="D220" s="107" t="s">
        <v>39</v>
      </c>
      <c r="E220" s="108">
        <v>114423</v>
      </c>
      <c r="F220" s="108">
        <v>114485</v>
      </c>
      <c r="G220" s="109">
        <f>IF((F220-E220)&lt;0,0,(F220-E220))</f>
      </c>
      <c r="H220" s="110"/>
      <c r="I220" s="111">
        <f>IFERROR(SUMPRODUCT($G220*VLOOKUP($C220,'Vehicle Master'!$D:$F,3,0)),"")</f>
      </c>
      <c r="J220" s="11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</row>
    <row x14ac:dyDescent="0.25" r="221" customHeight="1" ht="14.15">
      <c r="A221" s="112">
        <v>45814</v>
      </c>
      <c r="B221" s="112">
        <v>45815</v>
      </c>
      <c r="C221" s="107" t="s">
        <v>304</v>
      </c>
      <c r="D221" s="107" t="s">
        <v>39</v>
      </c>
      <c r="E221" s="108">
        <v>114485</v>
      </c>
      <c r="F221" s="108">
        <v>114553</v>
      </c>
      <c r="G221" s="109">
        <f>IF((F221-E221)&lt;0,0,(F221-E221))</f>
      </c>
      <c r="H221" s="110"/>
      <c r="I221" s="111">
        <f>IFERROR(SUMPRODUCT($G221*VLOOKUP($C221,'Vehicle Master'!$D:$F,3,0)),"")</f>
      </c>
      <c r="J221" s="11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</row>
    <row x14ac:dyDescent="0.25" r="222" customHeight="1" ht="14.15">
      <c r="A222" s="112">
        <v>45815</v>
      </c>
      <c r="B222" s="112">
        <v>45815</v>
      </c>
      <c r="C222" s="107" t="s">
        <v>305</v>
      </c>
      <c r="D222" s="107" t="s">
        <v>43</v>
      </c>
      <c r="E222" s="108">
        <v>104885</v>
      </c>
      <c r="F222" s="108">
        <v>104921</v>
      </c>
      <c r="G222" s="109">
        <f>IF((F222-E222)&lt;0,0,(F222-E222))</f>
      </c>
      <c r="H222" s="110"/>
      <c r="I222" s="111">
        <f>IFERROR(SUMPRODUCT($G222*VLOOKUP($C222,'Vehicle Master'!$D:$F,3,0)),"")</f>
      </c>
      <c r="J222" s="11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</row>
    <row x14ac:dyDescent="0.25" r="223" customHeight="1" ht="14.15">
      <c r="A223" s="112">
        <v>45817</v>
      </c>
      <c r="B223" s="112">
        <v>45818</v>
      </c>
      <c r="C223" s="107" t="s">
        <v>302</v>
      </c>
      <c r="D223" s="107" t="s">
        <v>44</v>
      </c>
      <c r="E223" s="108">
        <v>80692</v>
      </c>
      <c r="F223" s="108">
        <v>81112</v>
      </c>
      <c r="G223" s="109">
        <f>IF((F223-E223)&lt;0,0,(F223-E223))</f>
      </c>
      <c r="H223" s="110"/>
      <c r="I223" s="111">
        <f>IFERROR(SUMPRODUCT($G223*VLOOKUP($C223,'Vehicle Master'!$D:$F,3,0)),"")</f>
      </c>
      <c r="J223" s="11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</row>
    <row x14ac:dyDescent="0.25" r="224" customHeight="1" ht="14.15">
      <c r="A224" s="112">
        <v>45817</v>
      </c>
      <c r="B224" s="112">
        <v>45817</v>
      </c>
      <c r="C224" s="107" t="s">
        <v>304</v>
      </c>
      <c r="D224" s="107" t="s">
        <v>39</v>
      </c>
      <c r="E224" s="108">
        <v>114553</v>
      </c>
      <c r="F224" s="108">
        <v>114627</v>
      </c>
      <c r="G224" s="109">
        <f>IF((F224-E224)&lt;0,0,(F224-E224))</f>
      </c>
      <c r="H224" s="110"/>
      <c r="I224" s="111">
        <f>IFERROR(SUMPRODUCT($G224*VLOOKUP($C224,'Vehicle Master'!$D:$F,3,0)),"")</f>
      </c>
      <c r="J224" s="11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</row>
    <row x14ac:dyDescent="0.25" r="225" customHeight="1" ht="14.15">
      <c r="A225" s="112">
        <v>45818</v>
      </c>
      <c r="B225" s="112">
        <v>45819</v>
      </c>
      <c r="C225" s="107" t="s">
        <v>305</v>
      </c>
      <c r="D225" s="107" t="s">
        <v>43</v>
      </c>
      <c r="E225" s="108">
        <v>104921</v>
      </c>
      <c r="F225" s="108">
        <v>105007</v>
      </c>
      <c r="G225" s="109">
        <f>IF((F225-E225)&lt;0,0,(F225-E225))</f>
      </c>
      <c r="H225" s="110"/>
      <c r="I225" s="111">
        <f>IFERROR(SUMPRODUCT($G225*VLOOKUP($C225,'Vehicle Master'!$D:$F,3,0)),"")</f>
      </c>
      <c r="J225" s="11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</row>
    <row x14ac:dyDescent="0.25" r="226" customHeight="1" ht="14.15">
      <c r="A226" s="112">
        <v>45819</v>
      </c>
      <c r="B226" s="112">
        <v>45819</v>
      </c>
      <c r="C226" s="107" t="s">
        <v>303</v>
      </c>
      <c r="D226" s="107" t="s">
        <v>42</v>
      </c>
      <c r="E226" s="108">
        <v>102572</v>
      </c>
      <c r="F226" s="108">
        <v>102932</v>
      </c>
      <c r="G226" s="109">
        <f>IF((F226-E226)&lt;0,0,(F226-E226))</f>
      </c>
      <c r="H226" s="110"/>
      <c r="I226" s="111">
        <f>IFERROR(SUMPRODUCT($G226*VLOOKUP($C226,'Vehicle Master'!$D:$F,3,0)),"")</f>
      </c>
      <c r="J226" s="11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</row>
    <row x14ac:dyDescent="0.25" r="227" customHeight="1" ht="14.15">
      <c r="A227" s="112">
        <v>45820</v>
      </c>
      <c r="B227" s="112">
        <v>45821</v>
      </c>
      <c r="C227" s="107" t="s">
        <v>304</v>
      </c>
      <c r="D227" s="107" t="s">
        <v>39</v>
      </c>
      <c r="E227" s="108">
        <v>114627</v>
      </c>
      <c r="F227" s="108">
        <v>114816</v>
      </c>
      <c r="G227" s="109">
        <f>IF((F227-E227)&lt;0,0,(F227-E227))</f>
      </c>
      <c r="H227" s="110"/>
      <c r="I227" s="111">
        <f>IFERROR(SUMPRODUCT($G227*VLOOKUP($C227,'Vehicle Master'!$D:$F,3,0)),"")</f>
      </c>
      <c r="J227" s="11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</row>
    <row x14ac:dyDescent="0.25" r="228" customHeight="1" ht="14.15">
      <c r="A228" s="112">
        <v>45820</v>
      </c>
      <c r="B228" s="112">
        <v>45821</v>
      </c>
      <c r="C228" s="107" t="s">
        <v>302</v>
      </c>
      <c r="D228" s="107" t="s">
        <v>44</v>
      </c>
      <c r="E228" s="108">
        <v>81112</v>
      </c>
      <c r="F228" s="108">
        <v>81183</v>
      </c>
      <c r="G228" s="109">
        <f>IF((F228-E228)&lt;0,0,(F228-E228))</f>
      </c>
      <c r="H228" s="110"/>
      <c r="I228" s="111">
        <f>IFERROR(SUMPRODUCT($G228*VLOOKUP($C228,'Vehicle Master'!$D:$F,3,0)),"")</f>
      </c>
      <c r="J228" s="11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</row>
    <row x14ac:dyDescent="0.25" r="229" customHeight="1" ht="14.15">
      <c r="A229" s="112">
        <v>45820</v>
      </c>
      <c r="B229" s="112">
        <v>45821</v>
      </c>
      <c r="C229" s="107" t="s">
        <v>305</v>
      </c>
      <c r="D229" s="107" t="s">
        <v>43</v>
      </c>
      <c r="E229" s="108">
        <v>105007</v>
      </c>
      <c r="F229" s="108">
        <v>105116</v>
      </c>
      <c r="G229" s="109">
        <f>IF((F229-E229)&lt;0,0,(F229-E229))</f>
      </c>
      <c r="H229" s="110"/>
      <c r="I229" s="111">
        <f>IFERROR(SUMPRODUCT($G229*VLOOKUP($C229,'Vehicle Master'!$D:$F,3,0)),"")</f>
      </c>
      <c r="J229" s="11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</row>
    <row x14ac:dyDescent="0.25" r="230" customHeight="1" ht="14.15">
      <c r="A230" s="112">
        <v>45821</v>
      </c>
      <c r="B230" s="112">
        <v>45824</v>
      </c>
      <c r="C230" s="107" t="s">
        <v>304</v>
      </c>
      <c r="D230" s="107" t="s">
        <v>39</v>
      </c>
      <c r="E230" s="108">
        <v>114816</v>
      </c>
      <c r="F230" s="108">
        <v>115560</v>
      </c>
      <c r="G230" s="109">
        <f>IF((F230-E230)&lt;0,0,(F230-E230))</f>
      </c>
      <c r="H230" s="110"/>
      <c r="I230" s="111">
        <f>IFERROR(SUMPRODUCT($G230*VLOOKUP($C230,'Vehicle Master'!$D:$F,3,0)),"")</f>
      </c>
      <c r="J230" s="11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</row>
    <row x14ac:dyDescent="0.25" r="231" customHeight="1" ht="14.15">
      <c r="A231" s="112">
        <v>45821</v>
      </c>
      <c r="B231" s="112">
        <v>45821</v>
      </c>
      <c r="C231" s="107" t="s">
        <v>303</v>
      </c>
      <c r="D231" s="107" t="s">
        <v>42</v>
      </c>
      <c r="E231" s="108">
        <v>102932</v>
      </c>
      <c r="F231" s="108">
        <v>103253</v>
      </c>
      <c r="G231" s="109">
        <f>IF((F231-E231)&lt;0,0,(F231-E231))</f>
      </c>
      <c r="H231" s="110"/>
      <c r="I231" s="111">
        <f>IFERROR(SUMPRODUCT($G231*VLOOKUP($C231,'Vehicle Master'!$D:$F,3,0)),"")</f>
      </c>
      <c r="J231" s="11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</row>
    <row x14ac:dyDescent="0.25" r="232" customHeight="1" ht="14.15">
      <c r="A232" s="112">
        <v>45821</v>
      </c>
      <c r="B232" s="112">
        <v>45821</v>
      </c>
      <c r="C232" s="107" t="s">
        <v>305</v>
      </c>
      <c r="D232" s="107" t="s">
        <v>43</v>
      </c>
      <c r="E232" s="108">
        <v>105116</v>
      </c>
      <c r="F232" s="108">
        <v>105246</v>
      </c>
      <c r="G232" s="109">
        <f>IF((F232-E232)&lt;0,0,(F232-E232))</f>
      </c>
      <c r="H232" s="110"/>
      <c r="I232" s="111">
        <f>IFERROR(SUMPRODUCT($G232*VLOOKUP($C232,'Vehicle Master'!$D:$F,3,0)),"")</f>
      </c>
      <c r="J232" s="11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</row>
    <row x14ac:dyDescent="0.25" r="233" customHeight="1" ht="14.15">
      <c r="A233" s="112">
        <v>45821</v>
      </c>
      <c r="B233" s="112">
        <v>45821</v>
      </c>
      <c r="C233" s="107" t="s">
        <v>302</v>
      </c>
      <c r="D233" s="107" t="s">
        <v>44</v>
      </c>
      <c r="E233" s="108">
        <v>81183</v>
      </c>
      <c r="F233" s="108">
        <v>81339</v>
      </c>
      <c r="G233" s="109">
        <f>IF((F233-E233)&lt;0,0,(F233-E233))</f>
      </c>
      <c r="H233" s="110"/>
      <c r="I233" s="111">
        <f>IFERROR(SUMPRODUCT($G233*VLOOKUP($C233,'Vehicle Master'!$D:$F,3,0)),"")</f>
      </c>
      <c r="J233" s="11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</row>
    <row x14ac:dyDescent="0.25" r="234" customHeight="1" ht="14.15">
      <c r="A234" s="112">
        <v>45822</v>
      </c>
      <c r="B234" s="112">
        <v>45824</v>
      </c>
      <c r="C234" s="107" t="s">
        <v>302</v>
      </c>
      <c r="D234" s="107" t="s">
        <v>44</v>
      </c>
      <c r="E234" s="108">
        <v>81339</v>
      </c>
      <c r="F234" s="108">
        <v>81786</v>
      </c>
      <c r="G234" s="109">
        <f>IF((F234-E234)&lt;0,0,(F234-E234))</f>
      </c>
      <c r="H234" s="110"/>
      <c r="I234" s="111">
        <f>IFERROR(SUMPRODUCT($G234*VLOOKUP($C234,'Vehicle Master'!$D:$F,3,0)),"")</f>
      </c>
      <c r="J234" s="11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</row>
    <row x14ac:dyDescent="0.25" r="235" customHeight="1" ht="14.15">
      <c r="A235" s="112">
        <v>45822</v>
      </c>
      <c r="B235" s="112">
        <v>45822</v>
      </c>
      <c r="C235" s="107" t="s">
        <v>305</v>
      </c>
      <c r="D235" s="107" t="s">
        <v>43</v>
      </c>
      <c r="E235" s="108">
        <v>105246</v>
      </c>
      <c r="F235" s="108">
        <v>105370</v>
      </c>
      <c r="G235" s="109">
        <f>IF((F235-E235)&lt;0,0,(F235-E235))</f>
      </c>
      <c r="H235" s="110"/>
      <c r="I235" s="111">
        <f>IFERROR(SUMPRODUCT($G235*VLOOKUP($C235,'Vehicle Master'!$D:$F,3,0)),"")</f>
      </c>
      <c r="J235" s="11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</row>
    <row x14ac:dyDescent="0.25" r="236" customHeight="1" ht="14.15">
      <c r="A236" s="112">
        <v>45822</v>
      </c>
      <c r="B236" s="112">
        <v>45822</v>
      </c>
      <c r="C236" s="107" t="s">
        <v>303</v>
      </c>
      <c r="D236" s="107" t="s">
        <v>42</v>
      </c>
      <c r="E236" s="108">
        <v>103253</v>
      </c>
      <c r="F236" s="108">
        <v>103392</v>
      </c>
      <c r="G236" s="109">
        <f>IF((F236-E236)&lt;0,0,(F236-E236))</f>
      </c>
      <c r="H236" s="110"/>
      <c r="I236" s="111">
        <f>IFERROR(SUMPRODUCT($G236*VLOOKUP($C236,'Vehicle Master'!$D:$F,3,0)),"")</f>
      </c>
      <c r="J236" s="11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</row>
    <row x14ac:dyDescent="0.25" r="237" customHeight="1" ht="14.15">
      <c r="A237" s="112">
        <v>45822</v>
      </c>
      <c r="B237" s="112">
        <v>45822</v>
      </c>
      <c r="C237" s="107" t="s">
        <v>305</v>
      </c>
      <c r="D237" s="107" t="s">
        <v>43</v>
      </c>
      <c r="E237" s="108">
        <v>105370</v>
      </c>
      <c r="F237" s="108">
        <v>105683</v>
      </c>
      <c r="G237" s="109">
        <f>IF((F237-E237)&lt;0,0,(F237-E237))</f>
      </c>
      <c r="H237" s="110"/>
      <c r="I237" s="111">
        <f>IFERROR(SUMPRODUCT($G237*VLOOKUP($C237,'Vehicle Master'!$D:$F,3,0)),"")</f>
      </c>
      <c r="J237" s="11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</row>
    <row x14ac:dyDescent="0.25" r="238" customHeight="1" ht="14.15">
      <c r="A238" s="112">
        <v>45824</v>
      </c>
      <c r="B238" s="112">
        <v>45824</v>
      </c>
      <c r="C238" s="107" t="s">
        <v>305</v>
      </c>
      <c r="D238" s="107" t="s">
        <v>43</v>
      </c>
      <c r="E238" s="108">
        <v>105683</v>
      </c>
      <c r="F238" s="108">
        <v>105760</v>
      </c>
      <c r="G238" s="109">
        <f>IF((F238-E238)&lt;0,0,(F238-E238))</f>
      </c>
      <c r="H238" s="110"/>
      <c r="I238" s="111">
        <f>IFERROR(SUMPRODUCT($G238*VLOOKUP($C238,'Vehicle Master'!$D:$F,3,0)),"")</f>
      </c>
      <c r="J238" s="11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</row>
    <row x14ac:dyDescent="0.25" r="239" customHeight="1" ht="14.15">
      <c r="A239" s="112">
        <v>45824</v>
      </c>
      <c r="B239" s="112">
        <v>45824</v>
      </c>
      <c r="C239" s="107" t="s">
        <v>303</v>
      </c>
      <c r="D239" s="107" t="s">
        <v>42</v>
      </c>
      <c r="E239" s="108">
        <v>103392</v>
      </c>
      <c r="F239" s="108">
        <v>103462</v>
      </c>
      <c r="G239" s="109">
        <f>IF((F239-E239)&lt;0,0,(F239-E239))</f>
      </c>
      <c r="H239" s="110"/>
      <c r="I239" s="111">
        <f>IFERROR(SUMPRODUCT($G239*VLOOKUP($C239,'Vehicle Master'!$D:$F,3,0)),"")</f>
      </c>
      <c r="J239" s="11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</row>
    <row x14ac:dyDescent="0.25" r="240" customHeight="1" ht="14.15">
      <c r="A240" s="112">
        <v>45824</v>
      </c>
      <c r="B240" s="112">
        <v>45824</v>
      </c>
      <c r="C240" s="107" t="s">
        <v>304</v>
      </c>
      <c r="D240" s="107" t="s">
        <v>39</v>
      </c>
      <c r="E240" s="108">
        <v>115560</v>
      </c>
      <c r="F240" s="108">
        <v>115709</v>
      </c>
      <c r="G240" s="109">
        <f>IF((F240-E240)&lt;0,0,(F240-E240))</f>
      </c>
      <c r="H240" s="110"/>
      <c r="I240" s="111">
        <f>IFERROR(SUMPRODUCT($G240*VLOOKUP($C240,'Vehicle Master'!$D:$F,3,0)),"")</f>
      </c>
      <c r="J240" s="11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</row>
    <row x14ac:dyDescent="0.25" r="241" customHeight="1" ht="14.15">
      <c r="A241" s="112">
        <v>45824</v>
      </c>
      <c r="B241" s="112">
        <v>45825</v>
      </c>
      <c r="C241" s="107" t="s">
        <v>302</v>
      </c>
      <c r="D241" s="107" t="s">
        <v>44</v>
      </c>
      <c r="E241" s="108">
        <v>81786</v>
      </c>
      <c r="F241" s="108">
        <v>81984</v>
      </c>
      <c r="G241" s="109">
        <f>IF((F241-E241)&lt;0,0,(F241-E241))</f>
      </c>
      <c r="H241" s="110"/>
      <c r="I241" s="111">
        <f>IFERROR(SUMPRODUCT($G241*VLOOKUP($C241,'Vehicle Master'!$D:$F,3,0)),"")</f>
      </c>
      <c r="J241" s="11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</row>
    <row x14ac:dyDescent="0.25" r="242" customHeight="1" ht="14.15">
      <c r="A242" s="112">
        <v>45825</v>
      </c>
      <c r="B242" s="112">
        <v>45825</v>
      </c>
      <c r="C242" s="107" t="s">
        <v>305</v>
      </c>
      <c r="D242" s="107" t="s">
        <v>43</v>
      </c>
      <c r="E242" s="108">
        <v>105760</v>
      </c>
      <c r="F242" s="108">
        <v>105839</v>
      </c>
      <c r="G242" s="109">
        <f>IF((F242-E242)&lt;0,0,(F242-E242))</f>
      </c>
      <c r="H242" s="110"/>
      <c r="I242" s="111">
        <f>IFERROR(SUMPRODUCT($G242*VLOOKUP($C242,'Vehicle Master'!$D:$F,3,0)),"")</f>
      </c>
      <c r="J242" s="11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</row>
    <row x14ac:dyDescent="0.25" r="243" customHeight="1" ht="14.15">
      <c r="A243" s="112">
        <v>45825</v>
      </c>
      <c r="B243" s="112">
        <v>45826</v>
      </c>
      <c r="C243" s="107" t="s">
        <v>303</v>
      </c>
      <c r="D243" s="107" t="s">
        <v>42</v>
      </c>
      <c r="E243" s="108">
        <v>103462</v>
      </c>
      <c r="F243" s="108">
        <v>103642</v>
      </c>
      <c r="G243" s="109">
        <f>IF((F243-E243)&lt;0,0,(F243-E243))</f>
      </c>
      <c r="H243" s="110"/>
      <c r="I243" s="111">
        <f>IFERROR(SUMPRODUCT($G243*VLOOKUP($C243,'Vehicle Master'!$D:$F,3,0)),"")</f>
      </c>
      <c r="J243" s="11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</row>
    <row x14ac:dyDescent="0.25" r="244" customHeight="1" ht="14.15">
      <c r="A244" s="112">
        <v>45825</v>
      </c>
      <c r="B244" s="112">
        <v>45825</v>
      </c>
      <c r="C244" s="107" t="s">
        <v>304</v>
      </c>
      <c r="D244" s="107" t="s">
        <v>39</v>
      </c>
      <c r="E244" s="108">
        <v>115709</v>
      </c>
      <c r="F244" s="108">
        <v>116056</v>
      </c>
      <c r="G244" s="109">
        <f>IF((F244-E244)&lt;0,0,(F244-E244))</f>
      </c>
      <c r="H244" s="110"/>
      <c r="I244" s="111">
        <f>IFERROR(SUMPRODUCT($G244*VLOOKUP($C244,'Vehicle Master'!$D:$F,3,0)),"")</f>
      </c>
      <c r="J244" s="11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</row>
    <row x14ac:dyDescent="0.25" r="245" customHeight="1" ht="14.15">
      <c r="A245" s="112">
        <v>45825</v>
      </c>
      <c r="B245" s="112">
        <v>45826</v>
      </c>
      <c r="C245" s="107" t="s">
        <v>302</v>
      </c>
      <c r="D245" s="107" t="s">
        <v>44</v>
      </c>
      <c r="E245" s="108">
        <v>81984</v>
      </c>
      <c r="F245" s="108">
        <v>82392</v>
      </c>
      <c r="G245" s="109">
        <f>IF((F245-E245)&lt;0,0,(F245-E245))</f>
      </c>
      <c r="H245" s="110"/>
      <c r="I245" s="111">
        <f>IFERROR(SUMPRODUCT($G245*VLOOKUP($C245,'Vehicle Master'!$D:$F,3,0)),"")</f>
      </c>
      <c r="J245" s="11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</row>
    <row x14ac:dyDescent="0.25" r="246" customHeight="1" ht="14.15">
      <c r="A246" s="112">
        <v>45826</v>
      </c>
      <c r="B246" s="112">
        <v>45826</v>
      </c>
      <c r="C246" s="107" t="s">
        <v>305</v>
      </c>
      <c r="D246" s="107" t="s">
        <v>43</v>
      </c>
      <c r="E246" s="108">
        <v>105839</v>
      </c>
      <c r="F246" s="108">
        <v>105915</v>
      </c>
      <c r="G246" s="109">
        <f>IF((F246-E246)&lt;0,0,(F246-E246))</f>
      </c>
      <c r="H246" s="110"/>
      <c r="I246" s="111">
        <f>IFERROR(SUMPRODUCT($G246*VLOOKUP($C246,'Vehicle Master'!$D:$F,3,0)),"")</f>
      </c>
      <c r="J246" s="11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</row>
    <row x14ac:dyDescent="0.25" r="247" customHeight="1" ht="14.15">
      <c r="A247" s="112">
        <v>45826</v>
      </c>
      <c r="B247" s="112">
        <v>45826</v>
      </c>
      <c r="C247" s="107" t="s">
        <v>304</v>
      </c>
      <c r="D247" s="107" t="s">
        <v>39</v>
      </c>
      <c r="E247" s="108">
        <v>116056</v>
      </c>
      <c r="F247" s="108">
        <v>116186</v>
      </c>
      <c r="G247" s="109">
        <f>IF((F247-E247)&lt;0,0,(F247-E247))</f>
      </c>
      <c r="H247" s="110"/>
      <c r="I247" s="111">
        <f>IFERROR(SUMPRODUCT($G247*VLOOKUP($C247,'Vehicle Master'!$D:$F,3,0)),"")</f>
      </c>
      <c r="J247" s="11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</row>
    <row x14ac:dyDescent="0.25" r="248" customHeight="1" ht="14.15">
      <c r="A248" s="112">
        <v>45826</v>
      </c>
      <c r="B248" s="112">
        <v>45827</v>
      </c>
      <c r="C248" s="107" t="s">
        <v>303</v>
      </c>
      <c r="D248" s="107" t="s">
        <v>42</v>
      </c>
      <c r="E248" s="108">
        <v>103642</v>
      </c>
      <c r="F248" s="108">
        <v>103732</v>
      </c>
      <c r="G248" s="109">
        <f>IF((F248-E248)&lt;0,0,(F248-E248))</f>
      </c>
      <c r="H248" s="110"/>
      <c r="I248" s="111">
        <f>IFERROR(SUMPRODUCT($G248*VLOOKUP($C248,'Vehicle Master'!$D:$F,3,0)),"")</f>
      </c>
      <c r="J248" s="11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</row>
    <row x14ac:dyDescent="0.25" r="249" customHeight="1" ht="14.15">
      <c r="A249" s="112">
        <v>45827</v>
      </c>
      <c r="B249" s="112">
        <v>45828</v>
      </c>
      <c r="C249" s="107" t="s">
        <v>304</v>
      </c>
      <c r="D249" s="107" t="s">
        <v>39</v>
      </c>
      <c r="E249" s="108">
        <v>116186</v>
      </c>
      <c r="F249" s="108">
        <v>116252</v>
      </c>
      <c r="G249" s="109">
        <f>IF((F249-E249)&lt;0,0,(F249-E249))</f>
      </c>
      <c r="H249" s="110"/>
      <c r="I249" s="111">
        <f>IFERROR(SUMPRODUCT($G249*VLOOKUP($C249,'Vehicle Master'!$D:$F,3,0)),"")</f>
      </c>
      <c r="J249" s="11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</row>
    <row x14ac:dyDescent="0.25" r="250" customHeight="1" ht="14.15">
      <c r="A250" s="112">
        <v>45827</v>
      </c>
      <c r="B250" s="112">
        <v>45827</v>
      </c>
      <c r="C250" s="107" t="s">
        <v>305</v>
      </c>
      <c r="D250" s="107" t="s">
        <v>43</v>
      </c>
      <c r="E250" s="108">
        <v>105915</v>
      </c>
      <c r="F250" s="108">
        <v>105946</v>
      </c>
      <c r="G250" s="109">
        <f>IF((F250-E250)&lt;0,0,(F250-E250))</f>
      </c>
      <c r="H250" s="110"/>
      <c r="I250" s="111">
        <f>IFERROR(SUMPRODUCT($G250*VLOOKUP($C250,'Vehicle Master'!$D:$F,3,0)),"")</f>
      </c>
      <c r="J250" s="11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</row>
    <row x14ac:dyDescent="0.25" r="251" customHeight="1" ht="14.15">
      <c r="A251" s="112">
        <v>45827</v>
      </c>
      <c r="B251" s="112">
        <v>45828</v>
      </c>
      <c r="C251" s="107" t="s">
        <v>302</v>
      </c>
      <c r="D251" s="107" t="s">
        <v>44</v>
      </c>
      <c r="E251" s="108">
        <v>82392</v>
      </c>
      <c r="F251" s="108">
        <v>82803</v>
      </c>
      <c r="G251" s="109">
        <f>IF((F251-E251)&lt;0,0,(F251-E251))</f>
      </c>
      <c r="H251" s="110"/>
      <c r="I251" s="111">
        <f>IFERROR(SUMPRODUCT($G251*VLOOKUP($C251,'Vehicle Master'!$D:$F,3,0)),"")</f>
      </c>
      <c r="J251" s="11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</row>
    <row x14ac:dyDescent="0.25" r="252" customHeight="1" ht="14.15">
      <c r="A252" s="112">
        <v>45827</v>
      </c>
      <c r="B252" s="112">
        <v>45828</v>
      </c>
      <c r="C252" s="107" t="s">
        <v>303</v>
      </c>
      <c r="D252" s="107" t="s">
        <v>42</v>
      </c>
      <c r="E252" s="108">
        <v>103732</v>
      </c>
      <c r="F252" s="108">
        <v>104161</v>
      </c>
      <c r="G252" s="109">
        <f>IF((F252-E252)&lt;0,0,(F252-E252))</f>
      </c>
      <c r="H252" s="110"/>
      <c r="I252" s="111">
        <f>IFERROR(SUMPRODUCT($G252*VLOOKUP($C252,'Vehicle Master'!$D:$F,3,0)),"")</f>
      </c>
      <c r="J252" s="11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</row>
    <row x14ac:dyDescent="0.25" r="253" customHeight="1" ht="14.15">
      <c r="A253" s="112">
        <v>45828</v>
      </c>
      <c r="B253" s="112">
        <v>45828</v>
      </c>
      <c r="C253" s="107" t="s">
        <v>305</v>
      </c>
      <c r="D253" s="107" t="s">
        <v>43</v>
      </c>
      <c r="E253" s="108">
        <v>105946</v>
      </c>
      <c r="F253" s="108">
        <v>106197</v>
      </c>
      <c r="G253" s="109">
        <f>IF((F253-E253)&lt;0,0,(F253-E253))</f>
      </c>
      <c r="H253" s="110"/>
      <c r="I253" s="111">
        <f>IFERROR(SUMPRODUCT($G253*VLOOKUP($C253,'Vehicle Master'!$D:$F,3,0)),"")</f>
      </c>
      <c r="J253" s="11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</row>
    <row x14ac:dyDescent="0.25" r="254" customHeight="1" ht="14.15">
      <c r="A254" s="112">
        <v>45828</v>
      </c>
      <c r="B254" s="112">
        <v>45829</v>
      </c>
      <c r="C254" s="107" t="s">
        <v>304</v>
      </c>
      <c r="D254" s="107" t="s">
        <v>39</v>
      </c>
      <c r="E254" s="108">
        <v>116252</v>
      </c>
      <c r="F254" s="108">
        <v>116720</v>
      </c>
      <c r="G254" s="109">
        <f>IF((F254-E254)&lt;0,0,(F254-E254))</f>
      </c>
      <c r="H254" s="110"/>
      <c r="I254" s="111">
        <f>IFERROR(SUMPRODUCT($G254*VLOOKUP($C254,'Vehicle Master'!$D:$F,3,0)),"")</f>
      </c>
      <c r="J254" s="11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</row>
    <row x14ac:dyDescent="0.25" r="255" customHeight="1" ht="14.15">
      <c r="A255" s="112">
        <v>45829</v>
      </c>
      <c r="B255" s="112">
        <v>45829</v>
      </c>
      <c r="C255" s="107" t="s">
        <v>302</v>
      </c>
      <c r="D255" s="107" t="s">
        <v>44</v>
      </c>
      <c r="E255" s="108">
        <v>82803</v>
      </c>
      <c r="F255" s="108">
        <v>82877</v>
      </c>
      <c r="G255" s="109">
        <f>IF((F255-E255)&lt;0,0,(F255-E255))</f>
      </c>
      <c r="H255" s="110"/>
      <c r="I255" s="111">
        <f>IFERROR(SUMPRODUCT($G255*VLOOKUP($C255,'Vehicle Master'!$D:$F,3,0)),"")</f>
      </c>
      <c r="J255" s="11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</row>
    <row x14ac:dyDescent="0.25" r="256" customHeight="1" ht="14.15">
      <c r="A256" s="112">
        <v>45831</v>
      </c>
      <c r="B256" s="112">
        <v>45832</v>
      </c>
      <c r="C256" s="107" t="s">
        <v>303</v>
      </c>
      <c r="D256" s="107" t="s">
        <v>42</v>
      </c>
      <c r="E256" s="108">
        <v>104161</v>
      </c>
      <c r="F256" s="108">
        <v>104625</v>
      </c>
      <c r="G256" s="109">
        <f>IF((F256-E256)&lt;0,0,(F256-E256))</f>
      </c>
      <c r="H256" s="110"/>
      <c r="I256" s="111">
        <f>IFERROR(SUMPRODUCT($G256*VLOOKUP($C256,'Vehicle Master'!$D:$F,3,0)),"")</f>
      </c>
      <c r="J256" s="11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</row>
    <row x14ac:dyDescent="0.25" r="257" customHeight="1" ht="14.15">
      <c r="A257" s="112">
        <v>45831</v>
      </c>
      <c r="B257" s="112">
        <v>45832</v>
      </c>
      <c r="C257" s="107" t="s">
        <v>304</v>
      </c>
      <c r="D257" s="107" t="s">
        <v>39</v>
      </c>
      <c r="E257" s="108">
        <v>116720</v>
      </c>
      <c r="F257" s="108">
        <v>117096</v>
      </c>
      <c r="G257" s="109">
        <f>IF((F257-E257)&lt;0,0,(F257-E257))</f>
      </c>
      <c r="H257" s="110"/>
      <c r="I257" s="111">
        <f>IFERROR(SUMPRODUCT($G257*VLOOKUP($C257,'Vehicle Master'!$D:$F,3,0)),"")</f>
      </c>
      <c r="J257" s="11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</row>
    <row x14ac:dyDescent="0.25" r="258" customHeight="1" ht="14.15">
      <c r="A258" s="112">
        <v>45831</v>
      </c>
      <c r="B258" s="112">
        <v>45832</v>
      </c>
      <c r="C258" s="107" t="s">
        <v>302</v>
      </c>
      <c r="D258" s="107" t="s">
        <v>44</v>
      </c>
      <c r="E258" s="108">
        <v>82877</v>
      </c>
      <c r="F258" s="108">
        <v>83124</v>
      </c>
      <c r="G258" s="109">
        <f>IF((F258-E258)&lt;0,0,(F258-E258))</f>
      </c>
      <c r="H258" s="110"/>
      <c r="I258" s="111">
        <f>IFERROR(SUMPRODUCT($G258*VLOOKUP($C258,'Vehicle Master'!$D:$F,3,0)),"")</f>
      </c>
      <c r="J258" s="11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</row>
    <row x14ac:dyDescent="0.25" r="259" customHeight="1" ht="14.15">
      <c r="A259" s="112">
        <v>45832</v>
      </c>
      <c r="B259" s="112">
        <v>45833</v>
      </c>
      <c r="C259" s="107" t="s">
        <v>305</v>
      </c>
      <c r="D259" s="107" t="s">
        <v>43</v>
      </c>
      <c r="E259" s="108">
        <v>106197</v>
      </c>
      <c r="F259" s="108">
        <v>106848</v>
      </c>
      <c r="G259" s="109">
        <f>IF((F259-E259)&lt;0,0,(F259-E259))</f>
      </c>
      <c r="H259" s="110"/>
      <c r="I259" s="111">
        <f>IFERROR(SUMPRODUCT($G259*VLOOKUP($C259,'Vehicle Master'!$D:$F,3,0)),"")</f>
      </c>
      <c r="J259" s="11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</row>
    <row x14ac:dyDescent="0.25" r="260" customHeight="1" ht="14.15">
      <c r="A260" s="112">
        <v>45832</v>
      </c>
      <c r="B260" s="112">
        <v>45833</v>
      </c>
      <c r="C260" s="107" t="s">
        <v>302</v>
      </c>
      <c r="D260" s="107" t="s">
        <v>44</v>
      </c>
      <c r="E260" s="108">
        <v>83124</v>
      </c>
      <c r="F260" s="108">
        <v>83769</v>
      </c>
      <c r="G260" s="109">
        <f>IF((F260-E260)&lt;0,0,(F260-E260))</f>
      </c>
      <c r="H260" s="110"/>
      <c r="I260" s="111">
        <f>IFERROR(SUMPRODUCT($G260*VLOOKUP($C260,'Vehicle Master'!$D:$F,3,0)),"")</f>
      </c>
      <c r="J260" s="11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</row>
    <row x14ac:dyDescent="0.25" r="261" customHeight="1" ht="14.15">
      <c r="A261" s="112">
        <v>45833</v>
      </c>
      <c r="B261" s="112">
        <v>45833</v>
      </c>
      <c r="C261" s="107" t="s">
        <v>303</v>
      </c>
      <c r="D261" s="107" t="s">
        <v>42</v>
      </c>
      <c r="E261" s="108">
        <v>104625</v>
      </c>
      <c r="F261" s="108">
        <v>104733</v>
      </c>
      <c r="G261" s="109">
        <f>IF((F261-E261)&lt;0,0,(F261-E261))</f>
      </c>
      <c r="H261" s="110"/>
      <c r="I261" s="111">
        <f>IFERROR(SUMPRODUCT($G261*VLOOKUP($C261,'Vehicle Master'!$D:$F,3,0)),"")</f>
      </c>
      <c r="J261" s="11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</row>
    <row x14ac:dyDescent="0.25" r="262" customHeight="1" ht="14.15">
      <c r="A262" s="112">
        <v>45833</v>
      </c>
      <c r="B262" s="112">
        <v>45833</v>
      </c>
      <c r="C262" s="107" t="s">
        <v>304</v>
      </c>
      <c r="D262" s="107" t="s">
        <v>39</v>
      </c>
      <c r="E262" s="108">
        <v>117096</v>
      </c>
      <c r="F262" s="108">
        <v>117245</v>
      </c>
      <c r="G262" s="109">
        <f>IF((F262-E262)&lt;0,0,(F262-E262))</f>
      </c>
      <c r="H262" s="110"/>
      <c r="I262" s="111">
        <f>IFERROR(SUMPRODUCT($G262*VLOOKUP($C262,'Vehicle Master'!$D:$F,3,0)),"")</f>
      </c>
      <c r="J262" s="11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</row>
    <row x14ac:dyDescent="0.25" r="263" customHeight="1" ht="14.15">
      <c r="A263" s="112">
        <v>45834</v>
      </c>
      <c r="B263" s="112">
        <v>45834</v>
      </c>
      <c r="C263" s="107" t="s">
        <v>303</v>
      </c>
      <c r="D263" s="107" t="s">
        <v>42</v>
      </c>
      <c r="E263" s="108">
        <v>104733</v>
      </c>
      <c r="F263" s="108">
        <v>104985</v>
      </c>
      <c r="G263" s="109">
        <f>IF((F263-E263)&lt;0,0,(F263-E263))</f>
      </c>
      <c r="H263" s="110"/>
      <c r="I263" s="111">
        <f>IFERROR(SUMPRODUCT($G263*VLOOKUP($C263,'Vehicle Master'!$D:$F,3,0)),"")</f>
      </c>
      <c r="J263" s="11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</row>
    <row x14ac:dyDescent="0.25" r="264" customHeight="1" ht="14.15">
      <c r="A264" s="112">
        <v>45834</v>
      </c>
      <c r="B264" s="112">
        <v>45834</v>
      </c>
      <c r="C264" s="107" t="s">
        <v>304</v>
      </c>
      <c r="D264" s="107" t="s">
        <v>39</v>
      </c>
      <c r="E264" s="108">
        <v>117245</v>
      </c>
      <c r="F264" s="108">
        <v>117435</v>
      </c>
      <c r="G264" s="109">
        <f>IF((F264-E264)&lt;0,0,(F264-E264))</f>
      </c>
      <c r="H264" s="110"/>
      <c r="I264" s="111">
        <f>IFERROR(SUMPRODUCT($G264*VLOOKUP($C264,'Vehicle Master'!$D:$F,3,0)),"")</f>
      </c>
      <c r="J264" s="11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</row>
    <row x14ac:dyDescent="0.25" r="265" customHeight="1" ht="14.15">
      <c r="A265" s="112">
        <v>45835</v>
      </c>
      <c r="B265" s="112">
        <v>45836</v>
      </c>
      <c r="C265" s="107" t="s">
        <v>305</v>
      </c>
      <c r="D265" s="107" t="s">
        <v>43</v>
      </c>
      <c r="E265" s="108">
        <v>106848</v>
      </c>
      <c r="F265" s="108">
        <v>107079</v>
      </c>
      <c r="G265" s="109">
        <f>IF((F265-E265)&lt;0,0,(F265-E265))</f>
      </c>
      <c r="H265" s="110"/>
      <c r="I265" s="111">
        <f>IFERROR(SUMPRODUCT($G265*VLOOKUP($C265,'Vehicle Master'!$D:$F,3,0)),"")</f>
      </c>
      <c r="J265" s="11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</row>
    <row x14ac:dyDescent="0.25" r="266" customHeight="1" ht="14.15">
      <c r="A266" s="112">
        <v>45835</v>
      </c>
      <c r="B266" s="112">
        <v>45836</v>
      </c>
      <c r="C266" s="107" t="s">
        <v>302</v>
      </c>
      <c r="D266" s="107" t="s">
        <v>44</v>
      </c>
      <c r="E266" s="108">
        <v>83769</v>
      </c>
      <c r="F266" s="108">
        <v>84185</v>
      </c>
      <c r="G266" s="109">
        <f>IF((F266-E266)&lt;0,0,(F266-E266))</f>
      </c>
      <c r="H266" s="110"/>
      <c r="I266" s="111">
        <f>IFERROR(SUMPRODUCT($G266*VLOOKUP($C266,'Vehicle Master'!$D:$F,3,0)),"")</f>
      </c>
      <c r="J266" s="11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</row>
    <row x14ac:dyDescent="0.25" r="267" customHeight="1" ht="14.15">
      <c r="A267" s="112">
        <v>45836</v>
      </c>
      <c r="B267" s="112">
        <v>45837</v>
      </c>
      <c r="C267" s="107" t="s">
        <v>304</v>
      </c>
      <c r="D267" s="107" t="s">
        <v>39</v>
      </c>
      <c r="E267" s="108">
        <v>117435</v>
      </c>
      <c r="F267" s="108">
        <v>117846</v>
      </c>
      <c r="G267" s="109">
        <f>IF((F267-E267)&lt;0,0,(F267-E267))</f>
      </c>
      <c r="H267" s="110"/>
      <c r="I267" s="111">
        <f>IFERROR(SUMPRODUCT($G267*VLOOKUP($C267,'Vehicle Master'!$D:$F,3,0)),"")</f>
      </c>
      <c r="J267" s="11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</row>
    <row x14ac:dyDescent="0.25" r="268" customHeight="1" ht="14.15">
      <c r="A268" s="112">
        <v>45836</v>
      </c>
      <c r="B268" s="112">
        <v>45837</v>
      </c>
      <c r="C268" s="107" t="s">
        <v>303</v>
      </c>
      <c r="D268" s="107" t="s">
        <v>42</v>
      </c>
      <c r="E268" s="108">
        <v>104985</v>
      </c>
      <c r="F268" s="108">
        <v>105562</v>
      </c>
      <c r="G268" s="109">
        <f>IF((F268-E268)&lt;0,0,(F268-E268))</f>
      </c>
      <c r="H268" s="110"/>
      <c r="I268" s="111">
        <f>IFERROR(SUMPRODUCT($G268*VLOOKUP($C268,'Vehicle Master'!$D:$F,3,0)),"")</f>
      </c>
      <c r="J268" s="11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</row>
    <row x14ac:dyDescent="0.25" r="269" customHeight="1" ht="14.15">
      <c r="A269" s="112">
        <v>45836</v>
      </c>
      <c r="B269" s="112">
        <v>45837</v>
      </c>
      <c r="C269" s="107" t="s">
        <v>305</v>
      </c>
      <c r="D269" s="107" t="s">
        <v>43</v>
      </c>
      <c r="E269" s="108">
        <v>107079</v>
      </c>
      <c r="F269" s="108">
        <v>107163</v>
      </c>
      <c r="G269" s="109">
        <f>IF((F269-E269)&lt;0,0,(F269-E269))</f>
      </c>
      <c r="H269" s="110"/>
      <c r="I269" s="111">
        <f>IFERROR(SUMPRODUCT($G269*VLOOKUP($C269,'Vehicle Master'!$D:$F,3,0)),"")</f>
      </c>
      <c r="J269" s="11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</row>
    <row x14ac:dyDescent="0.25" r="270" customHeight="1" ht="14.15">
      <c r="A270" s="112">
        <v>45837</v>
      </c>
      <c r="B270" s="112">
        <v>45837</v>
      </c>
      <c r="C270" s="107" t="s">
        <v>302</v>
      </c>
      <c r="D270" s="107" t="s">
        <v>44</v>
      </c>
      <c r="E270" s="108">
        <v>84185</v>
      </c>
      <c r="F270" s="108">
        <v>84329</v>
      </c>
      <c r="G270" s="109">
        <f>IF((F270-E270)&lt;0,0,(F270-E270))</f>
      </c>
      <c r="H270" s="110"/>
      <c r="I270" s="111">
        <f>IFERROR(SUMPRODUCT($G270*VLOOKUP($C270,'Vehicle Master'!$D:$F,3,0)),"")</f>
      </c>
      <c r="J270" s="11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</row>
    <row x14ac:dyDescent="0.25" r="271" customHeight="1" ht="14.15">
      <c r="A271" s="112">
        <v>45837</v>
      </c>
      <c r="B271" s="112">
        <v>45838</v>
      </c>
      <c r="C271" s="107" t="s">
        <v>304</v>
      </c>
      <c r="D271" s="107" t="s">
        <v>39</v>
      </c>
      <c r="E271" s="108">
        <v>117846</v>
      </c>
      <c r="F271" s="108">
        <v>118221</v>
      </c>
      <c r="G271" s="109">
        <f>IF((F271-E271)&lt;0,0,(F271-E271))</f>
      </c>
      <c r="H271" s="110"/>
      <c r="I271" s="111">
        <f>IFERROR(SUMPRODUCT($G271*VLOOKUP($C271,'Vehicle Master'!$D:$F,3,0)),"")</f>
      </c>
      <c r="J271" s="11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</row>
    <row x14ac:dyDescent="0.25" r="272" customHeight="1" ht="14.15">
      <c r="A272" s="112">
        <v>45837</v>
      </c>
      <c r="B272" s="112">
        <v>45838</v>
      </c>
      <c r="C272" s="107" t="s">
        <v>305</v>
      </c>
      <c r="D272" s="107" t="s">
        <v>43</v>
      </c>
      <c r="E272" s="108">
        <v>107163</v>
      </c>
      <c r="F272" s="108">
        <v>107315</v>
      </c>
      <c r="G272" s="109">
        <f>IF((F272-E272)&lt;0,0,(F272-E272))</f>
      </c>
      <c r="H272" s="110"/>
      <c r="I272" s="111">
        <f>IFERROR(SUMPRODUCT($G272*VLOOKUP($C272,'Vehicle Master'!$D:$F,3,0)),"")</f>
      </c>
      <c r="J272" s="11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</row>
    <row x14ac:dyDescent="0.25" r="273" customHeight="1" ht="14.15">
      <c r="A273" s="112">
        <v>45838</v>
      </c>
      <c r="B273" s="112">
        <v>45839</v>
      </c>
      <c r="C273" s="107" t="s">
        <v>302</v>
      </c>
      <c r="D273" s="107" t="s">
        <v>44</v>
      </c>
      <c r="E273" s="108">
        <v>84329</v>
      </c>
      <c r="F273" s="108">
        <v>84616</v>
      </c>
      <c r="G273" s="109">
        <f>IF((F273-E273)&lt;0,0,(F273-E273))</f>
      </c>
      <c r="H273" s="110"/>
      <c r="I273" s="111">
        <f>IFERROR(SUMPRODUCT($G273*VLOOKUP($C273,'Vehicle Master'!$D:$F,3,0)),"")</f>
      </c>
      <c r="J273" s="11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</row>
    <row x14ac:dyDescent="0.25" r="274" customHeight="1" ht="14.15">
      <c r="A274" s="112">
        <v>45838</v>
      </c>
      <c r="B274" s="112">
        <v>45839</v>
      </c>
      <c r="C274" s="107" t="s">
        <v>303</v>
      </c>
      <c r="D274" s="107" t="s">
        <v>42</v>
      </c>
      <c r="E274" s="108">
        <v>105562</v>
      </c>
      <c r="F274" s="108">
        <v>106151</v>
      </c>
      <c r="G274" s="109">
        <f>IF((F274-E274)&lt;0,0,(F274-E274))</f>
      </c>
      <c r="H274" s="110"/>
      <c r="I274" s="111">
        <f>IFERROR(SUMPRODUCT($G274*VLOOKUP($C274,'Vehicle Master'!$D:$F,3,0)),"")</f>
      </c>
      <c r="J274" s="11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</row>
    <row x14ac:dyDescent="0.25" r="275" customHeight="1" ht="14.15">
      <c r="A275" s="112">
        <v>45839</v>
      </c>
      <c r="B275" s="112">
        <v>45839</v>
      </c>
      <c r="C275" s="107" t="s">
        <v>305</v>
      </c>
      <c r="D275" s="107" t="s">
        <v>43</v>
      </c>
      <c r="E275" s="108">
        <v>107315</v>
      </c>
      <c r="F275" s="108">
        <v>107445</v>
      </c>
      <c r="G275" s="109">
        <f>IF((F275-E275)&lt;0,0,(F275-E275))</f>
      </c>
      <c r="H275" s="110"/>
      <c r="I275" s="111">
        <f>IFERROR(SUMPRODUCT($G275*VLOOKUP($C275,'Vehicle Master'!$D:$F,3,0)),"")</f>
      </c>
      <c r="J275" s="11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</row>
    <row x14ac:dyDescent="0.25" r="276" customHeight="1" ht="14.15">
      <c r="A276" s="112">
        <v>45839</v>
      </c>
      <c r="B276" s="112">
        <v>45839</v>
      </c>
      <c r="C276" s="107" t="s">
        <v>304</v>
      </c>
      <c r="D276" s="107" t="s">
        <v>39</v>
      </c>
      <c r="E276" s="108">
        <v>118221</v>
      </c>
      <c r="F276" s="108">
        <v>118450</v>
      </c>
      <c r="G276" s="109">
        <f>IF((F276-E276)&lt;0,0,(F276-E276))</f>
      </c>
      <c r="H276" s="110"/>
      <c r="I276" s="111">
        <f>IFERROR(SUMPRODUCT($G276*VLOOKUP($C276,'Vehicle Master'!$D:$F,3,0)),"")</f>
      </c>
      <c r="J276" s="11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</row>
    <row x14ac:dyDescent="0.25" r="277" customHeight="1" ht="14.15">
      <c r="A277" s="112">
        <v>45841</v>
      </c>
      <c r="B277" s="112">
        <v>45841</v>
      </c>
      <c r="C277" s="107" t="s">
        <v>304</v>
      </c>
      <c r="D277" s="107" t="s">
        <v>39</v>
      </c>
      <c r="E277" s="108">
        <v>118450</v>
      </c>
      <c r="F277" s="108">
        <v>118590</v>
      </c>
      <c r="G277" s="109">
        <f>IF((F277-E277)&lt;0,0,(F277-E277))</f>
      </c>
      <c r="H277" s="110"/>
      <c r="I277" s="111">
        <f>IFERROR(SUMPRODUCT($G277*VLOOKUP($C277,'Vehicle Master'!$D:$F,3,0)),"")</f>
      </c>
      <c r="J277" s="11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</row>
    <row x14ac:dyDescent="0.25" r="278" customHeight="1" ht="14.15">
      <c r="A278" s="112">
        <v>45841</v>
      </c>
      <c r="B278" s="112">
        <v>45840</v>
      </c>
      <c r="C278" s="107" t="s">
        <v>302</v>
      </c>
      <c r="D278" s="107" t="s">
        <v>44</v>
      </c>
      <c r="E278" s="108">
        <v>84616</v>
      </c>
      <c r="F278" s="108">
        <v>84709</v>
      </c>
      <c r="G278" s="109">
        <f>IF((F278-E278)&lt;0,0,(F278-E278))</f>
      </c>
      <c r="H278" s="110"/>
      <c r="I278" s="111">
        <f>IFERROR(SUMPRODUCT($G278*VLOOKUP($C278,'Vehicle Master'!$D:$F,3,0)),"")</f>
      </c>
      <c r="J278" s="11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</row>
    <row x14ac:dyDescent="0.25" r="279" customHeight="1" ht="14.15">
      <c r="A279" s="112">
        <v>45841</v>
      </c>
      <c r="B279" s="112">
        <v>45840</v>
      </c>
      <c r="C279" s="107" t="s">
        <v>305</v>
      </c>
      <c r="D279" s="107" t="s">
        <v>43</v>
      </c>
      <c r="E279" s="108">
        <v>107445</v>
      </c>
      <c r="F279" s="108">
        <v>107638</v>
      </c>
      <c r="G279" s="109">
        <f>IF((F279-E279)&lt;0,0,(F279-E279))</f>
      </c>
      <c r="H279" s="110"/>
      <c r="I279" s="111">
        <f>IFERROR(SUMPRODUCT($G279*VLOOKUP($C279,'Vehicle Master'!$D:$F,3,0)),"")</f>
      </c>
      <c r="J279" s="11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</row>
    <row x14ac:dyDescent="0.25" r="280" customHeight="1" ht="14.15">
      <c r="A280" s="112">
        <v>45842</v>
      </c>
      <c r="B280" s="112">
        <v>45842</v>
      </c>
      <c r="C280" s="107" t="s">
        <v>303</v>
      </c>
      <c r="D280" s="107" t="s">
        <v>42</v>
      </c>
      <c r="E280" s="108">
        <v>106151</v>
      </c>
      <c r="F280" s="108">
        <v>106188</v>
      </c>
      <c r="G280" s="109">
        <f>IF((F280-E280)&lt;0,0,(F280-E280))</f>
      </c>
      <c r="H280" s="110"/>
      <c r="I280" s="111">
        <f>IFERROR(SUMPRODUCT($G280*VLOOKUP($C280,'Vehicle Master'!$D:$F,3,0)),"")</f>
      </c>
      <c r="J280" s="11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</row>
    <row x14ac:dyDescent="0.25" r="281" customHeight="1" ht="14.15">
      <c r="A281" s="112">
        <v>45842</v>
      </c>
      <c r="B281" s="112">
        <v>45843</v>
      </c>
      <c r="C281" s="107" t="s">
        <v>305</v>
      </c>
      <c r="D281" s="107" t="s">
        <v>43</v>
      </c>
      <c r="E281" s="108">
        <v>107638</v>
      </c>
      <c r="F281" s="108">
        <v>107965</v>
      </c>
      <c r="G281" s="109">
        <f>IF((F281-E281)&lt;0,0,(F281-E281))</f>
      </c>
      <c r="H281" s="110"/>
      <c r="I281" s="111">
        <f>IFERROR(SUMPRODUCT($G281*VLOOKUP($C281,'Vehicle Master'!$D:$F,3,0)),"")</f>
      </c>
      <c r="J281" s="11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</row>
    <row x14ac:dyDescent="0.25" r="282" customHeight="1" ht="14.15">
      <c r="A282" s="112">
        <v>45842</v>
      </c>
      <c r="B282" s="112">
        <v>45842</v>
      </c>
      <c r="C282" s="107" t="s">
        <v>302</v>
      </c>
      <c r="D282" s="107" t="s">
        <v>44</v>
      </c>
      <c r="E282" s="108">
        <v>84709</v>
      </c>
      <c r="F282" s="108">
        <v>84869</v>
      </c>
      <c r="G282" s="109">
        <f>IF((F282-E282)&lt;0,0,(F282-E282))</f>
      </c>
      <c r="H282" s="110"/>
      <c r="I282" s="111">
        <f>IFERROR(SUMPRODUCT($G282*VLOOKUP($C282,'Vehicle Master'!$D:$F,3,0)),"")</f>
      </c>
      <c r="J282" s="11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</row>
    <row x14ac:dyDescent="0.25" r="283" customHeight="1" ht="14.15">
      <c r="A283" s="112">
        <v>45842</v>
      </c>
      <c r="B283" s="112">
        <v>45843</v>
      </c>
      <c r="C283" s="107" t="s">
        <v>304</v>
      </c>
      <c r="D283" s="107" t="s">
        <v>39</v>
      </c>
      <c r="E283" s="108">
        <v>118590</v>
      </c>
      <c r="F283" s="108">
        <v>118898</v>
      </c>
      <c r="G283" s="109">
        <f>IF((F283-E283)&lt;0,0,(F283-E283))</f>
      </c>
      <c r="H283" s="110"/>
      <c r="I283" s="111">
        <f>IFERROR(SUMPRODUCT($G283*VLOOKUP($C283,'Vehicle Master'!$D:$F,3,0)),"")</f>
      </c>
      <c r="J283" s="11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</row>
    <row x14ac:dyDescent="0.25" r="284" customHeight="1" ht="14.15">
      <c r="A284" s="112">
        <v>45843</v>
      </c>
      <c r="B284" s="112">
        <v>45843</v>
      </c>
      <c r="C284" s="107" t="s">
        <v>303</v>
      </c>
      <c r="D284" s="107" t="s">
        <v>42</v>
      </c>
      <c r="E284" s="108">
        <v>106188</v>
      </c>
      <c r="F284" s="108">
        <v>106274</v>
      </c>
      <c r="G284" s="109">
        <f>IF((F284-E284)&lt;0,0,(F284-E284))</f>
      </c>
      <c r="H284" s="110"/>
      <c r="I284" s="111">
        <f>IFERROR(SUMPRODUCT($G284*VLOOKUP($C284,'Vehicle Master'!$D:$F,3,0)),"")</f>
      </c>
      <c r="J284" s="11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</row>
    <row x14ac:dyDescent="0.25" r="285" customHeight="1" ht="14.15">
      <c r="A285" s="112">
        <v>45843</v>
      </c>
      <c r="B285" s="112">
        <v>45843</v>
      </c>
      <c r="C285" s="107" t="s">
        <v>302</v>
      </c>
      <c r="D285" s="107" t="s">
        <v>44</v>
      </c>
      <c r="E285" s="108">
        <v>84869</v>
      </c>
      <c r="F285" s="108">
        <v>84982</v>
      </c>
      <c r="G285" s="109">
        <f>IF((F285-E285)&lt;0,0,(F285-E285))</f>
      </c>
      <c r="H285" s="110"/>
      <c r="I285" s="111">
        <f>IFERROR(SUMPRODUCT($G285*VLOOKUP($C285,'Vehicle Master'!$D:$F,3,0)),"")</f>
      </c>
      <c r="J285" s="11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</row>
    <row x14ac:dyDescent="0.25" r="286" customHeight="1" ht="14.15">
      <c r="A286" s="112">
        <v>45843</v>
      </c>
      <c r="B286" s="112">
        <v>45844</v>
      </c>
      <c r="C286" s="107" t="s">
        <v>305</v>
      </c>
      <c r="D286" s="107" t="s">
        <v>43</v>
      </c>
      <c r="E286" s="108">
        <v>107965</v>
      </c>
      <c r="F286" s="108">
        <v>108214</v>
      </c>
      <c r="G286" s="109">
        <f>IF((F286-E286)&lt;0,0,(F286-E286))</f>
      </c>
      <c r="H286" s="110"/>
      <c r="I286" s="111">
        <f>IFERROR(SUMPRODUCT($G286*VLOOKUP($C286,'Vehicle Master'!$D:$F,3,0)),"")</f>
      </c>
      <c r="J286" s="11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</row>
    <row x14ac:dyDescent="0.25" r="287" customHeight="1" ht="14.15">
      <c r="A287" s="112">
        <v>45843</v>
      </c>
      <c r="B287" s="112">
        <v>45845</v>
      </c>
      <c r="C287" s="107" t="s">
        <v>302</v>
      </c>
      <c r="D287" s="107" t="s">
        <v>44</v>
      </c>
      <c r="E287" s="108">
        <v>84982</v>
      </c>
      <c r="F287" s="108">
        <v>85142</v>
      </c>
      <c r="G287" s="109">
        <f>IF((F287-E287)&lt;0,0,(F287-E287))</f>
      </c>
      <c r="H287" s="110"/>
      <c r="I287" s="111">
        <f>IFERROR(SUMPRODUCT($G287*VLOOKUP($C287,'Vehicle Master'!$D:$F,3,0)),"")</f>
      </c>
      <c r="J287" s="11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</row>
    <row x14ac:dyDescent="0.25" r="288" customHeight="1" ht="14.15">
      <c r="A288" s="112">
        <v>45843</v>
      </c>
      <c r="B288" s="112">
        <v>45845</v>
      </c>
      <c r="C288" s="107" t="s">
        <v>304</v>
      </c>
      <c r="D288" s="107" t="s">
        <v>39</v>
      </c>
      <c r="E288" s="108">
        <v>118898</v>
      </c>
      <c r="F288" s="108">
        <v>119127</v>
      </c>
      <c r="G288" s="109">
        <f>IF((F288-E288)&lt;0,0,(F288-E288))</f>
      </c>
      <c r="H288" s="110"/>
      <c r="I288" s="111">
        <f>IFERROR(SUMPRODUCT($G288*VLOOKUP($C288,'Vehicle Master'!$D:$F,3,0)),"")</f>
      </c>
      <c r="J288" s="11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</row>
    <row x14ac:dyDescent="0.25" r="289" customHeight="1" ht="14.15">
      <c r="A289" s="112">
        <v>45845</v>
      </c>
      <c r="B289" s="112">
        <v>45847</v>
      </c>
      <c r="C289" s="107" t="s">
        <v>305</v>
      </c>
      <c r="D289" s="107" t="s">
        <v>43</v>
      </c>
      <c r="E289" s="108">
        <v>108214</v>
      </c>
      <c r="F289" s="108">
        <v>108464</v>
      </c>
      <c r="G289" s="109">
        <f>IF((F289-E289)&lt;0,0,(F289-E289))</f>
      </c>
      <c r="H289" s="110"/>
      <c r="I289" s="111">
        <f>IFERROR(SUMPRODUCT($G289*VLOOKUP($C289,'Vehicle Master'!$D:$F,3,0)),"")</f>
      </c>
      <c r="J289" s="11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</row>
    <row x14ac:dyDescent="0.25" r="290" customHeight="1" ht="14.15">
      <c r="A290" s="112">
        <v>45845</v>
      </c>
      <c r="B290" s="112">
        <v>45846</v>
      </c>
      <c r="C290" s="107" t="s">
        <v>303</v>
      </c>
      <c r="D290" s="107" t="s">
        <v>42</v>
      </c>
      <c r="E290" s="108">
        <v>106274</v>
      </c>
      <c r="F290" s="108">
        <v>106496</v>
      </c>
      <c r="G290" s="109">
        <f>IF((F290-E290)&lt;0,0,(F290-E290))</f>
      </c>
      <c r="H290" s="110"/>
      <c r="I290" s="111">
        <f>IFERROR(SUMPRODUCT($G290*VLOOKUP($C290,'Vehicle Master'!$D:$F,3,0)),"")</f>
      </c>
      <c r="J290" s="11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</row>
    <row x14ac:dyDescent="0.25" r="291" customHeight="1" ht="14.15">
      <c r="A291" s="112">
        <v>45845</v>
      </c>
      <c r="B291" s="112">
        <v>45847</v>
      </c>
      <c r="C291" s="107" t="s">
        <v>304</v>
      </c>
      <c r="D291" s="107" t="s">
        <v>39</v>
      </c>
      <c r="E291" s="108">
        <v>119127</v>
      </c>
      <c r="F291" s="108">
        <v>119371</v>
      </c>
      <c r="G291" s="109">
        <f>IF((F291-E291)&lt;0,0,(F291-E291))</f>
      </c>
      <c r="H291" s="110"/>
      <c r="I291" s="111">
        <f>IFERROR(SUMPRODUCT($G291*VLOOKUP($C291,'Vehicle Master'!$D:$F,3,0)),"")</f>
      </c>
      <c r="J291" s="11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</row>
    <row x14ac:dyDescent="0.25" r="292" customHeight="1" ht="14.15">
      <c r="A292" s="112">
        <v>45845</v>
      </c>
      <c r="B292" s="112">
        <v>45847</v>
      </c>
      <c r="C292" s="107" t="s">
        <v>302</v>
      </c>
      <c r="D292" s="107" t="s">
        <v>44</v>
      </c>
      <c r="E292" s="108">
        <v>85142</v>
      </c>
      <c r="F292" s="108">
        <v>85318</v>
      </c>
      <c r="G292" s="109">
        <f>IF((F292-E292)&lt;0,0,(F292-E292))</f>
      </c>
      <c r="H292" s="110"/>
      <c r="I292" s="111">
        <f>IFERROR(SUMPRODUCT($G292*VLOOKUP($C292,'Vehicle Master'!$D:$F,3,0)),"")</f>
      </c>
      <c r="J292" s="11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</row>
    <row x14ac:dyDescent="0.25" r="293" customHeight="1" ht="14.15">
      <c r="A293" s="112">
        <v>45847</v>
      </c>
      <c r="B293" s="112">
        <v>45848</v>
      </c>
      <c r="C293" s="107" t="s">
        <v>302</v>
      </c>
      <c r="D293" s="107" t="s">
        <v>44</v>
      </c>
      <c r="E293" s="108">
        <v>85318</v>
      </c>
      <c r="F293" s="108">
        <v>85458</v>
      </c>
      <c r="G293" s="109">
        <f>IF((F293-E293)&lt;0,0,(F293-E293))</f>
      </c>
      <c r="H293" s="110"/>
      <c r="I293" s="111">
        <f>IFERROR(SUMPRODUCT($G293*VLOOKUP($C293,'Vehicle Master'!$D:$F,3,0)),"")</f>
      </c>
      <c r="J293" s="11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</row>
    <row x14ac:dyDescent="0.25" r="294" customHeight="1" ht="14.15">
      <c r="A294" s="112">
        <v>45847</v>
      </c>
      <c r="B294" s="112">
        <v>45848</v>
      </c>
      <c r="C294" s="107" t="s">
        <v>304</v>
      </c>
      <c r="D294" s="107" t="s">
        <v>39</v>
      </c>
      <c r="E294" s="108">
        <v>119371</v>
      </c>
      <c r="F294" s="108">
        <v>119614</v>
      </c>
      <c r="G294" s="109">
        <f>IF((F294-E294)&lt;0,0,(F294-E294))</f>
      </c>
      <c r="H294" s="110"/>
      <c r="I294" s="111">
        <f>IFERROR(SUMPRODUCT($G294*VLOOKUP($C294,'Vehicle Master'!$D:$F,3,0)),"")</f>
      </c>
      <c r="J294" s="11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</row>
    <row x14ac:dyDescent="0.25" r="295" customHeight="1" ht="14.15">
      <c r="A295" s="112">
        <v>45847</v>
      </c>
      <c r="B295" s="112">
        <v>45848</v>
      </c>
      <c r="C295" s="107" t="s">
        <v>303</v>
      </c>
      <c r="D295" s="107" t="s">
        <v>42</v>
      </c>
      <c r="E295" s="108">
        <v>106496</v>
      </c>
      <c r="F295" s="108">
        <v>106698</v>
      </c>
      <c r="G295" s="109">
        <f>IF((F295-E295)&lt;0,0,(F295-E295))</f>
      </c>
      <c r="H295" s="110"/>
      <c r="I295" s="111">
        <f>IFERROR(SUMPRODUCT($G295*VLOOKUP($C295,'Vehicle Master'!$D:$F,3,0)),"")</f>
      </c>
      <c r="J295" s="11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</row>
    <row x14ac:dyDescent="0.25" r="296" customHeight="1" ht="14.15">
      <c r="A296" s="112">
        <v>45848</v>
      </c>
      <c r="B296" s="112">
        <v>45848</v>
      </c>
      <c r="C296" s="107" t="s">
        <v>303</v>
      </c>
      <c r="D296" s="107" t="s">
        <v>42</v>
      </c>
      <c r="E296" s="108">
        <v>106698</v>
      </c>
      <c r="F296" s="108">
        <v>106767</v>
      </c>
      <c r="G296" s="109">
        <f>IF((F296-E296)&lt;0,0,(F296-E296))</f>
      </c>
      <c r="H296" s="110"/>
      <c r="I296" s="111">
        <f>IFERROR(SUMPRODUCT($G296*VLOOKUP($C296,'Vehicle Master'!$D:$F,3,0)),"")</f>
      </c>
      <c r="J296" s="11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</row>
    <row x14ac:dyDescent="0.25" r="297" customHeight="1" ht="14.15">
      <c r="A297" s="112">
        <v>45848</v>
      </c>
      <c r="B297" s="112">
        <v>45849</v>
      </c>
      <c r="C297" s="107" t="s">
        <v>305</v>
      </c>
      <c r="D297" s="107" t="s">
        <v>43</v>
      </c>
      <c r="E297" s="108">
        <v>108464</v>
      </c>
      <c r="F297" s="108">
        <v>108619</v>
      </c>
      <c r="G297" s="109">
        <f>IF((F297-E297)&lt;0,0,(F297-E297))</f>
      </c>
      <c r="H297" s="110"/>
      <c r="I297" s="111">
        <f>IFERROR(SUMPRODUCT($G297*VLOOKUP($C297,'Vehicle Master'!$D:$F,3,0)),"")</f>
      </c>
      <c r="J297" s="11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</row>
    <row x14ac:dyDescent="0.25" r="298" customHeight="1" ht="14.15">
      <c r="A298" s="112">
        <v>45849</v>
      </c>
      <c r="B298" s="112">
        <v>45849</v>
      </c>
      <c r="C298" s="107" t="s">
        <v>304</v>
      </c>
      <c r="D298" s="107" t="s">
        <v>39</v>
      </c>
      <c r="E298" s="108">
        <v>119614</v>
      </c>
      <c r="F298" s="108">
        <v>119796</v>
      </c>
      <c r="G298" s="109">
        <f>IF((F298-E298)&lt;0,0,(F298-E298))</f>
      </c>
      <c r="H298" s="110"/>
      <c r="I298" s="111">
        <f>IFERROR(SUMPRODUCT($G298*VLOOKUP($C298,'Vehicle Master'!$D:$F,3,0)),"")</f>
      </c>
      <c r="J298" s="11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</row>
    <row x14ac:dyDescent="0.25" r="299" customHeight="1" ht="14.15">
      <c r="A299" s="112">
        <v>45850</v>
      </c>
      <c r="B299" s="112">
        <v>45850</v>
      </c>
      <c r="C299" s="107" t="s">
        <v>305</v>
      </c>
      <c r="D299" s="107" t="s">
        <v>43</v>
      </c>
      <c r="E299" s="108">
        <v>108619</v>
      </c>
      <c r="F299" s="108">
        <v>108709</v>
      </c>
      <c r="G299" s="109">
        <f>IF((F299-E299)&lt;0,0,(F299-E299))</f>
      </c>
      <c r="H299" s="110"/>
      <c r="I299" s="111">
        <f>IFERROR(SUMPRODUCT($G299*VLOOKUP($C299,'Vehicle Master'!$D:$F,3,0)),"")</f>
      </c>
      <c r="J299" s="11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</row>
    <row x14ac:dyDescent="0.25" r="300" customHeight="1" ht="14.15">
      <c r="A300" s="112">
        <v>45850</v>
      </c>
      <c r="B300" s="112">
        <v>45850</v>
      </c>
      <c r="C300" s="107" t="s">
        <v>303</v>
      </c>
      <c r="D300" s="107" t="s">
        <v>42</v>
      </c>
      <c r="E300" s="108">
        <v>106767</v>
      </c>
      <c r="F300" s="108">
        <v>106802</v>
      </c>
      <c r="G300" s="109">
        <f>IF((F300-E300)&lt;0,0,(F300-E300))</f>
      </c>
      <c r="H300" s="110"/>
      <c r="I300" s="111">
        <f>IFERROR(SUMPRODUCT($G300*VLOOKUP($C300,'Vehicle Master'!$D:$F,3,0)),"")</f>
      </c>
      <c r="J300" s="11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</row>
    <row x14ac:dyDescent="0.25" r="301" customHeight="1" ht="14.15">
      <c r="A301" s="112">
        <v>45850</v>
      </c>
      <c r="B301" s="112">
        <v>45851</v>
      </c>
      <c r="C301" s="107" t="s">
        <v>302</v>
      </c>
      <c r="D301" s="107" t="s">
        <v>44</v>
      </c>
      <c r="E301" s="108">
        <v>85458</v>
      </c>
      <c r="F301" s="108">
        <v>85793</v>
      </c>
      <c r="G301" s="109">
        <f>IF((F301-E301)&lt;0,0,(F301-E301))</f>
      </c>
      <c r="H301" s="110"/>
      <c r="I301" s="111">
        <f>IFERROR(SUMPRODUCT($G301*VLOOKUP($C301,'Vehicle Master'!$D:$F,3,0)),"")</f>
      </c>
      <c r="J301" s="11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</row>
    <row x14ac:dyDescent="0.25" r="302" customHeight="1" ht="14.15">
      <c r="A302" s="112">
        <v>45850</v>
      </c>
      <c r="B302" s="112">
        <v>45851</v>
      </c>
      <c r="C302" s="107" t="s">
        <v>304</v>
      </c>
      <c r="D302" s="107" t="s">
        <v>39</v>
      </c>
      <c r="E302" s="108">
        <v>119796</v>
      </c>
      <c r="F302" s="108">
        <v>120202</v>
      </c>
      <c r="G302" s="109">
        <f>IF((F302-E302)&lt;0,0,(F302-E302))</f>
      </c>
      <c r="H302" s="110"/>
      <c r="I302" s="111">
        <f>IFERROR(SUMPRODUCT($G302*VLOOKUP($C302,'Vehicle Master'!$D:$F,3,0)),"")</f>
      </c>
      <c r="J302" s="11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</row>
    <row x14ac:dyDescent="0.25" r="303" customHeight="1" ht="14.15">
      <c r="A303" s="112">
        <v>45852</v>
      </c>
      <c r="B303" s="112">
        <v>45853</v>
      </c>
      <c r="C303" s="107" t="s">
        <v>303</v>
      </c>
      <c r="D303" s="107" t="s">
        <v>42</v>
      </c>
      <c r="E303" s="108">
        <v>106802</v>
      </c>
      <c r="F303" s="108">
        <v>106988</v>
      </c>
      <c r="G303" s="109">
        <f>IF((F303-E303)&lt;0,0,(F303-E303))</f>
      </c>
      <c r="H303" s="110"/>
      <c r="I303" s="111">
        <f>IFERROR(SUMPRODUCT($G303*VLOOKUP($C303,'Vehicle Master'!$D:$F,3,0)),"")</f>
      </c>
      <c r="J303" s="11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</row>
    <row x14ac:dyDescent="0.25" r="304" customHeight="1" ht="14.15">
      <c r="A304" s="112">
        <v>45853</v>
      </c>
      <c r="B304" s="112">
        <v>45853</v>
      </c>
      <c r="C304" s="107" t="s">
        <v>305</v>
      </c>
      <c r="D304" s="107" t="s">
        <v>43</v>
      </c>
      <c r="E304" s="108">
        <v>108709</v>
      </c>
      <c r="F304" s="108">
        <v>108890</v>
      </c>
      <c r="G304" s="109">
        <f>IF((F304-E304)&lt;0,0,(F304-E304))</f>
      </c>
      <c r="H304" s="110"/>
      <c r="I304" s="111">
        <f>IFERROR(SUMPRODUCT($G304*VLOOKUP($C304,'Vehicle Master'!$D:$F,3,0)),"")</f>
      </c>
      <c r="J304" s="11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</row>
    <row x14ac:dyDescent="0.25" r="305" customHeight="1" ht="14.15">
      <c r="A305" s="112">
        <v>45854</v>
      </c>
      <c r="B305" s="112">
        <v>45855</v>
      </c>
      <c r="C305" s="107" t="s">
        <v>302</v>
      </c>
      <c r="D305" s="107" t="s">
        <v>44</v>
      </c>
      <c r="E305" s="108">
        <v>85793</v>
      </c>
      <c r="F305" s="108">
        <v>86025</v>
      </c>
      <c r="G305" s="109">
        <f>IF((F305-E305)&lt;0,0,(F305-E305))</f>
      </c>
      <c r="H305" s="110"/>
      <c r="I305" s="111">
        <f>IFERROR(SUMPRODUCT($G305*VLOOKUP($C305,'Vehicle Master'!$D:$F,3,0)),"")</f>
      </c>
      <c r="J305" s="11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</row>
    <row x14ac:dyDescent="0.25" r="306" customHeight="1" ht="14.15">
      <c r="A306" s="112">
        <v>45854</v>
      </c>
      <c r="B306" s="112">
        <v>45855</v>
      </c>
      <c r="C306" s="107" t="s">
        <v>304</v>
      </c>
      <c r="D306" s="107" t="s">
        <v>39</v>
      </c>
      <c r="E306" s="108">
        <v>120202</v>
      </c>
      <c r="F306" s="108">
        <v>120720</v>
      </c>
      <c r="G306" s="109">
        <f>IF((F306-E306)&lt;0,0,(F306-E306))</f>
      </c>
      <c r="H306" s="110"/>
      <c r="I306" s="111">
        <f>IFERROR(SUMPRODUCT($G306*VLOOKUP($C306,'Vehicle Master'!$D:$F,3,0)),"")</f>
      </c>
      <c r="J306" s="11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</row>
    <row x14ac:dyDescent="0.25" r="307" customHeight="1" ht="14.15">
      <c r="A307" s="112">
        <v>45855</v>
      </c>
      <c r="B307" s="112">
        <v>45856</v>
      </c>
      <c r="C307" s="107" t="s">
        <v>303</v>
      </c>
      <c r="D307" s="107" t="s">
        <v>42</v>
      </c>
      <c r="E307" s="108">
        <v>106988</v>
      </c>
      <c r="F307" s="108">
        <v>107232</v>
      </c>
      <c r="G307" s="109">
        <f>IF((F307-E307)&lt;0,0,(F307-E307))</f>
      </c>
      <c r="H307" s="110"/>
      <c r="I307" s="111">
        <f>IFERROR(SUMPRODUCT($G307*VLOOKUP($C307,'Vehicle Master'!$D:$F,3,0)),"")</f>
      </c>
      <c r="J307" s="11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</row>
    <row x14ac:dyDescent="0.25" r="308" customHeight="1" ht="14.15">
      <c r="A308" s="112">
        <v>45857</v>
      </c>
      <c r="B308" s="112">
        <v>45859</v>
      </c>
      <c r="C308" s="107" t="s">
        <v>305</v>
      </c>
      <c r="D308" s="107" t="s">
        <v>43</v>
      </c>
      <c r="E308" s="108">
        <v>108890</v>
      </c>
      <c r="F308" s="108">
        <v>109405</v>
      </c>
      <c r="G308" s="109">
        <f>IF((F308-E308)&lt;0,0,(F308-E308))</f>
      </c>
      <c r="H308" s="110"/>
      <c r="I308" s="111">
        <f>IFERROR(SUMPRODUCT($G308*VLOOKUP($C308,'Vehicle Master'!$D:$F,3,0)),"")</f>
      </c>
      <c r="J308" s="11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</row>
    <row x14ac:dyDescent="0.25" r="309" customHeight="1" ht="14.15">
      <c r="A309" s="112">
        <v>45857</v>
      </c>
      <c r="B309" s="112">
        <v>45858</v>
      </c>
      <c r="C309" s="107" t="s">
        <v>302</v>
      </c>
      <c r="D309" s="107" t="s">
        <v>44</v>
      </c>
      <c r="E309" s="108">
        <v>86025</v>
      </c>
      <c r="F309" s="108">
        <v>86376</v>
      </c>
      <c r="G309" s="109">
        <f>IF((F309-E309)&lt;0,0,(F309-E309))</f>
      </c>
      <c r="H309" s="110"/>
      <c r="I309" s="111">
        <f>IFERROR(SUMPRODUCT($G309*VLOOKUP($C309,'Vehicle Master'!$D:$F,3,0)),"")</f>
      </c>
      <c r="J309" s="11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</row>
    <row x14ac:dyDescent="0.25" r="310" customHeight="1" ht="14.15">
      <c r="A310" s="112">
        <v>45857</v>
      </c>
      <c r="B310" s="112">
        <v>45858</v>
      </c>
      <c r="C310" s="107" t="s">
        <v>304</v>
      </c>
      <c r="D310" s="107" t="s">
        <v>39</v>
      </c>
      <c r="E310" s="108">
        <v>120720</v>
      </c>
      <c r="F310" s="108">
        <v>120803</v>
      </c>
      <c r="G310" s="109">
        <v>83</v>
      </c>
      <c r="H310" s="110"/>
      <c r="I310" s="111">
        <f>IFERROR(SUMPRODUCT($G310*VLOOKUP($C310,'Vehicle Master'!$D:$F,3,0)),"")</f>
      </c>
      <c r="J310" s="11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</row>
    <row x14ac:dyDescent="0.25" r="311" customHeight="1" ht="14.15">
      <c r="A311" s="112">
        <v>45859</v>
      </c>
      <c r="B311" s="112">
        <v>45860</v>
      </c>
      <c r="C311" s="107" t="s">
        <v>302</v>
      </c>
      <c r="D311" s="107" t="s">
        <v>44</v>
      </c>
      <c r="E311" s="108">
        <v>86376</v>
      </c>
      <c r="F311" s="108">
        <v>86492</v>
      </c>
      <c r="G311" s="109">
        <f>IF((F311-E311)&lt;0,0,(F311-E311))</f>
      </c>
      <c r="H311" s="110"/>
      <c r="I311" s="111">
        <f>IFERROR(SUMPRODUCT($G311*VLOOKUP($C311,'Vehicle Master'!$D:$F,3,0)),"")</f>
      </c>
      <c r="J311" s="11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</row>
    <row x14ac:dyDescent="0.25" r="312" customHeight="1" ht="14.15">
      <c r="A312" s="112">
        <v>45859</v>
      </c>
      <c r="B312" s="112">
        <v>45860</v>
      </c>
      <c r="C312" s="107" t="s">
        <v>304</v>
      </c>
      <c r="D312" s="107" t="s">
        <v>39</v>
      </c>
      <c r="E312" s="108">
        <v>120803</v>
      </c>
      <c r="F312" s="108">
        <v>121408</v>
      </c>
      <c r="G312" s="109">
        <f>IF((F312-E312)&lt;0,0,(F312-E312))</f>
      </c>
      <c r="H312" s="110"/>
      <c r="I312" s="111">
        <f>IFERROR(SUMPRODUCT($G312*VLOOKUP($C312,'Vehicle Master'!$D:$F,3,0)),"")</f>
      </c>
      <c r="J312" s="11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</row>
    <row x14ac:dyDescent="0.25" r="313" customHeight="1" ht="14.15">
      <c r="A313" s="112">
        <v>45860</v>
      </c>
      <c r="B313" s="112">
        <v>45861</v>
      </c>
      <c r="C313" s="107" t="s">
        <v>303</v>
      </c>
      <c r="D313" s="107" t="s">
        <v>42</v>
      </c>
      <c r="E313" s="108">
        <v>107232</v>
      </c>
      <c r="F313" s="108">
        <v>107601</v>
      </c>
      <c r="G313" s="109">
        <f>IF((F313-E313)&lt;0,0,(F313-E313))</f>
      </c>
      <c r="H313" s="110"/>
      <c r="I313" s="111">
        <f>IFERROR(SUMPRODUCT($G313*VLOOKUP($C313,'Vehicle Master'!$D:$F,3,0)),"")</f>
      </c>
      <c r="J313" s="11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</row>
    <row x14ac:dyDescent="0.25" r="314" customHeight="1" ht="14.15">
      <c r="A314" s="112">
        <v>45860</v>
      </c>
      <c r="B314" s="112">
        <v>45861</v>
      </c>
      <c r="C314" s="107" t="s">
        <v>305</v>
      </c>
      <c r="D314" s="107" t="s">
        <v>43</v>
      </c>
      <c r="E314" s="108">
        <v>109405</v>
      </c>
      <c r="F314" s="108">
        <v>109289</v>
      </c>
      <c r="G314" s="109">
        <v>116</v>
      </c>
      <c r="H314" s="110"/>
      <c r="I314" s="111">
        <f>IFERROR(SUMPRODUCT($G314*VLOOKUP($C314,'Vehicle Master'!$D:$F,3,0)),"")</f>
      </c>
      <c r="J314" s="11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</row>
    <row x14ac:dyDescent="0.25" r="315" customHeight="1" ht="14.15">
      <c r="A315" s="112">
        <v>45860</v>
      </c>
      <c r="B315" s="112">
        <v>45860</v>
      </c>
      <c r="C315" s="107" t="s">
        <v>302</v>
      </c>
      <c r="D315" s="107" t="s">
        <v>44</v>
      </c>
      <c r="E315" s="108">
        <v>86492</v>
      </c>
      <c r="F315" s="108">
        <v>86554</v>
      </c>
      <c r="G315" s="109">
        <f>IF((F315-E315)&lt;0,0,(F315-E315))</f>
      </c>
      <c r="H315" s="110"/>
      <c r="I315" s="111">
        <f>IFERROR(SUMPRODUCT($G315*VLOOKUP($C315,'Vehicle Master'!$D:$F,3,0)),"")</f>
      </c>
      <c r="J315" s="11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</row>
    <row x14ac:dyDescent="0.25" r="316" customHeight="1" ht="14.15">
      <c r="A316" s="112">
        <v>45861</v>
      </c>
      <c r="B316" s="112">
        <v>45861</v>
      </c>
      <c r="C316" s="107" t="s">
        <v>304</v>
      </c>
      <c r="D316" s="107" t="s">
        <v>39</v>
      </c>
      <c r="E316" s="108">
        <v>121408</v>
      </c>
      <c r="F316" s="108">
        <v>121465</v>
      </c>
      <c r="G316" s="109">
        <f>IF((F316-E316)&lt;0,0,(F316-E316))</f>
      </c>
      <c r="H316" s="110"/>
      <c r="I316" s="111">
        <f>IFERROR(SUMPRODUCT($G316*VLOOKUP($C316,'Vehicle Master'!$D:$F,3,0)),"")</f>
      </c>
      <c r="J316" s="11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</row>
    <row x14ac:dyDescent="0.25" r="317" customHeight="1" ht="14.15">
      <c r="A317" s="112">
        <v>45861</v>
      </c>
      <c r="B317" s="112">
        <v>45863</v>
      </c>
      <c r="C317" s="107" t="s">
        <v>302</v>
      </c>
      <c r="D317" s="107" t="s">
        <v>44</v>
      </c>
      <c r="E317" s="108">
        <v>86554</v>
      </c>
      <c r="F317" s="108">
        <v>86825</v>
      </c>
      <c r="G317" s="109">
        <f>IF((F317-E317)&lt;0,0,(F317-E317))</f>
      </c>
      <c r="H317" s="110"/>
      <c r="I317" s="111">
        <f>IFERROR(SUMPRODUCT($G317*VLOOKUP($C317,'Vehicle Master'!$D:$F,3,0)),"")</f>
      </c>
      <c r="J317" s="11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</row>
    <row x14ac:dyDescent="0.25" r="318" customHeight="1" ht="14.15">
      <c r="A318" s="112">
        <v>45861</v>
      </c>
      <c r="B318" s="112">
        <v>45862</v>
      </c>
      <c r="C318" s="107" t="s">
        <v>305</v>
      </c>
      <c r="D318" s="107" t="s">
        <v>43</v>
      </c>
      <c r="E318" s="108">
        <v>109289</v>
      </c>
      <c r="F318" s="108">
        <v>109523</v>
      </c>
      <c r="G318" s="109">
        <f>IF((F318-E318)&lt;0,0,(F318-E318))</f>
      </c>
      <c r="H318" s="110"/>
      <c r="I318" s="111">
        <f>IFERROR(SUMPRODUCT($G318*VLOOKUP($C318,'Vehicle Master'!$D:$F,3,0)),"")</f>
      </c>
      <c r="J318" s="11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</row>
    <row x14ac:dyDescent="0.25" r="319" customHeight="1" ht="14.15">
      <c r="A319" s="112">
        <v>45861</v>
      </c>
      <c r="B319" s="112">
        <v>45862</v>
      </c>
      <c r="C319" s="107" t="s">
        <v>304</v>
      </c>
      <c r="D319" s="107" t="s">
        <v>39</v>
      </c>
      <c r="E319" s="108">
        <v>121408</v>
      </c>
      <c r="F319" s="108">
        <v>121648</v>
      </c>
      <c r="G319" s="109">
        <f>IF((F319-E319)&lt;0,0,(F319-E319))</f>
      </c>
      <c r="H319" s="110"/>
      <c r="I319" s="111">
        <f>IFERROR(SUMPRODUCT($G319*VLOOKUP($C319,'Vehicle Master'!$D:$F,3,0)),"")</f>
      </c>
      <c r="J319" s="117" t="s">
        <v>345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</row>
    <row x14ac:dyDescent="0.25" r="320" customHeight="1" ht="14.15">
      <c r="A320" s="112">
        <v>45862</v>
      </c>
      <c r="B320" s="112">
        <v>45862</v>
      </c>
      <c r="C320" s="107" t="s">
        <v>303</v>
      </c>
      <c r="D320" s="107" t="s">
        <v>42</v>
      </c>
      <c r="E320" s="108">
        <v>107601</v>
      </c>
      <c r="F320" s="108">
        <v>107783</v>
      </c>
      <c r="G320" s="109">
        <f>IF((F320-E320)&lt;0,0,(F320-E320))</f>
      </c>
      <c r="H320" s="110"/>
      <c r="I320" s="111">
        <f>IFERROR(SUMPRODUCT($G320*VLOOKUP($C320,'Vehicle Master'!$D:$F,3,0)),"")</f>
      </c>
      <c r="J320" s="11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</row>
    <row x14ac:dyDescent="0.25" r="321" customHeight="1" ht="14.15">
      <c r="A321" s="112">
        <v>45862</v>
      </c>
      <c r="B321" s="112">
        <v>45863</v>
      </c>
      <c r="C321" s="107" t="s">
        <v>305</v>
      </c>
      <c r="D321" s="107" t="s">
        <v>43</v>
      </c>
      <c r="E321" s="108">
        <v>109523</v>
      </c>
      <c r="F321" s="108">
        <v>109673</v>
      </c>
      <c r="G321" s="109">
        <f>IF((F321-E321)&lt;0,0,(F321-E321))</f>
      </c>
      <c r="H321" s="110"/>
      <c r="I321" s="111">
        <f>IFERROR(SUMPRODUCT($G321*VLOOKUP($C321,'Vehicle Master'!$D:$F,3,0)),"")</f>
      </c>
      <c r="J321" s="118">
        <v>109848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</row>
    <row x14ac:dyDescent="0.25" r="322" customHeight="1" ht="14.15">
      <c r="A322" s="112">
        <v>45862</v>
      </c>
      <c r="B322" s="112">
        <v>45863</v>
      </c>
      <c r="C322" s="107" t="s">
        <v>304</v>
      </c>
      <c r="D322" s="107" t="s">
        <v>39</v>
      </c>
      <c r="E322" s="108">
        <v>121648</v>
      </c>
      <c r="F322" s="108">
        <v>122294</v>
      </c>
      <c r="G322" s="109">
        <f>IF((F322-E322)&lt;0,0,(F322-E322))</f>
      </c>
      <c r="H322" s="110"/>
      <c r="I322" s="111">
        <f>IFERROR(SUMPRODUCT($G322*VLOOKUP($C322,'Vehicle Master'!$D:$F,3,0)),"")</f>
      </c>
      <c r="J322" s="11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</row>
    <row x14ac:dyDescent="0.25" r="323" customHeight="1" ht="14.15">
      <c r="A323" s="112">
        <v>45863</v>
      </c>
      <c r="B323" s="112">
        <v>45867</v>
      </c>
      <c r="C323" s="107" t="s">
        <v>303</v>
      </c>
      <c r="D323" s="107" t="s">
        <v>42</v>
      </c>
      <c r="E323" s="108">
        <v>107783</v>
      </c>
      <c r="F323" s="108">
        <v>108407</v>
      </c>
      <c r="G323" s="109">
        <f>IF((F323-E323)&lt;0,0,(F323-E323))</f>
      </c>
      <c r="H323" s="110"/>
      <c r="I323" s="111">
        <f>IFERROR(SUMPRODUCT($G323*VLOOKUP($C323,'Vehicle Master'!$D:$F,3,0)),"")</f>
      </c>
      <c r="J323" s="11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</row>
    <row x14ac:dyDescent="0.25" r="324" customHeight="1" ht="14.15">
      <c r="A324" s="112">
        <v>45863</v>
      </c>
      <c r="B324" s="112">
        <v>45867</v>
      </c>
      <c r="C324" s="107" t="s">
        <v>305</v>
      </c>
      <c r="D324" s="107" t="s">
        <v>43</v>
      </c>
      <c r="E324" s="108">
        <v>109848</v>
      </c>
      <c r="F324" s="108">
        <v>110260</v>
      </c>
      <c r="G324" s="109">
        <f>IF((F324-E324)&lt;0,0,(F324-E324))</f>
      </c>
      <c r="H324" s="110"/>
      <c r="I324" s="111">
        <f>IFERROR(SUMPRODUCT($G324*VLOOKUP($C324,'Vehicle Master'!$D:$F,3,0)),"")</f>
      </c>
      <c r="J324" s="11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</row>
    <row x14ac:dyDescent="0.25" r="325" customHeight="1" ht="14.15">
      <c r="A325" s="112">
        <v>45864</v>
      </c>
      <c r="B325" s="112">
        <v>45864</v>
      </c>
      <c r="C325" s="107" t="s">
        <v>304</v>
      </c>
      <c r="D325" s="107" t="s">
        <v>39</v>
      </c>
      <c r="E325" s="108">
        <v>122294</v>
      </c>
      <c r="F325" s="108">
        <v>122524</v>
      </c>
      <c r="G325" s="109">
        <f>IF((F325-E325)&lt;0,0,(F325-E325))</f>
      </c>
      <c r="H325" s="110"/>
      <c r="I325" s="111">
        <f>IFERROR(SUMPRODUCT($G325*VLOOKUP($C325,'Vehicle Master'!$D:$F,3,0)),"")</f>
      </c>
      <c r="J325" s="11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</row>
    <row x14ac:dyDescent="0.25" r="326" customHeight="1" ht="14.15">
      <c r="A326" s="112">
        <v>45864</v>
      </c>
      <c r="B326" s="112">
        <v>45864</v>
      </c>
      <c r="C326" s="107" t="s">
        <v>302</v>
      </c>
      <c r="D326" s="107" t="s">
        <v>42</v>
      </c>
      <c r="E326" s="108">
        <v>86825</v>
      </c>
      <c r="F326" s="108">
        <v>87004</v>
      </c>
      <c r="G326" s="109">
        <f>IF((F326-E326)&lt;0,0,(F326-E326))</f>
      </c>
      <c r="H326" s="110"/>
      <c r="I326" s="111">
        <f>IFERROR(SUMPRODUCT($G326*VLOOKUP($C326,'Vehicle Master'!$D:$F,3,0)),"")</f>
      </c>
      <c r="J326" s="11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</row>
    <row x14ac:dyDescent="0.25" r="327" customHeight="1" ht="14.15">
      <c r="A327" s="112">
        <v>45865</v>
      </c>
      <c r="B327" s="112">
        <v>45866</v>
      </c>
      <c r="C327" s="107" t="s">
        <v>304</v>
      </c>
      <c r="D327" s="107" t="s">
        <v>39</v>
      </c>
      <c r="E327" s="108">
        <v>122524</v>
      </c>
      <c r="F327" s="108">
        <v>122731</v>
      </c>
      <c r="G327" s="109">
        <f>IF((F327-E327)&lt;0,0,(F327-E327))</f>
      </c>
      <c r="H327" s="110"/>
      <c r="I327" s="111">
        <f>IFERROR(SUMPRODUCT($G327*VLOOKUP($C327,'Vehicle Master'!$D:$F,3,0)),"")</f>
      </c>
      <c r="J327" s="11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</row>
    <row x14ac:dyDescent="0.25" r="328" customHeight="1" ht="14.15">
      <c r="A328" s="112">
        <v>45865</v>
      </c>
      <c r="B328" s="112">
        <v>45866</v>
      </c>
      <c r="C328" s="107" t="s">
        <v>302</v>
      </c>
      <c r="D328" s="107" t="s">
        <v>42</v>
      </c>
      <c r="E328" s="108">
        <v>87004</v>
      </c>
      <c r="F328" s="108">
        <v>87234</v>
      </c>
      <c r="G328" s="109">
        <f>IF((F328-E328)&lt;0,0,(F328-E328))</f>
      </c>
      <c r="H328" s="110"/>
      <c r="I328" s="111">
        <f>IFERROR(SUMPRODUCT($G328*VLOOKUP($C328,'Vehicle Master'!$D:$F,3,0)),"")</f>
      </c>
      <c r="J328" s="11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</row>
    <row x14ac:dyDescent="0.25" r="329" customHeight="1" ht="14.15">
      <c r="A329" s="112">
        <v>45866</v>
      </c>
      <c r="B329" s="112">
        <v>45867</v>
      </c>
      <c r="C329" s="107" t="s">
        <v>304</v>
      </c>
      <c r="D329" s="107" t="s">
        <v>39</v>
      </c>
      <c r="E329" s="108">
        <v>122731</v>
      </c>
      <c r="F329" s="108">
        <v>123157</v>
      </c>
      <c r="G329" s="109">
        <f>IF((F329-E329)&lt;0,0,(F329-E329))</f>
      </c>
      <c r="H329" s="110"/>
      <c r="I329" s="111">
        <f>IFERROR(SUMPRODUCT($G329*VLOOKUP($C329,'Vehicle Master'!$D:$F,3,0)),"")</f>
      </c>
      <c r="J329" s="11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</row>
    <row x14ac:dyDescent="0.25" r="330" customHeight="1" ht="14.15">
      <c r="A330" s="112">
        <v>45866</v>
      </c>
      <c r="B330" s="112">
        <v>45867</v>
      </c>
      <c r="C330" s="107" t="s">
        <v>302</v>
      </c>
      <c r="D330" s="107" t="s">
        <v>42</v>
      </c>
      <c r="E330" s="108">
        <v>87234</v>
      </c>
      <c r="F330" s="108">
        <v>87362</v>
      </c>
      <c r="G330" s="109">
        <f>IF((F330-E330)&lt;0,0,(F330-E330))</f>
      </c>
      <c r="H330" s="110"/>
      <c r="I330" s="111">
        <f>IFERROR(SUMPRODUCT($G330*VLOOKUP($C330,'Vehicle Master'!$D:$F,3,0)),"")</f>
      </c>
      <c r="J330" s="11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</row>
    <row x14ac:dyDescent="0.25" r="331" customHeight="1" ht="14.15">
      <c r="A331" s="112">
        <v>45867</v>
      </c>
      <c r="B331" s="112">
        <v>45868</v>
      </c>
      <c r="C331" s="107" t="s">
        <v>302</v>
      </c>
      <c r="D331" s="107" t="s">
        <v>42</v>
      </c>
      <c r="E331" s="108">
        <v>87362</v>
      </c>
      <c r="F331" s="108">
        <v>87575</v>
      </c>
      <c r="G331" s="109">
        <f>IF((F331-E331)&lt;0,0,(F331-E331))</f>
      </c>
      <c r="H331" s="110"/>
      <c r="I331" s="111">
        <f>IFERROR(SUMPRODUCT($G331*VLOOKUP($C331,'Vehicle Master'!$D:$F,3,0)),"")</f>
      </c>
      <c r="J331" s="11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</row>
    <row x14ac:dyDescent="0.25" r="332" customHeight="1" ht="14.15">
      <c r="A332" s="112">
        <v>45867</v>
      </c>
      <c r="B332" s="112">
        <v>45868</v>
      </c>
      <c r="C332" s="107" t="s">
        <v>305</v>
      </c>
      <c r="D332" s="107" t="s">
        <v>43</v>
      </c>
      <c r="E332" s="108">
        <v>110260</v>
      </c>
      <c r="F332" s="108">
        <v>110475</v>
      </c>
      <c r="G332" s="109">
        <f>IF((F332-E332)&lt;0,0,(F332-E332))</f>
      </c>
      <c r="H332" s="110"/>
      <c r="I332" s="111">
        <f>IFERROR(SUMPRODUCT($G332*VLOOKUP($C332,'Vehicle Master'!$D:$F,3,0)),"")</f>
      </c>
      <c r="J332" s="11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</row>
    <row x14ac:dyDescent="0.25" r="333" customHeight="1" ht="14.15">
      <c r="A333" s="112">
        <v>45868</v>
      </c>
      <c r="B333" s="112">
        <v>45871</v>
      </c>
      <c r="C333" s="107" t="s">
        <v>304</v>
      </c>
      <c r="D333" s="107" t="s">
        <v>39</v>
      </c>
      <c r="E333" s="108">
        <v>123157</v>
      </c>
      <c r="F333" s="108">
        <v>123236</v>
      </c>
      <c r="G333" s="109">
        <f>IF((F333-E333)&lt;0,0,(F333-E333))</f>
      </c>
      <c r="H333" s="110"/>
      <c r="I333" s="111">
        <f>IFERROR(SUMPRODUCT($G333*VLOOKUP($C333,'Vehicle Master'!$D:$F,3,0)),"")</f>
      </c>
      <c r="J333" s="117" t="s">
        <v>346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</row>
    <row x14ac:dyDescent="0.25" r="334" customHeight="1" ht="14.15">
      <c r="A334" s="112">
        <v>45868</v>
      </c>
      <c r="B334" s="112">
        <v>45871</v>
      </c>
      <c r="C334" s="107" t="s">
        <v>303</v>
      </c>
      <c r="D334" s="107" t="s">
        <v>42</v>
      </c>
      <c r="E334" s="108">
        <v>118407</v>
      </c>
      <c r="F334" s="108">
        <v>108771</v>
      </c>
      <c r="G334" s="109">
        <v>364</v>
      </c>
      <c r="H334" s="110"/>
      <c r="I334" s="111">
        <f>IFERROR(SUMPRODUCT($G334*VLOOKUP($C334,'Vehicle Master'!$D:$F,3,0)),"")</f>
      </c>
      <c r="J334" s="117" t="s">
        <v>346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</row>
    <row x14ac:dyDescent="0.25" r="335" customHeight="1" ht="14.15">
      <c r="A335" s="112">
        <v>45869</v>
      </c>
      <c r="B335" s="112">
        <v>45871</v>
      </c>
      <c r="C335" s="107" t="s">
        <v>302</v>
      </c>
      <c r="D335" s="107" t="s">
        <v>44</v>
      </c>
      <c r="E335" s="108">
        <v>87575</v>
      </c>
      <c r="F335" s="108">
        <v>87724</v>
      </c>
      <c r="G335" s="109">
        <f>IF((F335-E335)&lt;0,0,(F335-E335))</f>
      </c>
      <c r="H335" s="110"/>
      <c r="I335" s="111">
        <f>IFERROR(SUMPRODUCT($G335*VLOOKUP($C335,'Vehicle Master'!$D:$F,3,0)),"")</f>
      </c>
      <c r="J335" s="117" t="s">
        <v>346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</row>
    <row x14ac:dyDescent="0.25" r="336" customHeight="1" ht="15">
      <c r="A336" s="112">
        <v>45869</v>
      </c>
      <c r="B336" s="112">
        <v>45871</v>
      </c>
      <c r="C336" s="107" t="s">
        <v>305</v>
      </c>
      <c r="D336" s="107" t="s">
        <v>43</v>
      </c>
      <c r="E336" s="108">
        <v>110475</v>
      </c>
      <c r="F336" s="108">
        <v>110626</v>
      </c>
      <c r="G336" s="109">
        <f>IF((F336-E336)&lt;0,0,(F336-E336))</f>
      </c>
      <c r="H336" s="110"/>
      <c r="I336" s="111">
        <f>IFERROR(SUMPRODUCT($G336*VLOOKUP($C336,'Vehicle Master'!$D:$F,3,0)),"")</f>
      </c>
      <c r="J336" s="117" t="s">
        <v>346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</row>
    <row x14ac:dyDescent="0.25" r="337" customHeight="1" ht="15">
      <c r="A337" s="112">
        <v>45873</v>
      </c>
      <c r="B337" s="112">
        <v>45874</v>
      </c>
      <c r="C337" s="107" t="s">
        <v>302</v>
      </c>
      <c r="D337" s="107" t="s">
        <v>42</v>
      </c>
      <c r="E337" s="108">
        <v>87724</v>
      </c>
      <c r="F337" s="108">
        <v>87980</v>
      </c>
      <c r="G337" s="109">
        <f>IF((F337-E337)&lt;0,0,(F337-E337))</f>
      </c>
      <c r="H337" s="110"/>
      <c r="I337" s="111">
        <f>IFERROR(SUMPRODUCT($G337*VLOOKUP($C337,'Vehicle Master'!$D:$F,3,0)),"")</f>
      </c>
      <c r="J337" s="11"/>
      <c r="K337" s="3"/>
      <c r="L337" s="3"/>
      <c r="M337" s="3"/>
      <c r="N337" s="3"/>
      <c r="O337" s="3"/>
      <c r="P337" s="3"/>
      <c r="Q337" s="3"/>
      <c r="R337" s="3"/>
      <c r="S337" s="3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119"/>
      <c r="BF337" s="119"/>
      <c r="BG337" s="119"/>
      <c r="BH337" s="119"/>
      <c r="BI337" s="119"/>
      <c r="BJ337" s="119"/>
      <c r="BK337" s="119"/>
      <c r="BL337" s="119"/>
      <c r="BM337" s="119"/>
      <c r="BN337" s="119"/>
      <c r="BO337" s="119"/>
      <c r="BP337" s="119"/>
      <c r="BQ337" s="119"/>
      <c r="BR337" s="119"/>
      <c r="BS337" s="119"/>
      <c r="BT337" s="119"/>
      <c r="BU337" s="119"/>
      <c r="BV337" s="119"/>
      <c r="BW337" s="119"/>
      <c r="BX337" s="119"/>
      <c r="BY337" s="119"/>
      <c r="BZ337" s="119"/>
      <c r="CA337" s="119"/>
      <c r="CB337" s="119"/>
      <c r="CC337" s="119"/>
      <c r="CD337" s="119"/>
      <c r="CE337" s="119"/>
      <c r="CF337" s="119"/>
      <c r="CG337" s="119"/>
      <c r="CH337" s="119"/>
      <c r="CI337" s="119"/>
      <c r="CJ337" s="119"/>
      <c r="CK337" s="119"/>
      <c r="CL337" s="119"/>
      <c r="CM337" s="119"/>
      <c r="CN337" s="119"/>
      <c r="CO337" s="119"/>
      <c r="CP337" s="119"/>
      <c r="CQ337" s="119"/>
      <c r="CR337" s="119"/>
      <c r="CS337" s="119"/>
      <c r="CT337" s="119"/>
      <c r="CU337" s="119"/>
      <c r="CV337" s="119"/>
      <c r="CW337" s="119"/>
      <c r="CX337" s="119"/>
      <c r="CY337" s="119"/>
      <c r="CZ337" s="119"/>
      <c r="DA337" s="119"/>
      <c r="DB337" s="119"/>
      <c r="DC337" s="119"/>
      <c r="DD337" s="119"/>
      <c r="DE337" s="119"/>
      <c r="DF337" s="119"/>
      <c r="DG337" s="119"/>
      <c r="DH337" s="119"/>
      <c r="DI337" s="119"/>
      <c r="DJ337" s="119"/>
      <c r="DK337" s="119"/>
      <c r="DL337" s="119"/>
      <c r="DM337" s="119"/>
      <c r="DN337" s="119"/>
      <c r="DO337" s="119"/>
      <c r="DP337" s="119"/>
      <c r="DQ337" s="119"/>
      <c r="DR337" s="119"/>
      <c r="DS337" s="119"/>
      <c r="DT337" s="119"/>
      <c r="DU337" s="119"/>
      <c r="DV337" s="119"/>
      <c r="DW337" s="119"/>
      <c r="DX337" s="119"/>
      <c r="DY337" s="119"/>
      <c r="DZ337" s="119"/>
      <c r="EA337" s="119"/>
      <c r="EB337" s="119"/>
      <c r="EC337" s="119"/>
      <c r="ED337" s="119"/>
      <c r="EE337" s="119"/>
      <c r="EF337" s="119"/>
      <c r="EG337" s="119"/>
      <c r="EH337" s="119"/>
      <c r="EI337" s="119"/>
      <c r="EJ337" s="119"/>
      <c r="EK337" s="119"/>
      <c r="EL337" s="119"/>
      <c r="EM337" s="119"/>
      <c r="EN337" s="119"/>
      <c r="EO337" s="119"/>
      <c r="EP337" s="119"/>
      <c r="EQ337" s="119"/>
      <c r="ER337" s="119"/>
      <c r="ES337" s="119"/>
      <c r="ET337" s="119"/>
      <c r="EU337" s="119"/>
      <c r="EV337" s="119"/>
      <c r="EW337" s="119"/>
      <c r="EX337" s="119"/>
      <c r="EY337" s="119"/>
      <c r="EZ337" s="119"/>
      <c r="FA337" s="119"/>
      <c r="FB337" s="119"/>
      <c r="FC337" s="119"/>
      <c r="FD337" s="119"/>
      <c r="FE337" s="119"/>
      <c r="FF337" s="119"/>
      <c r="FG337" s="119"/>
      <c r="FH337" s="119"/>
      <c r="FI337" s="119"/>
      <c r="FJ337" s="119"/>
      <c r="FK337" s="119"/>
      <c r="FL337" s="119"/>
      <c r="FM337" s="119"/>
      <c r="FN337" s="119"/>
      <c r="FO337" s="119"/>
      <c r="FP337" s="119"/>
      <c r="FQ337" s="119"/>
      <c r="FR337" s="119"/>
    </row>
    <row x14ac:dyDescent="0.25" r="338" customHeight="1" ht="15">
      <c r="A338" s="112">
        <v>45873</v>
      </c>
      <c r="B338" s="112">
        <v>45875</v>
      </c>
      <c r="C338" s="107" t="s">
        <v>304</v>
      </c>
      <c r="D338" s="107" t="s">
        <v>39</v>
      </c>
      <c r="E338" s="108">
        <v>123236</v>
      </c>
      <c r="F338" s="108">
        <v>123723</v>
      </c>
      <c r="G338" s="109">
        <f>IF((F338-E338)&lt;0,0,(F338-E338))</f>
      </c>
      <c r="H338" s="110"/>
      <c r="I338" s="111">
        <f>IFERROR(SUMPRODUCT($G338*VLOOKUP($C338,'Vehicle Master'!$D:$F,3,0)),"")</f>
      </c>
      <c r="J338" s="11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119"/>
      <c r="BF338" s="119"/>
      <c r="BG338" s="119"/>
      <c r="BH338" s="119"/>
      <c r="BI338" s="119"/>
      <c r="BJ338" s="119"/>
      <c r="BK338" s="119"/>
      <c r="BL338" s="119"/>
      <c r="BM338" s="119"/>
      <c r="BN338" s="119"/>
      <c r="BO338" s="119"/>
      <c r="BP338" s="119"/>
      <c r="BQ338" s="119"/>
      <c r="BR338" s="119"/>
      <c r="BS338" s="119"/>
      <c r="BT338" s="119"/>
      <c r="BU338" s="119"/>
      <c r="BV338" s="119"/>
      <c r="BW338" s="119"/>
      <c r="BX338" s="119"/>
      <c r="BY338" s="119"/>
      <c r="BZ338" s="119"/>
      <c r="CA338" s="119"/>
      <c r="CB338" s="119"/>
      <c r="CC338" s="119"/>
      <c r="CD338" s="119"/>
      <c r="CE338" s="119"/>
      <c r="CF338" s="119"/>
      <c r="CG338" s="119"/>
      <c r="CH338" s="119"/>
      <c r="CI338" s="119"/>
      <c r="CJ338" s="119"/>
      <c r="CK338" s="119"/>
      <c r="CL338" s="119"/>
      <c r="CM338" s="119"/>
      <c r="CN338" s="119"/>
      <c r="CO338" s="119"/>
      <c r="CP338" s="119"/>
      <c r="CQ338" s="119"/>
      <c r="CR338" s="119"/>
      <c r="CS338" s="119"/>
      <c r="CT338" s="119"/>
      <c r="CU338" s="119"/>
      <c r="CV338" s="119"/>
      <c r="CW338" s="119"/>
      <c r="CX338" s="119"/>
      <c r="CY338" s="119"/>
      <c r="CZ338" s="119"/>
      <c r="DA338" s="119"/>
      <c r="DB338" s="119"/>
      <c r="DC338" s="119"/>
      <c r="DD338" s="119"/>
      <c r="DE338" s="119"/>
      <c r="DF338" s="119"/>
      <c r="DG338" s="119"/>
      <c r="DH338" s="119"/>
      <c r="DI338" s="119"/>
      <c r="DJ338" s="119"/>
      <c r="DK338" s="119"/>
      <c r="DL338" s="119"/>
      <c r="DM338" s="119"/>
      <c r="DN338" s="119"/>
      <c r="DO338" s="119"/>
      <c r="DP338" s="119"/>
      <c r="DQ338" s="119"/>
      <c r="DR338" s="119"/>
      <c r="DS338" s="119"/>
      <c r="DT338" s="119"/>
      <c r="DU338" s="119"/>
      <c r="DV338" s="119"/>
      <c r="DW338" s="119"/>
      <c r="DX338" s="119"/>
      <c r="DY338" s="119"/>
      <c r="DZ338" s="119"/>
      <c r="EA338" s="119"/>
      <c r="EB338" s="119"/>
      <c r="EC338" s="119"/>
      <c r="ED338" s="119"/>
      <c r="EE338" s="119"/>
      <c r="EF338" s="119"/>
      <c r="EG338" s="119"/>
      <c r="EH338" s="119"/>
      <c r="EI338" s="119"/>
      <c r="EJ338" s="119"/>
      <c r="EK338" s="119"/>
      <c r="EL338" s="119"/>
      <c r="EM338" s="119"/>
      <c r="EN338" s="119"/>
      <c r="EO338" s="119"/>
      <c r="EP338" s="119"/>
      <c r="EQ338" s="119"/>
      <c r="ER338" s="119"/>
      <c r="ES338" s="119"/>
      <c r="ET338" s="119"/>
      <c r="EU338" s="119"/>
      <c r="EV338" s="119"/>
      <c r="EW338" s="119"/>
      <c r="EX338" s="119"/>
      <c r="EY338" s="119"/>
      <c r="EZ338" s="119"/>
      <c r="FA338" s="119"/>
      <c r="FB338" s="119"/>
      <c r="FC338" s="119"/>
      <c r="FD338" s="119"/>
      <c r="FE338" s="119"/>
      <c r="FF338" s="119"/>
      <c r="FG338" s="119"/>
      <c r="FH338" s="119"/>
      <c r="FI338" s="119"/>
      <c r="FJ338" s="119"/>
      <c r="FK338" s="119"/>
      <c r="FL338" s="119"/>
      <c r="FM338" s="119"/>
      <c r="FN338" s="119"/>
      <c r="FO338" s="119"/>
      <c r="FP338" s="119"/>
      <c r="FQ338" s="119"/>
      <c r="FR338" s="119"/>
    </row>
    <row x14ac:dyDescent="0.25" r="339" customHeight="1" ht="15">
      <c r="A339" s="112">
        <v>45874</v>
      </c>
      <c r="B339" s="112">
        <v>45874</v>
      </c>
      <c r="C339" s="107" t="s">
        <v>305</v>
      </c>
      <c r="D339" s="107" t="s">
        <v>43</v>
      </c>
      <c r="E339" s="108">
        <v>110626</v>
      </c>
      <c r="F339" s="108">
        <v>110682</v>
      </c>
      <c r="G339" s="109">
        <f>IF((F339-E339)&lt;0,0,(F339-E339))</f>
      </c>
      <c r="H339" s="110"/>
      <c r="I339" s="111">
        <f>IFERROR(SUMPRODUCT($G339*VLOOKUP($C339,'Vehicle Master'!$D:$F,3,0)),"")</f>
      </c>
      <c r="J339" s="11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119"/>
      <c r="BF339" s="119"/>
      <c r="BG339" s="119"/>
      <c r="BH339" s="119"/>
      <c r="BI339" s="119"/>
      <c r="BJ339" s="119"/>
      <c r="BK339" s="119"/>
      <c r="BL339" s="119"/>
      <c r="BM339" s="119"/>
      <c r="BN339" s="119"/>
      <c r="BO339" s="119"/>
      <c r="BP339" s="119"/>
      <c r="BQ339" s="119"/>
      <c r="BR339" s="119"/>
      <c r="BS339" s="119"/>
      <c r="BT339" s="119"/>
      <c r="BU339" s="119"/>
      <c r="BV339" s="119"/>
      <c r="BW339" s="119"/>
      <c r="BX339" s="119"/>
      <c r="BY339" s="119"/>
      <c r="BZ339" s="119"/>
      <c r="CA339" s="119"/>
      <c r="CB339" s="119"/>
      <c r="CC339" s="119"/>
      <c r="CD339" s="119"/>
      <c r="CE339" s="119"/>
      <c r="CF339" s="119"/>
      <c r="CG339" s="119"/>
      <c r="CH339" s="119"/>
      <c r="CI339" s="119"/>
      <c r="CJ339" s="119"/>
      <c r="CK339" s="119"/>
      <c r="CL339" s="119"/>
      <c r="CM339" s="119"/>
      <c r="CN339" s="119"/>
      <c r="CO339" s="119"/>
      <c r="CP339" s="119"/>
      <c r="CQ339" s="119"/>
      <c r="CR339" s="119"/>
      <c r="CS339" s="119"/>
      <c r="CT339" s="119"/>
      <c r="CU339" s="119"/>
      <c r="CV339" s="119"/>
      <c r="CW339" s="119"/>
      <c r="CX339" s="119"/>
      <c r="CY339" s="119"/>
      <c r="CZ339" s="119"/>
      <c r="DA339" s="119"/>
      <c r="DB339" s="119"/>
      <c r="DC339" s="119"/>
      <c r="DD339" s="119"/>
      <c r="DE339" s="119"/>
      <c r="DF339" s="119"/>
      <c r="DG339" s="119"/>
      <c r="DH339" s="119"/>
      <c r="DI339" s="119"/>
      <c r="DJ339" s="119"/>
      <c r="DK339" s="119"/>
      <c r="DL339" s="119"/>
      <c r="DM339" s="119"/>
      <c r="DN339" s="119"/>
      <c r="DO339" s="119"/>
      <c r="DP339" s="119"/>
      <c r="DQ339" s="119"/>
      <c r="DR339" s="119"/>
      <c r="DS339" s="119"/>
      <c r="DT339" s="119"/>
      <c r="DU339" s="119"/>
      <c r="DV339" s="119"/>
      <c r="DW339" s="119"/>
      <c r="DX339" s="119"/>
      <c r="DY339" s="119"/>
      <c r="DZ339" s="119"/>
      <c r="EA339" s="119"/>
      <c r="EB339" s="119"/>
      <c r="EC339" s="119"/>
      <c r="ED339" s="119"/>
      <c r="EE339" s="119"/>
      <c r="EF339" s="119"/>
      <c r="EG339" s="119"/>
      <c r="EH339" s="119"/>
      <c r="EI339" s="119"/>
      <c r="EJ339" s="119"/>
      <c r="EK339" s="119"/>
      <c r="EL339" s="119"/>
      <c r="EM339" s="119"/>
      <c r="EN339" s="119"/>
      <c r="EO339" s="119"/>
      <c r="EP339" s="119"/>
      <c r="EQ339" s="119"/>
      <c r="ER339" s="119"/>
      <c r="ES339" s="119"/>
      <c r="ET339" s="119"/>
      <c r="EU339" s="119"/>
      <c r="EV339" s="119"/>
      <c r="EW339" s="119"/>
      <c r="EX339" s="119"/>
      <c r="EY339" s="119"/>
      <c r="EZ339" s="119"/>
      <c r="FA339" s="119"/>
      <c r="FB339" s="119"/>
      <c r="FC339" s="119"/>
      <c r="FD339" s="119"/>
      <c r="FE339" s="119"/>
      <c r="FF339" s="119"/>
      <c r="FG339" s="119"/>
      <c r="FH339" s="119"/>
      <c r="FI339" s="119"/>
      <c r="FJ339" s="119"/>
      <c r="FK339" s="119"/>
      <c r="FL339" s="119"/>
      <c r="FM339" s="119"/>
      <c r="FN339" s="119"/>
      <c r="FO339" s="119"/>
      <c r="FP339" s="119"/>
      <c r="FQ339" s="119"/>
      <c r="FR339" s="119"/>
    </row>
    <row x14ac:dyDescent="0.25" r="340" customHeight="1" ht="15">
      <c r="A340" s="112">
        <v>45874</v>
      </c>
      <c r="B340" s="112">
        <v>45874</v>
      </c>
      <c r="C340" s="107" t="s">
        <v>303</v>
      </c>
      <c r="D340" s="107" t="s">
        <v>45</v>
      </c>
      <c r="E340" s="108">
        <v>108771</v>
      </c>
      <c r="F340" s="108">
        <v>108881</v>
      </c>
      <c r="G340" s="109">
        <f>IF((F340-E340)&lt;0,0,(F340-E340))</f>
      </c>
      <c r="H340" s="110"/>
      <c r="I340" s="111">
        <f>IFERROR(SUMPRODUCT($G340*VLOOKUP($C340,'Vehicle Master'!$D:$F,3,0)),"")</f>
      </c>
      <c r="J340" s="11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119"/>
      <c r="BF340" s="119"/>
      <c r="BG340" s="119"/>
      <c r="BH340" s="119"/>
      <c r="BI340" s="119"/>
      <c r="BJ340" s="119"/>
      <c r="BK340" s="119"/>
      <c r="BL340" s="119"/>
      <c r="BM340" s="119"/>
      <c r="BN340" s="119"/>
      <c r="BO340" s="119"/>
      <c r="BP340" s="119"/>
      <c r="BQ340" s="119"/>
      <c r="BR340" s="119"/>
      <c r="BS340" s="119"/>
      <c r="BT340" s="119"/>
      <c r="BU340" s="119"/>
      <c r="BV340" s="119"/>
      <c r="BW340" s="119"/>
      <c r="BX340" s="119"/>
      <c r="BY340" s="119"/>
      <c r="BZ340" s="119"/>
      <c r="CA340" s="119"/>
      <c r="CB340" s="119"/>
      <c r="CC340" s="119"/>
      <c r="CD340" s="119"/>
      <c r="CE340" s="119"/>
      <c r="CF340" s="119"/>
      <c r="CG340" s="119"/>
      <c r="CH340" s="119"/>
      <c r="CI340" s="119"/>
      <c r="CJ340" s="119"/>
      <c r="CK340" s="119"/>
      <c r="CL340" s="119"/>
      <c r="CM340" s="119"/>
      <c r="CN340" s="119"/>
      <c r="CO340" s="119"/>
      <c r="CP340" s="119"/>
      <c r="CQ340" s="119"/>
      <c r="CR340" s="119"/>
      <c r="CS340" s="119"/>
      <c r="CT340" s="119"/>
      <c r="CU340" s="119"/>
      <c r="CV340" s="119"/>
      <c r="CW340" s="119"/>
      <c r="CX340" s="119"/>
      <c r="CY340" s="119"/>
      <c r="CZ340" s="119"/>
      <c r="DA340" s="119"/>
      <c r="DB340" s="119"/>
      <c r="DC340" s="119"/>
      <c r="DD340" s="119"/>
      <c r="DE340" s="119"/>
      <c r="DF340" s="119"/>
      <c r="DG340" s="119"/>
      <c r="DH340" s="119"/>
      <c r="DI340" s="119"/>
      <c r="DJ340" s="119"/>
      <c r="DK340" s="119"/>
      <c r="DL340" s="119"/>
      <c r="DM340" s="119"/>
      <c r="DN340" s="119"/>
      <c r="DO340" s="119"/>
      <c r="DP340" s="119"/>
      <c r="DQ340" s="119"/>
      <c r="DR340" s="119"/>
      <c r="DS340" s="119"/>
      <c r="DT340" s="119"/>
      <c r="DU340" s="119"/>
      <c r="DV340" s="119"/>
      <c r="DW340" s="119"/>
      <c r="DX340" s="119"/>
      <c r="DY340" s="119"/>
      <c r="DZ340" s="119"/>
      <c r="EA340" s="119"/>
      <c r="EB340" s="119"/>
      <c r="EC340" s="119"/>
      <c r="ED340" s="119"/>
      <c r="EE340" s="119"/>
      <c r="EF340" s="119"/>
      <c r="EG340" s="119"/>
      <c r="EH340" s="119"/>
      <c r="EI340" s="119"/>
      <c r="EJ340" s="119"/>
      <c r="EK340" s="119"/>
      <c r="EL340" s="119"/>
      <c r="EM340" s="119"/>
      <c r="EN340" s="119"/>
      <c r="EO340" s="119"/>
      <c r="EP340" s="119"/>
      <c r="EQ340" s="119"/>
      <c r="ER340" s="119"/>
      <c r="ES340" s="119"/>
      <c r="ET340" s="119"/>
      <c r="EU340" s="119"/>
      <c r="EV340" s="119"/>
      <c r="EW340" s="119"/>
      <c r="EX340" s="119"/>
      <c r="EY340" s="119"/>
      <c r="EZ340" s="119"/>
      <c r="FA340" s="119"/>
      <c r="FB340" s="119"/>
      <c r="FC340" s="119"/>
      <c r="FD340" s="119"/>
      <c r="FE340" s="119"/>
      <c r="FF340" s="119"/>
      <c r="FG340" s="119"/>
      <c r="FH340" s="119"/>
      <c r="FI340" s="119"/>
      <c r="FJ340" s="119"/>
      <c r="FK340" s="119"/>
      <c r="FL340" s="119"/>
      <c r="FM340" s="119"/>
      <c r="FN340" s="119"/>
      <c r="FO340" s="119"/>
      <c r="FP340" s="119"/>
      <c r="FQ340" s="119"/>
      <c r="FR340" s="119"/>
    </row>
    <row x14ac:dyDescent="0.25" r="341" customHeight="1" ht="15">
      <c r="A341" s="112">
        <v>45874</v>
      </c>
      <c r="B341" s="112">
        <v>45875</v>
      </c>
      <c r="C341" s="107" t="s">
        <v>302</v>
      </c>
      <c r="D341" s="107" t="s">
        <v>42</v>
      </c>
      <c r="E341" s="108">
        <v>87980</v>
      </c>
      <c r="F341" s="108">
        <v>88212</v>
      </c>
      <c r="G341" s="109">
        <f>IF((F341-E341)&lt;0,0,(F341-E341))</f>
      </c>
      <c r="H341" s="110"/>
      <c r="I341" s="111">
        <f>IFERROR(SUMPRODUCT($G341*VLOOKUP($C341,'Vehicle Master'!$D:$F,3,0)),"")</f>
      </c>
      <c r="J341" s="11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119"/>
      <c r="BF341" s="119"/>
      <c r="BG341" s="119"/>
      <c r="BH341" s="119"/>
      <c r="BI341" s="119"/>
      <c r="BJ341" s="119"/>
      <c r="BK341" s="119"/>
      <c r="BL341" s="119"/>
      <c r="BM341" s="119"/>
      <c r="BN341" s="119"/>
      <c r="BO341" s="119"/>
      <c r="BP341" s="119"/>
      <c r="BQ341" s="119"/>
      <c r="BR341" s="119"/>
      <c r="BS341" s="119"/>
      <c r="BT341" s="119"/>
      <c r="BU341" s="119"/>
      <c r="BV341" s="119"/>
      <c r="BW341" s="119"/>
      <c r="BX341" s="119"/>
      <c r="BY341" s="119"/>
      <c r="BZ341" s="119"/>
      <c r="CA341" s="119"/>
      <c r="CB341" s="119"/>
      <c r="CC341" s="119"/>
      <c r="CD341" s="119"/>
      <c r="CE341" s="119"/>
      <c r="CF341" s="119"/>
      <c r="CG341" s="119"/>
      <c r="CH341" s="119"/>
      <c r="CI341" s="119"/>
      <c r="CJ341" s="119"/>
      <c r="CK341" s="119"/>
      <c r="CL341" s="119"/>
      <c r="CM341" s="119"/>
      <c r="CN341" s="119"/>
      <c r="CO341" s="119"/>
      <c r="CP341" s="119"/>
      <c r="CQ341" s="119"/>
      <c r="CR341" s="119"/>
      <c r="CS341" s="119"/>
      <c r="CT341" s="119"/>
      <c r="CU341" s="119"/>
      <c r="CV341" s="119"/>
      <c r="CW341" s="119"/>
      <c r="CX341" s="119"/>
      <c r="CY341" s="119"/>
      <c r="CZ341" s="119"/>
      <c r="DA341" s="119"/>
      <c r="DB341" s="119"/>
      <c r="DC341" s="119"/>
      <c r="DD341" s="119"/>
      <c r="DE341" s="119"/>
      <c r="DF341" s="119"/>
      <c r="DG341" s="119"/>
      <c r="DH341" s="119"/>
      <c r="DI341" s="119"/>
      <c r="DJ341" s="119"/>
      <c r="DK341" s="119"/>
      <c r="DL341" s="119"/>
      <c r="DM341" s="119"/>
      <c r="DN341" s="119"/>
      <c r="DO341" s="119"/>
      <c r="DP341" s="119"/>
      <c r="DQ341" s="119"/>
      <c r="DR341" s="119"/>
      <c r="DS341" s="119"/>
      <c r="DT341" s="119"/>
      <c r="DU341" s="119"/>
      <c r="DV341" s="119"/>
      <c r="DW341" s="119"/>
      <c r="DX341" s="119"/>
      <c r="DY341" s="119"/>
      <c r="DZ341" s="119"/>
      <c r="EA341" s="119"/>
      <c r="EB341" s="119"/>
      <c r="EC341" s="119"/>
      <c r="ED341" s="119"/>
      <c r="EE341" s="119"/>
      <c r="EF341" s="119"/>
      <c r="EG341" s="119"/>
      <c r="EH341" s="119"/>
      <c r="EI341" s="119"/>
      <c r="EJ341" s="119"/>
      <c r="EK341" s="119"/>
      <c r="EL341" s="119"/>
      <c r="EM341" s="119"/>
      <c r="EN341" s="119"/>
      <c r="EO341" s="119"/>
      <c r="EP341" s="119"/>
      <c r="EQ341" s="119"/>
      <c r="ER341" s="119"/>
      <c r="ES341" s="119"/>
      <c r="ET341" s="119"/>
      <c r="EU341" s="119"/>
      <c r="EV341" s="119"/>
      <c r="EW341" s="119"/>
      <c r="EX341" s="119"/>
      <c r="EY341" s="119"/>
      <c r="EZ341" s="119"/>
      <c r="FA341" s="119"/>
      <c r="FB341" s="119"/>
      <c r="FC341" s="119"/>
      <c r="FD341" s="119"/>
      <c r="FE341" s="119"/>
      <c r="FF341" s="119"/>
      <c r="FG341" s="119"/>
      <c r="FH341" s="119"/>
      <c r="FI341" s="119"/>
      <c r="FJ341" s="119"/>
      <c r="FK341" s="119"/>
      <c r="FL341" s="119"/>
      <c r="FM341" s="119"/>
      <c r="FN341" s="119"/>
      <c r="FO341" s="119"/>
      <c r="FP341" s="119"/>
      <c r="FQ341" s="119"/>
      <c r="FR341" s="119"/>
    </row>
    <row x14ac:dyDescent="0.25" r="342" customHeight="1" ht="15">
      <c r="A342" s="112">
        <v>45875</v>
      </c>
      <c r="B342" s="112">
        <v>45875</v>
      </c>
      <c r="C342" s="107" t="s">
        <v>305</v>
      </c>
      <c r="D342" s="107" t="s">
        <v>43</v>
      </c>
      <c r="E342" s="108">
        <v>110682</v>
      </c>
      <c r="F342" s="108">
        <v>110836</v>
      </c>
      <c r="G342" s="109">
        <f>IF((F342-E342)&lt;0,0,(F342-E342))</f>
      </c>
      <c r="H342" s="110"/>
      <c r="I342" s="111">
        <f>IFERROR(SUMPRODUCT($G342*VLOOKUP($C342,'Vehicle Master'!$D:$F,3,0)),"")</f>
      </c>
      <c r="J342" s="11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119"/>
      <c r="BF342" s="119"/>
      <c r="BG342" s="119"/>
      <c r="BH342" s="119"/>
      <c r="BI342" s="119"/>
      <c r="BJ342" s="119"/>
      <c r="BK342" s="119"/>
      <c r="BL342" s="119"/>
      <c r="BM342" s="119"/>
      <c r="BN342" s="119"/>
      <c r="BO342" s="119"/>
      <c r="BP342" s="119"/>
      <c r="BQ342" s="119"/>
      <c r="BR342" s="119"/>
      <c r="BS342" s="119"/>
      <c r="BT342" s="119"/>
      <c r="BU342" s="119"/>
      <c r="BV342" s="119"/>
      <c r="BW342" s="119"/>
      <c r="BX342" s="119"/>
      <c r="BY342" s="119"/>
      <c r="BZ342" s="119"/>
      <c r="CA342" s="119"/>
      <c r="CB342" s="119"/>
      <c r="CC342" s="119"/>
      <c r="CD342" s="119"/>
      <c r="CE342" s="119"/>
      <c r="CF342" s="119"/>
      <c r="CG342" s="119"/>
      <c r="CH342" s="119"/>
      <c r="CI342" s="119"/>
      <c r="CJ342" s="119"/>
      <c r="CK342" s="119"/>
      <c r="CL342" s="119"/>
      <c r="CM342" s="119"/>
      <c r="CN342" s="119"/>
      <c r="CO342" s="119"/>
      <c r="CP342" s="119"/>
      <c r="CQ342" s="119"/>
      <c r="CR342" s="119"/>
      <c r="CS342" s="119"/>
      <c r="CT342" s="119"/>
      <c r="CU342" s="119"/>
      <c r="CV342" s="119"/>
      <c r="CW342" s="119"/>
      <c r="CX342" s="119"/>
      <c r="CY342" s="119"/>
      <c r="CZ342" s="119"/>
      <c r="DA342" s="119"/>
      <c r="DB342" s="119"/>
      <c r="DC342" s="119"/>
      <c r="DD342" s="119"/>
      <c r="DE342" s="119"/>
      <c r="DF342" s="119"/>
      <c r="DG342" s="119"/>
      <c r="DH342" s="119"/>
      <c r="DI342" s="119"/>
      <c r="DJ342" s="119"/>
      <c r="DK342" s="119"/>
      <c r="DL342" s="119"/>
      <c r="DM342" s="119"/>
      <c r="DN342" s="119"/>
      <c r="DO342" s="119"/>
      <c r="DP342" s="119"/>
      <c r="DQ342" s="119"/>
      <c r="DR342" s="119"/>
      <c r="DS342" s="119"/>
      <c r="DT342" s="119"/>
      <c r="DU342" s="119"/>
      <c r="DV342" s="119"/>
      <c r="DW342" s="119"/>
      <c r="DX342" s="119"/>
      <c r="DY342" s="119"/>
      <c r="DZ342" s="119"/>
      <c r="EA342" s="119"/>
      <c r="EB342" s="119"/>
      <c r="EC342" s="119"/>
      <c r="ED342" s="119"/>
      <c r="EE342" s="119"/>
      <c r="EF342" s="119"/>
      <c r="EG342" s="119"/>
      <c r="EH342" s="119"/>
      <c r="EI342" s="119"/>
      <c r="EJ342" s="119"/>
      <c r="EK342" s="119"/>
      <c r="EL342" s="119"/>
      <c r="EM342" s="119"/>
      <c r="EN342" s="119"/>
      <c r="EO342" s="119"/>
      <c r="EP342" s="119"/>
      <c r="EQ342" s="119"/>
      <c r="ER342" s="119"/>
      <c r="ES342" s="119"/>
      <c r="ET342" s="119"/>
      <c r="EU342" s="119"/>
      <c r="EV342" s="119"/>
      <c r="EW342" s="119"/>
      <c r="EX342" s="119"/>
      <c r="EY342" s="119"/>
      <c r="EZ342" s="119"/>
      <c r="FA342" s="119"/>
      <c r="FB342" s="119"/>
      <c r="FC342" s="119"/>
      <c r="FD342" s="119"/>
      <c r="FE342" s="119"/>
      <c r="FF342" s="119"/>
      <c r="FG342" s="119"/>
      <c r="FH342" s="119"/>
      <c r="FI342" s="119"/>
      <c r="FJ342" s="119"/>
      <c r="FK342" s="119"/>
      <c r="FL342" s="119"/>
      <c r="FM342" s="119"/>
      <c r="FN342" s="119"/>
      <c r="FO342" s="119"/>
      <c r="FP342" s="119"/>
      <c r="FQ342" s="119"/>
      <c r="FR342" s="119"/>
    </row>
    <row x14ac:dyDescent="0.25" r="343" customHeight="1" ht="15">
      <c r="A343" s="112">
        <v>45876</v>
      </c>
      <c r="B343" s="112">
        <v>45876</v>
      </c>
      <c r="C343" s="107" t="s">
        <v>303</v>
      </c>
      <c r="D343" s="107" t="s">
        <v>45</v>
      </c>
      <c r="E343" s="108">
        <v>108881</v>
      </c>
      <c r="F343" s="108">
        <v>108949</v>
      </c>
      <c r="G343" s="109">
        <f>IF((F343-E343)&lt;0,0,(F343-E343))</f>
      </c>
      <c r="H343" s="110"/>
      <c r="I343" s="111">
        <f>IFERROR(SUMPRODUCT($G343*VLOOKUP($C343,'Vehicle Master'!$D:$F,3,0)),"")</f>
      </c>
      <c r="J343" s="11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9"/>
      <c r="AN343" s="119"/>
      <c r="AO343" s="119"/>
      <c r="AP343" s="119"/>
      <c r="AQ343" s="119"/>
      <c r="AR343" s="119"/>
      <c r="AS343" s="119"/>
      <c r="AT343" s="119"/>
      <c r="AU343" s="119"/>
      <c r="AV343" s="119"/>
      <c r="AW343" s="119"/>
      <c r="AX343" s="119"/>
      <c r="AY343" s="119"/>
      <c r="AZ343" s="119"/>
      <c r="BA343" s="119"/>
      <c r="BB343" s="119"/>
      <c r="BC343" s="119"/>
      <c r="BD343" s="119"/>
      <c r="BE343" s="119"/>
      <c r="BF343" s="119"/>
      <c r="BG343" s="119"/>
      <c r="BH343" s="119"/>
      <c r="BI343" s="119"/>
      <c r="BJ343" s="119"/>
      <c r="BK343" s="119"/>
      <c r="BL343" s="119"/>
      <c r="BM343" s="119"/>
      <c r="BN343" s="119"/>
      <c r="BO343" s="119"/>
      <c r="BP343" s="119"/>
      <c r="BQ343" s="119"/>
      <c r="BR343" s="119"/>
      <c r="BS343" s="119"/>
      <c r="BT343" s="119"/>
      <c r="BU343" s="119"/>
      <c r="BV343" s="119"/>
      <c r="BW343" s="119"/>
      <c r="BX343" s="119"/>
      <c r="BY343" s="119"/>
      <c r="BZ343" s="119"/>
      <c r="CA343" s="119"/>
      <c r="CB343" s="119"/>
      <c r="CC343" s="119"/>
      <c r="CD343" s="119"/>
      <c r="CE343" s="119"/>
      <c r="CF343" s="119"/>
      <c r="CG343" s="119"/>
      <c r="CH343" s="119"/>
      <c r="CI343" s="119"/>
      <c r="CJ343" s="119"/>
      <c r="CK343" s="119"/>
      <c r="CL343" s="119"/>
      <c r="CM343" s="119"/>
      <c r="CN343" s="119"/>
      <c r="CO343" s="119"/>
      <c r="CP343" s="119"/>
      <c r="CQ343" s="119"/>
      <c r="CR343" s="119"/>
      <c r="CS343" s="119"/>
      <c r="CT343" s="119"/>
      <c r="CU343" s="119"/>
      <c r="CV343" s="119"/>
      <c r="CW343" s="119"/>
      <c r="CX343" s="119"/>
      <c r="CY343" s="119"/>
      <c r="CZ343" s="119"/>
      <c r="DA343" s="119"/>
      <c r="DB343" s="119"/>
      <c r="DC343" s="119"/>
      <c r="DD343" s="119"/>
      <c r="DE343" s="119"/>
      <c r="DF343" s="119"/>
      <c r="DG343" s="119"/>
      <c r="DH343" s="119"/>
      <c r="DI343" s="119"/>
      <c r="DJ343" s="119"/>
      <c r="DK343" s="119"/>
      <c r="DL343" s="119"/>
      <c r="DM343" s="119"/>
      <c r="DN343" s="119"/>
      <c r="DO343" s="119"/>
      <c r="DP343" s="119"/>
      <c r="DQ343" s="119"/>
      <c r="DR343" s="119"/>
      <c r="DS343" s="119"/>
      <c r="DT343" s="119"/>
      <c r="DU343" s="119"/>
      <c r="DV343" s="119"/>
      <c r="DW343" s="119"/>
      <c r="DX343" s="119"/>
      <c r="DY343" s="119"/>
      <c r="DZ343" s="119"/>
      <c r="EA343" s="119"/>
      <c r="EB343" s="119"/>
      <c r="EC343" s="119"/>
      <c r="ED343" s="119"/>
      <c r="EE343" s="119"/>
      <c r="EF343" s="119"/>
      <c r="EG343" s="119"/>
      <c r="EH343" s="119"/>
      <c r="EI343" s="119"/>
      <c r="EJ343" s="119"/>
      <c r="EK343" s="119"/>
      <c r="EL343" s="119"/>
      <c r="EM343" s="119"/>
      <c r="EN343" s="119"/>
      <c r="EO343" s="119"/>
      <c r="EP343" s="119"/>
      <c r="EQ343" s="119"/>
      <c r="ER343" s="119"/>
      <c r="ES343" s="119"/>
      <c r="ET343" s="119"/>
      <c r="EU343" s="119"/>
      <c r="EV343" s="119"/>
      <c r="EW343" s="119"/>
      <c r="EX343" s="119"/>
      <c r="EY343" s="119"/>
      <c r="EZ343" s="119"/>
      <c r="FA343" s="119"/>
      <c r="FB343" s="119"/>
      <c r="FC343" s="119"/>
      <c r="FD343" s="119"/>
      <c r="FE343" s="119"/>
      <c r="FF343" s="119"/>
      <c r="FG343" s="119"/>
      <c r="FH343" s="119"/>
      <c r="FI343" s="119"/>
      <c r="FJ343" s="119"/>
      <c r="FK343" s="119"/>
      <c r="FL343" s="119"/>
      <c r="FM343" s="119"/>
      <c r="FN343" s="119"/>
      <c r="FO343" s="119"/>
      <c r="FP343" s="119"/>
      <c r="FQ343" s="119"/>
      <c r="FR343" s="119"/>
    </row>
    <row x14ac:dyDescent="0.25" r="344" customHeight="1" ht="15">
      <c r="A344" s="112">
        <v>45877</v>
      </c>
      <c r="B344" s="112">
        <v>45880</v>
      </c>
      <c r="C344" s="107" t="s">
        <v>302</v>
      </c>
      <c r="D344" s="107" t="s">
        <v>42</v>
      </c>
      <c r="E344" s="108">
        <v>88212</v>
      </c>
      <c r="F344" s="108">
        <v>88300</v>
      </c>
      <c r="G344" s="109">
        <f>IF((F344-E344)&lt;0,0,(F344-E344))</f>
      </c>
      <c r="H344" s="110"/>
      <c r="I344" s="111">
        <f>IFERROR(SUMPRODUCT($G344*VLOOKUP($C344,'Vehicle Master'!$D:$F,3,0)),"")</f>
      </c>
      <c r="J344" s="11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119"/>
      <c r="BF344" s="119"/>
      <c r="BG344" s="119"/>
      <c r="BH344" s="119"/>
      <c r="BI344" s="119"/>
      <c r="BJ344" s="119"/>
      <c r="BK344" s="119"/>
      <c r="BL344" s="119"/>
      <c r="BM344" s="119"/>
      <c r="BN344" s="119"/>
      <c r="BO344" s="119"/>
      <c r="BP344" s="119"/>
      <c r="BQ344" s="119"/>
      <c r="BR344" s="119"/>
      <c r="BS344" s="119"/>
      <c r="BT344" s="119"/>
      <c r="BU344" s="119"/>
      <c r="BV344" s="119"/>
      <c r="BW344" s="119"/>
      <c r="BX344" s="119"/>
      <c r="BY344" s="119"/>
      <c r="BZ344" s="119"/>
      <c r="CA344" s="119"/>
      <c r="CB344" s="119"/>
      <c r="CC344" s="119"/>
      <c r="CD344" s="119"/>
      <c r="CE344" s="119"/>
      <c r="CF344" s="119"/>
      <c r="CG344" s="119"/>
      <c r="CH344" s="119"/>
      <c r="CI344" s="119"/>
      <c r="CJ344" s="119"/>
      <c r="CK344" s="119"/>
      <c r="CL344" s="119"/>
      <c r="CM344" s="119"/>
      <c r="CN344" s="119"/>
      <c r="CO344" s="119"/>
      <c r="CP344" s="119"/>
      <c r="CQ344" s="119"/>
      <c r="CR344" s="119"/>
      <c r="CS344" s="119"/>
      <c r="CT344" s="119"/>
      <c r="CU344" s="119"/>
      <c r="CV344" s="119"/>
      <c r="CW344" s="119"/>
      <c r="CX344" s="119"/>
      <c r="CY344" s="119"/>
      <c r="CZ344" s="119"/>
      <c r="DA344" s="119"/>
      <c r="DB344" s="119"/>
      <c r="DC344" s="119"/>
      <c r="DD344" s="119"/>
      <c r="DE344" s="119"/>
      <c r="DF344" s="119"/>
      <c r="DG344" s="119"/>
      <c r="DH344" s="119"/>
      <c r="DI344" s="119"/>
      <c r="DJ344" s="119"/>
      <c r="DK344" s="119"/>
      <c r="DL344" s="119"/>
      <c r="DM344" s="119"/>
      <c r="DN344" s="119"/>
      <c r="DO344" s="119"/>
      <c r="DP344" s="119"/>
      <c r="DQ344" s="119"/>
      <c r="DR344" s="119"/>
      <c r="DS344" s="119"/>
      <c r="DT344" s="119"/>
      <c r="DU344" s="119"/>
      <c r="DV344" s="119"/>
      <c r="DW344" s="119"/>
      <c r="DX344" s="119"/>
      <c r="DY344" s="119"/>
      <c r="DZ344" s="119"/>
      <c r="EA344" s="119"/>
      <c r="EB344" s="119"/>
      <c r="EC344" s="119"/>
      <c r="ED344" s="119"/>
      <c r="EE344" s="119"/>
      <c r="EF344" s="119"/>
      <c r="EG344" s="119"/>
      <c r="EH344" s="119"/>
      <c r="EI344" s="119"/>
      <c r="EJ344" s="119"/>
      <c r="EK344" s="119"/>
      <c r="EL344" s="119"/>
      <c r="EM344" s="119"/>
      <c r="EN344" s="119"/>
      <c r="EO344" s="119"/>
      <c r="EP344" s="119"/>
      <c r="EQ344" s="119"/>
      <c r="ER344" s="119"/>
      <c r="ES344" s="119"/>
      <c r="ET344" s="119"/>
      <c r="EU344" s="119"/>
      <c r="EV344" s="119"/>
      <c r="EW344" s="119"/>
      <c r="EX344" s="119"/>
      <c r="EY344" s="119"/>
      <c r="EZ344" s="119"/>
      <c r="FA344" s="119"/>
      <c r="FB344" s="119"/>
      <c r="FC344" s="119"/>
      <c r="FD344" s="119"/>
      <c r="FE344" s="119"/>
      <c r="FF344" s="119"/>
      <c r="FG344" s="119"/>
      <c r="FH344" s="119"/>
      <c r="FI344" s="119"/>
      <c r="FJ344" s="119"/>
      <c r="FK344" s="119"/>
      <c r="FL344" s="119"/>
      <c r="FM344" s="119"/>
      <c r="FN344" s="119"/>
      <c r="FO344" s="119"/>
      <c r="FP344" s="119"/>
      <c r="FQ344" s="119"/>
      <c r="FR344" s="119"/>
    </row>
    <row x14ac:dyDescent="0.25" r="345" customHeight="1" ht="15">
      <c r="A345" s="112">
        <v>45880</v>
      </c>
      <c r="B345" s="112">
        <v>45880</v>
      </c>
      <c r="C345" s="107" t="s">
        <v>304</v>
      </c>
      <c r="D345" s="107" t="s">
        <v>39</v>
      </c>
      <c r="E345" s="108">
        <v>123723</v>
      </c>
      <c r="F345" s="108">
        <v>123799</v>
      </c>
      <c r="G345" s="109">
        <f>IF((F345-E345)&lt;0,0,(F345-E345))</f>
      </c>
      <c r="H345" s="110"/>
      <c r="I345" s="111">
        <f>IFERROR(SUMPRODUCT($G345*VLOOKUP($C345,'Vehicle Master'!$D:$F,3,0)),"")</f>
      </c>
      <c r="J345" s="11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119"/>
      <c r="BF345" s="119"/>
      <c r="BG345" s="119"/>
      <c r="BH345" s="119"/>
      <c r="BI345" s="119"/>
      <c r="BJ345" s="119"/>
      <c r="BK345" s="119"/>
      <c r="BL345" s="119"/>
      <c r="BM345" s="119"/>
      <c r="BN345" s="119"/>
      <c r="BO345" s="119"/>
      <c r="BP345" s="119"/>
      <c r="BQ345" s="119"/>
      <c r="BR345" s="119"/>
      <c r="BS345" s="119"/>
      <c r="BT345" s="119"/>
      <c r="BU345" s="119"/>
      <c r="BV345" s="119"/>
      <c r="BW345" s="119"/>
      <c r="BX345" s="119"/>
      <c r="BY345" s="119"/>
      <c r="BZ345" s="119"/>
      <c r="CA345" s="119"/>
      <c r="CB345" s="119"/>
      <c r="CC345" s="119"/>
      <c r="CD345" s="119"/>
      <c r="CE345" s="119"/>
      <c r="CF345" s="119"/>
      <c r="CG345" s="119"/>
      <c r="CH345" s="119"/>
      <c r="CI345" s="119"/>
      <c r="CJ345" s="119"/>
      <c r="CK345" s="119"/>
      <c r="CL345" s="119"/>
      <c r="CM345" s="119"/>
      <c r="CN345" s="119"/>
      <c r="CO345" s="119"/>
      <c r="CP345" s="119"/>
      <c r="CQ345" s="119"/>
      <c r="CR345" s="119"/>
      <c r="CS345" s="119"/>
      <c r="CT345" s="119"/>
      <c r="CU345" s="119"/>
      <c r="CV345" s="119"/>
      <c r="CW345" s="119"/>
      <c r="CX345" s="119"/>
      <c r="CY345" s="119"/>
      <c r="CZ345" s="119"/>
      <c r="DA345" s="119"/>
      <c r="DB345" s="119"/>
      <c r="DC345" s="119"/>
      <c r="DD345" s="119"/>
      <c r="DE345" s="119"/>
      <c r="DF345" s="119"/>
      <c r="DG345" s="119"/>
      <c r="DH345" s="119"/>
      <c r="DI345" s="119"/>
      <c r="DJ345" s="119"/>
      <c r="DK345" s="119"/>
      <c r="DL345" s="119"/>
      <c r="DM345" s="119"/>
      <c r="DN345" s="119"/>
      <c r="DO345" s="119"/>
      <c r="DP345" s="119"/>
      <c r="DQ345" s="119"/>
      <c r="DR345" s="119"/>
      <c r="DS345" s="119"/>
      <c r="DT345" s="119"/>
      <c r="DU345" s="119"/>
      <c r="DV345" s="119"/>
      <c r="DW345" s="119"/>
      <c r="DX345" s="119"/>
      <c r="DY345" s="119"/>
      <c r="DZ345" s="119"/>
      <c r="EA345" s="119"/>
      <c r="EB345" s="119"/>
      <c r="EC345" s="119"/>
      <c r="ED345" s="119"/>
      <c r="EE345" s="119"/>
      <c r="EF345" s="119"/>
      <c r="EG345" s="119"/>
      <c r="EH345" s="119"/>
      <c r="EI345" s="119"/>
      <c r="EJ345" s="119"/>
      <c r="EK345" s="119"/>
      <c r="EL345" s="119"/>
      <c r="EM345" s="119"/>
      <c r="EN345" s="119"/>
      <c r="EO345" s="119"/>
      <c r="EP345" s="119"/>
      <c r="EQ345" s="119"/>
      <c r="ER345" s="119"/>
      <c r="ES345" s="119"/>
      <c r="ET345" s="119"/>
      <c r="EU345" s="119"/>
      <c r="EV345" s="119"/>
      <c r="EW345" s="119"/>
      <c r="EX345" s="119"/>
      <c r="EY345" s="119"/>
      <c r="EZ345" s="119"/>
      <c r="FA345" s="119"/>
      <c r="FB345" s="119"/>
      <c r="FC345" s="119"/>
      <c r="FD345" s="119"/>
      <c r="FE345" s="119"/>
      <c r="FF345" s="119"/>
      <c r="FG345" s="119"/>
      <c r="FH345" s="119"/>
      <c r="FI345" s="119"/>
      <c r="FJ345" s="119"/>
      <c r="FK345" s="119"/>
      <c r="FL345" s="119"/>
      <c r="FM345" s="119"/>
      <c r="FN345" s="119"/>
      <c r="FO345" s="119"/>
      <c r="FP345" s="119"/>
      <c r="FQ345" s="119"/>
      <c r="FR345" s="119"/>
    </row>
    <row x14ac:dyDescent="0.25" r="346" customHeight="1" ht="15">
      <c r="A346" s="112">
        <v>45881</v>
      </c>
      <c r="B346" s="112">
        <v>45883</v>
      </c>
      <c r="C346" s="107" t="s">
        <v>302</v>
      </c>
      <c r="D346" s="107" t="s">
        <v>42</v>
      </c>
      <c r="E346" s="108">
        <v>88300</v>
      </c>
      <c r="F346" s="108">
        <v>88673</v>
      </c>
      <c r="G346" s="109">
        <f>IF((F346-E346)&lt;0,0,(F346-E346))</f>
      </c>
      <c r="H346" s="110"/>
      <c r="I346" s="111">
        <f>IFERROR(SUMPRODUCT($G346*VLOOKUP($C346,'Vehicle Master'!$D:$F,3,0)),"")</f>
      </c>
      <c r="J346" s="11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119"/>
      <c r="BF346" s="119"/>
      <c r="BG346" s="119"/>
      <c r="BH346" s="119"/>
      <c r="BI346" s="119"/>
      <c r="BJ346" s="119"/>
      <c r="BK346" s="119"/>
      <c r="BL346" s="119"/>
      <c r="BM346" s="119"/>
      <c r="BN346" s="119"/>
      <c r="BO346" s="119"/>
      <c r="BP346" s="119"/>
      <c r="BQ346" s="119"/>
      <c r="BR346" s="119"/>
      <c r="BS346" s="119"/>
      <c r="BT346" s="119"/>
      <c r="BU346" s="119"/>
      <c r="BV346" s="119"/>
      <c r="BW346" s="119"/>
      <c r="BX346" s="119"/>
      <c r="BY346" s="119"/>
      <c r="BZ346" s="119"/>
      <c r="CA346" s="119"/>
      <c r="CB346" s="119"/>
      <c r="CC346" s="119"/>
      <c r="CD346" s="119"/>
      <c r="CE346" s="119"/>
      <c r="CF346" s="119"/>
      <c r="CG346" s="119"/>
      <c r="CH346" s="119"/>
      <c r="CI346" s="119"/>
      <c r="CJ346" s="119"/>
      <c r="CK346" s="119"/>
      <c r="CL346" s="119"/>
      <c r="CM346" s="119"/>
      <c r="CN346" s="119"/>
      <c r="CO346" s="119"/>
      <c r="CP346" s="119"/>
      <c r="CQ346" s="119"/>
      <c r="CR346" s="119"/>
      <c r="CS346" s="119"/>
      <c r="CT346" s="119"/>
      <c r="CU346" s="119"/>
      <c r="CV346" s="119"/>
      <c r="CW346" s="119"/>
      <c r="CX346" s="119"/>
      <c r="CY346" s="119"/>
      <c r="CZ346" s="119"/>
      <c r="DA346" s="119"/>
      <c r="DB346" s="119"/>
      <c r="DC346" s="119"/>
      <c r="DD346" s="119"/>
      <c r="DE346" s="119"/>
      <c r="DF346" s="119"/>
      <c r="DG346" s="119"/>
      <c r="DH346" s="119"/>
      <c r="DI346" s="119"/>
      <c r="DJ346" s="119"/>
      <c r="DK346" s="119"/>
      <c r="DL346" s="119"/>
      <c r="DM346" s="119"/>
      <c r="DN346" s="119"/>
      <c r="DO346" s="119"/>
      <c r="DP346" s="119"/>
      <c r="DQ346" s="119"/>
      <c r="DR346" s="119"/>
      <c r="DS346" s="119"/>
      <c r="DT346" s="119"/>
      <c r="DU346" s="119"/>
      <c r="DV346" s="119"/>
      <c r="DW346" s="119"/>
      <c r="DX346" s="119"/>
      <c r="DY346" s="119"/>
      <c r="DZ346" s="119"/>
      <c r="EA346" s="119"/>
      <c r="EB346" s="119"/>
      <c r="EC346" s="119"/>
      <c r="ED346" s="119"/>
      <c r="EE346" s="119"/>
      <c r="EF346" s="119"/>
      <c r="EG346" s="119"/>
      <c r="EH346" s="119"/>
      <c r="EI346" s="119"/>
      <c r="EJ346" s="119"/>
      <c r="EK346" s="119"/>
      <c r="EL346" s="119"/>
      <c r="EM346" s="119"/>
      <c r="EN346" s="119"/>
      <c r="EO346" s="119"/>
      <c r="EP346" s="119"/>
      <c r="EQ346" s="119"/>
      <c r="ER346" s="119"/>
      <c r="ES346" s="119"/>
      <c r="ET346" s="119"/>
      <c r="EU346" s="119"/>
      <c r="EV346" s="119"/>
      <c r="EW346" s="119"/>
      <c r="EX346" s="119"/>
      <c r="EY346" s="119"/>
      <c r="EZ346" s="119"/>
      <c r="FA346" s="119"/>
      <c r="FB346" s="119"/>
      <c r="FC346" s="119"/>
      <c r="FD346" s="119"/>
      <c r="FE346" s="119"/>
      <c r="FF346" s="119"/>
      <c r="FG346" s="119"/>
      <c r="FH346" s="119"/>
      <c r="FI346" s="119"/>
      <c r="FJ346" s="119"/>
      <c r="FK346" s="119"/>
      <c r="FL346" s="119"/>
      <c r="FM346" s="119"/>
      <c r="FN346" s="119"/>
      <c r="FO346" s="119"/>
      <c r="FP346" s="119"/>
      <c r="FQ346" s="119"/>
      <c r="FR346" s="119"/>
    </row>
    <row x14ac:dyDescent="0.25" r="347" customHeight="1" ht="15">
      <c r="A347" s="112">
        <v>45881</v>
      </c>
      <c r="B347" s="112">
        <v>45883</v>
      </c>
      <c r="C347" s="107" t="s">
        <v>304</v>
      </c>
      <c r="D347" s="107" t="s">
        <v>39</v>
      </c>
      <c r="E347" s="108">
        <v>123799</v>
      </c>
      <c r="F347" s="108">
        <v>124121</v>
      </c>
      <c r="G347" s="109">
        <f>IF((F347-E347)&lt;0,0,(F347-E347))</f>
      </c>
      <c r="H347" s="110"/>
      <c r="I347" s="111">
        <f>IFERROR(SUMPRODUCT($G347*VLOOKUP($C347,'Vehicle Master'!$D:$F,3,0)),"")</f>
      </c>
      <c r="J347" s="11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119"/>
      <c r="BF347" s="119"/>
      <c r="BG347" s="119"/>
      <c r="BH347" s="119"/>
      <c r="BI347" s="119"/>
      <c r="BJ347" s="119"/>
      <c r="BK347" s="119"/>
      <c r="BL347" s="119"/>
      <c r="BM347" s="119"/>
      <c r="BN347" s="119"/>
      <c r="BO347" s="119"/>
      <c r="BP347" s="119"/>
      <c r="BQ347" s="119"/>
      <c r="BR347" s="119"/>
      <c r="BS347" s="119"/>
      <c r="BT347" s="119"/>
      <c r="BU347" s="119"/>
      <c r="BV347" s="119"/>
      <c r="BW347" s="119"/>
      <c r="BX347" s="119"/>
      <c r="BY347" s="119"/>
      <c r="BZ347" s="119"/>
      <c r="CA347" s="119"/>
      <c r="CB347" s="119"/>
      <c r="CC347" s="119"/>
      <c r="CD347" s="119"/>
      <c r="CE347" s="119"/>
      <c r="CF347" s="119"/>
      <c r="CG347" s="119"/>
      <c r="CH347" s="119"/>
      <c r="CI347" s="119"/>
      <c r="CJ347" s="119"/>
      <c r="CK347" s="119"/>
      <c r="CL347" s="119"/>
      <c r="CM347" s="119"/>
      <c r="CN347" s="119"/>
      <c r="CO347" s="119"/>
      <c r="CP347" s="119"/>
      <c r="CQ347" s="119"/>
      <c r="CR347" s="119"/>
      <c r="CS347" s="119"/>
      <c r="CT347" s="119"/>
      <c r="CU347" s="119"/>
      <c r="CV347" s="119"/>
      <c r="CW347" s="119"/>
      <c r="CX347" s="119"/>
      <c r="CY347" s="119"/>
      <c r="CZ347" s="119"/>
      <c r="DA347" s="119"/>
      <c r="DB347" s="119"/>
      <c r="DC347" s="119"/>
      <c r="DD347" s="119"/>
      <c r="DE347" s="119"/>
      <c r="DF347" s="119"/>
      <c r="DG347" s="119"/>
      <c r="DH347" s="119"/>
      <c r="DI347" s="119"/>
      <c r="DJ347" s="119"/>
      <c r="DK347" s="119"/>
      <c r="DL347" s="119"/>
      <c r="DM347" s="119"/>
      <c r="DN347" s="119"/>
      <c r="DO347" s="119"/>
      <c r="DP347" s="119"/>
      <c r="DQ347" s="119"/>
      <c r="DR347" s="119"/>
      <c r="DS347" s="119"/>
      <c r="DT347" s="119"/>
      <c r="DU347" s="119"/>
      <c r="DV347" s="119"/>
      <c r="DW347" s="119"/>
      <c r="DX347" s="119"/>
      <c r="DY347" s="119"/>
      <c r="DZ347" s="119"/>
      <c r="EA347" s="119"/>
      <c r="EB347" s="119"/>
      <c r="EC347" s="119"/>
      <c r="ED347" s="119"/>
      <c r="EE347" s="119"/>
      <c r="EF347" s="119"/>
      <c r="EG347" s="119"/>
      <c r="EH347" s="119"/>
      <c r="EI347" s="119"/>
      <c r="EJ347" s="119"/>
      <c r="EK347" s="119"/>
      <c r="EL347" s="119"/>
      <c r="EM347" s="119"/>
      <c r="EN347" s="119"/>
      <c r="EO347" s="119"/>
      <c r="EP347" s="119"/>
      <c r="EQ347" s="119"/>
      <c r="ER347" s="119"/>
      <c r="ES347" s="119"/>
      <c r="ET347" s="119"/>
      <c r="EU347" s="119"/>
      <c r="EV347" s="119"/>
      <c r="EW347" s="119"/>
      <c r="EX347" s="119"/>
      <c r="EY347" s="119"/>
      <c r="EZ347" s="119"/>
      <c r="FA347" s="119"/>
      <c r="FB347" s="119"/>
      <c r="FC347" s="119"/>
      <c r="FD347" s="119"/>
      <c r="FE347" s="119"/>
      <c r="FF347" s="119"/>
      <c r="FG347" s="119"/>
      <c r="FH347" s="119"/>
      <c r="FI347" s="119"/>
      <c r="FJ347" s="119"/>
      <c r="FK347" s="119"/>
      <c r="FL347" s="119"/>
      <c r="FM347" s="119"/>
      <c r="FN347" s="119"/>
      <c r="FO347" s="119"/>
      <c r="FP347" s="119"/>
      <c r="FQ347" s="119"/>
      <c r="FR347" s="119"/>
    </row>
    <row x14ac:dyDescent="0.25" r="348" customHeight="1" ht="15">
      <c r="A348" s="112">
        <v>45882</v>
      </c>
      <c r="B348" s="112">
        <v>45884</v>
      </c>
      <c r="C348" s="107" t="s">
        <v>303</v>
      </c>
      <c r="D348" s="107" t="s">
        <v>45</v>
      </c>
      <c r="E348" s="108">
        <v>108949</v>
      </c>
      <c r="F348" s="108">
        <v>109407</v>
      </c>
      <c r="G348" s="109">
        <f>IF((F348-E348)&lt;0,0,(F348-E348))</f>
      </c>
      <c r="H348" s="110"/>
      <c r="I348" s="111">
        <f>IFERROR(SUMPRODUCT($G348*VLOOKUP($C348,'Vehicle Master'!$D:$F,3,0)),"")</f>
      </c>
      <c r="J348" s="11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119"/>
      <c r="BF348" s="119"/>
      <c r="BG348" s="119"/>
      <c r="BH348" s="119"/>
      <c r="BI348" s="119"/>
      <c r="BJ348" s="119"/>
      <c r="BK348" s="119"/>
      <c r="BL348" s="119"/>
      <c r="BM348" s="119"/>
      <c r="BN348" s="119"/>
      <c r="BO348" s="119"/>
      <c r="BP348" s="119"/>
      <c r="BQ348" s="119"/>
      <c r="BR348" s="119"/>
      <c r="BS348" s="119"/>
      <c r="BT348" s="119"/>
      <c r="BU348" s="119"/>
      <c r="BV348" s="119"/>
      <c r="BW348" s="119"/>
      <c r="BX348" s="119"/>
      <c r="BY348" s="119"/>
      <c r="BZ348" s="119"/>
      <c r="CA348" s="119"/>
      <c r="CB348" s="119"/>
      <c r="CC348" s="119"/>
      <c r="CD348" s="119"/>
      <c r="CE348" s="119"/>
      <c r="CF348" s="119"/>
      <c r="CG348" s="119"/>
      <c r="CH348" s="119"/>
      <c r="CI348" s="119"/>
      <c r="CJ348" s="119"/>
      <c r="CK348" s="119"/>
      <c r="CL348" s="119"/>
      <c r="CM348" s="119"/>
      <c r="CN348" s="119"/>
      <c r="CO348" s="119"/>
      <c r="CP348" s="119"/>
      <c r="CQ348" s="119"/>
      <c r="CR348" s="119"/>
      <c r="CS348" s="119"/>
      <c r="CT348" s="119"/>
      <c r="CU348" s="119"/>
      <c r="CV348" s="119"/>
      <c r="CW348" s="119"/>
      <c r="CX348" s="119"/>
      <c r="CY348" s="119"/>
      <c r="CZ348" s="119"/>
      <c r="DA348" s="119"/>
      <c r="DB348" s="119"/>
      <c r="DC348" s="119"/>
      <c r="DD348" s="119"/>
      <c r="DE348" s="119"/>
      <c r="DF348" s="119"/>
      <c r="DG348" s="119"/>
      <c r="DH348" s="119"/>
      <c r="DI348" s="119"/>
      <c r="DJ348" s="119"/>
      <c r="DK348" s="119"/>
      <c r="DL348" s="119"/>
      <c r="DM348" s="119"/>
      <c r="DN348" s="119"/>
      <c r="DO348" s="119"/>
      <c r="DP348" s="119"/>
      <c r="DQ348" s="119"/>
      <c r="DR348" s="119"/>
      <c r="DS348" s="119"/>
      <c r="DT348" s="119"/>
      <c r="DU348" s="119"/>
      <c r="DV348" s="119"/>
      <c r="DW348" s="119"/>
      <c r="DX348" s="119"/>
      <c r="DY348" s="119"/>
      <c r="DZ348" s="119"/>
      <c r="EA348" s="119"/>
      <c r="EB348" s="119"/>
      <c r="EC348" s="119"/>
      <c r="ED348" s="119"/>
      <c r="EE348" s="119"/>
      <c r="EF348" s="119"/>
      <c r="EG348" s="119"/>
      <c r="EH348" s="119"/>
      <c r="EI348" s="119"/>
      <c r="EJ348" s="119"/>
      <c r="EK348" s="119"/>
      <c r="EL348" s="119"/>
      <c r="EM348" s="119"/>
      <c r="EN348" s="119"/>
      <c r="EO348" s="119"/>
      <c r="EP348" s="119"/>
      <c r="EQ348" s="119"/>
      <c r="ER348" s="119"/>
      <c r="ES348" s="119"/>
      <c r="ET348" s="119"/>
      <c r="EU348" s="119"/>
      <c r="EV348" s="119"/>
      <c r="EW348" s="119"/>
      <c r="EX348" s="119"/>
      <c r="EY348" s="119"/>
      <c r="EZ348" s="119"/>
      <c r="FA348" s="119"/>
      <c r="FB348" s="119"/>
      <c r="FC348" s="119"/>
      <c r="FD348" s="119"/>
      <c r="FE348" s="119"/>
      <c r="FF348" s="119"/>
      <c r="FG348" s="119"/>
      <c r="FH348" s="119"/>
      <c r="FI348" s="119"/>
      <c r="FJ348" s="119"/>
      <c r="FK348" s="119"/>
      <c r="FL348" s="119"/>
      <c r="FM348" s="119"/>
      <c r="FN348" s="119"/>
      <c r="FO348" s="119"/>
      <c r="FP348" s="119"/>
      <c r="FQ348" s="119"/>
      <c r="FR348" s="119"/>
    </row>
    <row x14ac:dyDescent="0.25" r="349" customHeight="1" ht="15">
      <c r="A349" s="112">
        <v>45882</v>
      </c>
      <c r="B349" s="112">
        <v>45885</v>
      </c>
      <c r="C349" s="107" t="s">
        <v>305</v>
      </c>
      <c r="D349" s="107" t="s">
        <v>43</v>
      </c>
      <c r="E349" s="108">
        <v>110836</v>
      </c>
      <c r="F349" s="108">
        <v>111370</v>
      </c>
      <c r="G349" s="109">
        <f>IF((F349-E349)&lt;0,0,(F349-E349))</f>
      </c>
      <c r="H349" s="110"/>
      <c r="I349" s="111">
        <f>IFERROR(SUMPRODUCT($G349*VLOOKUP($C349,'Vehicle Master'!$D:$F,3,0)),"")</f>
      </c>
      <c r="J349" s="11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119"/>
      <c r="BF349" s="119"/>
      <c r="BG349" s="119"/>
      <c r="BH349" s="119"/>
      <c r="BI349" s="119"/>
      <c r="BJ349" s="119"/>
      <c r="BK349" s="119"/>
      <c r="BL349" s="119"/>
      <c r="BM349" s="119"/>
      <c r="BN349" s="119"/>
      <c r="BO349" s="119"/>
      <c r="BP349" s="119"/>
      <c r="BQ349" s="119"/>
      <c r="BR349" s="119"/>
      <c r="BS349" s="119"/>
      <c r="BT349" s="119"/>
      <c r="BU349" s="119"/>
      <c r="BV349" s="119"/>
      <c r="BW349" s="119"/>
      <c r="BX349" s="119"/>
      <c r="BY349" s="119"/>
      <c r="BZ349" s="119"/>
      <c r="CA349" s="119"/>
      <c r="CB349" s="119"/>
      <c r="CC349" s="119"/>
      <c r="CD349" s="119"/>
      <c r="CE349" s="119"/>
      <c r="CF349" s="119"/>
      <c r="CG349" s="119"/>
      <c r="CH349" s="119"/>
      <c r="CI349" s="119"/>
      <c r="CJ349" s="119"/>
      <c r="CK349" s="119"/>
      <c r="CL349" s="119"/>
      <c r="CM349" s="119"/>
      <c r="CN349" s="119"/>
      <c r="CO349" s="119"/>
      <c r="CP349" s="119"/>
      <c r="CQ349" s="119"/>
      <c r="CR349" s="119"/>
      <c r="CS349" s="119"/>
      <c r="CT349" s="119"/>
      <c r="CU349" s="119"/>
      <c r="CV349" s="119"/>
      <c r="CW349" s="119"/>
      <c r="CX349" s="119"/>
      <c r="CY349" s="119"/>
      <c r="CZ349" s="119"/>
      <c r="DA349" s="119"/>
      <c r="DB349" s="119"/>
      <c r="DC349" s="119"/>
      <c r="DD349" s="119"/>
      <c r="DE349" s="119"/>
      <c r="DF349" s="119"/>
      <c r="DG349" s="119"/>
      <c r="DH349" s="119"/>
      <c r="DI349" s="119"/>
      <c r="DJ349" s="119"/>
      <c r="DK349" s="119"/>
      <c r="DL349" s="119"/>
      <c r="DM349" s="119"/>
      <c r="DN349" s="119"/>
      <c r="DO349" s="119"/>
      <c r="DP349" s="119"/>
      <c r="DQ349" s="119"/>
      <c r="DR349" s="119"/>
      <c r="DS349" s="119"/>
      <c r="DT349" s="119"/>
      <c r="DU349" s="119"/>
      <c r="DV349" s="119"/>
      <c r="DW349" s="119"/>
      <c r="DX349" s="119"/>
      <c r="DY349" s="119"/>
      <c r="DZ349" s="119"/>
      <c r="EA349" s="119"/>
      <c r="EB349" s="119"/>
      <c r="EC349" s="119"/>
      <c r="ED349" s="119"/>
      <c r="EE349" s="119"/>
      <c r="EF349" s="119"/>
      <c r="EG349" s="119"/>
      <c r="EH349" s="119"/>
      <c r="EI349" s="119"/>
      <c r="EJ349" s="119"/>
      <c r="EK349" s="119"/>
      <c r="EL349" s="119"/>
      <c r="EM349" s="119"/>
      <c r="EN349" s="119"/>
      <c r="EO349" s="119"/>
      <c r="EP349" s="119"/>
      <c r="EQ349" s="119"/>
      <c r="ER349" s="119"/>
      <c r="ES349" s="119"/>
      <c r="ET349" s="119"/>
      <c r="EU349" s="119"/>
      <c r="EV349" s="119"/>
      <c r="EW349" s="119"/>
      <c r="EX349" s="119"/>
      <c r="EY349" s="119"/>
      <c r="EZ349" s="119"/>
      <c r="FA349" s="119"/>
      <c r="FB349" s="119"/>
      <c r="FC349" s="119"/>
      <c r="FD349" s="119"/>
      <c r="FE349" s="119"/>
      <c r="FF349" s="119"/>
      <c r="FG349" s="119"/>
      <c r="FH349" s="119"/>
      <c r="FI349" s="119"/>
      <c r="FJ349" s="119"/>
      <c r="FK349" s="119"/>
      <c r="FL349" s="119"/>
      <c r="FM349" s="119"/>
      <c r="FN349" s="119"/>
      <c r="FO349" s="119"/>
      <c r="FP349" s="119"/>
      <c r="FQ349" s="119"/>
      <c r="FR349" s="119"/>
    </row>
    <row x14ac:dyDescent="0.25" r="350" customHeight="1" ht="15">
      <c r="A350" s="112">
        <v>45882</v>
      </c>
      <c r="B350" s="112">
        <v>45885</v>
      </c>
      <c r="C350" s="107" t="s">
        <v>302</v>
      </c>
      <c r="D350" s="107" t="s">
        <v>42</v>
      </c>
      <c r="E350" s="108">
        <v>88673</v>
      </c>
      <c r="F350" s="108">
        <v>88976</v>
      </c>
      <c r="G350" s="109">
        <f>IF((F350-E350)&lt;0,0,(F350-E350))</f>
      </c>
      <c r="H350" s="110"/>
      <c r="I350" s="111"/>
      <c r="J350" s="11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119"/>
      <c r="BF350" s="119"/>
      <c r="BG350" s="119"/>
      <c r="BH350" s="119"/>
      <c r="BI350" s="119"/>
      <c r="BJ350" s="119"/>
      <c r="BK350" s="119"/>
      <c r="BL350" s="119"/>
      <c r="BM350" s="119"/>
      <c r="BN350" s="119"/>
      <c r="BO350" s="119"/>
      <c r="BP350" s="119"/>
      <c r="BQ350" s="119"/>
      <c r="BR350" s="119"/>
      <c r="BS350" s="119"/>
      <c r="BT350" s="119"/>
      <c r="BU350" s="119"/>
      <c r="BV350" s="119"/>
      <c r="BW350" s="119"/>
      <c r="BX350" s="119"/>
      <c r="BY350" s="119"/>
      <c r="BZ350" s="119"/>
      <c r="CA350" s="119"/>
      <c r="CB350" s="119"/>
      <c r="CC350" s="119"/>
      <c r="CD350" s="119"/>
      <c r="CE350" s="119"/>
      <c r="CF350" s="119"/>
      <c r="CG350" s="119"/>
      <c r="CH350" s="119"/>
      <c r="CI350" s="119"/>
      <c r="CJ350" s="119"/>
      <c r="CK350" s="119"/>
      <c r="CL350" s="119"/>
      <c r="CM350" s="119"/>
      <c r="CN350" s="119"/>
      <c r="CO350" s="119"/>
      <c r="CP350" s="119"/>
      <c r="CQ350" s="119"/>
      <c r="CR350" s="119"/>
      <c r="CS350" s="119"/>
      <c r="CT350" s="119"/>
      <c r="CU350" s="119"/>
      <c r="CV350" s="119"/>
      <c r="CW350" s="119"/>
      <c r="CX350" s="119"/>
      <c r="CY350" s="119"/>
      <c r="CZ350" s="119"/>
      <c r="DA350" s="119"/>
      <c r="DB350" s="119"/>
      <c r="DC350" s="119"/>
      <c r="DD350" s="119"/>
      <c r="DE350" s="119"/>
      <c r="DF350" s="119"/>
      <c r="DG350" s="119"/>
      <c r="DH350" s="119"/>
      <c r="DI350" s="119"/>
      <c r="DJ350" s="119"/>
      <c r="DK350" s="119"/>
      <c r="DL350" s="119"/>
      <c r="DM350" s="119"/>
      <c r="DN350" s="119"/>
      <c r="DO350" s="119"/>
      <c r="DP350" s="119"/>
      <c r="DQ350" s="119"/>
      <c r="DR350" s="119"/>
      <c r="DS350" s="119"/>
      <c r="DT350" s="119"/>
      <c r="DU350" s="119"/>
      <c r="DV350" s="119"/>
      <c r="DW350" s="119"/>
      <c r="DX350" s="119"/>
      <c r="DY350" s="119"/>
      <c r="DZ350" s="119"/>
      <c r="EA350" s="119"/>
      <c r="EB350" s="119"/>
      <c r="EC350" s="119"/>
      <c r="ED350" s="119"/>
      <c r="EE350" s="119"/>
      <c r="EF350" s="119"/>
      <c r="EG350" s="119"/>
      <c r="EH350" s="119"/>
      <c r="EI350" s="119"/>
      <c r="EJ350" s="119"/>
      <c r="EK350" s="119"/>
      <c r="EL350" s="119"/>
      <c r="EM350" s="119"/>
      <c r="EN350" s="119"/>
      <c r="EO350" s="119"/>
      <c r="EP350" s="119"/>
      <c r="EQ350" s="119"/>
      <c r="ER350" s="119"/>
      <c r="ES350" s="119"/>
      <c r="ET350" s="119"/>
      <c r="EU350" s="119"/>
      <c r="EV350" s="119"/>
      <c r="EW350" s="119"/>
      <c r="EX350" s="119"/>
      <c r="EY350" s="119"/>
      <c r="EZ350" s="119"/>
      <c r="FA350" s="119"/>
      <c r="FB350" s="119"/>
      <c r="FC350" s="119"/>
      <c r="FD350" s="119"/>
      <c r="FE350" s="119"/>
      <c r="FF350" s="119"/>
      <c r="FG350" s="119"/>
      <c r="FH350" s="119"/>
      <c r="FI350" s="119"/>
      <c r="FJ350" s="119"/>
      <c r="FK350" s="119"/>
      <c r="FL350" s="119"/>
      <c r="FM350" s="119"/>
      <c r="FN350" s="119"/>
      <c r="FO350" s="119"/>
      <c r="FP350" s="119"/>
      <c r="FQ350" s="119"/>
      <c r="FR350" s="119"/>
    </row>
    <row x14ac:dyDescent="0.25" r="351" customHeight="1" ht="15">
      <c r="A351" s="112">
        <v>45883</v>
      </c>
      <c r="B351" s="112">
        <v>45883</v>
      </c>
      <c r="C351" s="107" t="s">
        <v>304</v>
      </c>
      <c r="D351" s="107" t="s">
        <v>39</v>
      </c>
      <c r="E351" s="108">
        <v>124121</v>
      </c>
      <c r="F351" s="108">
        <v>124289</v>
      </c>
      <c r="G351" s="109">
        <f>IF((F351-E351)&lt;0,0,(F351-E351))</f>
      </c>
      <c r="H351" s="110"/>
      <c r="I351" s="111">
        <f>IFERROR(SUMPRODUCT($G351*VLOOKUP($C351,'Vehicle Master'!$D:$F,3,0)),"")</f>
      </c>
      <c r="J351" s="11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119"/>
      <c r="BF351" s="119"/>
      <c r="BG351" s="119"/>
      <c r="BH351" s="119"/>
      <c r="BI351" s="119"/>
      <c r="BJ351" s="119"/>
      <c r="BK351" s="119"/>
      <c r="BL351" s="119"/>
      <c r="BM351" s="119"/>
      <c r="BN351" s="119"/>
      <c r="BO351" s="119"/>
      <c r="BP351" s="119"/>
      <c r="BQ351" s="119"/>
      <c r="BR351" s="119"/>
      <c r="BS351" s="119"/>
      <c r="BT351" s="119"/>
      <c r="BU351" s="119"/>
      <c r="BV351" s="119"/>
      <c r="BW351" s="119"/>
      <c r="BX351" s="119"/>
      <c r="BY351" s="119"/>
      <c r="BZ351" s="119"/>
      <c r="CA351" s="119"/>
      <c r="CB351" s="119"/>
      <c r="CC351" s="119"/>
      <c r="CD351" s="119"/>
      <c r="CE351" s="119"/>
      <c r="CF351" s="119"/>
      <c r="CG351" s="119"/>
      <c r="CH351" s="119"/>
      <c r="CI351" s="119"/>
      <c r="CJ351" s="119"/>
      <c r="CK351" s="119"/>
      <c r="CL351" s="119"/>
      <c r="CM351" s="119"/>
      <c r="CN351" s="119"/>
      <c r="CO351" s="119"/>
      <c r="CP351" s="119"/>
      <c r="CQ351" s="119"/>
      <c r="CR351" s="119"/>
      <c r="CS351" s="119"/>
      <c r="CT351" s="119"/>
      <c r="CU351" s="119"/>
      <c r="CV351" s="119"/>
      <c r="CW351" s="119"/>
      <c r="CX351" s="119"/>
      <c r="CY351" s="119"/>
      <c r="CZ351" s="119"/>
      <c r="DA351" s="119"/>
      <c r="DB351" s="119"/>
      <c r="DC351" s="119"/>
      <c r="DD351" s="119"/>
      <c r="DE351" s="119"/>
      <c r="DF351" s="119"/>
      <c r="DG351" s="119"/>
      <c r="DH351" s="119"/>
      <c r="DI351" s="119"/>
      <c r="DJ351" s="119"/>
      <c r="DK351" s="119"/>
      <c r="DL351" s="119"/>
      <c r="DM351" s="119"/>
      <c r="DN351" s="119"/>
      <c r="DO351" s="119"/>
      <c r="DP351" s="119"/>
      <c r="DQ351" s="119"/>
      <c r="DR351" s="119"/>
      <c r="DS351" s="119"/>
      <c r="DT351" s="119"/>
      <c r="DU351" s="119"/>
      <c r="DV351" s="119"/>
      <c r="DW351" s="119"/>
      <c r="DX351" s="119"/>
      <c r="DY351" s="119"/>
      <c r="DZ351" s="119"/>
      <c r="EA351" s="119"/>
      <c r="EB351" s="119"/>
      <c r="EC351" s="119"/>
      <c r="ED351" s="119"/>
      <c r="EE351" s="119"/>
      <c r="EF351" s="119"/>
      <c r="EG351" s="119"/>
      <c r="EH351" s="119"/>
      <c r="EI351" s="119"/>
      <c r="EJ351" s="119"/>
      <c r="EK351" s="119"/>
      <c r="EL351" s="119"/>
      <c r="EM351" s="119"/>
      <c r="EN351" s="119"/>
      <c r="EO351" s="119"/>
      <c r="EP351" s="119"/>
      <c r="EQ351" s="119"/>
      <c r="ER351" s="119"/>
      <c r="ES351" s="119"/>
      <c r="ET351" s="119"/>
      <c r="EU351" s="119"/>
      <c r="EV351" s="119"/>
      <c r="EW351" s="119"/>
      <c r="EX351" s="119"/>
      <c r="EY351" s="119"/>
      <c r="EZ351" s="119"/>
      <c r="FA351" s="119"/>
      <c r="FB351" s="119"/>
      <c r="FC351" s="119"/>
      <c r="FD351" s="119"/>
      <c r="FE351" s="119"/>
      <c r="FF351" s="119"/>
      <c r="FG351" s="119"/>
      <c r="FH351" s="119"/>
      <c r="FI351" s="119"/>
      <c r="FJ351" s="119"/>
      <c r="FK351" s="119"/>
      <c r="FL351" s="119"/>
      <c r="FM351" s="119"/>
      <c r="FN351" s="119"/>
      <c r="FO351" s="119"/>
      <c r="FP351" s="119"/>
      <c r="FQ351" s="119"/>
      <c r="FR351" s="119"/>
    </row>
    <row x14ac:dyDescent="0.25" r="352" customHeight="1" ht="15">
      <c r="A352" s="112">
        <v>45885</v>
      </c>
      <c r="B352" s="112">
        <v>45886</v>
      </c>
      <c r="C352" s="107" t="s">
        <v>303</v>
      </c>
      <c r="D352" s="107" t="s">
        <v>45</v>
      </c>
      <c r="E352" s="108">
        <v>109407</v>
      </c>
      <c r="F352" s="108">
        <v>109667</v>
      </c>
      <c r="G352" s="109">
        <f>IF((F352-E352)&lt;0,0,(F352-E352))</f>
      </c>
      <c r="H352" s="110"/>
      <c r="I352" s="111">
        <f>IFERROR(SUMPRODUCT($G352*VLOOKUP($C352,'Vehicle Master'!$D:$F,3,0)),"")</f>
      </c>
      <c r="J352" s="11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119"/>
      <c r="BF352" s="119"/>
      <c r="BG352" s="119"/>
      <c r="BH352" s="119"/>
      <c r="BI352" s="119"/>
      <c r="BJ352" s="119"/>
      <c r="BK352" s="119"/>
      <c r="BL352" s="119"/>
      <c r="BM352" s="119"/>
      <c r="BN352" s="119"/>
      <c r="BO352" s="119"/>
      <c r="BP352" s="119"/>
      <c r="BQ352" s="119"/>
      <c r="BR352" s="119"/>
      <c r="BS352" s="119"/>
      <c r="BT352" s="119"/>
      <c r="BU352" s="119"/>
      <c r="BV352" s="119"/>
      <c r="BW352" s="119"/>
      <c r="BX352" s="119"/>
      <c r="BY352" s="119"/>
      <c r="BZ352" s="119"/>
      <c r="CA352" s="119"/>
      <c r="CB352" s="119"/>
      <c r="CC352" s="119"/>
      <c r="CD352" s="119"/>
      <c r="CE352" s="119"/>
      <c r="CF352" s="119"/>
      <c r="CG352" s="119"/>
      <c r="CH352" s="119"/>
      <c r="CI352" s="119"/>
      <c r="CJ352" s="119"/>
      <c r="CK352" s="119"/>
      <c r="CL352" s="119"/>
      <c r="CM352" s="119"/>
      <c r="CN352" s="119"/>
      <c r="CO352" s="119"/>
      <c r="CP352" s="119"/>
      <c r="CQ352" s="119"/>
      <c r="CR352" s="119"/>
      <c r="CS352" s="119"/>
      <c r="CT352" s="119"/>
      <c r="CU352" s="119"/>
      <c r="CV352" s="119"/>
      <c r="CW352" s="119"/>
      <c r="CX352" s="119"/>
      <c r="CY352" s="119"/>
      <c r="CZ352" s="119"/>
      <c r="DA352" s="119"/>
      <c r="DB352" s="119"/>
      <c r="DC352" s="119"/>
      <c r="DD352" s="119"/>
      <c r="DE352" s="119"/>
      <c r="DF352" s="119"/>
      <c r="DG352" s="119"/>
      <c r="DH352" s="119"/>
      <c r="DI352" s="119"/>
      <c r="DJ352" s="119"/>
      <c r="DK352" s="119"/>
      <c r="DL352" s="119"/>
      <c r="DM352" s="119"/>
      <c r="DN352" s="119"/>
      <c r="DO352" s="119"/>
      <c r="DP352" s="119"/>
      <c r="DQ352" s="119"/>
      <c r="DR352" s="119"/>
      <c r="DS352" s="119"/>
      <c r="DT352" s="119"/>
      <c r="DU352" s="119"/>
      <c r="DV352" s="119"/>
      <c r="DW352" s="119"/>
      <c r="DX352" s="119"/>
      <c r="DY352" s="119"/>
      <c r="DZ352" s="119"/>
      <c r="EA352" s="119"/>
      <c r="EB352" s="119"/>
      <c r="EC352" s="119"/>
      <c r="ED352" s="119"/>
      <c r="EE352" s="119"/>
      <c r="EF352" s="119"/>
      <c r="EG352" s="119"/>
      <c r="EH352" s="119"/>
      <c r="EI352" s="119"/>
      <c r="EJ352" s="119"/>
      <c r="EK352" s="119"/>
      <c r="EL352" s="119"/>
      <c r="EM352" s="119"/>
      <c r="EN352" s="119"/>
      <c r="EO352" s="119"/>
      <c r="EP352" s="119"/>
      <c r="EQ352" s="119"/>
      <c r="ER352" s="119"/>
      <c r="ES352" s="119"/>
      <c r="ET352" s="119"/>
      <c r="EU352" s="119"/>
      <c r="EV352" s="119"/>
      <c r="EW352" s="119"/>
      <c r="EX352" s="119"/>
      <c r="EY352" s="119"/>
      <c r="EZ352" s="119"/>
      <c r="FA352" s="119"/>
      <c r="FB352" s="119"/>
      <c r="FC352" s="119"/>
      <c r="FD352" s="119"/>
      <c r="FE352" s="119"/>
      <c r="FF352" s="119"/>
      <c r="FG352" s="119"/>
      <c r="FH352" s="119"/>
      <c r="FI352" s="119"/>
      <c r="FJ352" s="119"/>
      <c r="FK352" s="119"/>
      <c r="FL352" s="119"/>
      <c r="FM352" s="119"/>
      <c r="FN352" s="119"/>
      <c r="FO352" s="119"/>
      <c r="FP352" s="119"/>
      <c r="FQ352" s="119"/>
      <c r="FR352" s="119"/>
    </row>
    <row x14ac:dyDescent="0.25" r="353" customHeight="1" ht="15">
      <c r="A353" s="112">
        <v>45887</v>
      </c>
      <c r="B353" s="112">
        <v>45888</v>
      </c>
      <c r="C353" s="107" t="s">
        <v>304</v>
      </c>
      <c r="D353" s="107" t="s">
        <v>39</v>
      </c>
      <c r="E353" s="108">
        <v>124289</v>
      </c>
      <c r="F353" s="108">
        <v>124688</v>
      </c>
      <c r="G353" s="109">
        <f>IF((F353-E353)&lt;0,0,(F353-E353))</f>
      </c>
      <c r="H353" s="110"/>
      <c r="I353" s="111">
        <f>IFERROR(SUMPRODUCT($G353*VLOOKUP($C353,'Vehicle Master'!$D:$F,3,0)),"")</f>
      </c>
      <c r="J353" s="11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119"/>
      <c r="BF353" s="119"/>
      <c r="BG353" s="119"/>
      <c r="BH353" s="119"/>
      <c r="BI353" s="119"/>
      <c r="BJ353" s="119"/>
      <c r="BK353" s="119"/>
      <c r="BL353" s="119"/>
      <c r="BM353" s="119"/>
      <c r="BN353" s="119"/>
      <c r="BO353" s="119"/>
      <c r="BP353" s="119"/>
      <c r="BQ353" s="119"/>
      <c r="BR353" s="119"/>
      <c r="BS353" s="119"/>
      <c r="BT353" s="119"/>
      <c r="BU353" s="119"/>
      <c r="BV353" s="119"/>
      <c r="BW353" s="119"/>
      <c r="BX353" s="119"/>
      <c r="BY353" s="119"/>
      <c r="BZ353" s="119"/>
      <c r="CA353" s="119"/>
      <c r="CB353" s="119"/>
      <c r="CC353" s="119"/>
      <c r="CD353" s="119"/>
      <c r="CE353" s="119"/>
      <c r="CF353" s="119"/>
      <c r="CG353" s="119"/>
      <c r="CH353" s="119"/>
      <c r="CI353" s="119"/>
      <c r="CJ353" s="119"/>
      <c r="CK353" s="119"/>
      <c r="CL353" s="119"/>
      <c r="CM353" s="119"/>
      <c r="CN353" s="119"/>
      <c r="CO353" s="119"/>
      <c r="CP353" s="119"/>
      <c r="CQ353" s="119"/>
      <c r="CR353" s="119"/>
      <c r="CS353" s="119"/>
      <c r="CT353" s="119"/>
      <c r="CU353" s="119"/>
      <c r="CV353" s="119"/>
      <c r="CW353" s="119"/>
      <c r="CX353" s="119"/>
      <c r="CY353" s="119"/>
      <c r="CZ353" s="119"/>
      <c r="DA353" s="119"/>
      <c r="DB353" s="119"/>
      <c r="DC353" s="119"/>
      <c r="DD353" s="119"/>
      <c r="DE353" s="119"/>
      <c r="DF353" s="119"/>
      <c r="DG353" s="119"/>
      <c r="DH353" s="119"/>
      <c r="DI353" s="119"/>
      <c r="DJ353" s="119"/>
      <c r="DK353" s="119"/>
      <c r="DL353" s="119"/>
      <c r="DM353" s="119"/>
      <c r="DN353" s="119"/>
      <c r="DO353" s="119"/>
      <c r="DP353" s="119"/>
      <c r="DQ353" s="119"/>
      <c r="DR353" s="119"/>
      <c r="DS353" s="119"/>
      <c r="DT353" s="119"/>
      <c r="DU353" s="119"/>
      <c r="DV353" s="119"/>
      <c r="DW353" s="119"/>
      <c r="DX353" s="119"/>
      <c r="DY353" s="119"/>
      <c r="DZ353" s="119"/>
      <c r="EA353" s="119"/>
      <c r="EB353" s="119"/>
      <c r="EC353" s="119"/>
      <c r="ED353" s="119"/>
      <c r="EE353" s="119"/>
      <c r="EF353" s="119"/>
      <c r="EG353" s="119"/>
      <c r="EH353" s="119"/>
      <c r="EI353" s="119"/>
      <c r="EJ353" s="119"/>
      <c r="EK353" s="119"/>
      <c r="EL353" s="119"/>
      <c r="EM353" s="119"/>
      <c r="EN353" s="119"/>
      <c r="EO353" s="119"/>
      <c r="EP353" s="119"/>
      <c r="EQ353" s="119"/>
      <c r="ER353" s="119"/>
      <c r="ES353" s="119"/>
      <c r="ET353" s="119"/>
      <c r="EU353" s="119"/>
      <c r="EV353" s="119"/>
      <c r="EW353" s="119"/>
      <c r="EX353" s="119"/>
      <c r="EY353" s="119"/>
      <c r="EZ353" s="119"/>
      <c r="FA353" s="119"/>
      <c r="FB353" s="119"/>
      <c r="FC353" s="119"/>
      <c r="FD353" s="119"/>
      <c r="FE353" s="119"/>
      <c r="FF353" s="119"/>
      <c r="FG353" s="119"/>
      <c r="FH353" s="119"/>
      <c r="FI353" s="119"/>
      <c r="FJ353" s="119"/>
      <c r="FK353" s="119"/>
      <c r="FL353" s="119"/>
      <c r="FM353" s="119"/>
      <c r="FN353" s="119"/>
      <c r="FO353" s="119"/>
      <c r="FP353" s="119"/>
      <c r="FQ353" s="119"/>
      <c r="FR353" s="119"/>
    </row>
    <row x14ac:dyDescent="0.25" r="354" customHeight="1" ht="15">
      <c r="A354" s="112">
        <v>45889</v>
      </c>
      <c r="B354" s="112">
        <v>45890</v>
      </c>
      <c r="C354" s="107" t="s">
        <v>302</v>
      </c>
      <c r="D354" s="107" t="s">
        <v>42</v>
      </c>
      <c r="E354" s="108">
        <v>88976</v>
      </c>
      <c r="F354" s="108">
        <v>89615</v>
      </c>
      <c r="G354" s="109">
        <f>IF((F354-E354)&lt;0,0,(F354-E354))</f>
      </c>
      <c r="H354" s="110"/>
      <c r="I354" s="111">
        <f>IFERROR(SUMPRODUCT($G354*VLOOKUP($C354,'Vehicle Master'!$D:$F,3,0)),"")</f>
      </c>
      <c r="J354" s="11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119"/>
      <c r="BF354" s="119"/>
      <c r="BG354" s="119"/>
      <c r="BH354" s="119"/>
      <c r="BI354" s="119"/>
      <c r="BJ354" s="119"/>
      <c r="BK354" s="119"/>
      <c r="BL354" s="119"/>
      <c r="BM354" s="119"/>
      <c r="BN354" s="119"/>
      <c r="BO354" s="119"/>
      <c r="BP354" s="119"/>
      <c r="BQ354" s="119"/>
      <c r="BR354" s="119"/>
      <c r="BS354" s="119"/>
      <c r="BT354" s="119"/>
      <c r="BU354" s="119"/>
      <c r="BV354" s="119"/>
      <c r="BW354" s="119"/>
      <c r="BX354" s="119"/>
      <c r="BY354" s="119"/>
      <c r="BZ354" s="119"/>
      <c r="CA354" s="119"/>
      <c r="CB354" s="119"/>
      <c r="CC354" s="119"/>
      <c r="CD354" s="119"/>
      <c r="CE354" s="119"/>
      <c r="CF354" s="119"/>
      <c r="CG354" s="119"/>
      <c r="CH354" s="119"/>
      <c r="CI354" s="119"/>
      <c r="CJ354" s="119"/>
      <c r="CK354" s="119"/>
      <c r="CL354" s="119"/>
      <c r="CM354" s="119"/>
      <c r="CN354" s="119"/>
      <c r="CO354" s="119"/>
      <c r="CP354" s="119"/>
      <c r="CQ354" s="119"/>
      <c r="CR354" s="119"/>
      <c r="CS354" s="119"/>
      <c r="CT354" s="119"/>
      <c r="CU354" s="119"/>
      <c r="CV354" s="119"/>
      <c r="CW354" s="119"/>
      <c r="CX354" s="119"/>
      <c r="CY354" s="119"/>
      <c r="CZ354" s="119"/>
      <c r="DA354" s="119"/>
      <c r="DB354" s="119"/>
      <c r="DC354" s="119"/>
      <c r="DD354" s="119"/>
      <c r="DE354" s="119"/>
      <c r="DF354" s="119"/>
      <c r="DG354" s="119"/>
      <c r="DH354" s="119"/>
      <c r="DI354" s="119"/>
      <c r="DJ354" s="119"/>
      <c r="DK354" s="119"/>
      <c r="DL354" s="119"/>
      <c r="DM354" s="119"/>
      <c r="DN354" s="119"/>
      <c r="DO354" s="119"/>
      <c r="DP354" s="119"/>
      <c r="DQ354" s="119"/>
      <c r="DR354" s="119"/>
      <c r="DS354" s="119"/>
      <c r="DT354" s="119"/>
      <c r="DU354" s="119"/>
      <c r="DV354" s="119"/>
      <c r="DW354" s="119"/>
      <c r="DX354" s="119"/>
      <c r="DY354" s="119"/>
      <c r="DZ354" s="119"/>
      <c r="EA354" s="119"/>
      <c r="EB354" s="119"/>
      <c r="EC354" s="119"/>
      <c r="ED354" s="119"/>
      <c r="EE354" s="119"/>
      <c r="EF354" s="119"/>
      <c r="EG354" s="119"/>
      <c r="EH354" s="119"/>
      <c r="EI354" s="119"/>
      <c r="EJ354" s="119"/>
      <c r="EK354" s="119"/>
      <c r="EL354" s="119"/>
      <c r="EM354" s="119"/>
      <c r="EN354" s="119"/>
      <c r="EO354" s="119"/>
      <c r="EP354" s="119"/>
      <c r="EQ354" s="119"/>
      <c r="ER354" s="119"/>
      <c r="ES354" s="119"/>
      <c r="ET354" s="119"/>
      <c r="EU354" s="119"/>
      <c r="EV354" s="119"/>
      <c r="EW354" s="119"/>
      <c r="EX354" s="119"/>
      <c r="EY354" s="119"/>
      <c r="EZ354" s="119"/>
      <c r="FA354" s="119"/>
      <c r="FB354" s="119"/>
      <c r="FC354" s="119"/>
      <c r="FD354" s="119"/>
      <c r="FE354" s="119"/>
      <c r="FF354" s="119"/>
      <c r="FG354" s="119"/>
      <c r="FH354" s="119"/>
      <c r="FI354" s="119"/>
      <c r="FJ354" s="119"/>
      <c r="FK354" s="119"/>
      <c r="FL354" s="119"/>
      <c r="FM354" s="119"/>
      <c r="FN354" s="119"/>
      <c r="FO354" s="119"/>
      <c r="FP354" s="119"/>
      <c r="FQ354" s="119"/>
      <c r="FR354" s="119"/>
    </row>
    <row x14ac:dyDescent="0.25" r="355" customHeight="1" ht="15">
      <c r="A355" s="112">
        <v>45890</v>
      </c>
      <c r="B355" s="112">
        <v>45891</v>
      </c>
      <c r="C355" s="107" t="s">
        <v>305</v>
      </c>
      <c r="D355" s="107" t="s">
        <v>43</v>
      </c>
      <c r="E355" s="108">
        <v>111370</v>
      </c>
      <c r="F355" s="108">
        <v>112041</v>
      </c>
      <c r="G355" s="109">
        <f>IF((F355-E355)&lt;0,0,(F355-E355))</f>
      </c>
      <c r="H355" s="110"/>
      <c r="I355" s="111">
        <f>IFERROR(SUMPRODUCT($G355*VLOOKUP($C355,'Vehicle Master'!$D:$F,3,0)),"")</f>
      </c>
      <c r="J355" s="11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119"/>
      <c r="BF355" s="119"/>
      <c r="BG355" s="119"/>
      <c r="BH355" s="119"/>
      <c r="BI355" s="119"/>
      <c r="BJ355" s="119"/>
      <c r="BK355" s="119"/>
      <c r="BL355" s="119"/>
      <c r="BM355" s="119"/>
      <c r="BN355" s="119"/>
      <c r="BO355" s="119"/>
      <c r="BP355" s="119"/>
      <c r="BQ355" s="119"/>
      <c r="BR355" s="119"/>
      <c r="BS355" s="119"/>
      <c r="BT355" s="119"/>
      <c r="BU355" s="119"/>
      <c r="BV355" s="119"/>
      <c r="BW355" s="119"/>
      <c r="BX355" s="119"/>
      <c r="BY355" s="119"/>
      <c r="BZ355" s="119"/>
      <c r="CA355" s="119"/>
      <c r="CB355" s="119"/>
      <c r="CC355" s="119"/>
      <c r="CD355" s="119"/>
      <c r="CE355" s="119"/>
      <c r="CF355" s="119"/>
      <c r="CG355" s="119"/>
      <c r="CH355" s="119"/>
      <c r="CI355" s="119"/>
      <c r="CJ355" s="119"/>
      <c r="CK355" s="119"/>
      <c r="CL355" s="119"/>
      <c r="CM355" s="119"/>
      <c r="CN355" s="119"/>
      <c r="CO355" s="119"/>
      <c r="CP355" s="119"/>
      <c r="CQ355" s="119"/>
      <c r="CR355" s="119"/>
      <c r="CS355" s="119"/>
      <c r="CT355" s="119"/>
      <c r="CU355" s="119"/>
      <c r="CV355" s="119"/>
      <c r="CW355" s="119"/>
      <c r="CX355" s="119"/>
      <c r="CY355" s="119"/>
      <c r="CZ355" s="119"/>
      <c r="DA355" s="119"/>
      <c r="DB355" s="119"/>
      <c r="DC355" s="119"/>
      <c r="DD355" s="119"/>
      <c r="DE355" s="119"/>
      <c r="DF355" s="119"/>
      <c r="DG355" s="119"/>
      <c r="DH355" s="119"/>
      <c r="DI355" s="119"/>
      <c r="DJ355" s="119"/>
      <c r="DK355" s="119"/>
      <c r="DL355" s="119"/>
      <c r="DM355" s="119"/>
      <c r="DN355" s="119"/>
      <c r="DO355" s="119"/>
      <c r="DP355" s="119"/>
      <c r="DQ355" s="119"/>
      <c r="DR355" s="119"/>
      <c r="DS355" s="119"/>
      <c r="DT355" s="119"/>
      <c r="DU355" s="119"/>
      <c r="DV355" s="119"/>
      <c r="DW355" s="119"/>
      <c r="DX355" s="119"/>
      <c r="DY355" s="119"/>
      <c r="DZ355" s="119"/>
      <c r="EA355" s="119"/>
      <c r="EB355" s="119"/>
      <c r="EC355" s="119"/>
      <c r="ED355" s="119"/>
      <c r="EE355" s="119"/>
      <c r="EF355" s="119"/>
      <c r="EG355" s="119"/>
      <c r="EH355" s="119"/>
      <c r="EI355" s="119"/>
      <c r="EJ355" s="119"/>
      <c r="EK355" s="119"/>
      <c r="EL355" s="119"/>
      <c r="EM355" s="119"/>
      <c r="EN355" s="119"/>
      <c r="EO355" s="119"/>
      <c r="EP355" s="119"/>
      <c r="EQ355" s="119"/>
      <c r="ER355" s="119"/>
      <c r="ES355" s="119"/>
      <c r="ET355" s="119"/>
      <c r="EU355" s="119"/>
      <c r="EV355" s="119"/>
      <c r="EW355" s="119"/>
      <c r="EX355" s="119"/>
      <c r="EY355" s="119"/>
      <c r="EZ355" s="119"/>
      <c r="FA355" s="119"/>
      <c r="FB355" s="119"/>
      <c r="FC355" s="119"/>
      <c r="FD355" s="119"/>
      <c r="FE355" s="119"/>
      <c r="FF355" s="119"/>
      <c r="FG355" s="119"/>
      <c r="FH355" s="119"/>
      <c r="FI355" s="119"/>
      <c r="FJ355" s="119"/>
      <c r="FK355" s="119"/>
      <c r="FL355" s="119"/>
      <c r="FM355" s="119"/>
      <c r="FN355" s="119"/>
      <c r="FO355" s="119"/>
      <c r="FP355" s="119"/>
      <c r="FQ355" s="119"/>
      <c r="FR355" s="119"/>
    </row>
    <row x14ac:dyDescent="0.25" r="356" customHeight="1" ht="15">
      <c r="A356" s="112">
        <v>45890</v>
      </c>
      <c r="B356" s="112">
        <v>45890</v>
      </c>
      <c r="C356" s="107" t="s">
        <v>304</v>
      </c>
      <c r="D356" s="107" t="s">
        <v>39</v>
      </c>
      <c r="E356" s="108">
        <v>124688</v>
      </c>
      <c r="F356" s="108">
        <v>124834</v>
      </c>
      <c r="G356" s="109">
        <f>IF((F356-E356)&lt;0,0,(F356-E356))</f>
      </c>
      <c r="H356" s="110"/>
      <c r="I356" s="111">
        <f>IFERROR(SUMPRODUCT($G356*VLOOKUP($C356,'Vehicle Master'!$D:$F,3,0)),"")</f>
      </c>
      <c r="J356" s="11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/>
      <c r="AR356" s="119"/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119"/>
      <c r="BF356" s="119"/>
      <c r="BG356" s="119"/>
      <c r="BH356" s="119"/>
      <c r="BI356" s="119"/>
      <c r="BJ356" s="119"/>
      <c r="BK356" s="119"/>
      <c r="BL356" s="119"/>
      <c r="BM356" s="119"/>
      <c r="BN356" s="119"/>
      <c r="BO356" s="119"/>
      <c r="BP356" s="119"/>
      <c r="BQ356" s="119"/>
      <c r="BR356" s="119"/>
      <c r="BS356" s="119"/>
      <c r="BT356" s="119"/>
      <c r="BU356" s="119"/>
      <c r="BV356" s="119"/>
      <c r="BW356" s="119"/>
      <c r="BX356" s="119"/>
      <c r="BY356" s="119"/>
      <c r="BZ356" s="119"/>
      <c r="CA356" s="119"/>
      <c r="CB356" s="119"/>
      <c r="CC356" s="119"/>
      <c r="CD356" s="119"/>
      <c r="CE356" s="119"/>
      <c r="CF356" s="119"/>
      <c r="CG356" s="119"/>
      <c r="CH356" s="119"/>
      <c r="CI356" s="119"/>
      <c r="CJ356" s="119"/>
      <c r="CK356" s="119"/>
      <c r="CL356" s="119"/>
      <c r="CM356" s="119"/>
      <c r="CN356" s="119"/>
      <c r="CO356" s="119"/>
      <c r="CP356" s="119"/>
      <c r="CQ356" s="119"/>
      <c r="CR356" s="119"/>
      <c r="CS356" s="119"/>
      <c r="CT356" s="119"/>
      <c r="CU356" s="119"/>
      <c r="CV356" s="119"/>
      <c r="CW356" s="119"/>
      <c r="CX356" s="119"/>
      <c r="CY356" s="119"/>
      <c r="CZ356" s="119"/>
      <c r="DA356" s="119"/>
      <c r="DB356" s="119"/>
      <c r="DC356" s="119"/>
      <c r="DD356" s="119"/>
      <c r="DE356" s="119"/>
      <c r="DF356" s="119"/>
      <c r="DG356" s="119"/>
      <c r="DH356" s="119"/>
      <c r="DI356" s="119"/>
      <c r="DJ356" s="119"/>
      <c r="DK356" s="119"/>
      <c r="DL356" s="119"/>
      <c r="DM356" s="119"/>
      <c r="DN356" s="119"/>
      <c r="DO356" s="119"/>
      <c r="DP356" s="119"/>
      <c r="DQ356" s="119"/>
      <c r="DR356" s="119"/>
      <c r="DS356" s="119"/>
      <c r="DT356" s="119"/>
      <c r="DU356" s="119"/>
      <c r="DV356" s="119"/>
      <c r="DW356" s="119"/>
      <c r="DX356" s="119"/>
      <c r="DY356" s="119"/>
      <c r="DZ356" s="119"/>
      <c r="EA356" s="119"/>
      <c r="EB356" s="119"/>
      <c r="EC356" s="119"/>
      <c r="ED356" s="119"/>
      <c r="EE356" s="119"/>
      <c r="EF356" s="119"/>
      <c r="EG356" s="119"/>
      <c r="EH356" s="119"/>
      <c r="EI356" s="119"/>
      <c r="EJ356" s="119"/>
      <c r="EK356" s="119"/>
      <c r="EL356" s="119"/>
      <c r="EM356" s="119"/>
      <c r="EN356" s="119"/>
      <c r="EO356" s="119"/>
      <c r="EP356" s="119"/>
      <c r="EQ356" s="119"/>
      <c r="ER356" s="119"/>
      <c r="ES356" s="119"/>
      <c r="ET356" s="119"/>
      <c r="EU356" s="119"/>
      <c r="EV356" s="119"/>
      <c r="EW356" s="119"/>
      <c r="EX356" s="119"/>
      <c r="EY356" s="119"/>
      <c r="EZ356" s="119"/>
      <c r="FA356" s="119"/>
      <c r="FB356" s="119"/>
      <c r="FC356" s="119"/>
      <c r="FD356" s="119"/>
      <c r="FE356" s="119"/>
      <c r="FF356" s="119"/>
      <c r="FG356" s="119"/>
      <c r="FH356" s="119"/>
      <c r="FI356" s="119"/>
      <c r="FJ356" s="119"/>
      <c r="FK356" s="119"/>
      <c r="FL356" s="119"/>
      <c r="FM356" s="119"/>
      <c r="FN356" s="119"/>
      <c r="FO356" s="119"/>
      <c r="FP356" s="119"/>
      <c r="FQ356" s="119"/>
      <c r="FR356" s="119"/>
    </row>
    <row x14ac:dyDescent="0.25" r="357" customHeight="1" ht="15">
      <c r="A357" s="112">
        <v>45890</v>
      </c>
      <c r="B357" s="112">
        <v>45891</v>
      </c>
      <c r="C357" s="107" t="s">
        <v>303</v>
      </c>
      <c r="D357" s="107" t="s">
        <v>45</v>
      </c>
      <c r="E357" s="108">
        <v>109667</v>
      </c>
      <c r="F357" s="108">
        <v>109834</v>
      </c>
      <c r="G357" s="109">
        <f>IF((F357-E357)&lt;0,0,(F357-E357))</f>
      </c>
      <c r="H357" s="110"/>
      <c r="I357" s="111">
        <f>IFERROR(SUMPRODUCT($G357*VLOOKUP($C357,'Vehicle Master'!$D:$F,3,0)),"")</f>
      </c>
      <c r="J357" s="11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/>
      <c r="AS357" s="119"/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119"/>
      <c r="BF357" s="119"/>
      <c r="BG357" s="119"/>
      <c r="BH357" s="119"/>
      <c r="BI357" s="119"/>
      <c r="BJ357" s="119"/>
      <c r="BK357" s="119"/>
      <c r="BL357" s="119"/>
      <c r="BM357" s="119"/>
      <c r="BN357" s="119"/>
      <c r="BO357" s="119"/>
      <c r="BP357" s="119"/>
      <c r="BQ357" s="119"/>
      <c r="BR357" s="119"/>
      <c r="BS357" s="119"/>
      <c r="BT357" s="119"/>
      <c r="BU357" s="119"/>
      <c r="BV357" s="119"/>
      <c r="BW357" s="119"/>
      <c r="BX357" s="119"/>
      <c r="BY357" s="119"/>
      <c r="BZ357" s="119"/>
      <c r="CA357" s="119"/>
      <c r="CB357" s="119"/>
      <c r="CC357" s="119"/>
      <c r="CD357" s="119"/>
      <c r="CE357" s="119"/>
      <c r="CF357" s="119"/>
      <c r="CG357" s="119"/>
      <c r="CH357" s="119"/>
      <c r="CI357" s="119"/>
      <c r="CJ357" s="119"/>
      <c r="CK357" s="119"/>
      <c r="CL357" s="119"/>
      <c r="CM357" s="119"/>
      <c r="CN357" s="119"/>
      <c r="CO357" s="119"/>
      <c r="CP357" s="119"/>
      <c r="CQ357" s="119"/>
      <c r="CR357" s="119"/>
      <c r="CS357" s="119"/>
      <c r="CT357" s="119"/>
      <c r="CU357" s="119"/>
      <c r="CV357" s="119"/>
      <c r="CW357" s="119"/>
      <c r="CX357" s="119"/>
      <c r="CY357" s="119"/>
      <c r="CZ357" s="119"/>
      <c r="DA357" s="119"/>
      <c r="DB357" s="119"/>
      <c r="DC357" s="119"/>
      <c r="DD357" s="119"/>
      <c r="DE357" s="119"/>
      <c r="DF357" s="119"/>
      <c r="DG357" s="119"/>
      <c r="DH357" s="119"/>
      <c r="DI357" s="119"/>
      <c r="DJ357" s="119"/>
      <c r="DK357" s="119"/>
      <c r="DL357" s="119"/>
      <c r="DM357" s="119"/>
      <c r="DN357" s="119"/>
      <c r="DO357" s="119"/>
      <c r="DP357" s="119"/>
      <c r="DQ357" s="119"/>
      <c r="DR357" s="119"/>
      <c r="DS357" s="119"/>
      <c r="DT357" s="119"/>
      <c r="DU357" s="119"/>
      <c r="DV357" s="119"/>
      <c r="DW357" s="119"/>
      <c r="DX357" s="119"/>
      <c r="DY357" s="119"/>
      <c r="DZ357" s="119"/>
      <c r="EA357" s="119"/>
      <c r="EB357" s="119"/>
      <c r="EC357" s="119"/>
      <c r="ED357" s="119"/>
      <c r="EE357" s="119"/>
      <c r="EF357" s="119"/>
      <c r="EG357" s="119"/>
      <c r="EH357" s="119"/>
      <c r="EI357" s="119"/>
      <c r="EJ357" s="119"/>
      <c r="EK357" s="119"/>
      <c r="EL357" s="119"/>
      <c r="EM357" s="119"/>
      <c r="EN357" s="119"/>
      <c r="EO357" s="119"/>
      <c r="EP357" s="119"/>
      <c r="EQ357" s="119"/>
      <c r="ER357" s="119"/>
      <c r="ES357" s="119"/>
      <c r="ET357" s="119"/>
      <c r="EU357" s="119"/>
      <c r="EV357" s="119"/>
      <c r="EW357" s="119"/>
      <c r="EX357" s="119"/>
      <c r="EY357" s="119"/>
      <c r="EZ357" s="119"/>
      <c r="FA357" s="119"/>
      <c r="FB357" s="119"/>
      <c r="FC357" s="119"/>
      <c r="FD357" s="119"/>
      <c r="FE357" s="119"/>
      <c r="FF357" s="119"/>
      <c r="FG357" s="119"/>
      <c r="FH357" s="119"/>
      <c r="FI357" s="119"/>
      <c r="FJ357" s="119"/>
      <c r="FK357" s="119"/>
      <c r="FL357" s="119"/>
      <c r="FM357" s="119"/>
      <c r="FN357" s="119"/>
      <c r="FO357" s="119"/>
      <c r="FP357" s="119"/>
      <c r="FQ357" s="119"/>
      <c r="FR357" s="119"/>
    </row>
    <row x14ac:dyDescent="0.25" r="358" customHeight="1" ht="15">
      <c r="A358" s="112">
        <v>45891</v>
      </c>
      <c r="B358" s="112">
        <v>45892</v>
      </c>
      <c r="C358" s="107" t="s">
        <v>304</v>
      </c>
      <c r="D358" s="107" t="s">
        <v>39</v>
      </c>
      <c r="E358" s="108">
        <v>124834</v>
      </c>
      <c r="F358" s="108">
        <v>124985</v>
      </c>
      <c r="G358" s="109">
        <f>IF((F358-E358)&lt;0,0,(F358-E358))</f>
      </c>
      <c r="H358" s="110"/>
      <c r="I358" s="111">
        <f>IFERROR(SUMPRODUCT($G358*VLOOKUP($C358,'Vehicle Master'!$D:$F,3,0)),"")</f>
      </c>
      <c r="J358" s="11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  <c r="AA358" s="119"/>
      <c r="AB358" s="119"/>
      <c r="AC358" s="119"/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/>
      <c r="AN358" s="119"/>
      <c r="AO358" s="119"/>
      <c r="AP358" s="119"/>
      <c r="AQ358" s="119"/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119"/>
      <c r="BF358" s="119"/>
      <c r="BG358" s="119"/>
      <c r="BH358" s="119"/>
      <c r="BI358" s="119"/>
      <c r="BJ358" s="119"/>
      <c r="BK358" s="119"/>
      <c r="BL358" s="119"/>
      <c r="BM358" s="119"/>
      <c r="BN358" s="119"/>
      <c r="BO358" s="119"/>
      <c r="BP358" s="119"/>
      <c r="BQ358" s="119"/>
      <c r="BR358" s="119"/>
      <c r="BS358" s="119"/>
      <c r="BT358" s="119"/>
      <c r="BU358" s="119"/>
      <c r="BV358" s="119"/>
      <c r="BW358" s="119"/>
      <c r="BX358" s="119"/>
      <c r="BY358" s="119"/>
      <c r="BZ358" s="119"/>
      <c r="CA358" s="119"/>
      <c r="CB358" s="119"/>
      <c r="CC358" s="119"/>
      <c r="CD358" s="119"/>
      <c r="CE358" s="119"/>
      <c r="CF358" s="119"/>
      <c r="CG358" s="119"/>
      <c r="CH358" s="119"/>
      <c r="CI358" s="119"/>
      <c r="CJ358" s="119"/>
      <c r="CK358" s="119"/>
      <c r="CL358" s="119"/>
      <c r="CM358" s="119"/>
      <c r="CN358" s="119"/>
      <c r="CO358" s="119"/>
      <c r="CP358" s="119"/>
      <c r="CQ358" s="119"/>
      <c r="CR358" s="119"/>
      <c r="CS358" s="119"/>
      <c r="CT358" s="119"/>
      <c r="CU358" s="119"/>
      <c r="CV358" s="119"/>
      <c r="CW358" s="119"/>
      <c r="CX358" s="119"/>
      <c r="CY358" s="119"/>
      <c r="CZ358" s="119"/>
      <c r="DA358" s="119"/>
      <c r="DB358" s="119"/>
      <c r="DC358" s="119"/>
      <c r="DD358" s="119"/>
      <c r="DE358" s="119"/>
      <c r="DF358" s="119"/>
      <c r="DG358" s="119"/>
      <c r="DH358" s="119"/>
      <c r="DI358" s="119"/>
      <c r="DJ358" s="119"/>
      <c r="DK358" s="119"/>
      <c r="DL358" s="119"/>
      <c r="DM358" s="119"/>
      <c r="DN358" s="119"/>
      <c r="DO358" s="119"/>
      <c r="DP358" s="119"/>
      <c r="DQ358" s="119"/>
      <c r="DR358" s="119"/>
      <c r="DS358" s="119"/>
      <c r="DT358" s="119"/>
      <c r="DU358" s="119"/>
      <c r="DV358" s="119"/>
      <c r="DW358" s="119"/>
      <c r="DX358" s="119"/>
      <c r="DY358" s="119"/>
      <c r="DZ358" s="119"/>
      <c r="EA358" s="119"/>
      <c r="EB358" s="119"/>
      <c r="EC358" s="119"/>
      <c r="ED358" s="119"/>
      <c r="EE358" s="119"/>
      <c r="EF358" s="119"/>
      <c r="EG358" s="119"/>
      <c r="EH358" s="119"/>
      <c r="EI358" s="119"/>
      <c r="EJ358" s="119"/>
      <c r="EK358" s="119"/>
      <c r="EL358" s="119"/>
      <c r="EM358" s="119"/>
      <c r="EN358" s="119"/>
      <c r="EO358" s="119"/>
      <c r="EP358" s="119"/>
      <c r="EQ358" s="119"/>
      <c r="ER358" s="119"/>
      <c r="ES358" s="119"/>
      <c r="ET358" s="119"/>
      <c r="EU358" s="119"/>
      <c r="EV358" s="119"/>
      <c r="EW358" s="119"/>
      <c r="EX358" s="119"/>
      <c r="EY358" s="119"/>
      <c r="EZ358" s="119"/>
      <c r="FA358" s="119"/>
      <c r="FB358" s="119"/>
      <c r="FC358" s="119"/>
      <c r="FD358" s="119"/>
      <c r="FE358" s="119"/>
      <c r="FF358" s="119"/>
      <c r="FG358" s="119"/>
      <c r="FH358" s="119"/>
      <c r="FI358" s="119"/>
      <c r="FJ358" s="119"/>
      <c r="FK358" s="119"/>
      <c r="FL358" s="119"/>
      <c r="FM358" s="119"/>
      <c r="FN358" s="119"/>
      <c r="FO358" s="119"/>
      <c r="FP358" s="119"/>
      <c r="FQ358" s="119"/>
      <c r="FR358" s="119"/>
    </row>
    <row x14ac:dyDescent="0.25" r="359" customHeight="1" ht="15">
      <c r="A359" s="112">
        <v>45891</v>
      </c>
      <c r="B359" s="112">
        <v>45892</v>
      </c>
      <c r="C359" s="107" t="s">
        <v>302</v>
      </c>
      <c r="D359" s="107" t="s">
        <v>42</v>
      </c>
      <c r="E359" s="108">
        <v>89615</v>
      </c>
      <c r="F359" s="108">
        <v>89791</v>
      </c>
      <c r="G359" s="109">
        <f>IF((F359-E359)&lt;0,0,(F359-E359))</f>
      </c>
      <c r="H359" s="110"/>
      <c r="I359" s="111">
        <f>IFERROR(SUMPRODUCT($G359*VLOOKUP($C359,'Vehicle Master'!$D:$F,3,0)),"")</f>
      </c>
      <c r="J359" s="11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  <c r="AA359" s="119"/>
      <c r="AB359" s="119"/>
      <c r="AC359" s="119"/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/>
      <c r="AO359" s="119"/>
      <c r="AP359" s="119"/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119"/>
      <c r="BF359" s="119"/>
      <c r="BG359" s="119"/>
      <c r="BH359" s="119"/>
      <c r="BI359" s="119"/>
      <c r="BJ359" s="119"/>
      <c r="BK359" s="119"/>
      <c r="BL359" s="119"/>
      <c r="BM359" s="119"/>
      <c r="BN359" s="119"/>
      <c r="BO359" s="119"/>
      <c r="BP359" s="119"/>
      <c r="BQ359" s="119"/>
      <c r="BR359" s="119"/>
      <c r="BS359" s="119"/>
      <c r="BT359" s="119"/>
      <c r="BU359" s="119"/>
      <c r="BV359" s="119"/>
      <c r="BW359" s="119"/>
      <c r="BX359" s="119"/>
      <c r="BY359" s="119"/>
      <c r="BZ359" s="119"/>
      <c r="CA359" s="119"/>
      <c r="CB359" s="119"/>
      <c r="CC359" s="119"/>
      <c r="CD359" s="119"/>
      <c r="CE359" s="119"/>
      <c r="CF359" s="119"/>
      <c r="CG359" s="119"/>
      <c r="CH359" s="119"/>
      <c r="CI359" s="119"/>
      <c r="CJ359" s="119"/>
      <c r="CK359" s="119"/>
      <c r="CL359" s="119"/>
      <c r="CM359" s="119"/>
      <c r="CN359" s="119"/>
      <c r="CO359" s="119"/>
      <c r="CP359" s="119"/>
      <c r="CQ359" s="119"/>
      <c r="CR359" s="119"/>
      <c r="CS359" s="119"/>
      <c r="CT359" s="119"/>
      <c r="CU359" s="119"/>
      <c r="CV359" s="119"/>
      <c r="CW359" s="119"/>
      <c r="CX359" s="119"/>
      <c r="CY359" s="119"/>
      <c r="CZ359" s="119"/>
      <c r="DA359" s="119"/>
      <c r="DB359" s="119"/>
      <c r="DC359" s="119"/>
      <c r="DD359" s="119"/>
      <c r="DE359" s="119"/>
      <c r="DF359" s="119"/>
      <c r="DG359" s="119"/>
      <c r="DH359" s="119"/>
      <c r="DI359" s="119"/>
      <c r="DJ359" s="119"/>
      <c r="DK359" s="119"/>
      <c r="DL359" s="119"/>
      <c r="DM359" s="119"/>
      <c r="DN359" s="119"/>
      <c r="DO359" s="119"/>
      <c r="DP359" s="119"/>
      <c r="DQ359" s="119"/>
      <c r="DR359" s="119"/>
      <c r="DS359" s="119"/>
      <c r="DT359" s="119"/>
      <c r="DU359" s="119"/>
      <c r="DV359" s="119"/>
      <c r="DW359" s="119"/>
      <c r="DX359" s="119"/>
      <c r="DY359" s="119"/>
      <c r="DZ359" s="119"/>
      <c r="EA359" s="119"/>
      <c r="EB359" s="119"/>
      <c r="EC359" s="119"/>
      <c r="ED359" s="119"/>
      <c r="EE359" s="119"/>
      <c r="EF359" s="119"/>
      <c r="EG359" s="119"/>
      <c r="EH359" s="119"/>
      <c r="EI359" s="119"/>
      <c r="EJ359" s="119"/>
      <c r="EK359" s="119"/>
      <c r="EL359" s="119"/>
      <c r="EM359" s="119"/>
      <c r="EN359" s="119"/>
      <c r="EO359" s="119"/>
      <c r="EP359" s="119"/>
      <c r="EQ359" s="119"/>
      <c r="ER359" s="119"/>
      <c r="ES359" s="119"/>
      <c r="ET359" s="119"/>
      <c r="EU359" s="119"/>
      <c r="EV359" s="119"/>
      <c r="EW359" s="119"/>
      <c r="EX359" s="119"/>
      <c r="EY359" s="119"/>
      <c r="EZ359" s="119"/>
      <c r="FA359" s="119"/>
      <c r="FB359" s="119"/>
      <c r="FC359" s="119"/>
      <c r="FD359" s="119"/>
      <c r="FE359" s="119"/>
      <c r="FF359" s="119"/>
      <c r="FG359" s="119"/>
      <c r="FH359" s="119"/>
      <c r="FI359" s="119"/>
      <c r="FJ359" s="119"/>
      <c r="FK359" s="119"/>
      <c r="FL359" s="119"/>
      <c r="FM359" s="119"/>
      <c r="FN359" s="119"/>
      <c r="FO359" s="119"/>
      <c r="FP359" s="119"/>
      <c r="FQ359" s="119"/>
      <c r="FR359" s="119"/>
    </row>
    <row x14ac:dyDescent="0.25" r="360" customHeight="1" ht="15">
      <c r="A360" s="112">
        <v>45891</v>
      </c>
      <c r="B360" s="112">
        <v>45892</v>
      </c>
      <c r="C360" s="107" t="s">
        <v>303</v>
      </c>
      <c r="D360" s="107" t="s">
        <v>45</v>
      </c>
      <c r="E360" s="108">
        <v>109834</v>
      </c>
      <c r="F360" s="108">
        <v>109981</v>
      </c>
      <c r="G360" s="109">
        <f>IF((F360-E360)&lt;0,0,(F360-E360))</f>
      </c>
      <c r="H360" s="110"/>
      <c r="I360" s="111">
        <f>IFERROR(SUMPRODUCT($G360*VLOOKUP($C360,'Vehicle Master'!$D:$F,3,0)),"")</f>
      </c>
      <c r="J360" s="11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/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9"/>
      <c r="AN360" s="119"/>
      <c r="AO360" s="119"/>
      <c r="AP360" s="119"/>
      <c r="AQ360" s="119"/>
      <c r="AR360" s="119"/>
      <c r="AS360" s="119"/>
      <c r="AT360" s="119"/>
      <c r="AU360" s="119"/>
      <c r="AV360" s="119"/>
      <c r="AW360" s="119"/>
      <c r="AX360" s="119"/>
      <c r="AY360" s="119"/>
      <c r="AZ360" s="119"/>
      <c r="BA360" s="119"/>
      <c r="BB360" s="119"/>
      <c r="BC360" s="119"/>
      <c r="BD360" s="119"/>
      <c r="BE360" s="119"/>
      <c r="BF360" s="119"/>
      <c r="BG360" s="119"/>
      <c r="BH360" s="119"/>
      <c r="BI360" s="119"/>
      <c r="BJ360" s="119"/>
      <c r="BK360" s="119"/>
      <c r="BL360" s="119"/>
      <c r="BM360" s="119"/>
      <c r="BN360" s="119"/>
      <c r="BO360" s="119"/>
      <c r="BP360" s="119"/>
      <c r="BQ360" s="119"/>
      <c r="BR360" s="119"/>
      <c r="BS360" s="119"/>
      <c r="BT360" s="119"/>
      <c r="BU360" s="119"/>
      <c r="BV360" s="119"/>
      <c r="BW360" s="119"/>
      <c r="BX360" s="119"/>
      <c r="BY360" s="119"/>
      <c r="BZ360" s="119"/>
      <c r="CA360" s="119"/>
      <c r="CB360" s="119"/>
      <c r="CC360" s="119"/>
      <c r="CD360" s="119"/>
      <c r="CE360" s="119"/>
      <c r="CF360" s="119"/>
      <c r="CG360" s="119"/>
      <c r="CH360" s="119"/>
      <c r="CI360" s="119"/>
      <c r="CJ360" s="119"/>
      <c r="CK360" s="119"/>
      <c r="CL360" s="119"/>
      <c r="CM360" s="119"/>
      <c r="CN360" s="119"/>
      <c r="CO360" s="119"/>
      <c r="CP360" s="119"/>
      <c r="CQ360" s="119"/>
      <c r="CR360" s="119"/>
      <c r="CS360" s="119"/>
      <c r="CT360" s="119"/>
      <c r="CU360" s="119"/>
      <c r="CV360" s="119"/>
      <c r="CW360" s="119"/>
      <c r="CX360" s="119"/>
      <c r="CY360" s="119"/>
      <c r="CZ360" s="119"/>
      <c r="DA360" s="119"/>
      <c r="DB360" s="119"/>
      <c r="DC360" s="119"/>
      <c r="DD360" s="119"/>
      <c r="DE360" s="119"/>
      <c r="DF360" s="119"/>
      <c r="DG360" s="119"/>
      <c r="DH360" s="119"/>
      <c r="DI360" s="119"/>
      <c r="DJ360" s="119"/>
      <c r="DK360" s="119"/>
      <c r="DL360" s="119"/>
      <c r="DM360" s="119"/>
      <c r="DN360" s="119"/>
      <c r="DO360" s="119"/>
      <c r="DP360" s="119"/>
      <c r="DQ360" s="119"/>
      <c r="DR360" s="119"/>
      <c r="DS360" s="119"/>
      <c r="DT360" s="119"/>
      <c r="DU360" s="119"/>
      <c r="DV360" s="119"/>
      <c r="DW360" s="119"/>
      <c r="DX360" s="119"/>
      <c r="DY360" s="119"/>
      <c r="DZ360" s="119"/>
      <c r="EA360" s="119"/>
      <c r="EB360" s="119"/>
      <c r="EC360" s="119"/>
      <c r="ED360" s="119"/>
      <c r="EE360" s="119"/>
      <c r="EF360" s="119"/>
      <c r="EG360" s="119"/>
      <c r="EH360" s="119"/>
      <c r="EI360" s="119"/>
      <c r="EJ360" s="119"/>
      <c r="EK360" s="119"/>
      <c r="EL360" s="119"/>
      <c r="EM360" s="119"/>
      <c r="EN360" s="119"/>
      <c r="EO360" s="119"/>
      <c r="EP360" s="119"/>
      <c r="EQ360" s="119"/>
      <c r="ER360" s="119"/>
      <c r="ES360" s="119"/>
      <c r="ET360" s="119"/>
      <c r="EU360" s="119"/>
      <c r="EV360" s="119"/>
      <c r="EW360" s="119"/>
      <c r="EX360" s="119"/>
      <c r="EY360" s="119"/>
      <c r="EZ360" s="119"/>
      <c r="FA360" s="119"/>
      <c r="FB360" s="119"/>
      <c r="FC360" s="119"/>
      <c r="FD360" s="119"/>
      <c r="FE360" s="119"/>
      <c r="FF360" s="119"/>
      <c r="FG360" s="119"/>
      <c r="FH360" s="119"/>
      <c r="FI360" s="119"/>
      <c r="FJ360" s="119"/>
      <c r="FK360" s="119"/>
      <c r="FL360" s="119"/>
      <c r="FM360" s="119"/>
      <c r="FN360" s="119"/>
      <c r="FO360" s="119"/>
      <c r="FP360" s="119"/>
      <c r="FQ360" s="119"/>
      <c r="FR360" s="119"/>
    </row>
    <row x14ac:dyDescent="0.25" r="361" customHeight="1" ht="15">
      <c r="A361" s="112">
        <v>45892</v>
      </c>
      <c r="B361" s="112">
        <v>45893</v>
      </c>
      <c r="C361" s="107" t="s">
        <v>305</v>
      </c>
      <c r="D361" s="107" t="s">
        <v>43</v>
      </c>
      <c r="E361" s="108">
        <v>112041</v>
      </c>
      <c r="F361" s="108">
        <v>112370</v>
      </c>
      <c r="G361" s="109">
        <f>IF((F361-E361)&lt;0,0,(F361-E361))</f>
      </c>
      <c r="H361" s="110"/>
      <c r="I361" s="111">
        <f>IFERROR(SUMPRODUCT($G361*VLOOKUP($C361,'Vehicle Master'!$D:$F,3,0)),"")</f>
      </c>
      <c r="J361" s="11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/>
      <c r="AU361" s="119"/>
      <c r="AV361" s="119"/>
      <c r="AW361" s="119"/>
      <c r="AX361" s="119"/>
      <c r="AY361" s="119"/>
      <c r="AZ361" s="119"/>
      <c r="BA361" s="119"/>
      <c r="BB361" s="119"/>
      <c r="BC361" s="119"/>
      <c r="BD361" s="119"/>
      <c r="BE361" s="119"/>
      <c r="BF361" s="119"/>
      <c r="BG361" s="119"/>
      <c r="BH361" s="119"/>
      <c r="BI361" s="119"/>
      <c r="BJ361" s="119"/>
      <c r="BK361" s="119"/>
      <c r="BL361" s="119"/>
      <c r="BM361" s="119"/>
      <c r="BN361" s="119"/>
      <c r="BO361" s="119"/>
      <c r="BP361" s="119"/>
      <c r="BQ361" s="119"/>
      <c r="BR361" s="119"/>
      <c r="BS361" s="119"/>
      <c r="BT361" s="119"/>
      <c r="BU361" s="119"/>
      <c r="BV361" s="119"/>
      <c r="BW361" s="119"/>
      <c r="BX361" s="119"/>
      <c r="BY361" s="119"/>
      <c r="BZ361" s="119"/>
      <c r="CA361" s="119"/>
      <c r="CB361" s="119"/>
      <c r="CC361" s="119"/>
      <c r="CD361" s="119"/>
      <c r="CE361" s="119"/>
      <c r="CF361" s="119"/>
      <c r="CG361" s="119"/>
      <c r="CH361" s="119"/>
      <c r="CI361" s="119"/>
      <c r="CJ361" s="119"/>
      <c r="CK361" s="119"/>
      <c r="CL361" s="119"/>
      <c r="CM361" s="119"/>
      <c r="CN361" s="119"/>
      <c r="CO361" s="119"/>
      <c r="CP361" s="119"/>
      <c r="CQ361" s="119"/>
      <c r="CR361" s="119"/>
      <c r="CS361" s="119"/>
      <c r="CT361" s="119"/>
      <c r="CU361" s="119"/>
      <c r="CV361" s="119"/>
      <c r="CW361" s="119"/>
      <c r="CX361" s="119"/>
      <c r="CY361" s="119"/>
      <c r="CZ361" s="119"/>
      <c r="DA361" s="119"/>
      <c r="DB361" s="119"/>
      <c r="DC361" s="119"/>
      <c r="DD361" s="119"/>
      <c r="DE361" s="119"/>
      <c r="DF361" s="119"/>
      <c r="DG361" s="119"/>
      <c r="DH361" s="119"/>
      <c r="DI361" s="119"/>
      <c r="DJ361" s="119"/>
      <c r="DK361" s="119"/>
      <c r="DL361" s="119"/>
      <c r="DM361" s="119"/>
      <c r="DN361" s="119"/>
      <c r="DO361" s="119"/>
      <c r="DP361" s="119"/>
      <c r="DQ361" s="119"/>
      <c r="DR361" s="119"/>
      <c r="DS361" s="119"/>
      <c r="DT361" s="119"/>
      <c r="DU361" s="119"/>
      <c r="DV361" s="119"/>
      <c r="DW361" s="119"/>
      <c r="DX361" s="119"/>
      <c r="DY361" s="119"/>
      <c r="DZ361" s="119"/>
      <c r="EA361" s="119"/>
      <c r="EB361" s="119"/>
      <c r="EC361" s="119"/>
      <c r="ED361" s="119"/>
      <c r="EE361" s="119"/>
      <c r="EF361" s="119"/>
      <c r="EG361" s="119"/>
      <c r="EH361" s="119"/>
      <c r="EI361" s="119"/>
      <c r="EJ361" s="119"/>
      <c r="EK361" s="119"/>
      <c r="EL361" s="119"/>
      <c r="EM361" s="119"/>
      <c r="EN361" s="119"/>
      <c r="EO361" s="119"/>
      <c r="EP361" s="119"/>
      <c r="EQ361" s="119"/>
      <c r="ER361" s="119"/>
      <c r="ES361" s="119"/>
      <c r="ET361" s="119"/>
      <c r="EU361" s="119"/>
      <c r="EV361" s="119"/>
      <c r="EW361" s="119"/>
      <c r="EX361" s="119"/>
      <c r="EY361" s="119"/>
      <c r="EZ361" s="119"/>
      <c r="FA361" s="119"/>
      <c r="FB361" s="119"/>
      <c r="FC361" s="119"/>
      <c r="FD361" s="119"/>
      <c r="FE361" s="119"/>
      <c r="FF361" s="119"/>
      <c r="FG361" s="119"/>
      <c r="FH361" s="119"/>
      <c r="FI361" s="119"/>
      <c r="FJ361" s="119"/>
      <c r="FK361" s="119"/>
      <c r="FL361" s="119"/>
      <c r="FM361" s="119"/>
      <c r="FN361" s="119"/>
      <c r="FO361" s="119"/>
      <c r="FP361" s="119"/>
      <c r="FQ361" s="119"/>
      <c r="FR361" s="119"/>
    </row>
    <row x14ac:dyDescent="0.25" r="362" customHeight="1" ht="15">
      <c r="A362" s="112">
        <v>45892</v>
      </c>
      <c r="B362" s="112">
        <v>45893</v>
      </c>
      <c r="C362" s="107" t="s">
        <v>303</v>
      </c>
      <c r="D362" s="107" t="s">
        <v>45</v>
      </c>
      <c r="E362" s="108">
        <v>110309</v>
      </c>
      <c r="F362" s="108">
        <v>110309</v>
      </c>
      <c r="G362" s="109">
        <v>328</v>
      </c>
      <c r="H362" s="110"/>
      <c r="I362" s="111">
        <f>IFERROR(SUMPRODUCT($G362*VLOOKUP($C362,'Vehicle Master'!$D:$F,3,0)),"")</f>
      </c>
      <c r="J362" s="11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/>
      <c r="AB362" s="119"/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/>
      <c r="AV362" s="119"/>
      <c r="AW362" s="119"/>
      <c r="AX362" s="119"/>
      <c r="AY362" s="119"/>
      <c r="AZ362" s="119"/>
      <c r="BA362" s="119"/>
      <c r="BB362" s="119"/>
      <c r="BC362" s="119"/>
      <c r="BD362" s="119"/>
      <c r="BE362" s="119"/>
      <c r="BF362" s="119"/>
      <c r="BG362" s="119"/>
      <c r="BH362" s="119"/>
      <c r="BI362" s="119"/>
      <c r="BJ362" s="119"/>
      <c r="BK362" s="119"/>
      <c r="BL362" s="119"/>
      <c r="BM362" s="119"/>
      <c r="BN362" s="119"/>
      <c r="BO362" s="119"/>
      <c r="BP362" s="119"/>
      <c r="BQ362" s="119"/>
      <c r="BR362" s="119"/>
      <c r="BS362" s="119"/>
      <c r="BT362" s="119"/>
      <c r="BU362" s="119"/>
      <c r="BV362" s="119"/>
      <c r="BW362" s="119"/>
      <c r="BX362" s="119"/>
      <c r="BY362" s="119"/>
      <c r="BZ362" s="119"/>
      <c r="CA362" s="119"/>
      <c r="CB362" s="119"/>
      <c r="CC362" s="119"/>
      <c r="CD362" s="119"/>
      <c r="CE362" s="119"/>
      <c r="CF362" s="119"/>
      <c r="CG362" s="119"/>
      <c r="CH362" s="119"/>
      <c r="CI362" s="119"/>
      <c r="CJ362" s="119"/>
      <c r="CK362" s="119"/>
      <c r="CL362" s="119"/>
      <c r="CM362" s="119"/>
      <c r="CN362" s="119"/>
      <c r="CO362" s="119"/>
      <c r="CP362" s="119"/>
      <c r="CQ362" s="119"/>
      <c r="CR362" s="119"/>
      <c r="CS362" s="119"/>
      <c r="CT362" s="119"/>
      <c r="CU362" s="119"/>
      <c r="CV362" s="119"/>
      <c r="CW362" s="119"/>
      <c r="CX362" s="119"/>
      <c r="CY362" s="119"/>
      <c r="CZ362" s="119"/>
      <c r="DA362" s="119"/>
      <c r="DB362" s="119"/>
      <c r="DC362" s="119"/>
      <c r="DD362" s="119"/>
      <c r="DE362" s="119"/>
      <c r="DF362" s="119"/>
      <c r="DG362" s="119"/>
      <c r="DH362" s="119"/>
      <c r="DI362" s="119"/>
      <c r="DJ362" s="119"/>
      <c r="DK362" s="119"/>
      <c r="DL362" s="119"/>
      <c r="DM362" s="119"/>
      <c r="DN362" s="119"/>
      <c r="DO362" s="119"/>
      <c r="DP362" s="119"/>
      <c r="DQ362" s="119"/>
      <c r="DR362" s="119"/>
      <c r="DS362" s="119"/>
      <c r="DT362" s="119"/>
      <c r="DU362" s="119"/>
      <c r="DV362" s="119"/>
      <c r="DW362" s="119"/>
      <c r="DX362" s="119"/>
      <c r="DY362" s="119"/>
      <c r="DZ362" s="119"/>
      <c r="EA362" s="119"/>
      <c r="EB362" s="119"/>
      <c r="EC362" s="119"/>
      <c r="ED362" s="119"/>
      <c r="EE362" s="119"/>
      <c r="EF362" s="119"/>
      <c r="EG362" s="119"/>
      <c r="EH362" s="119"/>
      <c r="EI362" s="119"/>
      <c r="EJ362" s="119"/>
      <c r="EK362" s="119"/>
      <c r="EL362" s="119"/>
      <c r="EM362" s="119"/>
      <c r="EN362" s="119"/>
      <c r="EO362" s="119"/>
      <c r="EP362" s="119"/>
      <c r="EQ362" s="119"/>
      <c r="ER362" s="119"/>
      <c r="ES362" s="119"/>
      <c r="ET362" s="119"/>
      <c r="EU362" s="119"/>
      <c r="EV362" s="119"/>
      <c r="EW362" s="119"/>
      <c r="EX362" s="119"/>
      <c r="EY362" s="119"/>
      <c r="EZ362" s="119"/>
      <c r="FA362" s="119"/>
      <c r="FB362" s="119"/>
      <c r="FC362" s="119"/>
      <c r="FD362" s="119"/>
      <c r="FE362" s="119"/>
      <c r="FF362" s="119"/>
      <c r="FG362" s="119"/>
      <c r="FH362" s="119"/>
      <c r="FI362" s="119"/>
      <c r="FJ362" s="119"/>
      <c r="FK362" s="119"/>
      <c r="FL362" s="119"/>
      <c r="FM362" s="119"/>
      <c r="FN362" s="119"/>
      <c r="FO362" s="119"/>
      <c r="FP362" s="119"/>
      <c r="FQ362" s="119"/>
      <c r="FR362" s="119"/>
    </row>
    <row x14ac:dyDescent="0.25" r="363" customHeight="1" ht="15">
      <c r="A363" s="112">
        <v>45892</v>
      </c>
      <c r="B363" s="112">
        <v>45893</v>
      </c>
      <c r="C363" s="107" t="s">
        <v>302</v>
      </c>
      <c r="D363" s="107" t="s">
        <v>42</v>
      </c>
      <c r="E363" s="108">
        <v>89791</v>
      </c>
      <c r="F363" s="108">
        <v>90261</v>
      </c>
      <c r="G363" s="109">
        <f>IF((F363-E363)&lt;0,0,(F363-E363))</f>
      </c>
      <c r="H363" s="110"/>
      <c r="I363" s="111">
        <f>IFERROR(SUMPRODUCT($G363*VLOOKUP($C363,'Vehicle Master'!$D:$F,3,0)),"")</f>
      </c>
      <c r="J363" s="11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/>
      <c r="AP363" s="119"/>
      <c r="AQ363" s="119"/>
      <c r="AR363" s="119"/>
      <c r="AS363" s="119"/>
      <c r="AT363" s="119"/>
      <c r="AU363" s="119"/>
      <c r="AV363" s="119"/>
      <c r="AW363" s="119"/>
      <c r="AX363" s="119"/>
      <c r="AY363" s="119"/>
      <c r="AZ363" s="119"/>
      <c r="BA363" s="119"/>
      <c r="BB363" s="119"/>
      <c r="BC363" s="119"/>
      <c r="BD363" s="119"/>
      <c r="BE363" s="119"/>
      <c r="BF363" s="119"/>
      <c r="BG363" s="119"/>
      <c r="BH363" s="119"/>
      <c r="BI363" s="119"/>
      <c r="BJ363" s="119"/>
      <c r="BK363" s="119"/>
      <c r="BL363" s="119"/>
      <c r="BM363" s="119"/>
      <c r="BN363" s="119"/>
      <c r="BO363" s="119"/>
      <c r="BP363" s="119"/>
      <c r="BQ363" s="119"/>
      <c r="BR363" s="119"/>
      <c r="BS363" s="119"/>
      <c r="BT363" s="119"/>
      <c r="BU363" s="119"/>
      <c r="BV363" s="119"/>
      <c r="BW363" s="119"/>
      <c r="BX363" s="119"/>
      <c r="BY363" s="119"/>
      <c r="BZ363" s="119"/>
      <c r="CA363" s="119"/>
      <c r="CB363" s="119"/>
      <c r="CC363" s="119"/>
      <c r="CD363" s="119"/>
      <c r="CE363" s="119"/>
      <c r="CF363" s="119"/>
      <c r="CG363" s="119"/>
      <c r="CH363" s="119"/>
      <c r="CI363" s="119"/>
      <c r="CJ363" s="119"/>
      <c r="CK363" s="119"/>
      <c r="CL363" s="119"/>
      <c r="CM363" s="119"/>
      <c r="CN363" s="119"/>
      <c r="CO363" s="119"/>
      <c r="CP363" s="119"/>
      <c r="CQ363" s="119"/>
      <c r="CR363" s="119"/>
      <c r="CS363" s="119"/>
      <c r="CT363" s="119"/>
      <c r="CU363" s="119"/>
      <c r="CV363" s="119"/>
      <c r="CW363" s="119"/>
      <c r="CX363" s="119"/>
      <c r="CY363" s="119"/>
      <c r="CZ363" s="119"/>
      <c r="DA363" s="119"/>
      <c r="DB363" s="119"/>
      <c r="DC363" s="119"/>
      <c r="DD363" s="119"/>
      <c r="DE363" s="119"/>
      <c r="DF363" s="119"/>
      <c r="DG363" s="119"/>
      <c r="DH363" s="119"/>
      <c r="DI363" s="119"/>
      <c r="DJ363" s="119"/>
      <c r="DK363" s="119"/>
      <c r="DL363" s="119"/>
      <c r="DM363" s="119"/>
      <c r="DN363" s="119"/>
      <c r="DO363" s="119"/>
      <c r="DP363" s="119"/>
      <c r="DQ363" s="119"/>
      <c r="DR363" s="119"/>
      <c r="DS363" s="119"/>
      <c r="DT363" s="119"/>
      <c r="DU363" s="119"/>
      <c r="DV363" s="119"/>
      <c r="DW363" s="119"/>
      <c r="DX363" s="119"/>
      <c r="DY363" s="119"/>
      <c r="DZ363" s="119"/>
      <c r="EA363" s="119"/>
      <c r="EB363" s="119"/>
      <c r="EC363" s="119"/>
      <c r="ED363" s="119"/>
      <c r="EE363" s="119"/>
      <c r="EF363" s="119"/>
      <c r="EG363" s="119"/>
      <c r="EH363" s="119"/>
      <c r="EI363" s="119"/>
      <c r="EJ363" s="119"/>
      <c r="EK363" s="119"/>
      <c r="EL363" s="119"/>
      <c r="EM363" s="119"/>
      <c r="EN363" s="119"/>
      <c r="EO363" s="119"/>
      <c r="EP363" s="119"/>
      <c r="EQ363" s="119"/>
      <c r="ER363" s="119"/>
      <c r="ES363" s="119"/>
      <c r="ET363" s="119"/>
      <c r="EU363" s="119"/>
      <c r="EV363" s="119"/>
      <c r="EW363" s="119"/>
      <c r="EX363" s="119"/>
      <c r="EY363" s="119"/>
      <c r="EZ363" s="119"/>
      <c r="FA363" s="119"/>
      <c r="FB363" s="119"/>
      <c r="FC363" s="119"/>
      <c r="FD363" s="119"/>
      <c r="FE363" s="119"/>
      <c r="FF363" s="119"/>
      <c r="FG363" s="119"/>
      <c r="FH363" s="119"/>
      <c r="FI363" s="119"/>
      <c r="FJ363" s="119"/>
      <c r="FK363" s="119"/>
      <c r="FL363" s="119"/>
      <c r="FM363" s="119"/>
      <c r="FN363" s="119"/>
      <c r="FO363" s="119"/>
      <c r="FP363" s="119"/>
      <c r="FQ363" s="119"/>
      <c r="FR363" s="119"/>
    </row>
    <row x14ac:dyDescent="0.25" r="364" customHeight="1" ht="15">
      <c r="A364" s="112">
        <v>45894</v>
      </c>
      <c r="B364" s="112">
        <v>45895</v>
      </c>
      <c r="C364" s="107" t="s">
        <v>303</v>
      </c>
      <c r="D364" s="107" t="s">
        <v>45</v>
      </c>
      <c r="E364" s="108">
        <v>110309</v>
      </c>
      <c r="F364" s="108">
        <v>110737</v>
      </c>
      <c r="G364" s="109">
        <f>IF((F364-E364)&lt;0,0,(F364-E364))</f>
      </c>
      <c r="H364" s="110"/>
      <c r="I364" s="111">
        <f>IFERROR(SUMPRODUCT($G364*VLOOKUP($C364,'Vehicle Master'!$D:$F,3,0)),"")</f>
      </c>
      <c r="J364" s="11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/>
      <c r="AD364" s="119"/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/>
      <c r="BB364" s="119"/>
      <c r="BC364" s="119"/>
      <c r="BD364" s="119"/>
      <c r="BE364" s="119"/>
      <c r="BF364" s="119"/>
      <c r="BG364" s="119"/>
      <c r="BH364" s="119"/>
      <c r="BI364" s="119"/>
      <c r="BJ364" s="119"/>
      <c r="BK364" s="119"/>
      <c r="BL364" s="119"/>
      <c r="BM364" s="119"/>
      <c r="BN364" s="119"/>
      <c r="BO364" s="119"/>
      <c r="BP364" s="119"/>
      <c r="BQ364" s="119"/>
      <c r="BR364" s="119"/>
      <c r="BS364" s="119"/>
      <c r="BT364" s="119"/>
      <c r="BU364" s="119"/>
      <c r="BV364" s="119"/>
      <c r="BW364" s="119"/>
      <c r="BX364" s="119"/>
      <c r="BY364" s="119"/>
      <c r="BZ364" s="119"/>
      <c r="CA364" s="119"/>
      <c r="CB364" s="119"/>
      <c r="CC364" s="119"/>
      <c r="CD364" s="119"/>
      <c r="CE364" s="119"/>
      <c r="CF364" s="119"/>
      <c r="CG364" s="119"/>
      <c r="CH364" s="119"/>
      <c r="CI364" s="119"/>
      <c r="CJ364" s="119"/>
      <c r="CK364" s="119"/>
      <c r="CL364" s="119"/>
      <c r="CM364" s="119"/>
      <c r="CN364" s="119"/>
      <c r="CO364" s="119"/>
      <c r="CP364" s="119"/>
      <c r="CQ364" s="119"/>
      <c r="CR364" s="119"/>
      <c r="CS364" s="119"/>
      <c r="CT364" s="119"/>
      <c r="CU364" s="119"/>
      <c r="CV364" s="119"/>
      <c r="CW364" s="119"/>
      <c r="CX364" s="119"/>
      <c r="CY364" s="119"/>
      <c r="CZ364" s="119"/>
      <c r="DA364" s="119"/>
      <c r="DB364" s="119"/>
      <c r="DC364" s="119"/>
      <c r="DD364" s="119"/>
      <c r="DE364" s="119"/>
      <c r="DF364" s="119"/>
      <c r="DG364" s="119"/>
      <c r="DH364" s="119"/>
      <c r="DI364" s="119"/>
      <c r="DJ364" s="119"/>
      <c r="DK364" s="119"/>
      <c r="DL364" s="119"/>
      <c r="DM364" s="119"/>
      <c r="DN364" s="119"/>
      <c r="DO364" s="119"/>
      <c r="DP364" s="119"/>
      <c r="DQ364" s="119"/>
      <c r="DR364" s="119"/>
      <c r="DS364" s="119"/>
      <c r="DT364" s="119"/>
      <c r="DU364" s="119"/>
      <c r="DV364" s="119"/>
      <c r="DW364" s="119"/>
      <c r="DX364" s="119"/>
      <c r="DY364" s="119"/>
      <c r="DZ364" s="119"/>
      <c r="EA364" s="119"/>
      <c r="EB364" s="119"/>
      <c r="EC364" s="119"/>
      <c r="ED364" s="119"/>
      <c r="EE364" s="119"/>
      <c r="EF364" s="119"/>
      <c r="EG364" s="119"/>
      <c r="EH364" s="119"/>
      <c r="EI364" s="119"/>
      <c r="EJ364" s="119"/>
      <c r="EK364" s="119"/>
      <c r="EL364" s="119"/>
      <c r="EM364" s="119"/>
      <c r="EN364" s="119"/>
      <c r="EO364" s="119"/>
      <c r="EP364" s="119"/>
      <c r="EQ364" s="119"/>
      <c r="ER364" s="119"/>
      <c r="ES364" s="119"/>
      <c r="ET364" s="119"/>
      <c r="EU364" s="119"/>
      <c r="EV364" s="119"/>
      <c r="EW364" s="119"/>
      <c r="EX364" s="119"/>
      <c r="EY364" s="119"/>
      <c r="EZ364" s="119"/>
      <c r="FA364" s="119"/>
      <c r="FB364" s="119"/>
      <c r="FC364" s="119"/>
      <c r="FD364" s="119"/>
      <c r="FE364" s="119"/>
      <c r="FF364" s="119"/>
      <c r="FG364" s="119"/>
      <c r="FH364" s="119"/>
      <c r="FI364" s="119"/>
      <c r="FJ364" s="119"/>
      <c r="FK364" s="119"/>
      <c r="FL364" s="119"/>
      <c r="FM364" s="119"/>
      <c r="FN364" s="119"/>
      <c r="FO364" s="119"/>
      <c r="FP364" s="119"/>
      <c r="FQ364" s="119"/>
      <c r="FR364" s="119"/>
    </row>
    <row x14ac:dyDescent="0.25" r="365" customHeight="1" ht="15">
      <c r="A365" s="112">
        <v>45894</v>
      </c>
      <c r="B365" s="112">
        <v>45895</v>
      </c>
      <c r="C365" s="107" t="s">
        <v>304</v>
      </c>
      <c r="D365" s="107" t="s">
        <v>39</v>
      </c>
      <c r="E365" s="108">
        <v>125072</v>
      </c>
      <c r="F365" s="108">
        <v>125260</v>
      </c>
      <c r="G365" s="109">
        <f>IF((F365-E365)&lt;0,0,(F365-E365))</f>
      </c>
      <c r="H365" s="110"/>
      <c r="I365" s="111">
        <f>IFERROR(SUMPRODUCT($G365*VLOOKUP($C365,'Vehicle Master'!$D:$F,3,0)),"")</f>
      </c>
      <c r="J365" s="11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/>
      <c r="AS365" s="119"/>
      <c r="AT365" s="119"/>
      <c r="AU365" s="119"/>
      <c r="AV365" s="119"/>
      <c r="AW365" s="119"/>
      <c r="AX365" s="119"/>
      <c r="AY365" s="119"/>
      <c r="AZ365" s="119"/>
      <c r="BA365" s="119"/>
      <c r="BB365" s="119"/>
      <c r="BC365" s="119"/>
      <c r="BD365" s="119"/>
      <c r="BE365" s="119"/>
      <c r="BF365" s="119"/>
      <c r="BG365" s="119"/>
      <c r="BH365" s="119"/>
      <c r="BI365" s="119"/>
      <c r="BJ365" s="119"/>
      <c r="BK365" s="119"/>
      <c r="BL365" s="119"/>
      <c r="BM365" s="119"/>
      <c r="BN365" s="119"/>
      <c r="BO365" s="119"/>
      <c r="BP365" s="119"/>
      <c r="BQ365" s="119"/>
      <c r="BR365" s="119"/>
      <c r="BS365" s="119"/>
      <c r="BT365" s="119"/>
      <c r="BU365" s="119"/>
      <c r="BV365" s="119"/>
      <c r="BW365" s="119"/>
      <c r="BX365" s="119"/>
      <c r="BY365" s="119"/>
      <c r="BZ365" s="119"/>
      <c r="CA365" s="119"/>
      <c r="CB365" s="119"/>
      <c r="CC365" s="119"/>
      <c r="CD365" s="119"/>
      <c r="CE365" s="119"/>
      <c r="CF365" s="119"/>
      <c r="CG365" s="119"/>
      <c r="CH365" s="119"/>
      <c r="CI365" s="119"/>
      <c r="CJ365" s="119"/>
      <c r="CK365" s="119"/>
      <c r="CL365" s="119"/>
      <c r="CM365" s="119"/>
      <c r="CN365" s="119"/>
      <c r="CO365" s="119"/>
      <c r="CP365" s="119"/>
      <c r="CQ365" s="119"/>
      <c r="CR365" s="119"/>
      <c r="CS365" s="119"/>
      <c r="CT365" s="119"/>
      <c r="CU365" s="119"/>
      <c r="CV365" s="119"/>
      <c r="CW365" s="119"/>
      <c r="CX365" s="119"/>
      <c r="CY365" s="119"/>
      <c r="CZ365" s="119"/>
      <c r="DA365" s="119"/>
      <c r="DB365" s="119"/>
      <c r="DC365" s="119"/>
      <c r="DD365" s="119"/>
      <c r="DE365" s="119"/>
      <c r="DF365" s="119"/>
      <c r="DG365" s="119"/>
      <c r="DH365" s="119"/>
      <c r="DI365" s="119"/>
      <c r="DJ365" s="119"/>
      <c r="DK365" s="119"/>
      <c r="DL365" s="119"/>
      <c r="DM365" s="119"/>
      <c r="DN365" s="119"/>
      <c r="DO365" s="119"/>
      <c r="DP365" s="119"/>
      <c r="DQ365" s="119"/>
      <c r="DR365" s="119"/>
      <c r="DS365" s="119"/>
      <c r="DT365" s="119"/>
      <c r="DU365" s="119"/>
      <c r="DV365" s="119"/>
      <c r="DW365" s="119"/>
      <c r="DX365" s="119"/>
      <c r="DY365" s="119"/>
      <c r="DZ365" s="119"/>
      <c r="EA365" s="119"/>
      <c r="EB365" s="119"/>
      <c r="EC365" s="119"/>
      <c r="ED365" s="119"/>
      <c r="EE365" s="119"/>
      <c r="EF365" s="119"/>
      <c r="EG365" s="119"/>
      <c r="EH365" s="119"/>
      <c r="EI365" s="119"/>
      <c r="EJ365" s="119"/>
      <c r="EK365" s="119"/>
      <c r="EL365" s="119"/>
      <c r="EM365" s="119"/>
      <c r="EN365" s="119"/>
      <c r="EO365" s="119"/>
      <c r="EP365" s="119"/>
      <c r="EQ365" s="119"/>
      <c r="ER365" s="119"/>
      <c r="ES365" s="119"/>
      <c r="ET365" s="119"/>
      <c r="EU365" s="119"/>
      <c r="EV365" s="119"/>
      <c r="EW365" s="119"/>
      <c r="EX365" s="119"/>
      <c r="EY365" s="119"/>
      <c r="EZ365" s="119"/>
      <c r="FA365" s="119"/>
      <c r="FB365" s="119"/>
      <c r="FC365" s="119"/>
      <c r="FD365" s="119"/>
      <c r="FE365" s="119"/>
      <c r="FF365" s="119"/>
      <c r="FG365" s="119"/>
      <c r="FH365" s="119"/>
      <c r="FI365" s="119"/>
      <c r="FJ365" s="119"/>
      <c r="FK365" s="119"/>
      <c r="FL365" s="119"/>
      <c r="FM365" s="119"/>
      <c r="FN365" s="119"/>
      <c r="FO365" s="119"/>
      <c r="FP365" s="119"/>
      <c r="FQ365" s="119"/>
      <c r="FR365" s="119"/>
    </row>
    <row x14ac:dyDescent="0.25" r="366" customHeight="1" ht="15">
      <c r="A366" s="112">
        <v>45895</v>
      </c>
      <c r="B366" s="112">
        <v>45896</v>
      </c>
      <c r="C366" s="107" t="s">
        <v>302</v>
      </c>
      <c r="D366" s="107" t="s">
        <v>42</v>
      </c>
      <c r="E366" s="108">
        <v>90261</v>
      </c>
      <c r="F366" s="108">
        <v>90314</v>
      </c>
      <c r="G366" s="109">
        <f>IF((F366-E366)&lt;0,0,(F366-E366))</f>
      </c>
      <c r="H366" s="110"/>
      <c r="I366" s="111">
        <f>IFERROR(SUMPRODUCT($G366*VLOOKUP($C366,'Vehicle Master'!$D:$F,3,0)),"")</f>
      </c>
      <c r="J366" s="11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/>
      <c r="AE366" s="119"/>
      <c r="AF366" s="119"/>
      <c r="AG366" s="119"/>
      <c r="AH366" s="119"/>
      <c r="AI366" s="119"/>
      <c r="AJ366" s="119"/>
      <c r="AK366" s="119"/>
      <c r="AL366" s="119"/>
      <c r="AM366" s="119"/>
      <c r="AN366" s="119"/>
      <c r="AO366" s="119"/>
      <c r="AP366" s="119"/>
      <c r="AQ366" s="119"/>
      <c r="AR366" s="119"/>
      <c r="AS366" s="119"/>
      <c r="AT366" s="119"/>
      <c r="AU366" s="119"/>
      <c r="AV366" s="119"/>
      <c r="AW366" s="119"/>
      <c r="AX366" s="119"/>
      <c r="AY366" s="119"/>
      <c r="AZ366" s="119"/>
      <c r="BA366" s="119"/>
      <c r="BB366" s="119"/>
      <c r="BC366" s="119"/>
      <c r="BD366" s="119"/>
      <c r="BE366" s="119"/>
      <c r="BF366" s="119"/>
      <c r="BG366" s="119"/>
      <c r="BH366" s="119"/>
      <c r="BI366" s="119"/>
      <c r="BJ366" s="119"/>
      <c r="BK366" s="119"/>
      <c r="BL366" s="119"/>
      <c r="BM366" s="119"/>
      <c r="BN366" s="119"/>
      <c r="BO366" s="119"/>
      <c r="BP366" s="119"/>
      <c r="BQ366" s="119"/>
      <c r="BR366" s="119"/>
      <c r="BS366" s="119"/>
      <c r="BT366" s="119"/>
      <c r="BU366" s="119"/>
      <c r="BV366" s="119"/>
      <c r="BW366" s="119"/>
      <c r="BX366" s="119"/>
      <c r="BY366" s="119"/>
      <c r="BZ366" s="119"/>
      <c r="CA366" s="119"/>
      <c r="CB366" s="119"/>
      <c r="CC366" s="119"/>
      <c r="CD366" s="119"/>
      <c r="CE366" s="119"/>
      <c r="CF366" s="119"/>
      <c r="CG366" s="119"/>
      <c r="CH366" s="119"/>
      <c r="CI366" s="119"/>
      <c r="CJ366" s="119"/>
      <c r="CK366" s="119"/>
      <c r="CL366" s="119"/>
      <c r="CM366" s="119"/>
      <c r="CN366" s="119"/>
      <c r="CO366" s="119"/>
      <c r="CP366" s="119"/>
      <c r="CQ366" s="119"/>
      <c r="CR366" s="119"/>
      <c r="CS366" s="119"/>
      <c r="CT366" s="119"/>
      <c r="CU366" s="119"/>
      <c r="CV366" s="119"/>
      <c r="CW366" s="119"/>
      <c r="CX366" s="119"/>
      <c r="CY366" s="119"/>
      <c r="CZ366" s="119"/>
      <c r="DA366" s="119"/>
      <c r="DB366" s="119"/>
      <c r="DC366" s="119"/>
      <c r="DD366" s="119"/>
      <c r="DE366" s="119"/>
      <c r="DF366" s="119"/>
      <c r="DG366" s="119"/>
      <c r="DH366" s="119"/>
      <c r="DI366" s="119"/>
      <c r="DJ366" s="119"/>
      <c r="DK366" s="119"/>
      <c r="DL366" s="119"/>
      <c r="DM366" s="119"/>
      <c r="DN366" s="119"/>
      <c r="DO366" s="119"/>
      <c r="DP366" s="119"/>
      <c r="DQ366" s="119"/>
      <c r="DR366" s="119"/>
      <c r="DS366" s="119"/>
      <c r="DT366" s="119"/>
      <c r="DU366" s="119"/>
      <c r="DV366" s="119"/>
      <c r="DW366" s="119"/>
      <c r="DX366" s="119"/>
      <c r="DY366" s="119"/>
      <c r="DZ366" s="119"/>
      <c r="EA366" s="119"/>
      <c r="EB366" s="119"/>
      <c r="EC366" s="119"/>
      <c r="ED366" s="119"/>
      <c r="EE366" s="119"/>
      <c r="EF366" s="119"/>
      <c r="EG366" s="119"/>
      <c r="EH366" s="119"/>
      <c r="EI366" s="119"/>
      <c r="EJ366" s="119"/>
      <c r="EK366" s="119"/>
      <c r="EL366" s="119"/>
      <c r="EM366" s="119"/>
      <c r="EN366" s="119"/>
      <c r="EO366" s="119"/>
      <c r="EP366" s="119"/>
      <c r="EQ366" s="119"/>
      <c r="ER366" s="119"/>
      <c r="ES366" s="119"/>
      <c r="ET366" s="119"/>
      <c r="EU366" s="119"/>
      <c r="EV366" s="119"/>
      <c r="EW366" s="119"/>
      <c r="EX366" s="119"/>
      <c r="EY366" s="119"/>
      <c r="EZ366" s="119"/>
      <c r="FA366" s="119"/>
      <c r="FB366" s="119"/>
      <c r="FC366" s="119"/>
      <c r="FD366" s="119"/>
      <c r="FE366" s="119"/>
      <c r="FF366" s="119"/>
      <c r="FG366" s="119"/>
      <c r="FH366" s="119"/>
      <c r="FI366" s="119"/>
      <c r="FJ366" s="119"/>
      <c r="FK366" s="119"/>
      <c r="FL366" s="119"/>
      <c r="FM366" s="119"/>
      <c r="FN366" s="119"/>
      <c r="FO366" s="119"/>
      <c r="FP366" s="119"/>
      <c r="FQ366" s="119"/>
      <c r="FR366" s="119"/>
    </row>
    <row x14ac:dyDescent="0.25" r="367" customHeight="1" ht="15">
      <c r="A367" s="112">
        <v>45895</v>
      </c>
      <c r="B367" s="112">
        <v>45897</v>
      </c>
      <c r="C367" s="107" t="s">
        <v>305</v>
      </c>
      <c r="D367" s="107" t="s">
        <v>43</v>
      </c>
      <c r="E367" s="108">
        <v>112370</v>
      </c>
      <c r="F367" s="108">
        <v>112938</v>
      </c>
      <c r="G367" s="109">
        <f>IF((F367-E367)&lt;0,0,(F367-E367))</f>
      </c>
      <c r="H367" s="110"/>
      <c r="I367" s="111">
        <f>IFERROR(SUMPRODUCT($G367*VLOOKUP($C367,'Vehicle Master'!$D:$F,3,0)),"")</f>
      </c>
      <c r="J367" s="11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/>
      <c r="AJ367" s="119"/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119"/>
      <c r="BF367" s="119"/>
      <c r="BG367" s="119"/>
      <c r="BH367" s="119"/>
      <c r="BI367" s="119"/>
      <c r="BJ367" s="119"/>
      <c r="BK367" s="119"/>
      <c r="BL367" s="119"/>
      <c r="BM367" s="119"/>
      <c r="BN367" s="119"/>
      <c r="BO367" s="119"/>
      <c r="BP367" s="119"/>
      <c r="BQ367" s="119"/>
      <c r="BR367" s="119"/>
      <c r="BS367" s="119"/>
      <c r="BT367" s="119"/>
      <c r="BU367" s="119"/>
      <c r="BV367" s="119"/>
      <c r="BW367" s="119"/>
      <c r="BX367" s="119"/>
      <c r="BY367" s="119"/>
      <c r="BZ367" s="119"/>
      <c r="CA367" s="119"/>
      <c r="CB367" s="119"/>
      <c r="CC367" s="119"/>
      <c r="CD367" s="119"/>
      <c r="CE367" s="119"/>
      <c r="CF367" s="119"/>
      <c r="CG367" s="119"/>
      <c r="CH367" s="119"/>
      <c r="CI367" s="119"/>
      <c r="CJ367" s="119"/>
      <c r="CK367" s="119"/>
      <c r="CL367" s="119"/>
      <c r="CM367" s="119"/>
      <c r="CN367" s="119"/>
      <c r="CO367" s="119"/>
      <c r="CP367" s="119"/>
      <c r="CQ367" s="119"/>
      <c r="CR367" s="119"/>
      <c r="CS367" s="119"/>
      <c r="CT367" s="119"/>
      <c r="CU367" s="119"/>
      <c r="CV367" s="119"/>
      <c r="CW367" s="119"/>
      <c r="CX367" s="119"/>
      <c r="CY367" s="119"/>
      <c r="CZ367" s="119"/>
      <c r="DA367" s="119"/>
      <c r="DB367" s="119"/>
      <c r="DC367" s="119"/>
      <c r="DD367" s="119"/>
      <c r="DE367" s="119"/>
      <c r="DF367" s="119"/>
      <c r="DG367" s="119"/>
      <c r="DH367" s="119"/>
      <c r="DI367" s="119"/>
      <c r="DJ367" s="119"/>
      <c r="DK367" s="119"/>
      <c r="DL367" s="119"/>
      <c r="DM367" s="119"/>
      <c r="DN367" s="119"/>
      <c r="DO367" s="119"/>
      <c r="DP367" s="119"/>
      <c r="DQ367" s="119"/>
      <c r="DR367" s="119"/>
      <c r="DS367" s="119"/>
      <c r="DT367" s="119"/>
      <c r="DU367" s="119"/>
      <c r="DV367" s="119"/>
      <c r="DW367" s="119"/>
      <c r="DX367" s="119"/>
      <c r="DY367" s="119"/>
      <c r="DZ367" s="119"/>
      <c r="EA367" s="119"/>
      <c r="EB367" s="119"/>
      <c r="EC367" s="119"/>
      <c r="ED367" s="119"/>
      <c r="EE367" s="119"/>
      <c r="EF367" s="119"/>
      <c r="EG367" s="119"/>
      <c r="EH367" s="119"/>
      <c r="EI367" s="119"/>
      <c r="EJ367" s="119"/>
      <c r="EK367" s="119"/>
      <c r="EL367" s="119"/>
      <c r="EM367" s="119"/>
      <c r="EN367" s="119"/>
      <c r="EO367" s="119"/>
      <c r="EP367" s="119"/>
      <c r="EQ367" s="119"/>
      <c r="ER367" s="119"/>
      <c r="ES367" s="119"/>
      <c r="ET367" s="119"/>
      <c r="EU367" s="119"/>
      <c r="EV367" s="119"/>
      <c r="EW367" s="119"/>
      <c r="EX367" s="119"/>
      <c r="EY367" s="119"/>
      <c r="EZ367" s="119"/>
      <c r="FA367" s="119"/>
      <c r="FB367" s="119"/>
      <c r="FC367" s="119"/>
      <c r="FD367" s="119"/>
      <c r="FE367" s="119"/>
      <c r="FF367" s="119"/>
      <c r="FG367" s="119"/>
      <c r="FH367" s="119"/>
      <c r="FI367" s="119"/>
      <c r="FJ367" s="119"/>
      <c r="FK367" s="119"/>
      <c r="FL367" s="119"/>
      <c r="FM367" s="119"/>
      <c r="FN367" s="119"/>
      <c r="FO367" s="119"/>
      <c r="FP367" s="119"/>
      <c r="FQ367" s="119"/>
      <c r="FR367" s="119"/>
    </row>
    <row x14ac:dyDescent="0.25" r="368" customHeight="1" ht="15">
      <c r="A368" s="112">
        <v>45896</v>
      </c>
      <c r="B368" s="112">
        <v>45897</v>
      </c>
      <c r="C368" s="107" t="s">
        <v>304</v>
      </c>
      <c r="D368" s="107" t="s">
        <v>39</v>
      </c>
      <c r="E368" s="108">
        <v>125260</v>
      </c>
      <c r="F368" s="108">
        <v>125524</v>
      </c>
      <c r="G368" s="109">
        <f>IF((F368-E368)&lt;0,0,(F368-E368))</f>
      </c>
      <c r="H368" s="110"/>
      <c r="I368" s="111">
        <f>IFERROR(SUMPRODUCT($G368*VLOOKUP($C368,'Vehicle Master'!$D:$F,3,0)),"")</f>
      </c>
      <c r="J368" s="11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/>
      <c r="AF368" s="119"/>
      <c r="AG368" s="119"/>
      <c r="AH368" s="119"/>
      <c r="AI368" s="119"/>
      <c r="AJ368" s="119"/>
      <c r="AK368" s="119"/>
      <c r="AL368" s="119"/>
      <c r="AM368" s="119"/>
      <c r="AN368" s="119"/>
      <c r="AO368" s="119"/>
      <c r="AP368" s="119"/>
      <c r="AQ368" s="119"/>
      <c r="AR368" s="119"/>
      <c r="AS368" s="119"/>
      <c r="AT368" s="119"/>
      <c r="AU368" s="119"/>
      <c r="AV368" s="119"/>
      <c r="AW368" s="119"/>
      <c r="AX368" s="119"/>
      <c r="AY368" s="119"/>
      <c r="AZ368" s="119"/>
      <c r="BA368" s="119"/>
      <c r="BB368" s="119"/>
      <c r="BC368" s="119"/>
      <c r="BD368" s="119"/>
      <c r="BE368" s="119"/>
      <c r="BF368" s="119"/>
      <c r="BG368" s="119"/>
      <c r="BH368" s="119"/>
      <c r="BI368" s="119"/>
      <c r="BJ368" s="119"/>
      <c r="BK368" s="119"/>
      <c r="BL368" s="119"/>
      <c r="BM368" s="119"/>
      <c r="BN368" s="119"/>
      <c r="BO368" s="119"/>
      <c r="BP368" s="119"/>
      <c r="BQ368" s="119"/>
      <c r="BR368" s="119"/>
      <c r="BS368" s="119"/>
      <c r="BT368" s="119"/>
      <c r="BU368" s="119"/>
      <c r="BV368" s="119"/>
      <c r="BW368" s="119"/>
      <c r="BX368" s="119"/>
      <c r="BY368" s="119"/>
      <c r="BZ368" s="119"/>
      <c r="CA368" s="119"/>
      <c r="CB368" s="119"/>
      <c r="CC368" s="119"/>
      <c r="CD368" s="119"/>
      <c r="CE368" s="119"/>
      <c r="CF368" s="119"/>
      <c r="CG368" s="119"/>
      <c r="CH368" s="119"/>
      <c r="CI368" s="119"/>
      <c r="CJ368" s="119"/>
      <c r="CK368" s="119"/>
      <c r="CL368" s="119"/>
      <c r="CM368" s="119"/>
      <c r="CN368" s="119"/>
      <c r="CO368" s="119"/>
      <c r="CP368" s="119"/>
      <c r="CQ368" s="119"/>
      <c r="CR368" s="119"/>
      <c r="CS368" s="119"/>
      <c r="CT368" s="119"/>
      <c r="CU368" s="119"/>
      <c r="CV368" s="119"/>
      <c r="CW368" s="119"/>
      <c r="CX368" s="119"/>
      <c r="CY368" s="119"/>
      <c r="CZ368" s="119"/>
      <c r="DA368" s="119"/>
      <c r="DB368" s="119"/>
      <c r="DC368" s="119"/>
      <c r="DD368" s="119"/>
      <c r="DE368" s="119"/>
      <c r="DF368" s="119"/>
      <c r="DG368" s="119"/>
      <c r="DH368" s="119"/>
      <c r="DI368" s="119"/>
      <c r="DJ368" s="119"/>
      <c r="DK368" s="119"/>
      <c r="DL368" s="119"/>
      <c r="DM368" s="119"/>
      <c r="DN368" s="119"/>
      <c r="DO368" s="119"/>
      <c r="DP368" s="119"/>
      <c r="DQ368" s="119"/>
      <c r="DR368" s="119"/>
      <c r="DS368" s="119"/>
      <c r="DT368" s="119"/>
      <c r="DU368" s="119"/>
      <c r="DV368" s="119"/>
      <c r="DW368" s="119"/>
      <c r="DX368" s="119"/>
      <c r="DY368" s="119"/>
      <c r="DZ368" s="119"/>
      <c r="EA368" s="119"/>
      <c r="EB368" s="119"/>
      <c r="EC368" s="119"/>
      <c r="ED368" s="119"/>
      <c r="EE368" s="119"/>
      <c r="EF368" s="119"/>
      <c r="EG368" s="119"/>
      <c r="EH368" s="119"/>
      <c r="EI368" s="119"/>
      <c r="EJ368" s="119"/>
      <c r="EK368" s="119"/>
      <c r="EL368" s="119"/>
      <c r="EM368" s="119"/>
      <c r="EN368" s="119"/>
      <c r="EO368" s="119"/>
      <c r="EP368" s="119"/>
      <c r="EQ368" s="119"/>
      <c r="ER368" s="119"/>
      <c r="ES368" s="119"/>
      <c r="ET368" s="119"/>
      <c r="EU368" s="119"/>
      <c r="EV368" s="119"/>
      <c r="EW368" s="119"/>
      <c r="EX368" s="119"/>
      <c r="EY368" s="119"/>
      <c r="EZ368" s="119"/>
      <c r="FA368" s="119"/>
      <c r="FB368" s="119"/>
      <c r="FC368" s="119"/>
      <c r="FD368" s="119"/>
      <c r="FE368" s="119"/>
      <c r="FF368" s="119"/>
      <c r="FG368" s="119"/>
      <c r="FH368" s="119"/>
      <c r="FI368" s="119"/>
      <c r="FJ368" s="119"/>
      <c r="FK368" s="119"/>
      <c r="FL368" s="119"/>
      <c r="FM368" s="119"/>
      <c r="FN368" s="119"/>
      <c r="FO368" s="119"/>
      <c r="FP368" s="119"/>
      <c r="FQ368" s="119"/>
      <c r="FR368" s="119"/>
    </row>
    <row x14ac:dyDescent="0.25" r="369" customHeight="1" ht="15">
      <c r="A369" s="112">
        <v>45896</v>
      </c>
      <c r="B369" s="112">
        <v>45897</v>
      </c>
      <c r="C369" s="107" t="s">
        <v>303</v>
      </c>
      <c r="D369" s="107" t="s">
        <v>45</v>
      </c>
      <c r="E369" s="108">
        <v>110737</v>
      </c>
      <c r="F369" s="108">
        <v>110987</v>
      </c>
      <c r="G369" s="109">
        <f>IF((F369-E369)&lt;0,0,(F369-E369))</f>
      </c>
      <c r="H369" s="110"/>
      <c r="I369" s="111">
        <f>IFERROR(SUMPRODUCT($G369*VLOOKUP($C369,'Vehicle Master'!$D:$F,3,0)),"")</f>
      </c>
      <c r="J369" s="11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/>
      <c r="AE369" s="119"/>
      <c r="AF369" s="119"/>
      <c r="AG369" s="119"/>
      <c r="AH369" s="119"/>
      <c r="AI369" s="119"/>
      <c r="AJ369" s="119"/>
      <c r="AK369" s="119"/>
      <c r="AL369" s="119"/>
      <c r="AM369" s="119"/>
      <c r="AN369" s="119"/>
      <c r="AO369" s="119"/>
      <c r="AP369" s="119"/>
      <c r="AQ369" s="119"/>
      <c r="AR369" s="119"/>
      <c r="AS369" s="119"/>
      <c r="AT369" s="119"/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119"/>
      <c r="BF369" s="119"/>
      <c r="BG369" s="119"/>
      <c r="BH369" s="119"/>
      <c r="BI369" s="119"/>
      <c r="BJ369" s="119"/>
      <c r="BK369" s="119"/>
      <c r="BL369" s="119"/>
      <c r="BM369" s="119"/>
      <c r="BN369" s="119"/>
      <c r="BO369" s="119"/>
      <c r="BP369" s="119"/>
      <c r="BQ369" s="119"/>
      <c r="BR369" s="119"/>
      <c r="BS369" s="119"/>
      <c r="BT369" s="119"/>
      <c r="BU369" s="119"/>
      <c r="BV369" s="119"/>
      <c r="BW369" s="119"/>
      <c r="BX369" s="119"/>
      <c r="BY369" s="119"/>
      <c r="BZ369" s="119"/>
      <c r="CA369" s="119"/>
      <c r="CB369" s="119"/>
      <c r="CC369" s="119"/>
      <c r="CD369" s="119"/>
      <c r="CE369" s="119"/>
      <c r="CF369" s="119"/>
      <c r="CG369" s="119"/>
      <c r="CH369" s="119"/>
      <c r="CI369" s="119"/>
      <c r="CJ369" s="119"/>
      <c r="CK369" s="119"/>
      <c r="CL369" s="119"/>
      <c r="CM369" s="119"/>
      <c r="CN369" s="119"/>
      <c r="CO369" s="119"/>
      <c r="CP369" s="119"/>
      <c r="CQ369" s="119"/>
      <c r="CR369" s="119"/>
      <c r="CS369" s="119"/>
      <c r="CT369" s="119"/>
      <c r="CU369" s="119"/>
      <c r="CV369" s="119"/>
      <c r="CW369" s="119"/>
      <c r="CX369" s="119"/>
      <c r="CY369" s="119"/>
      <c r="CZ369" s="119"/>
      <c r="DA369" s="119"/>
      <c r="DB369" s="119"/>
      <c r="DC369" s="119"/>
      <c r="DD369" s="119"/>
      <c r="DE369" s="119"/>
      <c r="DF369" s="119"/>
      <c r="DG369" s="119"/>
      <c r="DH369" s="119"/>
      <c r="DI369" s="119"/>
      <c r="DJ369" s="119"/>
      <c r="DK369" s="119"/>
      <c r="DL369" s="119"/>
      <c r="DM369" s="119"/>
      <c r="DN369" s="119"/>
      <c r="DO369" s="119"/>
      <c r="DP369" s="119"/>
      <c r="DQ369" s="119"/>
      <c r="DR369" s="119"/>
      <c r="DS369" s="119"/>
      <c r="DT369" s="119"/>
      <c r="DU369" s="119"/>
      <c r="DV369" s="119"/>
      <c r="DW369" s="119"/>
      <c r="DX369" s="119"/>
      <c r="DY369" s="119"/>
      <c r="DZ369" s="119"/>
      <c r="EA369" s="119"/>
      <c r="EB369" s="119"/>
      <c r="EC369" s="119"/>
      <c r="ED369" s="119"/>
      <c r="EE369" s="119"/>
      <c r="EF369" s="119"/>
      <c r="EG369" s="119"/>
      <c r="EH369" s="119"/>
      <c r="EI369" s="119"/>
      <c r="EJ369" s="119"/>
      <c r="EK369" s="119"/>
      <c r="EL369" s="119"/>
      <c r="EM369" s="119"/>
      <c r="EN369" s="119"/>
      <c r="EO369" s="119"/>
      <c r="EP369" s="119"/>
      <c r="EQ369" s="119"/>
      <c r="ER369" s="119"/>
      <c r="ES369" s="119"/>
      <c r="ET369" s="119"/>
      <c r="EU369" s="119"/>
      <c r="EV369" s="119"/>
      <c r="EW369" s="119"/>
      <c r="EX369" s="119"/>
      <c r="EY369" s="119"/>
      <c r="EZ369" s="119"/>
      <c r="FA369" s="119"/>
      <c r="FB369" s="119"/>
      <c r="FC369" s="119"/>
      <c r="FD369" s="119"/>
      <c r="FE369" s="119"/>
      <c r="FF369" s="119"/>
      <c r="FG369" s="119"/>
      <c r="FH369" s="119"/>
      <c r="FI369" s="119"/>
      <c r="FJ369" s="119"/>
      <c r="FK369" s="119"/>
      <c r="FL369" s="119"/>
      <c r="FM369" s="119"/>
      <c r="FN369" s="119"/>
      <c r="FO369" s="119"/>
      <c r="FP369" s="119"/>
      <c r="FQ369" s="119"/>
      <c r="FR369" s="119"/>
    </row>
    <row x14ac:dyDescent="0.25" r="370" customHeight="1" ht="15">
      <c r="A370" s="112">
        <v>45896</v>
      </c>
      <c r="B370" s="112">
        <v>45897</v>
      </c>
      <c r="C370" s="107" t="s">
        <v>302</v>
      </c>
      <c r="D370" s="107" t="s">
        <v>42</v>
      </c>
      <c r="E370" s="108">
        <v>90314</v>
      </c>
      <c r="F370" s="108">
        <v>90469</v>
      </c>
      <c r="G370" s="109">
        <f>IF((F370-E370)&lt;0,0,(F370-E370))</f>
      </c>
      <c r="H370" s="110"/>
      <c r="I370" s="111">
        <f>IFERROR(SUMPRODUCT($G370*VLOOKUP($C370,'Vehicle Master'!$D:$F,3,0)),"")</f>
      </c>
      <c r="J370" s="11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/>
      <c r="BD370" s="119"/>
      <c r="BE370" s="119"/>
      <c r="BF370" s="119"/>
      <c r="BG370" s="119"/>
      <c r="BH370" s="119"/>
      <c r="BI370" s="119"/>
      <c r="BJ370" s="119"/>
      <c r="BK370" s="119"/>
      <c r="BL370" s="119"/>
      <c r="BM370" s="119"/>
      <c r="BN370" s="119"/>
      <c r="BO370" s="119"/>
      <c r="BP370" s="119"/>
      <c r="BQ370" s="119"/>
      <c r="BR370" s="119"/>
      <c r="BS370" s="119"/>
      <c r="BT370" s="119"/>
      <c r="BU370" s="119"/>
      <c r="BV370" s="119"/>
      <c r="BW370" s="119"/>
      <c r="BX370" s="119"/>
      <c r="BY370" s="119"/>
      <c r="BZ370" s="119"/>
      <c r="CA370" s="119"/>
      <c r="CB370" s="119"/>
      <c r="CC370" s="119"/>
      <c r="CD370" s="119"/>
      <c r="CE370" s="119"/>
      <c r="CF370" s="119"/>
      <c r="CG370" s="119"/>
      <c r="CH370" s="119"/>
      <c r="CI370" s="119"/>
      <c r="CJ370" s="119"/>
      <c r="CK370" s="119"/>
      <c r="CL370" s="119"/>
      <c r="CM370" s="119"/>
      <c r="CN370" s="119"/>
      <c r="CO370" s="119"/>
      <c r="CP370" s="119"/>
      <c r="CQ370" s="119"/>
      <c r="CR370" s="119"/>
      <c r="CS370" s="119"/>
      <c r="CT370" s="119"/>
      <c r="CU370" s="119"/>
      <c r="CV370" s="119"/>
      <c r="CW370" s="119"/>
      <c r="CX370" s="119"/>
      <c r="CY370" s="119"/>
      <c r="CZ370" s="119"/>
      <c r="DA370" s="119"/>
      <c r="DB370" s="119"/>
      <c r="DC370" s="119"/>
      <c r="DD370" s="119"/>
      <c r="DE370" s="119"/>
      <c r="DF370" s="119"/>
      <c r="DG370" s="119"/>
      <c r="DH370" s="119"/>
      <c r="DI370" s="119"/>
      <c r="DJ370" s="119"/>
      <c r="DK370" s="119"/>
      <c r="DL370" s="119"/>
      <c r="DM370" s="119"/>
      <c r="DN370" s="119"/>
      <c r="DO370" s="119"/>
      <c r="DP370" s="119"/>
      <c r="DQ370" s="119"/>
      <c r="DR370" s="119"/>
      <c r="DS370" s="119"/>
      <c r="DT370" s="119"/>
      <c r="DU370" s="119"/>
      <c r="DV370" s="119"/>
      <c r="DW370" s="119"/>
      <c r="DX370" s="119"/>
      <c r="DY370" s="119"/>
      <c r="DZ370" s="119"/>
      <c r="EA370" s="119"/>
      <c r="EB370" s="119"/>
      <c r="EC370" s="119"/>
      <c r="ED370" s="119"/>
      <c r="EE370" s="119"/>
      <c r="EF370" s="119"/>
      <c r="EG370" s="119"/>
      <c r="EH370" s="119"/>
      <c r="EI370" s="119"/>
      <c r="EJ370" s="119"/>
      <c r="EK370" s="119"/>
      <c r="EL370" s="119"/>
      <c r="EM370" s="119"/>
      <c r="EN370" s="119"/>
      <c r="EO370" s="119"/>
      <c r="EP370" s="119"/>
      <c r="EQ370" s="119"/>
      <c r="ER370" s="119"/>
      <c r="ES370" s="119"/>
      <c r="ET370" s="119"/>
      <c r="EU370" s="119"/>
      <c r="EV370" s="119"/>
      <c r="EW370" s="119"/>
      <c r="EX370" s="119"/>
      <c r="EY370" s="119"/>
      <c r="EZ370" s="119"/>
      <c r="FA370" s="119"/>
      <c r="FB370" s="119"/>
      <c r="FC370" s="119"/>
      <c r="FD370" s="119"/>
      <c r="FE370" s="119"/>
      <c r="FF370" s="119"/>
      <c r="FG370" s="119"/>
      <c r="FH370" s="119"/>
      <c r="FI370" s="119"/>
      <c r="FJ370" s="119"/>
      <c r="FK370" s="119"/>
      <c r="FL370" s="119"/>
      <c r="FM370" s="119"/>
      <c r="FN370" s="119"/>
      <c r="FO370" s="119"/>
      <c r="FP370" s="119"/>
      <c r="FQ370" s="119"/>
      <c r="FR370" s="119"/>
    </row>
    <row x14ac:dyDescent="0.25" r="371" customHeight="1" ht="15">
      <c r="A371" s="112">
        <v>45897</v>
      </c>
      <c r="B371" s="112">
        <v>45897</v>
      </c>
      <c r="C371" s="107" t="s">
        <v>305</v>
      </c>
      <c r="D371" s="107" t="s">
        <v>43</v>
      </c>
      <c r="E371" s="108">
        <v>112938</v>
      </c>
      <c r="F371" s="108">
        <v>113090</v>
      </c>
      <c r="G371" s="109">
        <f>IF((F371-E371)&lt;0,0,(F371-E371))</f>
      </c>
      <c r="H371" s="110"/>
      <c r="I371" s="111">
        <f>IFERROR(SUMPRODUCT($G371*VLOOKUP($C371,'Vehicle Master'!$D:$F,3,0)),"")</f>
      </c>
      <c r="J371" s="11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/>
      <c r="AP371" s="119"/>
      <c r="AQ371" s="119"/>
      <c r="AR371" s="119"/>
      <c r="AS371" s="119"/>
      <c r="AT371" s="119"/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119"/>
      <c r="BF371" s="119"/>
      <c r="BG371" s="119"/>
      <c r="BH371" s="119"/>
      <c r="BI371" s="119"/>
      <c r="BJ371" s="119"/>
      <c r="BK371" s="119"/>
      <c r="BL371" s="119"/>
      <c r="BM371" s="119"/>
      <c r="BN371" s="119"/>
      <c r="BO371" s="119"/>
      <c r="BP371" s="119"/>
      <c r="BQ371" s="119"/>
      <c r="BR371" s="119"/>
      <c r="BS371" s="119"/>
      <c r="BT371" s="119"/>
      <c r="BU371" s="119"/>
      <c r="BV371" s="119"/>
      <c r="BW371" s="119"/>
      <c r="BX371" s="119"/>
      <c r="BY371" s="119"/>
      <c r="BZ371" s="119"/>
      <c r="CA371" s="119"/>
      <c r="CB371" s="119"/>
      <c r="CC371" s="119"/>
      <c r="CD371" s="119"/>
      <c r="CE371" s="119"/>
      <c r="CF371" s="119"/>
      <c r="CG371" s="119"/>
      <c r="CH371" s="119"/>
      <c r="CI371" s="119"/>
      <c r="CJ371" s="119"/>
      <c r="CK371" s="119"/>
      <c r="CL371" s="119"/>
      <c r="CM371" s="119"/>
      <c r="CN371" s="119"/>
      <c r="CO371" s="119"/>
      <c r="CP371" s="119"/>
      <c r="CQ371" s="119"/>
      <c r="CR371" s="119"/>
      <c r="CS371" s="119"/>
      <c r="CT371" s="119"/>
      <c r="CU371" s="119"/>
      <c r="CV371" s="119"/>
      <c r="CW371" s="119"/>
      <c r="CX371" s="119"/>
      <c r="CY371" s="119"/>
      <c r="CZ371" s="119"/>
      <c r="DA371" s="119"/>
      <c r="DB371" s="119"/>
      <c r="DC371" s="119"/>
      <c r="DD371" s="119"/>
      <c r="DE371" s="119"/>
      <c r="DF371" s="119"/>
      <c r="DG371" s="119"/>
      <c r="DH371" s="119"/>
      <c r="DI371" s="119"/>
      <c r="DJ371" s="119"/>
      <c r="DK371" s="119"/>
      <c r="DL371" s="119"/>
      <c r="DM371" s="119"/>
      <c r="DN371" s="119"/>
      <c r="DO371" s="119"/>
      <c r="DP371" s="119"/>
      <c r="DQ371" s="119"/>
      <c r="DR371" s="119"/>
      <c r="DS371" s="119"/>
      <c r="DT371" s="119"/>
      <c r="DU371" s="119"/>
      <c r="DV371" s="119"/>
      <c r="DW371" s="119"/>
      <c r="DX371" s="119"/>
      <c r="DY371" s="119"/>
      <c r="DZ371" s="119"/>
      <c r="EA371" s="119"/>
      <c r="EB371" s="119"/>
      <c r="EC371" s="119"/>
      <c r="ED371" s="119"/>
      <c r="EE371" s="119"/>
      <c r="EF371" s="119"/>
      <c r="EG371" s="119"/>
      <c r="EH371" s="119"/>
      <c r="EI371" s="119"/>
      <c r="EJ371" s="119"/>
      <c r="EK371" s="119"/>
      <c r="EL371" s="119"/>
      <c r="EM371" s="119"/>
      <c r="EN371" s="119"/>
      <c r="EO371" s="119"/>
      <c r="EP371" s="119"/>
      <c r="EQ371" s="119"/>
      <c r="ER371" s="119"/>
      <c r="ES371" s="119"/>
      <c r="ET371" s="119"/>
      <c r="EU371" s="119"/>
      <c r="EV371" s="119"/>
      <c r="EW371" s="119"/>
      <c r="EX371" s="119"/>
      <c r="EY371" s="119"/>
      <c r="EZ371" s="119"/>
      <c r="FA371" s="119"/>
      <c r="FB371" s="119"/>
      <c r="FC371" s="119"/>
      <c r="FD371" s="119"/>
      <c r="FE371" s="119"/>
      <c r="FF371" s="119"/>
      <c r="FG371" s="119"/>
      <c r="FH371" s="119"/>
      <c r="FI371" s="119"/>
      <c r="FJ371" s="119"/>
      <c r="FK371" s="119"/>
      <c r="FL371" s="119"/>
      <c r="FM371" s="119"/>
      <c r="FN371" s="119"/>
      <c r="FO371" s="119"/>
      <c r="FP371" s="119"/>
      <c r="FQ371" s="119"/>
      <c r="FR371" s="119"/>
    </row>
    <row x14ac:dyDescent="0.25" r="372" customHeight="1" ht="15">
      <c r="A372" s="112">
        <v>45897</v>
      </c>
      <c r="B372" s="112">
        <v>45897</v>
      </c>
      <c r="C372" s="107" t="s">
        <v>302</v>
      </c>
      <c r="D372" s="107" t="s">
        <v>42</v>
      </c>
      <c r="E372" s="108">
        <v>90469</v>
      </c>
      <c r="F372" s="108">
        <v>90664</v>
      </c>
      <c r="G372" s="109">
        <f>IF((F372-E372)&lt;0,0,(F372-E372))</f>
      </c>
      <c r="H372" s="110"/>
      <c r="I372" s="111">
        <f>IFERROR(SUMPRODUCT($G372*VLOOKUP($C372,'Vehicle Master'!$D:$F,3,0)),"")</f>
      </c>
      <c r="J372" s="11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/>
      <c r="AH372" s="119"/>
      <c r="AI372" s="119"/>
      <c r="AJ372" s="119"/>
      <c r="AK372" s="119"/>
      <c r="AL372" s="119"/>
      <c r="AM372" s="119"/>
      <c r="AN372" s="119"/>
      <c r="AO372" s="119"/>
      <c r="AP372" s="119"/>
      <c r="AQ372" s="119"/>
      <c r="AR372" s="119"/>
      <c r="AS372" s="119"/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119"/>
      <c r="BF372" s="119"/>
      <c r="BG372" s="119"/>
      <c r="BH372" s="119"/>
      <c r="BI372" s="119"/>
      <c r="BJ372" s="119"/>
      <c r="BK372" s="119"/>
      <c r="BL372" s="119"/>
      <c r="BM372" s="119"/>
      <c r="BN372" s="119"/>
      <c r="BO372" s="119"/>
      <c r="BP372" s="119"/>
      <c r="BQ372" s="119"/>
      <c r="BR372" s="119"/>
      <c r="BS372" s="119"/>
      <c r="BT372" s="119"/>
      <c r="BU372" s="119"/>
      <c r="BV372" s="119"/>
      <c r="BW372" s="119"/>
      <c r="BX372" s="119"/>
      <c r="BY372" s="119"/>
      <c r="BZ372" s="119"/>
      <c r="CA372" s="119"/>
      <c r="CB372" s="119"/>
      <c r="CC372" s="119"/>
      <c r="CD372" s="119"/>
      <c r="CE372" s="119"/>
      <c r="CF372" s="119"/>
      <c r="CG372" s="119"/>
      <c r="CH372" s="119"/>
      <c r="CI372" s="119"/>
      <c r="CJ372" s="119"/>
      <c r="CK372" s="119"/>
      <c r="CL372" s="119"/>
      <c r="CM372" s="119"/>
      <c r="CN372" s="119"/>
      <c r="CO372" s="119"/>
      <c r="CP372" s="119"/>
      <c r="CQ372" s="119"/>
      <c r="CR372" s="119"/>
      <c r="CS372" s="119"/>
      <c r="CT372" s="119"/>
      <c r="CU372" s="119"/>
      <c r="CV372" s="119"/>
      <c r="CW372" s="119"/>
      <c r="CX372" s="119"/>
      <c r="CY372" s="119"/>
      <c r="CZ372" s="119"/>
      <c r="DA372" s="119"/>
      <c r="DB372" s="119"/>
      <c r="DC372" s="119"/>
      <c r="DD372" s="119"/>
      <c r="DE372" s="119"/>
      <c r="DF372" s="119"/>
      <c r="DG372" s="119"/>
      <c r="DH372" s="119"/>
      <c r="DI372" s="119"/>
      <c r="DJ372" s="119"/>
      <c r="DK372" s="119"/>
      <c r="DL372" s="119"/>
      <c r="DM372" s="119"/>
      <c r="DN372" s="119"/>
      <c r="DO372" s="119"/>
      <c r="DP372" s="119"/>
      <c r="DQ372" s="119"/>
      <c r="DR372" s="119"/>
      <c r="DS372" s="119"/>
      <c r="DT372" s="119"/>
      <c r="DU372" s="119"/>
      <c r="DV372" s="119"/>
      <c r="DW372" s="119"/>
      <c r="DX372" s="119"/>
      <c r="DY372" s="119"/>
      <c r="DZ372" s="119"/>
      <c r="EA372" s="119"/>
      <c r="EB372" s="119"/>
      <c r="EC372" s="119"/>
      <c r="ED372" s="119"/>
      <c r="EE372" s="119"/>
      <c r="EF372" s="119"/>
      <c r="EG372" s="119"/>
      <c r="EH372" s="119"/>
      <c r="EI372" s="119"/>
      <c r="EJ372" s="119"/>
      <c r="EK372" s="119"/>
      <c r="EL372" s="119"/>
      <c r="EM372" s="119"/>
      <c r="EN372" s="119"/>
      <c r="EO372" s="119"/>
      <c r="EP372" s="119"/>
      <c r="EQ372" s="119"/>
      <c r="ER372" s="119"/>
      <c r="ES372" s="119"/>
      <c r="ET372" s="119"/>
      <c r="EU372" s="119"/>
      <c r="EV372" s="119"/>
      <c r="EW372" s="119"/>
      <c r="EX372" s="119"/>
      <c r="EY372" s="119"/>
      <c r="EZ372" s="119"/>
      <c r="FA372" s="119"/>
      <c r="FB372" s="119"/>
      <c r="FC372" s="119"/>
      <c r="FD372" s="119"/>
      <c r="FE372" s="119"/>
      <c r="FF372" s="119"/>
      <c r="FG372" s="119"/>
      <c r="FH372" s="119"/>
      <c r="FI372" s="119"/>
      <c r="FJ372" s="119"/>
      <c r="FK372" s="119"/>
      <c r="FL372" s="119"/>
      <c r="FM372" s="119"/>
      <c r="FN372" s="119"/>
      <c r="FO372" s="119"/>
      <c r="FP372" s="119"/>
      <c r="FQ372" s="119"/>
      <c r="FR372" s="119"/>
    </row>
    <row x14ac:dyDescent="0.25" r="373" customHeight="1" ht="15">
      <c r="A373" s="112">
        <v>45898</v>
      </c>
      <c r="B373" s="112">
        <v>45899</v>
      </c>
      <c r="C373" s="107" t="s">
        <v>304</v>
      </c>
      <c r="D373" s="107" t="s">
        <v>39</v>
      </c>
      <c r="E373" s="108">
        <v>125524</v>
      </c>
      <c r="F373" s="108">
        <v>125723</v>
      </c>
      <c r="G373" s="109">
        <f>IF((F373-E373)&lt;0,0,(F373-E373))</f>
      </c>
      <c r="H373" s="110"/>
      <c r="I373" s="111">
        <f>IFERROR(SUMPRODUCT($G373*VLOOKUP($C373,'Vehicle Master'!$D:$F,3,0)),"")</f>
      </c>
      <c r="J373" s="11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/>
      <c r="AH373" s="119"/>
      <c r="AI373" s="119"/>
      <c r="AJ373" s="119"/>
      <c r="AK373" s="119"/>
      <c r="AL373" s="119"/>
      <c r="AM373" s="119"/>
      <c r="AN373" s="119"/>
      <c r="AO373" s="119"/>
      <c r="AP373" s="119"/>
      <c r="AQ373" s="119"/>
      <c r="AR373" s="119"/>
      <c r="AS373" s="119"/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119"/>
      <c r="BF373" s="119"/>
      <c r="BG373" s="119"/>
      <c r="BH373" s="119"/>
      <c r="BI373" s="119"/>
      <c r="BJ373" s="119"/>
      <c r="BK373" s="119"/>
      <c r="BL373" s="119"/>
      <c r="BM373" s="119"/>
      <c r="BN373" s="119"/>
      <c r="BO373" s="119"/>
      <c r="BP373" s="119"/>
      <c r="BQ373" s="119"/>
      <c r="BR373" s="119"/>
      <c r="BS373" s="119"/>
      <c r="BT373" s="119"/>
      <c r="BU373" s="119"/>
      <c r="BV373" s="119"/>
      <c r="BW373" s="119"/>
      <c r="BX373" s="119"/>
      <c r="BY373" s="119"/>
      <c r="BZ373" s="119"/>
      <c r="CA373" s="119"/>
      <c r="CB373" s="119"/>
      <c r="CC373" s="119"/>
      <c r="CD373" s="119"/>
      <c r="CE373" s="119"/>
      <c r="CF373" s="119"/>
      <c r="CG373" s="119"/>
      <c r="CH373" s="119"/>
      <c r="CI373" s="119"/>
      <c r="CJ373" s="119"/>
      <c r="CK373" s="119"/>
      <c r="CL373" s="119"/>
      <c r="CM373" s="119"/>
      <c r="CN373" s="119"/>
      <c r="CO373" s="119"/>
      <c r="CP373" s="119"/>
      <c r="CQ373" s="119"/>
      <c r="CR373" s="119"/>
      <c r="CS373" s="119"/>
      <c r="CT373" s="119"/>
      <c r="CU373" s="119"/>
      <c r="CV373" s="119"/>
      <c r="CW373" s="119"/>
      <c r="CX373" s="119"/>
      <c r="CY373" s="119"/>
      <c r="CZ373" s="119"/>
      <c r="DA373" s="119"/>
      <c r="DB373" s="119"/>
      <c r="DC373" s="119"/>
      <c r="DD373" s="119"/>
      <c r="DE373" s="119"/>
      <c r="DF373" s="119"/>
      <c r="DG373" s="119"/>
      <c r="DH373" s="119"/>
      <c r="DI373" s="119"/>
      <c r="DJ373" s="119"/>
      <c r="DK373" s="119"/>
      <c r="DL373" s="119"/>
      <c r="DM373" s="119"/>
      <c r="DN373" s="119"/>
      <c r="DO373" s="119"/>
      <c r="DP373" s="119"/>
      <c r="DQ373" s="119"/>
      <c r="DR373" s="119"/>
      <c r="DS373" s="119"/>
      <c r="DT373" s="119"/>
      <c r="DU373" s="119"/>
      <c r="DV373" s="119"/>
      <c r="DW373" s="119"/>
      <c r="DX373" s="119"/>
      <c r="DY373" s="119"/>
      <c r="DZ373" s="119"/>
      <c r="EA373" s="119"/>
      <c r="EB373" s="119"/>
      <c r="EC373" s="119"/>
      <c r="ED373" s="119"/>
      <c r="EE373" s="119"/>
      <c r="EF373" s="119"/>
      <c r="EG373" s="119"/>
      <c r="EH373" s="119"/>
      <c r="EI373" s="119"/>
      <c r="EJ373" s="119"/>
      <c r="EK373" s="119"/>
      <c r="EL373" s="119"/>
      <c r="EM373" s="119"/>
      <c r="EN373" s="119"/>
      <c r="EO373" s="119"/>
      <c r="EP373" s="119"/>
      <c r="EQ373" s="119"/>
      <c r="ER373" s="119"/>
      <c r="ES373" s="119"/>
      <c r="ET373" s="119"/>
      <c r="EU373" s="119"/>
      <c r="EV373" s="119"/>
      <c r="EW373" s="119"/>
      <c r="EX373" s="119"/>
      <c r="EY373" s="119"/>
      <c r="EZ373" s="119"/>
      <c r="FA373" s="119"/>
      <c r="FB373" s="119"/>
      <c r="FC373" s="119"/>
      <c r="FD373" s="119"/>
      <c r="FE373" s="119"/>
      <c r="FF373" s="119"/>
      <c r="FG373" s="119"/>
      <c r="FH373" s="119"/>
      <c r="FI373" s="119"/>
      <c r="FJ373" s="119"/>
      <c r="FK373" s="119"/>
      <c r="FL373" s="119"/>
      <c r="FM373" s="119"/>
      <c r="FN373" s="119"/>
      <c r="FO373" s="119"/>
      <c r="FP373" s="119"/>
      <c r="FQ373" s="119"/>
      <c r="FR373" s="119"/>
    </row>
    <row x14ac:dyDescent="0.25" r="374" customHeight="1" ht="15">
      <c r="A374" s="112">
        <v>45898</v>
      </c>
      <c r="B374" s="112">
        <v>45900</v>
      </c>
      <c r="C374" s="107" t="s">
        <v>302</v>
      </c>
      <c r="D374" s="107" t="s">
        <v>42</v>
      </c>
      <c r="E374" s="108">
        <v>90664</v>
      </c>
      <c r="F374" s="108">
        <v>91329</v>
      </c>
      <c r="G374" s="109">
        <f>IF((F374-E374)&lt;0,0,(F374-E374))</f>
      </c>
      <c r="H374" s="110"/>
      <c r="I374" s="111">
        <f>IFERROR(SUMPRODUCT($G374*VLOOKUP($C374,'Vehicle Master'!$D:$F,3,0)),"")</f>
      </c>
      <c r="J374" s="11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/>
      <c r="AO374" s="119"/>
      <c r="AP374" s="119"/>
      <c r="AQ374" s="119"/>
      <c r="AR374" s="119"/>
      <c r="AS374" s="119"/>
      <c r="AT374" s="119"/>
      <c r="AU374" s="119"/>
      <c r="AV374" s="119"/>
      <c r="AW374" s="119"/>
      <c r="AX374" s="119"/>
      <c r="AY374" s="119"/>
      <c r="AZ374" s="119"/>
      <c r="BA374" s="119"/>
      <c r="BB374" s="119"/>
      <c r="BC374" s="119"/>
      <c r="BD374" s="119"/>
      <c r="BE374" s="119"/>
      <c r="BF374" s="119"/>
      <c r="BG374" s="119"/>
      <c r="BH374" s="119"/>
      <c r="BI374" s="119"/>
      <c r="BJ374" s="119"/>
      <c r="BK374" s="119"/>
      <c r="BL374" s="119"/>
      <c r="BM374" s="119"/>
      <c r="BN374" s="119"/>
      <c r="BO374" s="119"/>
      <c r="BP374" s="119"/>
      <c r="BQ374" s="119"/>
      <c r="BR374" s="119"/>
      <c r="BS374" s="119"/>
      <c r="BT374" s="119"/>
      <c r="BU374" s="119"/>
      <c r="BV374" s="119"/>
      <c r="BW374" s="119"/>
      <c r="BX374" s="119"/>
      <c r="BY374" s="119"/>
      <c r="BZ374" s="119"/>
      <c r="CA374" s="119"/>
      <c r="CB374" s="119"/>
      <c r="CC374" s="119"/>
      <c r="CD374" s="119"/>
      <c r="CE374" s="119"/>
      <c r="CF374" s="119"/>
      <c r="CG374" s="119"/>
      <c r="CH374" s="119"/>
      <c r="CI374" s="119"/>
      <c r="CJ374" s="119"/>
      <c r="CK374" s="119"/>
      <c r="CL374" s="119"/>
      <c r="CM374" s="119"/>
      <c r="CN374" s="119"/>
      <c r="CO374" s="119"/>
      <c r="CP374" s="119"/>
      <c r="CQ374" s="119"/>
      <c r="CR374" s="119"/>
      <c r="CS374" s="119"/>
      <c r="CT374" s="119"/>
      <c r="CU374" s="119"/>
      <c r="CV374" s="119"/>
      <c r="CW374" s="119"/>
      <c r="CX374" s="119"/>
      <c r="CY374" s="119"/>
      <c r="CZ374" s="119"/>
      <c r="DA374" s="119"/>
      <c r="DB374" s="119"/>
      <c r="DC374" s="119"/>
      <c r="DD374" s="119"/>
      <c r="DE374" s="119"/>
      <c r="DF374" s="119"/>
      <c r="DG374" s="119"/>
      <c r="DH374" s="119"/>
      <c r="DI374" s="119"/>
      <c r="DJ374" s="119"/>
      <c r="DK374" s="119"/>
      <c r="DL374" s="119"/>
      <c r="DM374" s="119"/>
      <c r="DN374" s="119"/>
      <c r="DO374" s="119"/>
      <c r="DP374" s="119"/>
      <c r="DQ374" s="119"/>
      <c r="DR374" s="119"/>
      <c r="DS374" s="119"/>
      <c r="DT374" s="119"/>
      <c r="DU374" s="119"/>
      <c r="DV374" s="119"/>
      <c r="DW374" s="119"/>
      <c r="DX374" s="119"/>
      <c r="DY374" s="119"/>
      <c r="DZ374" s="119"/>
      <c r="EA374" s="119"/>
      <c r="EB374" s="119"/>
      <c r="EC374" s="119"/>
      <c r="ED374" s="119"/>
      <c r="EE374" s="119"/>
      <c r="EF374" s="119"/>
      <c r="EG374" s="119"/>
      <c r="EH374" s="119"/>
      <c r="EI374" s="119"/>
      <c r="EJ374" s="119"/>
      <c r="EK374" s="119"/>
      <c r="EL374" s="119"/>
      <c r="EM374" s="119"/>
      <c r="EN374" s="119"/>
      <c r="EO374" s="119"/>
      <c r="EP374" s="119"/>
      <c r="EQ374" s="119"/>
      <c r="ER374" s="119"/>
      <c r="ES374" s="119"/>
      <c r="ET374" s="119"/>
      <c r="EU374" s="119"/>
      <c r="EV374" s="119"/>
      <c r="EW374" s="119"/>
      <c r="EX374" s="119"/>
      <c r="EY374" s="119"/>
      <c r="EZ374" s="119"/>
      <c r="FA374" s="119"/>
      <c r="FB374" s="119"/>
      <c r="FC374" s="119"/>
      <c r="FD374" s="119"/>
      <c r="FE374" s="119"/>
      <c r="FF374" s="119"/>
      <c r="FG374" s="119"/>
      <c r="FH374" s="119"/>
      <c r="FI374" s="119"/>
      <c r="FJ374" s="119"/>
      <c r="FK374" s="119"/>
      <c r="FL374" s="119"/>
      <c r="FM374" s="119"/>
      <c r="FN374" s="119"/>
      <c r="FO374" s="119"/>
      <c r="FP374" s="119"/>
      <c r="FQ374" s="119"/>
      <c r="FR374" s="119"/>
    </row>
    <row x14ac:dyDescent="0.25" r="375" customHeight="1" ht="15">
      <c r="A375" s="112">
        <v>45898</v>
      </c>
      <c r="B375" s="112">
        <v>45899</v>
      </c>
      <c r="C375" s="107" t="s">
        <v>303</v>
      </c>
      <c r="D375" s="107" t="s">
        <v>45</v>
      </c>
      <c r="E375" s="108">
        <v>110987</v>
      </c>
      <c r="F375" s="108">
        <v>111412</v>
      </c>
      <c r="G375" s="109">
        <f>IF((F375-E375)&lt;0,0,(F375-E375))</f>
      </c>
      <c r="H375" s="110"/>
      <c r="I375" s="111">
        <f>IFERROR(SUMPRODUCT($G375*VLOOKUP($C375,'Vehicle Master'!$D:$F,3,0)),"")</f>
      </c>
      <c r="J375" s="11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/>
      <c r="AP375" s="119"/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119"/>
      <c r="BF375" s="119"/>
      <c r="BG375" s="119"/>
      <c r="BH375" s="119"/>
      <c r="BI375" s="119"/>
      <c r="BJ375" s="119"/>
      <c r="BK375" s="119"/>
      <c r="BL375" s="119"/>
      <c r="BM375" s="119"/>
      <c r="BN375" s="119"/>
      <c r="BO375" s="119"/>
      <c r="BP375" s="119"/>
      <c r="BQ375" s="119"/>
      <c r="BR375" s="119"/>
      <c r="BS375" s="119"/>
      <c r="BT375" s="119"/>
      <c r="BU375" s="119"/>
      <c r="BV375" s="119"/>
      <c r="BW375" s="119"/>
      <c r="BX375" s="119"/>
      <c r="BY375" s="119"/>
      <c r="BZ375" s="119"/>
      <c r="CA375" s="119"/>
      <c r="CB375" s="119"/>
      <c r="CC375" s="119"/>
      <c r="CD375" s="119"/>
      <c r="CE375" s="119"/>
      <c r="CF375" s="119"/>
      <c r="CG375" s="119"/>
      <c r="CH375" s="119"/>
      <c r="CI375" s="119"/>
      <c r="CJ375" s="119"/>
      <c r="CK375" s="119"/>
      <c r="CL375" s="119"/>
      <c r="CM375" s="119"/>
      <c r="CN375" s="119"/>
      <c r="CO375" s="119"/>
      <c r="CP375" s="119"/>
      <c r="CQ375" s="119"/>
      <c r="CR375" s="119"/>
      <c r="CS375" s="119"/>
      <c r="CT375" s="119"/>
      <c r="CU375" s="119"/>
      <c r="CV375" s="119"/>
      <c r="CW375" s="119"/>
      <c r="CX375" s="119"/>
      <c r="CY375" s="119"/>
      <c r="CZ375" s="119"/>
      <c r="DA375" s="119"/>
      <c r="DB375" s="119"/>
      <c r="DC375" s="119"/>
      <c r="DD375" s="119"/>
      <c r="DE375" s="119"/>
      <c r="DF375" s="119"/>
      <c r="DG375" s="119"/>
      <c r="DH375" s="119"/>
      <c r="DI375" s="119"/>
      <c r="DJ375" s="119"/>
      <c r="DK375" s="119"/>
      <c r="DL375" s="119"/>
      <c r="DM375" s="119"/>
      <c r="DN375" s="119"/>
      <c r="DO375" s="119"/>
      <c r="DP375" s="119"/>
      <c r="DQ375" s="119"/>
      <c r="DR375" s="119"/>
      <c r="DS375" s="119"/>
      <c r="DT375" s="119"/>
      <c r="DU375" s="119"/>
      <c r="DV375" s="119"/>
      <c r="DW375" s="119"/>
      <c r="DX375" s="119"/>
      <c r="DY375" s="119"/>
      <c r="DZ375" s="119"/>
      <c r="EA375" s="119"/>
      <c r="EB375" s="119"/>
      <c r="EC375" s="119"/>
      <c r="ED375" s="119"/>
      <c r="EE375" s="119"/>
      <c r="EF375" s="119"/>
      <c r="EG375" s="119"/>
      <c r="EH375" s="119"/>
      <c r="EI375" s="119"/>
      <c r="EJ375" s="119"/>
      <c r="EK375" s="119"/>
      <c r="EL375" s="119"/>
      <c r="EM375" s="119"/>
      <c r="EN375" s="119"/>
      <c r="EO375" s="119"/>
      <c r="EP375" s="119"/>
      <c r="EQ375" s="119"/>
      <c r="ER375" s="119"/>
      <c r="ES375" s="119"/>
      <c r="ET375" s="119"/>
      <c r="EU375" s="119"/>
      <c r="EV375" s="119"/>
      <c r="EW375" s="119"/>
      <c r="EX375" s="119"/>
      <c r="EY375" s="119"/>
      <c r="EZ375" s="119"/>
      <c r="FA375" s="119"/>
      <c r="FB375" s="119"/>
      <c r="FC375" s="119"/>
      <c r="FD375" s="119"/>
      <c r="FE375" s="119"/>
      <c r="FF375" s="119"/>
      <c r="FG375" s="119"/>
      <c r="FH375" s="119"/>
      <c r="FI375" s="119"/>
      <c r="FJ375" s="119"/>
      <c r="FK375" s="119"/>
      <c r="FL375" s="119"/>
      <c r="FM375" s="119"/>
      <c r="FN375" s="119"/>
      <c r="FO375" s="119"/>
      <c r="FP375" s="119"/>
      <c r="FQ375" s="119"/>
      <c r="FR375" s="119"/>
    </row>
    <row x14ac:dyDescent="0.25" r="376" customHeight="1" ht="15">
      <c r="A376" s="112">
        <v>45898</v>
      </c>
      <c r="B376" s="112">
        <v>45899</v>
      </c>
      <c r="C376" s="107" t="s">
        <v>305</v>
      </c>
      <c r="D376" s="107" t="s">
        <v>43</v>
      </c>
      <c r="E376" s="108">
        <v>113090</v>
      </c>
      <c r="F376" s="108">
        <v>113510</v>
      </c>
      <c r="G376" s="109">
        <f>IF((F376-E376)&lt;0,0,(F376-E376))</f>
      </c>
      <c r="H376" s="110"/>
      <c r="I376" s="111">
        <f>IFERROR(SUMPRODUCT($G376*VLOOKUP($C376,'Vehicle Master'!$D:$F,3,0)),"")</f>
      </c>
      <c r="J376" s="11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/>
      <c r="AI376" s="119"/>
      <c r="AJ376" s="119"/>
      <c r="AK376" s="119"/>
      <c r="AL376" s="119"/>
      <c r="AM376" s="119"/>
      <c r="AN376" s="119"/>
      <c r="AO376" s="119"/>
      <c r="AP376" s="119"/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119"/>
      <c r="BF376" s="119"/>
      <c r="BG376" s="119"/>
      <c r="BH376" s="119"/>
      <c r="BI376" s="119"/>
      <c r="BJ376" s="119"/>
      <c r="BK376" s="119"/>
      <c r="BL376" s="119"/>
      <c r="BM376" s="119"/>
      <c r="BN376" s="119"/>
      <c r="BO376" s="119"/>
      <c r="BP376" s="119"/>
      <c r="BQ376" s="119"/>
      <c r="BR376" s="119"/>
      <c r="BS376" s="119"/>
      <c r="BT376" s="119"/>
      <c r="BU376" s="119"/>
      <c r="BV376" s="119"/>
      <c r="BW376" s="119"/>
      <c r="BX376" s="119"/>
      <c r="BY376" s="119"/>
      <c r="BZ376" s="119"/>
      <c r="CA376" s="119"/>
      <c r="CB376" s="119"/>
      <c r="CC376" s="119"/>
      <c r="CD376" s="119"/>
      <c r="CE376" s="119"/>
      <c r="CF376" s="119"/>
      <c r="CG376" s="119"/>
      <c r="CH376" s="119"/>
      <c r="CI376" s="119"/>
      <c r="CJ376" s="119"/>
      <c r="CK376" s="119"/>
      <c r="CL376" s="119"/>
      <c r="CM376" s="119"/>
      <c r="CN376" s="119"/>
      <c r="CO376" s="119"/>
      <c r="CP376" s="119"/>
      <c r="CQ376" s="119"/>
      <c r="CR376" s="119"/>
      <c r="CS376" s="119"/>
      <c r="CT376" s="119"/>
      <c r="CU376" s="119"/>
      <c r="CV376" s="119"/>
      <c r="CW376" s="119"/>
      <c r="CX376" s="119"/>
      <c r="CY376" s="119"/>
      <c r="CZ376" s="119"/>
      <c r="DA376" s="119"/>
      <c r="DB376" s="119"/>
      <c r="DC376" s="119"/>
      <c r="DD376" s="119"/>
      <c r="DE376" s="119"/>
      <c r="DF376" s="119"/>
      <c r="DG376" s="119"/>
      <c r="DH376" s="119"/>
      <c r="DI376" s="119"/>
      <c r="DJ376" s="119"/>
      <c r="DK376" s="119"/>
      <c r="DL376" s="119"/>
      <c r="DM376" s="119"/>
      <c r="DN376" s="119"/>
      <c r="DO376" s="119"/>
      <c r="DP376" s="119"/>
      <c r="DQ376" s="119"/>
      <c r="DR376" s="119"/>
      <c r="DS376" s="119"/>
      <c r="DT376" s="119"/>
      <c r="DU376" s="119"/>
      <c r="DV376" s="119"/>
      <c r="DW376" s="119"/>
      <c r="DX376" s="119"/>
      <c r="DY376" s="119"/>
      <c r="DZ376" s="119"/>
      <c r="EA376" s="119"/>
      <c r="EB376" s="119"/>
      <c r="EC376" s="119"/>
      <c r="ED376" s="119"/>
      <c r="EE376" s="119"/>
      <c r="EF376" s="119"/>
      <c r="EG376" s="119"/>
      <c r="EH376" s="119"/>
      <c r="EI376" s="119"/>
      <c r="EJ376" s="119"/>
      <c r="EK376" s="119"/>
      <c r="EL376" s="119"/>
      <c r="EM376" s="119"/>
      <c r="EN376" s="119"/>
      <c r="EO376" s="119"/>
      <c r="EP376" s="119"/>
      <c r="EQ376" s="119"/>
      <c r="ER376" s="119"/>
      <c r="ES376" s="119"/>
      <c r="ET376" s="119"/>
      <c r="EU376" s="119"/>
      <c r="EV376" s="119"/>
      <c r="EW376" s="119"/>
      <c r="EX376" s="119"/>
      <c r="EY376" s="119"/>
      <c r="EZ376" s="119"/>
      <c r="FA376" s="119"/>
      <c r="FB376" s="119"/>
      <c r="FC376" s="119"/>
      <c r="FD376" s="119"/>
      <c r="FE376" s="119"/>
      <c r="FF376" s="119"/>
      <c r="FG376" s="119"/>
      <c r="FH376" s="119"/>
      <c r="FI376" s="119"/>
      <c r="FJ376" s="119"/>
      <c r="FK376" s="119"/>
      <c r="FL376" s="119"/>
      <c r="FM376" s="119"/>
      <c r="FN376" s="119"/>
      <c r="FO376" s="119"/>
      <c r="FP376" s="119"/>
      <c r="FQ376" s="119"/>
      <c r="FR376" s="119"/>
    </row>
    <row x14ac:dyDescent="0.25" r="377" customHeight="1" ht="15">
      <c r="A377" s="112">
        <v>45899</v>
      </c>
      <c r="B377" s="112">
        <v>45900</v>
      </c>
      <c r="C377" s="107" t="s">
        <v>303</v>
      </c>
      <c r="D377" s="107" t="s">
        <v>45</v>
      </c>
      <c r="E377" s="108">
        <v>111412</v>
      </c>
      <c r="F377" s="108">
        <v>111851</v>
      </c>
      <c r="G377" s="109">
        <f>IF((F377-E377)&lt;0,0,(F377-E377))</f>
      </c>
      <c r="H377" s="110"/>
      <c r="I377" s="111">
        <f>IFERROR(SUMPRODUCT($G377*VLOOKUP($C377,'Vehicle Master'!$D:$F,3,0)),"")</f>
      </c>
      <c r="J377" s="11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9"/>
      <c r="AN377" s="119"/>
      <c r="AO377" s="119"/>
      <c r="AP377" s="119"/>
      <c r="AQ377" s="119"/>
      <c r="AR377" s="119"/>
      <c r="AS377" s="119"/>
      <c r="AT377" s="119"/>
      <c r="AU377" s="119"/>
      <c r="AV377" s="119"/>
      <c r="AW377" s="119"/>
      <c r="AX377" s="119"/>
      <c r="AY377" s="119"/>
      <c r="AZ377" s="119"/>
      <c r="BA377" s="119"/>
      <c r="BB377" s="119"/>
      <c r="BC377" s="119"/>
      <c r="BD377" s="119"/>
      <c r="BE377" s="119"/>
      <c r="BF377" s="119"/>
      <c r="BG377" s="119"/>
      <c r="BH377" s="119"/>
      <c r="BI377" s="119"/>
      <c r="BJ377" s="119"/>
      <c r="BK377" s="119"/>
      <c r="BL377" s="119"/>
      <c r="BM377" s="119"/>
      <c r="BN377" s="119"/>
      <c r="BO377" s="119"/>
      <c r="BP377" s="119"/>
      <c r="BQ377" s="119"/>
      <c r="BR377" s="119"/>
      <c r="BS377" s="119"/>
      <c r="BT377" s="119"/>
      <c r="BU377" s="119"/>
      <c r="BV377" s="119"/>
      <c r="BW377" s="119"/>
      <c r="BX377" s="119"/>
      <c r="BY377" s="119"/>
      <c r="BZ377" s="119"/>
      <c r="CA377" s="119"/>
      <c r="CB377" s="119"/>
      <c r="CC377" s="119"/>
      <c r="CD377" s="119"/>
      <c r="CE377" s="119"/>
      <c r="CF377" s="119"/>
      <c r="CG377" s="119"/>
      <c r="CH377" s="119"/>
      <c r="CI377" s="119"/>
      <c r="CJ377" s="119"/>
      <c r="CK377" s="119"/>
      <c r="CL377" s="119"/>
      <c r="CM377" s="119"/>
      <c r="CN377" s="119"/>
      <c r="CO377" s="119"/>
      <c r="CP377" s="119"/>
      <c r="CQ377" s="119"/>
      <c r="CR377" s="119"/>
      <c r="CS377" s="119"/>
      <c r="CT377" s="119"/>
      <c r="CU377" s="119"/>
      <c r="CV377" s="119"/>
      <c r="CW377" s="119"/>
      <c r="CX377" s="119"/>
      <c r="CY377" s="119"/>
      <c r="CZ377" s="119"/>
      <c r="DA377" s="119"/>
      <c r="DB377" s="119"/>
      <c r="DC377" s="119"/>
      <c r="DD377" s="119"/>
      <c r="DE377" s="119"/>
      <c r="DF377" s="119"/>
      <c r="DG377" s="119"/>
      <c r="DH377" s="119"/>
      <c r="DI377" s="119"/>
      <c r="DJ377" s="119"/>
      <c r="DK377" s="119"/>
      <c r="DL377" s="119"/>
      <c r="DM377" s="119"/>
      <c r="DN377" s="119"/>
      <c r="DO377" s="119"/>
      <c r="DP377" s="119"/>
      <c r="DQ377" s="119"/>
      <c r="DR377" s="119"/>
      <c r="DS377" s="119"/>
      <c r="DT377" s="119"/>
      <c r="DU377" s="119"/>
      <c r="DV377" s="119"/>
      <c r="DW377" s="119"/>
      <c r="DX377" s="119"/>
      <c r="DY377" s="119"/>
      <c r="DZ377" s="119"/>
      <c r="EA377" s="119"/>
      <c r="EB377" s="119"/>
      <c r="EC377" s="119"/>
      <c r="ED377" s="119"/>
      <c r="EE377" s="119"/>
      <c r="EF377" s="119"/>
      <c r="EG377" s="119"/>
      <c r="EH377" s="119"/>
      <c r="EI377" s="119"/>
      <c r="EJ377" s="119"/>
      <c r="EK377" s="119"/>
      <c r="EL377" s="119"/>
      <c r="EM377" s="119"/>
      <c r="EN377" s="119"/>
      <c r="EO377" s="119"/>
      <c r="EP377" s="119"/>
      <c r="EQ377" s="119"/>
      <c r="ER377" s="119"/>
      <c r="ES377" s="119"/>
      <c r="ET377" s="119"/>
      <c r="EU377" s="119"/>
      <c r="EV377" s="119"/>
      <c r="EW377" s="119"/>
      <c r="EX377" s="119"/>
      <c r="EY377" s="119"/>
      <c r="EZ377" s="119"/>
      <c r="FA377" s="119"/>
      <c r="FB377" s="119"/>
      <c r="FC377" s="119"/>
      <c r="FD377" s="119"/>
      <c r="FE377" s="119"/>
      <c r="FF377" s="119"/>
      <c r="FG377" s="119"/>
      <c r="FH377" s="119"/>
      <c r="FI377" s="119"/>
      <c r="FJ377" s="119"/>
      <c r="FK377" s="119"/>
      <c r="FL377" s="119"/>
      <c r="FM377" s="119"/>
      <c r="FN377" s="119"/>
      <c r="FO377" s="119"/>
      <c r="FP377" s="119"/>
      <c r="FQ377" s="119"/>
      <c r="FR377" s="119"/>
    </row>
    <row x14ac:dyDescent="0.25" r="378" customHeight="1" ht="15">
      <c r="A378" s="112">
        <v>45899</v>
      </c>
      <c r="B378" s="112">
        <v>45900</v>
      </c>
      <c r="C378" s="107" t="s">
        <v>304</v>
      </c>
      <c r="D378" s="107" t="s">
        <v>39</v>
      </c>
      <c r="E378" s="108">
        <v>125723</v>
      </c>
      <c r="F378" s="108">
        <v>126052</v>
      </c>
      <c r="G378" s="109">
        <f>IF((F378-E378)&lt;0,0,(F378-E378))</f>
      </c>
      <c r="H378" s="110"/>
      <c r="I378" s="111">
        <f>IFERROR(SUMPRODUCT($G378*VLOOKUP($C378,'Vehicle Master'!$D:$F,3,0)),"")</f>
      </c>
      <c r="J378" s="11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/>
      <c r="AS378" s="119"/>
      <c r="AT378" s="119"/>
      <c r="AU378" s="119"/>
      <c r="AV378" s="119"/>
      <c r="AW378" s="119"/>
      <c r="AX378" s="119"/>
      <c r="AY378" s="119"/>
      <c r="AZ378" s="119"/>
      <c r="BA378" s="119"/>
      <c r="BB378" s="119"/>
      <c r="BC378" s="119"/>
      <c r="BD378" s="119"/>
      <c r="BE378" s="119"/>
      <c r="BF378" s="119"/>
      <c r="BG378" s="119"/>
      <c r="BH378" s="119"/>
      <c r="BI378" s="119"/>
      <c r="BJ378" s="119"/>
      <c r="BK378" s="119"/>
      <c r="BL378" s="119"/>
      <c r="BM378" s="119"/>
      <c r="BN378" s="119"/>
      <c r="BO378" s="119"/>
      <c r="BP378" s="119"/>
      <c r="BQ378" s="119"/>
      <c r="BR378" s="119"/>
      <c r="BS378" s="119"/>
      <c r="BT378" s="119"/>
      <c r="BU378" s="119"/>
      <c r="BV378" s="119"/>
      <c r="BW378" s="119"/>
      <c r="BX378" s="119"/>
      <c r="BY378" s="119"/>
      <c r="BZ378" s="119"/>
      <c r="CA378" s="119"/>
      <c r="CB378" s="119"/>
      <c r="CC378" s="119"/>
      <c r="CD378" s="119"/>
      <c r="CE378" s="119"/>
      <c r="CF378" s="119"/>
      <c r="CG378" s="119"/>
      <c r="CH378" s="119"/>
      <c r="CI378" s="119"/>
      <c r="CJ378" s="119"/>
      <c r="CK378" s="119"/>
      <c r="CL378" s="119"/>
      <c r="CM378" s="119"/>
      <c r="CN378" s="119"/>
      <c r="CO378" s="119"/>
      <c r="CP378" s="119"/>
      <c r="CQ378" s="119"/>
      <c r="CR378" s="119"/>
      <c r="CS378" s="119"/>
      <c r="CT378" s="119"/>
      <c r="CU378" s="119"/>
      <c r="CV378" s="119"/>
      <c r="CW378" s="119"/>
      <c r="CX378" s="119"/>
      <c r="CY378" s="119"/>
      <c r="CZ378" s="119"/>
      <c r="DA378" s="119"/>
      <c r="DB378" s="119"/>
      <c r="DC378" s="119"/>
      <c r="DD378" s="119"/>
      <c r="DE378" s="119"/>
      <c r="DF378" s="119"/>
      <c r="DG378" s="119"/>
      <c r="DH378" s="119"/>
      <c r="DI378" s="119"/>
      <c r="DJ378" s="119"/>
      <c r="DK378" s="119"/>
      <c r="DL378" s="119"/>
      <c r="DM378" s="119"/>
      <c r="DN378" s="119"/>
      <c r="DO378" s="119"/>
      <c r="DP378" s="119"/>
      <c r="DQ378" s="119"/>
      <c r="DR378" s="119"/>
      <c r="DS378" s="119"/>
      <c r="DT378" s="119"/>
      <c r="DU378" s="119"/>
      <c r="DV378" s="119"/>
      <c r="DW378" s="119"/>
      <c r="DX378" s="119"/>
      <c r="DY378" s="119"/>
      <c r="DZ378" s="119"/>
      <c r="EA378" s="119"/>
      <c r="EB378" s="119"/>
      <c r="EC378" s="119"/>
      <c r="ED378" s="119"/>
      <c r="EE378" s="119"/>
      <c r="EF378" s="119"/>
      <c r="EG378" s="119"/>
      <c r="EH378" s="119"/>
      <c r="EI378" s="119"/>
      <c r="EJ378" s="119"/>
      <c r="EK378" s="119"/>
      <c r="EL378" s="119"/>
      <c r="EM378" s="119"/>
      <c r="EN378" s="119"/>
      <c r="EO378" s="119"/>
      <c r="EP378" s="119"/>
      <c r="EQ378" s="119"/>
      <c r="ER378" s="119"/>
      <c r="ES378" s="119"/>
      <c r="ET378" s="119"/>
      <c r="EU378" s="119"/>
      <c r="EV378" s="119"/>
      <c r="EW378" s="119"/>
      <c r="EX378" s="119"/>
      <c r="EY378" s="119"/>
      <c r="EZ378" s="119"/>
      <c r="FA378" s="119"/>
      <c r="FB378" s="119"/>
      <c r="FC378" s="119"/>
      <c r="FD378" s="119"/>
      <c r="FE378" s="119"/>
      <c r="FF378" s="119"/>
      <c r="FG378" s="119"/>
      <c r="FH378" s="119"/>
      <c r="FI378" s="119"/>
      <c r="FJ378" s="119"/>
      <c r="FK378" s="119"/>
      <c r="FL378" s="119"/>
      <c r="FM378" s="119"/>
      <c r="FN378" s="119"/>
      <c r="FO378" s="119"/>
      <c r="FP378" s="119"/>
      <c r="FQ378" s="119"/>
      <c r="FR378" s="119"/>
    </row>
    <row x14ac:dyDescent="0.25" r="379" customHeight="1" ht="15">
      <c r="A379" s="112">
        <v>45899</v>
      </c>
      <c r="B379" s="112">
        <v>45900</v>
      </c>
      <c r="C379" s="107" t="s">
        <v>305</v>
      </c>
      <c r="D379" s="107" t="s">
        <v>43</v>
      </c>
      <c r="E379" s="108">
        <v>113510</v>
      </c>
      <c r="F379" s="108">
        <v>113678</v>
      </c>
      <c r="G379" s="109">
        <f>IF((F379-E379)&lt;0,0,(F379-E379))</f>
      </c>
      <c r="H379" s="110"/>
      <c r="I379" s="111">
        <f>IFERROR(SUMPRODUCT($G379*VLOOKUP($C379,'Vehicle Master'!$D:$F,3,0)),"")</f>
      </c>
      <c r="J379" s="11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19"/>
      <c r="AZ379" s="119"/>
      <c r="BA379" s="119"/>
      <c r="BB379" s="119"/>
      <c r="BC379" s="119"/>
      <c r="BD379" s="119"/>
      <c r="BE379" s="119"/>
      <c r="BF379" s="119"/>
      <c r="BG379" s="119"/>
      <c r="BH379" s="119"/>
      <c r="BI379" s="119"/>
      <c r="BJ379" s="119"/>
      <c r="BK379" s="119"/>
      <c r="BL379" s="119"/>
      <c r="BM379" s="119"/>
      <c r="BN379" s="119"/>
      <c r="BO379" s="119"/>
      <c r="BP379" s="119"/>
      <c r="BQ379" s="119"/>
      <c r="BR379" s="119"/>
      <c r="BS379" s="119"/>
      <c r="BT379" s="119"/>
      <c r="BU379" s="119"/>
      <c r="BV379" s="119"/>
      <c r="BW379" s="119"/>
      <c r="BX379" s="119"/>
      <c r="BY379" s="119"/>
      <c r="BZ379" s="119"/>
      <c r="CA379" s="119"/>
      <c r="CB379" s="119"/>
      <c r="CC379" s="119"/>
      <c r="CD379" s="119"/>
      <c r="CE379" s="119"/>
      <c r="CF379" s="119"/>
      <c r="CG379" s="119"/>
      <c r="CH379" s="119"/>
      <c r="CI379" s="119"/>
      <c r="CJ379" s="119"/>
      <c r="CK379" s="119"/>
      <c r="CL379" s="119"/>
      <c r="CM379" s="119"/>
      <c r="CN379" s="119"/>
      <c r="CO379" s="119"/>
      <c r="CP379" s="119"/>
      <c r="CQ379" s="119"/>
      <c r="CR379" s="119"/>
      <c r="CS379" s="119"/>
      <c r="CT379" s="119"/>
      <c r="CU379" s="119"/>
      <c r="CV379" s="119"/>
      <c r="CW379" s="119"/>
      <c r="CX379" s="119"/>
      <c r="CY379" s="119"/>
      <c r="CZ379" s="119"/>
      <c r="DA379" s="119"/>
      <c r="DB379" s="119"/>
      <c r="DC379" s="119"/>
      <c r="DD379" s="119"/>
      <c r="DE379" s="119"/>
      <c r="DF379" s="119"/>
      <c r="DG379" s="119"/>
      <c r="DH379" s="119"/>
      <c r="DI379" s="119"/>
      <c r="DJ379" s="119"/>
      <c r="DK379" s="119"/>
      <c r="DL379" s="119"/>
      <c r="DM379" s="119"/>
      <c r="DN379" s="119"/>
      <c r="DO379" s="119"/>
      <c r="DP379" s="119"/>
      <c r="DQ379" s="119"/>
      <c r="DR379" s="119"/>
      <c r="DS379" s="119"/>
      <c r="DT379" s="119"/>
      <c r="DU379" s="119"/>
      <c r="DV379" s="119"/>
      <c r="DW379" s="119"/>
      <c r="DX379" s="119"/>
      <c r="DY379" s="119"/>
      <c r="DZ379" s="119"/>
      <c r="EA379" s="119"/>
      <c r="EB379" s="119"/>
      <c r="EC379" s="119"/>
      <c r="ED379" s="119"/>
      <c r="EE379" s="119"/>
      <c r="EF379" s="119"/>
      <c r="EG379" s="119"/>
      <c r="EH379" s="119"/>
      <c r="EI379" s="119"/>
      <c r="EJ379" s="119"/>
      <c r="EK379" s="119"/>
      <c r="EL379" s="119"/>
      <c r="EM379" s="119"/>
      <c r="EN379" s="119"/>
      <c r="EO379" s="119"/>
      <c r="EP379" s="119"/>
      <c r="EQ379" s="119"/>
      <c r="ER379" s="119"/>
      <c r="ES379" s="119"/>
      <c r="ET379" s="119"/>
      <c r="EU379" s="119"/>
      <c r="EV379" s="119"/>
      <c r="EW379" s="119"/>
      <c r="EX379" s="119"/>
      <c r="EY379" s="119"/>
      <c r="EZ379" s="119"/>
      <c r="FA379" s="119"/>
      <c r="FB379" s="119"/>
      <c r="FC379" s="119"/>
      <c r="FD379" s="119"/>
      <c r="FE379" s="119"/>
      <c r="FF379" s="119"/>
      <c r="FG379" s="119"/>
      <c r="FH379" s="119"/>
      <c r="FI379" s="119"/>
      <c r="FJ379" s="119"/>
      <c r="FK379" s="119"/>
      <c r="FL379" s="119"/>
      <c r="FM379" s="119"/>
      <c r="FN379" s="119"/>
      <c r="FO379" s="119"/>
      <c r="FP379" s="119"/>
      <c r="FQ379" s="119"/>
      <c r="FR379" s="119"/>
    </row>
    <row x14ac:dyDescent="0.25" r="380" customHeight="1" ht="15">
      <c r="A380" s="112">
        <v>45900</v>
      </c>
      <c r="B380" s="112">
        <v>45901</v>
      </c>
      <c r="C380" s="107" t="s">
        <v>302</v>
      </c>
      <c r="D380" s="107" t="s">
        <v>42</v>
      </c>
      <c r="E380" s="108">
        <v>91329</v>
      </c>
      <c r="F380" s="108">
        <v>91523</v>
      </c>
      <c r="G380" s="109">
        <f>IF((F380-E380)&lt;0,0,(F380-E380))</f>
      </c>
      <c r="H380" s="110"/>
      <c r="I380" s="111">
        <f>IFERROR(SUMPRODUCT($G380*VLOOKUP($C380,'Vehicle Master'!$D:$F,3,0)),"")</f>
      </c>
      <c r="J380" s="11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/>
      <c r="AX380" s="119"/>
      <c r="AY380" s="119"/>
      <c r="AZ380" s="119"/>
      <c r="BA380" s="119"/>
      <c r="BB380" s="119"/>
      <c r="BC380" s="119"/>
      <c r="BD380" s="119"/>
      <c r="BE380" s="119"/>
      <c r="BF380" s="119"/>
      <c r="BG380" s="119"/>
      <c r="BH380" s="119"/>
      <c r="BI380" s="119"/>
      <c r="BJ380" s="119"/>
      <c r="BK380" s="119"/>
      <c r="BL380" s="119"/>
      <c r="BM380" s="119"/>
      <c r="BN380" s="119"/>
      <c r="BO380" s="119"/>
      <c r="BP380" s="119"/>
      <c r="BQ380" s="119"/>
      <c r="BR380" s="119"/>
      <c r="BS380" s="119"/>
      <c r="BT380" s="119"/>
      <c r="BU380" s="119"/>
      <c r="BV380" s="119"/>
      <c r="BW380" s="119"/>
      <c r="BX380" s="119"/>
      <c r="BY380" s="119"/>
      <c r="BZ380" s="119"/>
      <c r="CA380" s="119"/>
      <c r="CB380" s="119"/>
      <c r="CC380" s="119"/>
      <c r="CD380" s="119"/>
      <c r="CE380" s="119"/>
      <c r="CF380" s="119"/>
      <c r="CG380" s="119"/>
      <c r="CH380" s="119"/>
      <c r="CI380" s="119"/>
      <c r="CJ380" s="119"/>
      <c r="CK380" s="119"/>
      <c r="CL380" s="119"/>
      <c r="CM380" s="119"/>
      <c r="CN380" s="119"/>
      <c r="CO380" s="119"/>
      <c r="CP380" s="119"/>
      <c r="CQ380" s="119"/>
      <c r="CR380" s="119"/>
      <c r="CS380" s="119"/>
      <c r="CT380" s="119"/>
      <c r="CU380" s="119"/>
      <c r="CV380" s="119"/>
      <c r="CW380" s="119"/>
      <c r="CX380" s="119"/>
      <c r="CY380" s="119"/>
      <c r="CZ380" s="119"/>
      <c r="DA380" s="119"/>
      <c r="DB380" s="119"/>
      <c r="DC380" s="119"/>
      <c r="DD380" s="119"/>
      <c r="DE380" s="119"/>
      <c r="DF380" s="119"/>
      <c r="DG380" s="119"/>
      <c r="DH380" s="119"/>
      <c r="DI380" s="119"/>
      <c r="DJ380" s="119"/>
      <c r="DK380" s="119"/>
      <c r="DL380" s="119"/>
      <c r="DM380" s="119"/>
      <c r="DN380" s="119"/>
      <c r="DO380" s="119"/>
      <c r="DP380" s="119"/>
      <c r="DQ380" s="119"/>
      <c r="DR380" s="119"/>
      <c r="DS380" s="119"/>
      <c r="DT380" s="119"/>
      <c r="DU380" s="119"/>
      <c r="DV380" s="119"/>
      <c r="DW380" s="119"/>
      <c r="DX380" s="119"/>
      <c r="DY380" s="119"/>
      <c r="DZ380" s="119"/>
      <c r="EA380" s="119"/>
      <c r="EB380" s="119"/>
      <c r="EC380" s="119"/>
      <c r="ED380" s="119"/>
      <c r="EE380" s="119"/>
      <c r="EF380" s="119"/>
      <c r="EG380" s="119"/>
      <c r="EH380" s="119"/>
      <c r="EI380" s="119"/>
      <c r="EJ380" s="119"/>
      <c r="EK380" s="119"/>
      <c r="EL380" s="119"/>
      <c r="EM380" s="119"/>
      <c r="EN380" s="119"/>
      <c r="EO380" s="119"/>
      <c r="EP380" s="119"/>
      <c r="EQ380" s="119"/>
      <c r="ER380" s="119"/>
      <c r="ES380" s="119"/>
      <c r="ET380" s="119"/>
      <c r="EU380" s="119"/>
      <c r="EV380" s="119"/>
      <c r="EW380" s="119"/>
      <c r="EX380" s="119"/>
      <c r="EY380" s="119"/>
      <c r="EZ380" s="119"/>
      <c r="FA380" s="119"/>
      <c r="FB380" s="119"/>
      <c r="FC380" s="119"/>
      <c r="FD380" s="119"/>
      <c r="FE380" s="119"/>
      <c r="FF380" s="119"/>
      <c r="FG380" s="119"/>
      <c r="FH380" s="119"/>
      <c r="FI380" s="119"/>
      <c r="FJ380" s="119"/>
      <c r="FK380" s="119"/>
      <c r="FL380" s="119"/>
      <c r="FM380" s="119"/>
      <c r="FN380" s="119"/>
      <c r="FO380" s="119"/>
      <c r="FP380" s="119"/>
      <c r="FQ380" s="119"/>
      <c r="FR380" s="119"/>
    </row>
    <row x14ac:dyDescent="0.25" r="381" customHeight="1" ht="15">
      <c r="A381" s="112">
        <v>45901</v>
      </c>
      <c r="B381" s="112">
        <v>45902</v>
      </c>
      <c r="C381" s="107" t="s">
        <v>303</v>
      </c>
      <c r="D381" s="107" t="s">
        <v>45</v>
      </c>
      <c r="E381" s="108">
        <v>111851</v>
      </c>
      <c r="F381" s="108">
        <v>112155</v>
      </c>
      <c r="G381" s="109">
        <f>IF((F381-E381)&lt;0,0,(F381-E381))</f>
      </c>
      <c r="H381" s="110"/>
      <c r="I381" s="111">
        <f>IFERROR(SUMPRODUCT($G381*VLOOKUP($C381,'Vehicle Master'!$D:$F,3,0)),"")</f>
      </c>
      <c r="J381" s="11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/>
      <c r="AU381" s="119"/>
      <c r="AV381" s="119"/>
      <c r="AW381" s="119"/>
      <c r="AX381" s="119"/>
      <c r="AY381" s="119"/>
      <c r="AZ381" s="119"/>
      <c r="BA381" s="119"/>
      <c r="BB381" s="119"/>
      <c r="BC381" s="119"/>
      <c r="BD381" s="119"/>
      <c r="BE381" s="119"/>
      <c r="BF381" s="119"/>
      <c r="BG381" s="119"/>
      <c r="BH381" s="119"/>
      <c r="BI381" s="119"/>
      <c r="BJ381" s="119"/>
      <c r="BK381" s="119"/>
      <c r="BL381" s="119"/>
      <c r="BM381" s="119"/>
      <c r="BN381" s="119"/>
      <c r="BO381" s="119"/>
      <c r="BP381" s="119"/>
      <c r="BQ381" s="119"/>
      <c r="BR381" s="119"/>
      <c r="BS381" s="119"/>
      <c r="BT381" s="119"/>
      <c r="BU381" s="119"/>
      <c r="BV381" s="119"/>
      <c r="BW381" s="119"/>
      <c r="BX381" s="119"/>
      <c r="BY381" s="119"/>
      <c r="BZ381" s="119"/>
      <c r="CA381" s="119"/>
      <c r="CB381" s="119"/>
      <c r="CC381" s="119"/>
      <c r="CD381" s="119"/>
      <c r="CE381" s="119"/>
      <c r="CF381" s="119"/>
      <c r="CG381" s="119"/>
      <c r="CH381" s="119"/>
      <c r="CI381" s="119"/>
      <c r="CJ381" s="119"/>
      <c r="CK381" s="119"/>
      <c r="CL381" s="119"/>
      <c r="CM381" s="119"/>
      <c r="CN381" s="119"/>
      <c r="CO381" s="119"/>
      <c r="CP381" s="119"/>
      <c r="CQ381" s="119"/>
      <c r="CR381" s="119"/>
      <c r="CS381" s="119"/>
      <c r="CT381" s="119"/>
      <c r="CU381" s="119"/>
      <c r="CV381" s="119"/>
      <c r="CW381" s="119"/>
      <c r="CX381" s="119"/>
      <c r="CY381" s="119"/>
      <c r="CZ381" s="119"/>
      <c r="DA381" s="119"/>
      <c r="DB381" s="119"/>
      <c r="DC381" s="119"/>
      <c r="DD381" s="119"/>
      <c r="DE381" s="119"/>
      <c r="DF381" s="119"/>
      <c r="DG381" s="119"/>
      <c r="DH381" s="119"/>
      <c r="DI381" s="119"/>
      <c r="DJ381" s="119"/>
      <c r="DK381" s="119"/>
      <c r="DL381" s="119"/>
      <c r="DM381" s="119"/>
      <c r="DN381" s="119"/>
      <c r="DO381" s="119"/>
      <c r="DP381" s="119"/>
      <c r="DQ381" s="119"/>
      <c r="DR381" s="119"/>
      <c r="DS381" s="119"/>
      <c r="DT381" s="119"/>
      <c r="DU381" s="119"/>
      <c r="DV381" s="119"/>
      <c r="DW381" s="119"/>
      <c r="DX381" s="119"/>
      <c r="DY381" s="119"/>
      <c r="DZ381" s="119"/>
      <c r="EA381" s="119"/>
      <c r="EB381" s="119"/>
      <c r="EC381" s="119"/>
      <c r="ED381" s="119"/>
      <c r="EE381" s="119"/>
      <c r="EF381" s="119"/>
      <c r="EG381" s="119"/>
      <c r="EH381" s="119"/>
      <c r="EI381" s="119"/>
      <c r="EJ381" s="119"/>
      <c r="EK381" s="119"/>
      <c r="EL381" s="119"/>
      <c r="EM381" s="119"/>
      <c r="EN381" s="119"/>
      <c r="EO381" s="119"/>
      <c r="EP381" s="119"/>
      <c r="EQ381" s="119"/>
      <c r="ER381" s="119"/>
      <c r="ES381" s="119"/>
      <c r="ET381" s="119"/>
      <c r="EU381" s="119"/>
      <c r="EV381" s="119"/>
      <c r="EW381" s="119"/>
      <c r="EX381" s="119"/>
      <c r="EY381" s="119"/>
      <c r="EZ381" s="119"/>
      <c r="FA381" s="119"/>
      <c r="FB381" s="119"/>
      <c r="FC381" s="119"/>
      <c r="FD381" s="119"/>
      <c r="FE381" s="119"/>
      <c r="FF381" s="119"/>
      <c r="FG381" s="119"/>
      <c r="FH381" s="119"/>
      <c r="FI381" s="119"/>
      <c r="FJ381" s="119"/>
      <c r="FK381" s="119"/>
      <c r="FL381" s="119"/>
      <c r="FM381" s="119"/>
      <c r="FN381" s="119"/>
      <c r="FO381" s="119"/>
      <c r="FP381" s="119"/>
      <c r="FQ381" s="119"/>
      <c r="FR381" s="119"/>
    </row>
    <row x14ac:dyDescent="0.25" r="382" customHeight="1" ht="15">
      <c r="A382" s="112">
        <v>45901</v>
      </c>
      <c r="B382" s="112">
        <v>45902</v>
      </c>
      <c r="C382" s="107" t="s">
        <v>304</v>
      </c>
      <c r="D382" s="107" t="s">
        <v>39</v>
      </c>
      <c r="E382" s="108">
        <v>126052</v>
      </c>
      <c r="F382" s="108">
        <v>126535</v>
      </c>
      <c r="G382" s="109">
        <f>IF((F382-E382)&lt;0,0,(F382-E382))</f>
      </c>
      <c r="H382" s="110"/>
      <c r="I382" s="111">
        <f>IFERROR(SUMPRODUCT($G382*VLOOKUP($C382,'Vehicle Master'!$D:$F,3,0)),"")</f>
      </c>
      <c r="J382" s="11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/>
      <c r="AV382" s="119"/>
      <c r="AW382" s="119"/>
      <c r="AX382" s="119"/>
      <c r="AY382" s="119"/>
      <c r="AZ382" s="119"/>
      <c r="BA382" s="119"/>
      <c r="BB382" s="119"/>
      <c r="BC382" s="119"/>
      <c r="BD382" s="119"/>
      <c r="BE382" s="119"/>
      <c r="BF382" s="119"/>
      <c r="BG382" s="119"/>
      <c r="BH382" s="119"/>
      <c r="BI382" s="119"/>
      <c r="BJ382" s="119"/>
      <c r="BK382" s="119"/>
      <c r="BL382" s="119"/>
      <c r="BM382" s="119"/>
      <c r="BN382" s="119"/>
      <c r="BO382" s="119"/>
      <c r="BP382" s="119"/>
      <c r="BQ382" s="119"/>
      <c r="BR382" s="119"/>
      <c r="BS382" s="119"/>
      <c r="BT382" s="119"/>
      <c r="BU382" s="119"/>
      <c r="BV382" s="119"/>
      <c r="BW382" s="119"/>
      <c r="BX382" s="119"/>
      <c r="BY382" s="119"/>
      <c r="BZ382" s="119"/>
      <c r="CA382" s="119"/>
      <c r="CB382" s="119"/>
      <c r="CC382" s="119"/>
      <c r="CD382" s="119"/>
      <c r="CE382" s="119"/>
      <c r="CF382" s="119"/>
      <c r="CG382" s="119"/>
      <c r="CH382" s="119"/>
      <c r="CI382" s="119"/>
      <c r="CJ382" s="119"/>
      <c r="CK382" s="119"/>
      <c r="CL382" s="119"/>
      <c r="CM382" s="119"/>
      <c r="CN382" s="119"/>
      <c r="CO382" s="119"/>
      <c r="CP382" s="119"/>
      <c r="CQ382" s="119"/>
      <c r="CR382" s="119"/>
      <c r="CS382" s="119"/>
      <c r="CT382" s="119"/>
      <c r="CU382" s="119"/>
      <c r="CV382" s="119"/>
      <c r="CW382" s="119"/>
      <c r="CX382" s="119"/>
      <c r="CY382" s="119"/>
      <c r="CZ382" s="119"/>
      <c r="DA382" s="119"/>
      <c r="DB382" s="119"/>
      <c r="DC382" s="119"/>
      <c r="DD382" s="119"/>
      <c r="DE382" s="119"/>
      <c r="DF382" s="119"/>
      <c r="DG382" s="119"/>
      <c r="DH382" s="119"/>
      <c r="DI382" s="119"/>
      <c r="DJ382" s="119"/>
      <c r="DK382" s="119"/>
      <c r="DL382" s="119"/>
      <c r="DM382" s="119"/>
      <c r="DN382" s="119"/>
      <c r="DO382" s="119"/>
      <c r="DP382" s="119"/>
      <c r="DQ382" s="119"/>
      <c r="DR382" s="119"/>
      <c r="DS382" s="119"/>
      <c r="DT382" s="119"/>
      <c r="DU382" s="119"/>
      <c r="DV382" s="119"/>
      <c r="DW382" s="119"/>
      <c r="DX382" s="119"/>
      <c r="DY382" s="119"/>
      <c r="DZ382" s="119"/>
      <c r="EA382" s="119"/>
      <c r="EB382" s="119"/>
      <c r="EC382" s="119"/>
      <c r="ED382" s="119"/>
      <c r="EE382" s="119"/>
      <c r="EF382" s="119"/>
      <c r="EG382" s="119"/>
      <c r="EH382" s="119"/>
      <c r="EI382" s="119"/>
      <c r="EJ382" s="119"/>
      <c r="EK382" s="119"/>
      <c r="EL382" s="119"/>
      <c r="EM382" s="119"/>
      <c r="EN382" s="119"/>
      <c r="EO382" s="119"/>
      <c r="EP382" s="119"/>
      <c r="EQ382" s="119"/>
      <c r="ER382" s="119"/>
      <c r="ES382" s="119"/>
      <c r="ET382" s="119"/>
      <c r="EU382" s="119"/>
      <c r="EV382" s="119"/>
      <c r="EW382" s="119"/>
      <c r="EX382" s="119"/>
      <c r="EY382" s="119"/>
      <c r="EZ382" s="119"/>
      <c r="FA382" s="119"/>
      <c r="FB382" s="119"/>
      <c r="FC382" s="119"/>
      <c r="FD382" s="119"/>
      <c r="FE382" s="119"/>
      <c r="FF382" s="119"/>
      <c r="FG382" s="119"/>
      <c r="FH382" s="119"/>
      <c r="FI382" s="119"/>
      <c r="FJ382" s="119"/>
      <c r="FK382" s="119"/>
      <c r="FL382" s="119"/>
      <c r="FM382" s="119"/>
      <c r="FN382" s="119"/>
      <c r="FO382" s="119"/>
      <c r="FP382" s="119"/>
      <c r="FQ382" s="119"/>
      <c r="FR382" s="119"/>
    </row>
    <row x14ac:dyDescent="0.25" r="383" customHeight="1" ht="15">
      <c r="A383" s="112">
        <v>45901</v>
      </c>
      <c r="B383" s="112">
        <v>45902</v>
      </c>
      <c r="C383" s="107" t="s">
        <v>305</v>
      </c>
      <c r="D383" s="107" t="s">
        <v>43</v>
      </c>
      <c r="E383" s="108">
        <v>113678</v>
      </c>
      <c r="F383" s="108">
        <v>113805</v>
      </c>
      <c r="G383" s="109">
        <f>IF((F383-E383)&lt;0,0,(F383-E383))</f>
      </c>
      <c r="H383" s="110"/>
      <c r="I383" s="111">
        <f>IFERROR(SUMPRODUCT($G383*VLOOKUP($C383,'Vehicle Master'!$D:$F,3,0)),"")</f>
      </c>
      <c r="J383" s="11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/>
      <c r="AP383" s="119"/>
      <c r="AQ383" s="119"/>
      <c r="AR383" s="119"/>
      <c r="AS383" s="119"/>
      <c r="AT383" s="119"/>
      <c r="AU383" s="119"/>
      <c r="AV383" s="119"/>
      <c r="AW383" s="119"/>
      <c r="AX383" s="119"/>
      <c r="AY383" s="119"/>
      <c r="AZ383" s="119"/>
      <c r="BA383" s="119"/>
      <c r="BB383" s="119"/>
      <c r="BC383" s="119"/>
      <c r="BD383" s="119"/>
      <c r="BE383" s="119"/>
      <c r="BF383" s="119"/>
      <c r="BG383" s="119"/>
      <c r="BH383" s="119"/>
      <c r="BI383" s="119"/>
      <c r="BJ383" s="119"/>
      <c r="BK383" s="119"/>
      <c r="BL383" s="119"/>
      <c r="BM383" s="119"/>
      <c r="BN383" s="119"/>
      <c r="BO383" s="119"/>
      <c r="BP383" s="119"/>
      <c r="BQ383" s="119"/>
      <c r="BR383" s="119"/>
      <c r="BS383" s="119"/>
      <c r="BT383" s="119"/>
      <c r="BU383" s="119"/>
      <c r="BV383" s="119"/>
      <c r="BW383" s="119"/>
      <c r="BX383" s="119"/>
      <c r="BY383" s="119"/>
      <c r="BZ383" s="119"/>
      <c r="CA383" s="119"/>
      <c r="CB383" s="119"/>
      <c r="CC383" s="119"/>
      <c r="CD383" s="119"/>
      <c r="CE383" s="119"/>
      <c r="CF383" s="119"/>
      <c r="CG383" s="119"/>
      <c r="CH383" s="119"/>
      <c r="CI383" s="119"/>
      <c r="CJ383" s="119"/>
      <c r="CK383" s="119"/>
      <c r="CL383" s="119"/>
      <c r="CM383" s="119"/>
      <c r="CN383" s="119"/>
      <c r="CO383" s="119"/>
      <c r="CP383" s="119"/>
      <c r="CQ383" s="119"/>
      <c r="CR383" s="119"/>
      <c r="CS383" s="119"/>
      <c r="CT383" s="119"/>
      <c r="CU383" s="119"/>
      <c r="CV383" s="119"/>
      <c r="CW383" s="119"/>
      <c r="CX383" s="119"/>
      <c r="CY383" s="119"/>
      <c r="CZ383" s="119"/>
      <c r="DA383" s="119"/>
      <c r="DB383" s="119"/>
      <c r="DC383" s="119"/>
      <c r="DD383" s="119"/>
      <c r="DE383" s="119"/>
      <c r="DF383" s="119"/>
      <c r="DG383" s="119"/>
      <c r="DH383" s="119"/>
      <c r="DI383" s="119"/>
      <c r="DJ383" s="119"/>
      <c r="DK383" s="119"/>
      <c r="DL383" s="119"/>
      <c r="DM383" s="119"/>
      <c r="DN383" s="119"/>
      <c r="DO383" s="119"/>
      <c r="DP383" s="119"/>
      <c r="DQ383" s="119"/>
      <c r="DR383" s="119"/>
      <c r="DS383" s="119"/>
      <c r="DT383" s="119"/>
      <c r="DU383" s="119"/>
      <c r="DV383" s="119"/>
      <c r="DW383" s="119"/>
      <c r="DX383" s="119"/>
      <c r="DY383" s="119"/>
      <c r="DZ383" s="119"/>
      <c r="EA383" s="119"/>
      <c r="EB383" s="119"/>
      <c r="EC383" s="119"/>
      <c r="ED383" s="119"/>
      <c r="EE383" s="119"/>
      <c r="EF383" s="119"/>
      <c r="EG383" s="119"/>
      <c r="EH383" s="119"/>
      <c r="EI383" s="119"/>
      <c r="EJ383" s="119"/>
      <c r="EK383" s="119"/>
      <c r="EL383" s="119"/>
      <c r="EM383" s="119"/>
      <c r="EN383" s="119"/>
      <c r="EO383" s="119"/>
      <c r="EP383" s="119"/>
      <c r="EQ383" s="119"/>
      <c r="ER383" s="119"/>
      <c r="ES383" s="119"/>
      <c r="ET383" s="119"/>
      <c r="EU383" s="119"/>
      <c r="EV383" s="119"/>
      <c r="EW383" s="119"/>
      <c r="EX383" s="119"/>
      <c r="EY383" s="119"/>
      <c r="EZ383" s="119"/>
      <c r="FA383" s="119"/>
      <c r="FB383" s="119"/>
      <c r="FC383" s="119"/>
      <c r="FD383" s="119"/>
      <c r="FE383" s="119"/>
      <c r="FF383" s="119"/>
      <c r="FG383" s="119"/>
      <c r="FH383" s="119"/>
      <c r="FI383" s="119"/>
      <c r="FJ383" s="119"/>
      <c r="FK383" s="119"/>
      <c r="FL383" s="119"/>
      <c r="FM383" s="119"/>
      <c r="FN383" s="119"/>
      <c r="FO383" s="119"/>
      <c r="FP383" s="119"/>
      <c r="FQ383" s="119"/>
      <c r="FR383" s="119"/>
    </row>
    <row x14ac:dyDescent="0.25" r="384" customHeight="1" ht="15">
      <c r="A384" s="112">
        <v>45902</v>
      </c>
      <c r="B384" s="112">
        <v>45903</v>
      </c>
      <c r="C384" s="107" t="s">
        <v>302</v>
      </c>
      <c r="D384" s="107" t="s">
        <v>42</v>
      </c>
      <c r="E384" s="108">
        <v>91523</v>
      </c>
      <c r="F384" s="108">
        <v>91758</v>
      </c>
      <c r="G384" s="109">
        <f>IF((F384-E384)&lt;0,0,(F384-E384))</f>
      </c>
      <c r="H384" s="110"/>
      <c r="I384" s="111">
        <f>IFERROR(SUMPRODUCT($G384*VLOOKUP($C384,'Vehicle Master'!$D:$F,3,0)),"")</f>
      </c>
      <c r="J384" s="11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/>
      <c r="BB384" s="119"/>
      <c r="BC384" s="119"/>
      <c r="BD384" s="119"/>
      <c r="BE384" s="119"/>
      <c r="BF384" s="119"/>
      <c r="BG384" s="119"/>
      <c r="BH384" s="119"/>
      <c r="BI384" s="119"/>
      <c r="BJ384" s="119"/>
      <c r="BK384" s="119"/>
      <c r="BL384" s="119"/>
      <c r="BM384" s="119"/>
      <c r="BN384" s="119"/>
      <c r="BO384" s="119"/>
      <c r="BP384" s="119"/>
      <c r="BQ384" s="119"/>
      <c r="BR384" s="119"/>
      <c r="BS384" s="119"/>
      <c r="BT384" s="119"/>
      <c r="BU384" s="119"/>
      <c r="BV384" s="119"/>
      <c r="BW384" s="119"/>
      <c r="BX384" s="119"/>
      <c r="BY384" s="119"/>
      <c r="BZ384" s="119"/>
      <c r="CA384" s="119"/>
      <c r="CB384" s="119"/>
      <c r="CC384" s="119"/>
      <c r="CD384" s="119"/>
      <c r="CE384" s="119"/>
      <c r="CF384" s="119"/>
      <c r="CG384" s="119"/>
      <c r="CH384" s="119"/>
      <c r="CI384" s="119"/>
      <c r="CJ384" s="119"/>
      <c r="CK384" s="119"/>
      <c r="CL384" s="119"/>
      <c r="CM384" s="119"/>
      <c r="CN384" s="119"/>
      <c r="CO384" s="119"/>
      <c r="CP384" s="119"/>
      <c r="CQ384" s="119"/>
      <c r="CR384" s="119"/>
      <c r="CS384" s="119"/>
      <c r="CT384" s="119"/>
      <c r="CU384" s="119"/>
      <c r="CV384" s="119"/>
      <c r="CW384" s="119"/>
      <c r="CX384" s="119"/>
      <c r="CY384" s="119"/>
      <c r="CZ384" s="119"/>
      <c r="DA384" s="119"/>
      <c r="DB384" s="119"/>
      <c r="DC384" s="119"/>
      <c r="DD384" s="119"/>
      <c r="DE384" s="119"/>
      <c r="DF384" s="119"/>
      <c r="DG384" s="119"/>
      <c r="DH384" s="119"/>
      <c r="DI384" s="119"/>
      <c r="DJ384" s="119"/>
      <c r="DK384" s="119"/>
      <c r="DL384" s="119"/>
      <c r="DM384" s="119"/>
      <c r="DN384" s="119"/>
      <c r="DO384" s="119"/>
      <c r="DP384" s="119"/>
      <c r="DQ384" s="119"/>
      <c r="DR384" s="119"/>
      <c r="DS384" s="119"/>
      <c r="DT384" s="119"/>
      <c r="DU384" s="119"/>
      <c r="DV384" s="119"/>
      <c r="DW384" s="119"/>
      <c r="DX384" s="119"/>
      <c r="DY384" s="119"/>
      <c r="DZ384" s="119"/>
      <c r="EA384" s="119"/>
      <c r="EB384" s="119"/>
      <c r="EC384" s="119"/>
      <c r="ED384" s="119"/>
      <c r="EE384" s="119"/>
      <c r="EF384" s="119"/>
      <c r="EG384" s="119"/>
      <c r="EH384" s="119"/>
      <c r="EI384" s="119"/>
      <c r="EJ384" s="119"/>
      <c r="EK384" s="119"/>
      <c r="EL384" s="119"/>
      <c r="EM384" s="119"/>
      <c r="EN384" s="119"/>
      <c r="EO384" s="119"/>
      <c r="EP384" s="119"/>
      <c r="EQ384" s="119"/>
      <c r="ER384" s="119"/>
      <c r="ES384" s="119"/>
      <c r="ET384" s="119"/>
      <c r="EU384" s="119"/>
      <c r="EV384" s="119"/>
      <c r="EW384" s="119"/>
      <c r="EX384" s="119"/>
      <c r="EY384" s="119"/>
      <c r="EZ384" s="119"/>
      <c r="FA384" s="119"/>
      <c r="FB384" s="119"/>
      <c r="FC384" s="119"/>
      <c r="FD384" s="119"/>
      <c r="FE384" s="119"/>
      <c r="FF384" s="119"/>
      <c r="FG384" s="119"/>
      <c r="FH384" s="119"/>
      <c r="FI384" s="119"/>
      <c r="FJ384" s="119"/>
      <c r="FK384" s="119"/>
      <c r="FL384" s="119"/>
      <c r="FM384" s="119"/>
      <c r="FN384" s="119"/>
      <c r="FO384" s="119"/>
      <c r="FP384" s="119"/>
      <c r="FQ384" s="119"/>
      <c r="FR384" s="119"/>
    </row>
    <row x14ac:dyDescent="0.25" r="385" customHeight="1" ht="15">
      <c r="A385" s="112">
        <v>45902</v>
      </c>
      <c r="B385" s="112">
        <v>45903</v>
      </c>
      <c r="C385" s="107" t="s">
        <v>305</v>
      </c>
      <c r="D385" s="107" t="s">
        <v>43</v>
      </c>
      <c r="E385" s="108">
        <v>113805</v>
      </c>
      <c r="F385" s="108">
        <v>114167</v>
      </c>
      <c r="G385" s="109">
        <f>IF((F385-E385)&lt;0,0,(F385-E385))</f>
      </c>
      <c r="H385" s="110"/>
      <c r="I385" s="111">
        <f>IFERROR(SUMPRODUCT($G385*VLOOKUP($C385,'Vehicle Master'!$D:$F,3,0)),"")</f>
      </c>
      <c r="J385" s="11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/>
      <c r="BC385" s="119"/>
      <c r="BD385" s="119"/>
      <c r="BE385" s="119"/>
      <c r="BF385" s="119"/>
      <c r="BG385" s="119"/>
      <c r="BH385" s="119"/>
      <c r="BI385" s="119"/>
      <c r="BJ385" s="119"/>
      <c r="BK385" s="119"/>
      <c r="BL385" s="119"/>
      <c r="BM385" s="119"/>
      <c r="BN385" s="119"/>
      <c r="BO385" s="119"/>
      <c r="BP385" s="119"/>
      <c r="BQ385" s="119"/>
      <c r="BR385" s="119"/>
      <c r="BS385" s="119"/>
      <c r="BT385" s="119"/>
      <c r="BU385" s="119"/>
      <c r="BV385" s="119"/>
      <c r="BW385" s="119"/>
      <c r="BX385" s="119"/>
      <c r="BY385" s="119"/>
      <c r="BZ385" s="119"/>
      <c r="CA385" s="119"/>
      <c r="CB385" s="119"/>
      <c r="CC385" s="119"/>
      <c r="CD385" s="119"/>
      <c r="CE385" s="119"/>
      <c r="CF385" s="119"/>
      <c r="CG385" s="119"/>
      <c r="CH385" s="119"/>
      <c r="CI385" s="119"/>
      <c r="CJ385" s="119"/>
      <c r="CK385" s="119"/>
      <c r="CL385" s="119"/>
      <c r="CM385" s="119"/>
      <c r="CN385" s="119"/>
      <c r="CO385" s="119"/>
      <c r="CP385" s="119"/>
      <c r="CQ385" s="119"/>
      <c r="CR385" s="119"/>
      <c r="CS385" s="119"/>
      <c r="CT385" s="119"/>
      <c r="CU385" s="119"/>
      <c r="CV385" s="119"/>
      <c r="CW385" s="119"/>
      <c r="CX385" s="119"/>
      <c r="CY385" s="119"/>
      <c r="CZ385" s="119"/>
      <c r="DA385" s="119"/>
      <c r="DB385" s="119"/>
      <c r="DC385" s="119"/>
      <c r="DD385" s="119"/>
      <c r="DE385" s="119"/>
      <c r="DF385" s="119"/>
      <c r="DG385" s="119"/>
      <c r="DH385" s="119"/>
      <c r="DI385" s="119"/>
      <c r="DJ385" s="119"/>
      <c r="DK385" s="119"/>
      <c r="DL385" s="119"/>
      <c r="DM385" s="119"/>
      <c r="DN385" s="119"/>
      <c r="DO385" s="119"/>
      <c r="DP385" s="119"/>
      <c r="DQ385" s="119"/>
      <c r="DR385" s="119"/>
      <c r="DS385" s="119"/>
      <c r="DT385" s="119"/>
      <c r="DU385" s="119"/>
      <c r="DV385" s="119"/>
      <c r="DW385" s="119"/>
      <c r="DX385" s="119"/>
      <c r="DY385" s="119"/>
      <c r="DZ385" s="119"/>
      <c r="EA385" s="119"/>
      <c r="EB385" s="119"/>
      <c r="EC385" s="119"/>
      <c r="ED385" s="119"/>
      <c r="EE385" s="119"/>
      <c r="EF385" s="119"/>
      <c r="EG385" s="119"/>
      <c r="EH385" s="119"/>
      <c r="EI385" s="119"/>
      <c r="EJ385" s="119"/>
      <c r="EK385" s="119"/>
      <c r="EL385" s="119"/>
      <c r="EM385" s="119"/>
      <c r="EN385" s="119"/>
      <c r="EO385" s="119"/>
      <c r="EP385" s="119"/>
      <c r="EQ385" s="119"/>
      <c r="ER385" s="119"/>
      <c r="ES385" s="119"/>
      <c r="ET385" s="119"/>
      <c r="EU385" s="119"/>
      <c r="EV385" s="119"/>
      <c r="EW385" s="119"/>
      <c r="EX385" s="119"/>
      <c r="EY385" s="119"/>
      <c r="EZ385" s="119"/>
      <c r="FA385" s="119"/>
      <c r="FB385" s="119"/>
      <c r="FC385" s="119"/>
      <c r="FD385" s="119"/>
      <c r="FE385" s="119"/>
      <c r="FF385" s="119"/>
      <c r="FG385" s="119"/>
      <c r="FH385" s="119"/>
      <c r="FI385" s="119"/>
      <c r="FJ385" s="119"/>
      <c r="FK385" s="119"/>
      <c r="FL385" s="119"/>
      <c r="FM385" s="119"/>
      <c r="FN385" s="119"/>
      <c r="FO385" s="119"/>
      <c r="FP385" s="119"/>
      <c r="FQ385" s="119"/>
      <c r="FR385" s="119"/>
    </row>
    <row x14ac:dyDescent="0.25" r="386" customHeight="1" ht="15">
      <c r="A386" s="112">
        <v>45903</v>
      </c>
      <c r="B386" s="112">
        <v>45903</v>
      </c>
      <c r="C386" s="107" t="s">
        <v>304</v>
      </c>
      <c r="D386" s="107" t="s">
        <v>39</v>
      </c>
      <c r="E386" s="108">
        <v>126535</v>
      </c>
      <c r="F386" s="108">
        <v>126660</v>
      </c>
      <c r="G386" s="109">
        <f>IF((F386-E386)&lt;0,0,(F386-E386))</f>
      </c>
      <c r="H386" s="110"/>
      <c r="I386" s="111">
        <f>IFERROR(SUMPRODUCT($G386*VLOOKUP($C386,'Vehicle Master'!$D:$F,3,0)),"")</f>
      </c>
      <c r="J386" s="11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119"/>
      <c r="BF386" s="119"/>
      <c r="BG386" s="119"/>
      <c r="BH386" s="119"/>
      <c r="BI386" s="119"/>
      <c r="BJ386" s="119"/>
      <c r="BK386" s="119"/>
      <c r="BL386" s="119"/>
      <c r="BM386" s="119"/>
      <c r="BN386" s="119"/>
      <c r="BO386" s="119"/>
      <c r="BP386" s="119"/>
      <c r="BQ386" s="119"/>
      <c r="BR386" s="119"/>
      <c r="BS386" s="119"/>
      <c r="BT386" s="119"/>
      <c r="BU386" s="119"/>
      <c r="BV386" s="119"/>
      <c r="BW386" s="119"/>
      <c r="BX386" s="119"/>
      <c r="BY386" s="119"/>
      <c r="BZ386" s="119"/>
      <c r="CA386" s="119"/>
      <c r="CB386" s="119"/>
      <c r="CC386" s="119"/>
      <c r="CD386" s="119"/>
      <c r="CE386" s="119"/>
      <c r="CF386" s="119"/>
      <c r="CG386" s="119"/>
      <c r="CH386" s="119"/>
      <c r="CI386" s="119"/>
      <c r="CJ386" s="119"/>
      <c r="CK386" s="119"/>
      <c r="CL386" s="119"/>
      <c r="CM386" s="119"/>
      <c r="CN386" s="119"/>
      <c r="CO386" s="119"/>
      <c r="CP386" s="119"/>
      <c r="CQ386" s="119"/>
      <c r="CR386" s="119"/>
      <c r="CS386" s="119"/>
      <c r="CT386" s="119"/>
      <c r="CU386" s="119"/>
      <c r="CV386" s="119"/>
      <c r="CW386" s="119"/>
      <c r="CX386" s="119"/>
      <c r="CY386" s="119"/>
      <c r="CZ386" s="119"/>
      <c r="DA386" s="119"/>
      <c r="DB386" s="119"/>
      <c r="DC386" s="119"/>
      <c r="DD386" s="119"/>
      <c r="DE386" s="119"/>
      <c r="DF386" s="119"/>
      <c r="DG386" s="119"/>
      <c r="DH386" s="119"/>
      <c r="DI386" s="119"/>
      <c r="DJ386" s="119"/>
      <c r="DK386" s="119"/>
      <c r="DL386" s="119"/>
      <c r="DM386" s="119"/>
      <c r="DN386" s="119"/>
      <c r="DO386" s="119"/>
      <c r="DP386" s="119"/>
      <c r="DQ386" s="119"/>
      <c r="DR386" s="119"/>
      <c r="DS386" s="119"/>
      <c r="DT386" s="119"/>
      <c r="DU386" s="119"/>
      <c r="DV386" s="119"/>
      <c r="DW386" s="119"/>
      <c r="DX386" s="119"/>
      <c r="DY386" s="119"/>
      <c r="DZ386" s="119"/>
      <c r="EA386" s="119"/>
      <c r="EB386" s="119"/>
      <c r="EC386" s="119"/>
      <c r="ED386" s="119"/>
      <c r="EE386" s="119"/>
      <c r="EF386" s="119"/>
      <c r="EG386" s="119"/>
      <c r="EH386" s="119"/>
      <c r="EI386" s="119"/>
      <c r="EJ386" s="119"/>
      <c r="EK386" s="119"/>
      <c r="EL386" s="119"/>
      <c r="EM386" s="119"/>
      <c r="EN386" s="119"/>
      <c r="EO386" s="119"/>
      <c r="EP386" s="119"/>
      <c r="EQ386" s="119"/>
      <c r="ER386" s="119"/>
      <c r="ES386" s="119"/>
      <c r="ET386" s="119"/>
      <c r="EU386" s="119"/>
      <c r="EV386" s="119"/>
      <c r="EW386" s="119"/>
      <c r="EX386" s="119"/>
      <c r="EY386" s="119"/>
      <c r="EZ386" s="119"/>
      <c r="FA386" s="119"/>
      <c r="FB386" s="119"/>
      <c r="FC386" s="119"/>
      <c r="FD386" s="119"/>
      <c r="FE386" s="119"/>
      <c r="FF386" s="119"/>
      <c r="FG386" s="119"/>
      <c r="FH386" s="119"/>
      <c r="FI386" s="119"/>
      <c r="FJ386" s="119"/>
      <c r="FK386" s="119"/>
      <c r="FL386" s="119"/>
      <c r="FM386" s="119"/>
      <c r="FN386" s="119"/>
      <c r="FO386" s="119"/>
      <c r="FP386" s="119"/>
      <c r="FQ386" s="119"/>
      <c r="FR386" s="119"/>
    </row>
    <row x14ac:dyDescent="0.25" r="387" customHeight="1" ht="15">
      <c r="A387" s="112">
        <v>45903</v>
      </c>
      <c r="B387" s="112">
        <v>45904</v>
      </c>
      <c r="C387" s="107" t="s">
        <v>303</v>
      </c>
      <c r="D387" s="107" t="s">
        <v>45</v>
      </c>
      <c r="E387" s="108">
        <v>112155</v>
      </c>
      <c r="F387" s="108">
        <v>112529</v>
      </c>
      <c r="G387" s="109">
        <f>IF((F387-E387)&lt;0,0,(F387-E387))</f>
      </c>
      <c r="H387" s="110"/>
      <c r="I387" s="111">
        <f>IFERROR(SUMPRODUCT($G387*VLOOKUP($C387,'Vehicle Master'!$D:$F,3,0)),"")</f>
      </c>
      <c r="J387" s="11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/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/>
      <c r="BE387" s="119"/>
      <c r="BF387" s="119"/>
      <c r="BG387" s="119"/>
      <c r="BH387" s="119"/>
      <c r="BI387" s="119"/>
      <c r="BJ387" s="119"/>
      <c r="BK387" s="119"/>
      <c r="BL387" s="119"/>
      <c r="BM387" s="119"/>
      <c r="BN387" s="119"/>
      <c r="BO387" s="119"/>
      <c r="BP387" s="119"/>
      <c r="BQ387" s="119"/>
      <c r="BR387" s="119"/>
      <c r="BS387" s="119"/>
      <c r="BT387" s="119"/>
      <c r="BU387" s="119"/>
      <c r="BV387" s="119"/>
      <c r="BW387" s="119"/>
      <c r="BX387" s="119"/>
      <c r="BY387" s="119"/>
      <c r="BZ387" s="119"/>
      <c r="CA387" s="119"/>
      <c r="CB387" s="119"/>
      <c r="CC387" s="119"/>
      <c r="CD387" s="119"/>
      <c r="CE387" s="119"/>
      <c r="CF387" s="119"/>
      <c r="CG387" s="119"/>
      <c r="CH387" s="119"/>
      <c r="CI387" s="119"/>
      <c r="CJ387" s="119"/>
      <c r="CK387" s="119"/>
      <c r="CL387" s="119"/>
      <c r="CM387" s="119"/>
      <c r="CN387" s="119"/>
      <c r="CO387" s="119"/>
      <c r="CP387" s="119"/>
      <c r="CQ387" s="119"/>
      <c r="CR387" s="119"/>
      <c r="CS387" s="119"/>
      <c r="CT387" s="119"/>
      <c r="CU387" s="119"/>
      <c r="CV387" s="119"/>
      <c r="CW387" s="119"/>
      <c r="CX387" s="119"/>
      <c r="CY387" s="119"/>
      <c r="CZ387" s="119"/>
      <c r="DA387" s="119"/>
      <c r="DB387" s="119"/>
      <c r="DC387" s="119"/>
      <c r="DD387" s="119"/>
      <c r="DE387" s="119"/>
      <c r="DF387" s="119"/>
      <c r="DG387" s="119"/>
      <c r="DH387" s="119"/>
      <c r="DI387" s="119"/>
      <c r="DJ387" s="119"/>
      <c r="DK387" s="119"/>
      <c r="DL387" s="119"/>
      <c r="DM387" s="119"/>
      <c r="DN387" s="119"/>
      <c r="DO387" s="119"/>
      <c r="DP387" s="119"/>
      <c r="DQ387" s="119"/>
      <c r="DR387" s="119"/>
      <c r="DS387" s="119"/>
      <c r="DT387" s="119"/>
      <c r="DU387" s="119"/>
      <c r="DV387" s="119"/>
      <c r="DW387" s="119"/>
      <c r="DX387" s="119"/>
      <c r="DY387" s="119"/>
      <c r="DZ387" s="119"/>
      <c r="EA387" s="119"/>
      <c r="EB387" s="119"/>
      <c r="EC387" s="119"/>
      <c r="ED387" s="119"/>
      <c r="EE387" s="119"/>
      <c r="EF387" s="119"/>
      <c r="EG387" s="119"/>
      <c r="EH387" s="119"/>
      <c r="EI387" s="119"/>
      <c r="EJ387" s="119"/>
      <c r="EK387" s="119"/>
      <c r="EL387" s="119"/>
      <c r="EM387" s="119"/>
      <c r="EN387" s="119"/>
      <c r="EO387" s="119"/>
      <c r="EP387" s="119"/>
      <c r="EQ387" s="119"/>
      <c r="ER387" s="119"/>
      <c r="ES387" s="119"/>
      <c r="ET387" s="119"/>
      <c r="EU387" s="119"/>
      <c r="EV387" s="119"/>
      <c r="EW387" s="119"/>
      <c r="EX387" s="119"/>
      <c r="EY387" s="119"/>
      <c r="EZ387" s="119"/>
      <c r="FA387" s="119"/>
      <c r="FB387" s="119"/>
      <c r="FC387" s="119"/>
      <c r="FD387" s="119"/>
      <c r="FE387" s="119"/>
      <c r="FF387" s="119"/>
      <c r="FG387" s="119"/>
      <c r="FH387" s="119"/>
      <c r="FI387" s="119"/>
      <c r="FJ387" s="119"/>
      <c r="FK387" s="119"/>
      <c r="FL387" s="119"/>
      <c r="FM387" s="119"/>
      <c r="FN387" s="119"/>
      <c r="FO387" s="119"/>
      <c r="FP387" s="119"/>
      <c r="FQ387" s="119"/>
      <c r="FR387" s="119"/>
    </row>
    <row x14ac:dyDescent="0.25" r="388" customHeight="1" ht="15">
      <c r="A388" s="112">
        <v>45904</v>
      </c>
      <c r="B388" s="112">
        <v>45905</v>
      </c>
      <c r="C388" s="107" t="s">
        <v>302</v>
      </c>
      <c r="D388" s="107" t="s">
        <v>42</v>
      </c>
      <c r="E388" s="108">
        <v>91758</v>
      </c>
      <c r="F388" s="108">
        <v>92071</v>
      </c>
      <c r="G388" s="109">
        <f>IF((F388-E388)&lt;0,0,(F388-E388))</f>
      </c>
      <c r="H388" s="110"/>
      <c r="I388" s="111">
        <f>IFERROR(SUMPRODUCT($G388*VLOOKUP($C388,'Vehicle Master'!$D:$F,3,0)),"")</f>
      </c>
      <c r="J388" s="11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/>
      <c r="AN388" s="119"/>
      <c r="AO388" s="119"/>
      <c r="AP388" s="119"/>
      <c r="AQ388" s="119"/>
      <c r="AR388" s="119"/>
      <c r="AS388" s="119"/>
      <c r="AT388" s="119"/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119"/>
      <c r="BF388" s="119"/>
      <c r="BG388" s="119"/>
      <c r="BH388" s="119"/>
      <c r="BI388" s="119"/>
      <c r="BJ388" s="119"/>
      <c r="BK388" s="119"/>
      <c r="BL388" s="119"/>
      <c r="BM388" s="119"/>
      <c r="BN388" s="119"/>
      <c r="BO388" s="119"/>
      <c r="BP388" s="119"/>
      <c r="BQ388" s="119"/>
      <c r="BR388" s="119"/>
      <c r="BS388" s="119"/>
      <c r="BT388" s="119"/>
      <c r="BU388" s="119"/>
      <c r="BV388" s="119"/>
      <c r="BW388" s="119"/>
      <c r="BX388" s="119"/>
      <c r="BY388" s="119"/>
      <c r="BZ388" s="119"/>
      <c r="CA388" s="119"/>
      <c r="CB388" s="119"/>
      <c r="CC388" s="119"/>
      <c r="CD388" s="119"/>
      <c r="CE388" s="119"/>
      <c r="CF388" s="119"/>
      <c r="CG388" s="119"/>
      <c r="CH388" s="119"/>
      <c r="CI388" s="119"/>
      <c r="CJ388" s="119"/>
      <c r="CK388" s="119"/>
      <c r="CL388" s="119"/>
      <c r="CM388" s="119"/>
      <c r="CN388" s="119"/>
      <c r="CO388" s="119"/>
      <c r="CP388" s="119"/>
      <c r="CQ388" s="119"/>
      <c r="CR388" s="119"/>
      <c r="CS388" s="119"/>
      <c r="CT388" s="119"/>
      <c r="CU388" s="119"/>
      <c r="CV388" s="119"/>
      <c r="CW388" s="119"/>
      <c r="CX388" s="119"/>
      <c r="CY388" s="119"/>
      <c r="CZ388" s="119"/>
      <c r="DA388" s="119"/>
      <c r="DB388" s="119"/>
      <c r="DC388" s="119"/>
      <c r="DD388" s="119"/>
      <c r="DE388" s="119"/>
      <c r="DF388" s="119"/>
      <c r="DG388" s="119"/>
      <c r="DH388" s="119"/>
      <c r="DI388" s="119"/>
      <c r="DJ388" s="119"/>
      <c r="DK388" s="119"/>
      <c r="DL388" s="119"/>
      <c r="DM388" s="119"/>
      <c r="DN388" s="119"/>
      <c r="DO388" s="119"/>
      <c r="DP388" s="119"/>
      <c r="DQ388" s="119"/>
      <c r="DR388" s="119"/>
      <c r="DS388" s="119"/>
      <c r="DT388" s="119"/>
      <c r="DU388" s="119"/>
      <c r="DV388" s="119"/>
      <c r="DW388" s="119"/>
      <c r="DX388" s="119"/>
      <c r="DY388" s="119"/>
      <c r="DZ388" s="119"/>
      <c r="EA388" s="119"/>
      <c r="EB388" s="119"/>
      <c r="EC388" s="119"/>
      <c r="ED388" s="119"/>
      <c r="EE388" s="119"/>
      <c r="EF388" s="119"/>
      <c r="EG388" s="119"/>
      <c r="EH388" s="119"/>
      <c r="EI388" s="119"/>
      <c r="EJ388" s="119"/>
      <c r="EK388" s="119"/>
      <c r="EL388" s="119"/>
      <c r="EM388" s="119"/>
      <c r="EN388" s="119"/>
      <c r="EO388" s="119"/>
      <c r="EP388" s="119"/>
      <c r="EQ388" s="119"/>
      <c r="ER388" s="119"/>
      <c r="ES388" s="119"/>
      <c r="ET388" s="119"/>
      <c r="EU388" s="119"/>
      <c r="EV388" s="119"/>
      <c r="EW388" s="119"/>
      <c r="EX388" s="119"/>
      <c r="EY388" s="119"/>
      <c r="EZ388" s="119"/>
      <c r="FA388" s="119"/>
      <c r="FB388" s="119"/>
      <c r="FC388" s="119"/>
      <c r="FD388" s="119"/>
      <c r="FE388" s="119"/>
      <c r="FF388" s="119"/>
      <c r="FG388" s="119"/>
      <c r="FH388" s="119"/>
      <c r="FI388" s="119"/>
      <c r="FJ388" s="119"/>
      <c r="FK388" s="119"/>
      <c r="FL388" s="119"/>
      <c r="FM388" s="119"/>
      <c r="FN388" s="119"/>
      <c r="FO388" s="119"/>
      <c r="FP388" s="119"/>
      <c r="FQ388" s="119"/>
      <c r="FR388" s="119"/>
    </row>
    <row x14ac:dyDescent="0.25" r="389" customHeight="1" ht="15">
      <c r="A389" s="112">
        <v>45904</v>
      </c>
      <c r="B389" s="112">
        <v>45905</v>
      </c>
      <c r="C389" s="107" t="s">
        <v>305</v>
      </c>
      <c r="D389" s="107" t="s">
        <v>43</v>
      </c>
      <c r="E389" s="108">
        <v>114167</v>
      </c>
      <c r="F389" s="108">
        <v>114399</v>
      </c>
      <c r="G389" s="109">
        <f>IF((F389-E389)&lt;0,0,(F389-E389))</f>
      </c>
      <c r="H389" s="110"/>
      <c r="I389" s="111">
        <f>IFERROR(SUMPRODUCT($G389*VLOOKUP($C389,'Vehicle Master'!$D:$F,3,0)),"")</f>
      </c>
      <c r="J389" s="11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  <c r="AA389" s="119"/>
      <c r="AB389" s="119"/>
      <c r="AC389" s="119"/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/>
      <c r="AN389" s="119"/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119"/>
      <c r="BF389" s="119"/>
      <c r="BG389" s="119"/>
      <c r="BH389" s="119"/>
      <c r="BI389" s="119"/>
      <c r="BJ389" s="119"/>
      <c r="BK389" s="119"/>
      <c r="BL389" s="119"/>
      <c r="BM389" s="119"/>
      <c r="BN389" s="119"/>
      <c r="BO389" s="119"/>
      <c r="BP389" s="119"/>
      <c r="BQ389" s="119"/>
      <c r="BR389" s="119"/>
      <c r="BS389" s="119"/>
      <c r="BT389" s="119"/>
      <c r="BU389" s="119"/>
      <c r="BV389" s="119"/>
      <c r="BW389" s="119"/>
      <c r="BX389" s="119"/>
      <c r="BY389" s="119"/>
      <c r="BZ389" s="119"/>
      <c r="CA389" s="119"/>
      <c r="CB389" s="119"/>
      <c r="CC389" s="119"/>
      <c r="CD389" s="119"/>
      <c r="CE389" s="119"/>
      <c r="CF389" s="119"/>
      <c r="CG389" s="119"/>
      <c r="CH389" s="119"/>
      <c r="CI389" s="119"/>
      <c r="CJ389" s="119"/>
      <c r="CK389" s="119"/>
      <c r="CL389" s="119"/>
      <c r="CM389" s="119"/>
      <c r="CN389" s="119"/>
      <c r="CO389" s="119"/>
      <c r="CP389" s="119"/>
      <c r="CQ389" s="119"/>
      <c r="CR389" s="119"/>
      <c r="CS389" s="119"/>
      <c r="CT389" s="119"/>
      <c r="CU389" s="119"/>
      <c r="CV389" s="119"/>
      <c r="CW389" s="119"/>
      <c r="CX389" s="119"/>
      <c r="CY389" s="119"/>
      <c r="CZ389" s="119"/>
      <c r="DA389" s="119"/>
      <c r="DB389" s="119"/>
      <c r="DC389" s="119"/>
      <c r="DD389" s="119"/>
      <c r="DE389" s="119"/>
      <c r="DF389" s="119"/>
      <c r="DG389" s="119"/>
      <c r="DH389" s="119"/>
      <c r="DI389" s="119"/>
      <c r="DJ389" s="119"/>
      <c r="DK389" s="119"/>
      <c r="DL389" s="119"/>
      <c r="DM389" s="119"/>
      <c r="DN389" s="119"/>
      <c r="DO389" s="119"/>
      <c r="DP389" s="119"/>
      <c r="DQ389" s="119"/>
      <c r="DR389" s="119"/>
      <c r="DS389" s="119"/>
      <c r="DT389" s="119"/>
      <c r="DU389" s="119"/>
      <c r="DV389" s="119"/>
      <c r="DW389" s="119"/>
      <c r="DX389" s="119"/>
      <c r="DY389" s="119"/>
      <c r="DZ389" s="119"/>
      <c r="EA389" s="119"/>
      <c r="EB389" s="119"/>
      <c r="EC389" s="119"/>
      <c r="ED389" s="119"/>
      <c r="EE389" s="119"/>
      <c r="EF389" s="119"/>
      <c r="EG389" s="119"/>
      <c r="EH389" s="119"/>
      <c r="EI389" s="119"/>
      <c r="EJ389" s="119"/>
      <c r="EK389" s="119"/>
      <c r="EL389" s="119"/>
      <c r="EM389" s="119"/>
      <c r="EN389" s="119"/>
      <c r="EO389" s="119"/>
      <c r="EP389" s="119"/>
      <c r="EQ389" s="119"/>
      <c r="ER389" s="119"/>
      <c r="ES389" s="119"/>
      <c r="ET389" s="119"/>
      <c r="EU389" s="119"/>
      <c r="EV389" s="119"/>
      <c r="EW389" s="119"/>
      <c r="EX389" s="119"/>
      <c r="EY389" s="119"/>
      <c r="EZ389" s="119"/>
      <c r="FA389" s="119"/>
      <c r="FB389" s="119"/>
      <c r="FC389" s="119"/>
      <c r="FD389" s="119"/>
      <c r="FE389" s="119"/>
      <c r="FF389" s="119"/>
      <c r="FG389" s="119"/>
      <c r="FH389" s="119"/>
      <c r="FI389" s="119"/>
      <c r="FJ389" s="119"/>
      <c r="FK389" s="119"/>
      <c r="FL389" s="119"/>
      <c r="FM389" s="119"/>
      <c r="FN389" s="119"/>
      <c r="FO389" s="119"/>
      <c r="FP389" s="119"/>
      <c r="FQ389" s="119"/>
      <c r="FR389" s="119"/>
    </row>
    <row x14ac:dyDescent="0.25" r="390" customHeight="1" ht="15">
      <c r="A390" s="112">
        <v>45905</v>
      </c>
      <c r="B390" s="112">
        <v>45906</v>
      </c>
      <c r="C390" s="107" t="s">
        <v>304</v>
      </c>
      <c r="D390" s="107" t="s">
        <v>39</v>
      </c>
      <c r="E390" s="108">
        <v>126660</v>
      </c>
      <c r="F390" s="108">
        <v>126902</v>
      </c>
      <c r="G390" s="109">
        <f>IF((F390-E390)&lt;0,0,(F390-E390))</f>
      </c>
      <c r="H390" s="110"/>
      <c r="I390" s="111">
        <f>IFERROR(SUMPRODUCT($G390*VLOOKUP($C390,'Vehicle Master'!$D:$F,3,0)),"")</f>
      </c>
      <c r="J390" s="11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/>
      <c r="AB390" s="119"/>
      <c r="AC390" s="119"/>
      <c r="AD390" s="119"/>
      <c r="AE390" s="119"/>
      <c r="AF390" s="119"/>
      <c r="AG390" s="119"/>
      <c r="AH390" s="119"/>
      <c r="AI390" s="119"/>
      <c r="AJ390" s="119"/>
      <c r="AK390" s="119"/>
      <c r="AL390" s="119"/>
      <c r="AM390" s="119"/>
      <c r="AN390" s="119"/>
      <c r="AO390" s="119"/>
      <c r="AP390" s="119"/>
      <c r="AQ390" s="119"/>
      <c r="AR390" s="119"/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119"/>
      <c r="BF390" s="119"/>
      <c r="BG390" s="119"/>
      <c r="BH390" s="119"/>
      <c r="BI390" s="119"/>
      <c r="BJ390" s="119"/>
      <c r="BK390" s="119"/>
      <c r="BL390" s="119"/>
      <c r="BM390" s="119"/>
      <c r="BN390" s="119"/>
      <c r="BO390" s="119"/>
      <c r="BP390" s="119"/>
      <c r="BQ390" s="119"/>
      <c r="BR390" s="119"/>
      <c r="BS390" s="119"/>
      <c r="BT390" s="119"/>
      <c r="BU390" s="119"/>
      <c r="BV390" s="119"/>
      <c r="BW390" s="119"/>
      <c r="BX390" s="119"/>
      <c r="BY390" s="119"/>
      <c r="BZ390" s="119"/>
      <c r="CA390" s="119"/>
      <c r="CB390" s="119"/>
      <c r="CC390" s="119"/>
      <c r="CD390" s="119"/>
      <c r="CE390" s="119"/>
      <c r="CF390" s="119"/>
      <c r="CG390" s="119"/>
      <c r="CH390" s="119"/>
      <c r="CI390" s="119"/>
      <c r="CJ390" s="119"/>
      <c r="CK390" s="119"/>
      <c r="CL390" s="119"/>
      <c r="CM390" s="119"/>
      <c r="CN390" s="119"/>
      <c r="CO390" s="119"/>
      <c r="CP390" s="119"/>
      <c r="CQ390" s="119"/>
      <c r="CR390" s="119"/>
      <c r="CS390" s="119"/>
      <c r="CT390" s="119"/>
      <c r="CU390" s="119"/>
      <c r="CV390" s="119"/>
      <c r="CW390" s="119"/>
      <c r="CX390" s="119"/>
      <c r="CY390" s="119"/>
      <c r="CZ390" s="119"/>
      <c r="DA390" s="119"/>
      <c r="DB390" s="119"/>
      <c r="DC390" s="119"/>
      <c r="DD390" s="119"/>
      <c r="DE390" s="119"/>
      <c r="DF390" s="119"/>
      <c r="DG390" s="119"/>
      <c r="DH390" s="119"/>
      <c r="DI390" s="119"/>
      <c r="DJ390" s="119"/>
      <c r="DK390" s="119"/>
      <c r="DL390" s="119"/>
      <c r="DM390" s="119"/>
      <c r="DN390" s="119"/>
      <c r="DO390" s="119"/>
      <c r="DP390" s="119"/>
      <c r="DQ390" s="119"/>
      <c r="DR390" s="119"/>
      <c r="DS390" s="119"/>
      <c r="DT390" s="119"/>
      <c r="DU390" s="119"/>
      <c r="DV390" s="119"/>
      <c r="DW390" s="119"/>
      <c r="DX390" s="119"/>
      <c r="DY390" s="119"/>
      <c r="DZ390" s="119"/>
      <c r="EA390" s="119"/>
      <c r="EB390" s="119"/>
      <c r="EC390" s="119"/>
      <c r="ED390" s="119"/>
      <c r="EE390" s="119"/>
      <c r="EF390" s="119"/>
      <c r="EG390" s="119"/>
      <c r="EH390" s="119"/>
      <c r="EI390" s="119"/>
      <c r="EJ390" s="119"/>
      <c r="EK390" s="119"/>
      <c r="EL390" s="119"/>
      <c r="EM390" s="119"/>
      <c r="EN390" s="119"/>
      <c r="EO390" s="119"/>
      <c r="EP390" s="119"/>
      <c r="EQ390" s="119"/>
      <c r="ER390" s="119"/>
      <c r="ES390" s="119"/>
      <c r="ET390" s="119"/>
      <c r="EU390" s="119"/>
      <c r="EV390" s="119"/>
      <c r="EW390" s="119"/>
      <c r="EX390" s="119"/>
      <c r="EY390" s="119"/>
      <c r="EZ390" s="119"/>
      <c r="FA390" s="119"/>
      <c r="FB390" s="119"/>
      <c r="FC390" s="119"/>
      <c r="FD390" s="119"/>
      <c r="FE390" s="119"/>
      <c r="FF390" s="119"/>
      <c r="FG390" s="119"/>
      <c r="FH390" s="119"/>
      <c r="FI390" s="119"/>
      <c r="FJ390" s="119"/>
      <c r="FK390" s="119"/>
      <c r="FL390" s="119"/>
      <c r="FM390" s="119"/>
      <c r="FN390" s="119"/>
      <c r="FO390" s="119"/>
      <c r="FP390" s="119"/>
      <c r="FQ390" s="119"/>
      <c r="FR390" s="119"/>
    </row>
    <row x14ac:dyDescent="0.25" r="391" customHeight="1" ht="15">
      <c r="A391" s="112">
        <v>45908</v>
      </c>
      <c r="B391" s="112">
        <v>45909</v>
      </c>
      <c r="C391" s="107" t="s">
        <v>303</v>
      </c>
      <c r="D391" s="107" t="s">
        <v>45</v>
      </c>
      <c r="E391" s="108">
        <v>112529</v>
      </c>
      <c r="F391" s="108">
        <v>112907</v>
      </c>
      <c r="G391" s="109">
        <f>IF((F391-E391)&lt;0,0,(F391-E391))</f>
      </c>
      <c r="H391" s="110"/>
      <c r="I391" s="111">
        <f>IFERROR(SUMPRODUCT($G391*VLOOKUP($C391,'Vehicle Master'!$D:$F,3,0)),"")</f>
      </c>
      <c r="J391" s="11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/>
      <c r="AB391" s="119"/>
      <c r="AC391" s="119"/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119"/>
      <c r="BF391" s="119"/>
      <c r="BG391" s="119"/>
      <c r="BH391" s="119"/>
      <c r="BI391" s="119"/>
      <c r="BJ391" s="119"/>
      <c r="BK391" s="119"/>
      <c r="BL391" s="119"/>
      <c r="BM391" s="119"/>
      <c r="BN391" s="119"/>
      <c r="BO391" s="119"/>
      <c r="BP391" s="119"/>
      <c r="BQ391" s="119"/>
      <c r="BR391" s="119"/>
      <c r="BS391" s="119"/>
      <c r="BT391" s="119"/>
      <c r="BU391" s="119"/>
      <c r="BV391" s="119"/>
      <c r="BW391" s="119"/>
      <c r="BX391" s="119"/>
      <c r="BY391" s="119"/>
      <c r="BZ391" s="119"/>
      <c r="CA391" s="119"/>
      <c r="CB391" s="119"/>
      <c r="CC391" s="119"/>
      <c r="CD391" s="119"/>
      <c r="CE391" s="119"/>
      <c r="CF391" s="119"/>
      <c r="CG391" s="119"/>
      <c r="CH391" s="119"/>
      <c r="CI391" s="119"/>
      <c r="CJ391" s="119"/>
      <c r="CK391" s="119"/>
      <c r="CL391" s="119"/>
      <c r="CM391" s="119"/>
      <c r="CN391" s="119"/>
      <c r="CO391" s="119"/>
      <c r="CP391" s="119"/>
      <c r="CQ391" s="119"/>
      <c r="CR391" s="119"/>
      <c r="CS391" s="119"/>
      <c r="CT391" s="119"/>
      <c r="CU391" s="119"/>
      <c r="CV391" s="119"/>
      <c r="CW391" s="119"/>
      <c r="CX391" s="119"/>
      <c r="CY391" s="119"/>
      <c r="CZ391" s="119"/>
      <c r="DA391" s="119"/>
      <c r="DB391" s="119"/>
      <c r="DC391" s="119"/>
      <c r="DD391" s="119"/>
      <c r="DE391" s="119"/>
      <c r="DF391" s="119"/>
      <c r="DG391" s="119"/>
      <c r="DH391" s="119"/>
      <c r="DI391" s="119"/>
      <c r="DJ391" s="119"/>
      <c r="DK391" s="119"/>
      <c r="DL391" s="119"/>
      <c r="DM391" s="119"/>
      <c r="DN391" s="119"/>
      <c r="DO391" s="119"/>
      <c r="DP391" s="119"/>
      <c r="DQ391" s="119"/>
      <c r="DR391" s="119"/>
      <c r="DS391" s="119"/>
      <c r="DT391" s="119"/>
      <c r="DU391" s="119"/>
      <c r="DV391" s="119"/>
      <c r="DW391" s="119"/>
      <c r="DX391" s="119"/>
      <c r="DY391" s="119"/>
      <c r="DZ391" s="119"/>
      <c r="EA391" s="119"/>
      <c r="EB391" s="119"/>
      <c r="EC391" s="119"/>
      <c r="ED391" s="119"/>
      <c r="EE391" s="119"/>
      <c r="EF391" s="119"/>
      <c r="EG391" s="119"/>
      <c r="EH391" s="119"/>
      <c r="EI391" s="119"/>
      <c r="EJ391" s="119"/>
      <c r="EK391" s="119"/>
      <c r="EL391" s="119"/>
      <c r="EM391" s="119"/>
      <c r="EN391" s="119"/>
      <c r="EO391" s="119"/>
      <c r="EP391" s="119"/>
      <c r="EQ391" s="119"/>
      <c r="ER391" s="119"/>
      <c r="ES391" s="119"/>
      <c r="ET391" s="119"/>
      <c r="EU391" s="119"/>
      <c r="EV391" s="119"/>
      <c r="EW391" s="119"/>
      <c r="EX391" s="119"/>
      <c r="EY391" s="119"/>
      <c r="EZ391" s="119"/>
      <c r="FA391" s="119"/>
      <c r="FB391" s="119"/>
      <c r="FC391" s="119"/>
      <c r="FD391" s="119"/>
      <c r="FE391" s="119"/>
      <c r="FF391" s="119"/>
      <c r="FG391" s="119"/>
      <c r="FH391" s="119"/>
      <c r="FI391" s="119"/>
      <c r="FJ391" s="119"/>
      <c r="FK391" s="119"/>
      <c r="FL391" s="119"/>
      <c r="FM391" s="119"/>
      <c r="FN391" s="119"/>
      <c r="FO391" s="119"/>
      <c r="FP391" s="119"/>
      <c r="FQ391" s="119"/>
      <c r="FR391" s="119"/>
    </row>
    <row x14ac:dyDescent="0.25" r="392" customHeight="1" ht="15">
      <c r="A392" s="112">
        <v>45908</v>
      </c>
      <c r="B392" s="112">
        <v>45909</v>
      </c>
      <c r="C392" s="107" t="s">
        <v>302</v>
      </c>
      <c r="D392" s="107" t="s">
        <v>42</v>
      </c>
      <c r="E392" s="108">
        <v>92071</v>
      </c>
      <c r="F392" s="108">
        <v>92262</v>
      </c>
      <c r="G392" s="109">
        <f>IF((F392-E392)&lt;0,0,(F392-E392))</f>
      </c>
      <c r="H392" s="110"/>
      <c r="I392" s="111">
        <f>IFERROR(SUMPRODUCT($G392*VLOOKUP($C392,'Vehicle Master'!$D:$F,3,0)),"")</f>
      </c>
      <c r="J392" s="11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/>
      <c r="AD392" s="119"/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/>
      <c r="AO392" s="119"/>
      <c r="AP392" s="119"/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119"/>
      <c r="BF392" s="119"/>
      <c r="BG392" s="119"/>
      <c r="BH392" s="119"/>
      <c r="BI392" s="119"/>
      <c r="BJ392" s="119"/>
      <c r="BK392" s="119"/>
      <c r="BL392" s="119"/>
      <c r="BM392" s="119"/>
      <c r="BN392" s="119"/>
      <c r="BO392" s="119"/>
      <c r="BP392" s="119"/>
      <c r="BQ392" s="119"/>
      <c r="BR392" s="119"/>
      <c r="BS392" s="119"/>
      <c r="BT392" s="119"/>
      <c r="BU392" s="119"/>
      <c r="BV392" s="119"/>
      <c r="BW392" s="119"/>
      <c r="BX392" s="119"/>
      <c r="BY392" s="119"/>
      <c r="BZ392" s="119"/>
      <c r="CA392" s="119"/>
      <c r="CB392" s="119"/>
      <c r="CC392" s="119"/>
      <c r="CD392" s="119"/>
      <c r="CE392" s="119"/>
      <c r="CF392" s="119"/>
      <c r="CG392" s="119"/>
      <c r="CH392" s="119"/>
      <c r="CI392" s="119"/>
      <c r="CJ392" s="119"/>
      <c r="CK392" s="119"/>
      <c r="CL392" s="119"/>
      <c r="CM392" s="119"/>
      <c r="CN392" s="119"/>
      <c r="CO392" s="119"/>
      <c r="CP392" s="119"/>
      <c r="CQ392" s="119"/>
      <c r="CR392" s="119"/>
      <c r="CS392" s="119"/>
      <c r="CT392" s="119"/>
      <c r="CU392" s="119"/>
      <c r="CV392" s="119"/>
      <c r="CW392" s="119"/>
      <c r="CX392" s="119"/>
      <c r="CY392" s="119"/>
      <c r="CZ392" s="119"/>
      <c r="DA392" s="119"/>
      <c r="DB392" s="119"/>
      <c r="DC392" s="119"/>
      <c r="DD392" s="119"/>
      <c r="DE392" s="119"/>
      <c r="DF392" s="119"/>
      <c r="DG392" s="119"/>
      <c r="DH392" s="119"/>
      <c r="DI392" s="119"/>
      <c r="DJ392" s="119"/>
      <c r="DK392" s="119"/>
      <c r="DL392" s="119"/>
      <c r="DM392" s="119"/>
      <c r="DN392" s="119"/>
      <c r="DO392" s="119"/>
      <c r="DP392" s="119"/>
      <c r="DQ392" s="119"/>
      <c r="DR392" s="119"/>
      <c r="DS392" s="119"/>
      <c r="DT392" s="119"/>
      <c r="DU392" s="119"/>
      <c r="DV392" s="119"/>
      <c r="DW392" s="119"/>
      <c r="DX392" s="119"/>
      <c r="DY392" s="119"/>
      <c r="DZ392" s="119"/>
      <c r="EA392" s="119"/>
      <c r="EB392" s="119"/>
      <c r="EC392" s="119"/>
      <c r="ED392" s="119"/>
      <c r="EE392" s="119"/>
      <c r="EF392" s="119"/>
      <c r="EG392" s="119"/>
      <c r="EH392" s="119"/>
      <c r="EI392" s="119"/>
      <c r="EJ392" s="119"/>
      <c r="EK392" s="119"/>
      <c r="EL392" s="119"/>
      <c r="EM392" s="119"/>
      <c r="EN392" s="119"/>
      <c r="EO392" s="119"/>
      <c r="EP392" s="119"/>
      <c r="EQ392" s="119"/>
      <c r="ER392" s="119"/>
      <c r="ES392" s="119"/>
      <c r="ET392" s="119"/>
      <c r="EU392" s="119"/>
      <c r="EV392" s="119"/>
      <c r="EW392" s="119"/>
      <c r="EX392" s="119"/>
      <c r="EY392" s="119"/>
      <c r="EZ392" s="119"/>
      <c r="FA392" s="119"/>
      <c r="FB392" s="119"/>
      <c r="FC392" s="119"/>
      <c r="FD392" s="119"/>
      <c r="FE392" s="119"/>
      <c r="FF392" s="119"/>
      <c r="FG392" s="119"/>
      <c r="FH392" s="119"/>
      <c r="FI392" s="119"/>
      <c r="FJ392" s="119"/>
      <c r="FK392" s="119"/>
      <c r="FL392" s="119"/>
      <c r="FM392" s="119"/>
      <c r="FN392" s="119"/>
      <c r="FO392" s="119"/>
      <c r="FP392" s="119"/>
      <c r="FQ392" s="119"/>
      <c r="FR392" s="119"/>
    </row>
    <row x14ac:dyDescent="0.25" r="393" customHeight="1" ht="15">
      <c r="A393" s="112">
        <v>45909</v>
      </c>
      <c r="B393" s="112">
        <v>45909</v>
      </c>
      <c r="C393" s="107" t="s">
        <v>305</v>
      </c>
      <c r="D393" s="107" t="s">
        <v>43</v>
      </c>
      <c r="E393" s="108">
        <v>114399</v>
      </c>
      <c r="F393" s="108">
        <v>114461</v>
      </c>
      <c r="G393" s="109">
        <f>IF((F393-E393)&lt;0,0,(F393-E393))</f>
      </c>
      <c r="H393" s="110"/>
      <c r="I393" s="111">
        <f>IFERROR(SUMPRODUCT($G393*VLOOKUP($C393,'Vehicle Master'!$D:$F,3,0)),"")</f>
      </c>
      <c r="J393" s="11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/>
      <c r="AF393" s="119"/>
      <c r="AG393" s="119"/>
      <c r="AH393" s="119"/>
      <c r="AI393" s="119"/>
      <c r="AJ393" s="119"/>
      <c r="AK393" s="119"/>
      <c r="AL393" s="119"/>
      <c r="AM393" s="119"/>
      <c r="AN393" s="119"/>
      <c r="AO393" s="119"/>
      <c r="AP393" s="119"/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119"/>
      <c r="BF393" s="119"/>
      <c r="BG393" s="119"/>
      <c r="BH393" s="119"/>
      <c r="BI393" s="119"/>
      <c r="BJ393" s="119"/>
      <c r="BK393" s="119"/>
      <c r="BL393" s="119"/>
      <c r="BM393" s="119"/>
      <c r="BN393" s="119"/>
      <c r="BO393" s="119"/>
      <c r="BP393" s="119"/>
      <c r="BQ393" s="119"/>
      <c r="BR393" s="119"/>
      <c r="BS393" s="119"/>
      <c r="BT393" s="119"/>
      <c r="BU393" s="119"/>
      <c r="BV393" s="119"/>
      <c r="BW393" s="119"/>
      <c r="BX393" s="119"/>
      <c r="BY393" s="119"/>
      <c r="BZ393" s="119"/>
      <c r="CA393" s="119"/>
      <c r="CB393" s="119"/>
      <c r="CC393" s="119"/>
      <c r="CD393" s="119"/>
      <c r="CE393" s="119"/>
      <c r="CF393" s="119"/>
      <c r="CG393" s="119"/>
      <c r="CH393" s="119"/>
      <c r="CI393" s="119"/>
      <c r="CJ393" s="119"/>
      <c r="CK393" s="119"/>
      <c r="CL393" s="119"/>
      <c r="CM393" s="119"/>
      <c r="CN393" s="119"/>
      <c r="CO393" s="119"/>
      <c r="CP393" s="119"/>
      <c r="CQ393" s="119"/>
      <c r="CR393" s="119"/>
      <c r="CS393" s="119"/>
      <c r="CT393" s="119"/>
      <c r="CU393" s="119"/>
      <c r="CV393" s="119"/>
      <c r="CW393" s="119"/>
      <c r="CX393" s="119"/>
      <c r="CY393" s="119"/>
      <c r="CZ393" s="119"/>
      <c r="DA393" s="119"/>
      <c r="DB393" s="119"/>
      <c r="DC393" s="119"/>
      <c r="DD393" s="119"/>
      <c r="DE393" s="119"/>
      <c r="DF393" s="119"/>
      <c r="DG393" s="119"/>
      <c r="DH393" s="119"/>
      <c r="DI393" s="119"/>
      <c r="DJ393" s="119"/>
      <c r="DK393" s="119"/>
      <c r="DL393" s="119"/>
      <c r="DM393" s="119"/>
      <c r="DN393" s="119"/>
      <c r="DO393" s="119"/>
      <c r="DP393" s="119"/>
      <c r="DQ393" s="119"/>
      <c r="DR393" s="119"/>
      <c r="DS393" s="119"/>
      <c r="DT393" s="119"/>
      <c r="DU393" s="119"/>
      <c r="DV393" s="119"/>
      <c r="DW393" s="119"/>
      <c r="DX393" s="119"/>
      <c r="DY393" s="119"/>
      <c r="DZ393" s="119"/>
      <c r="EA393" s="119"/>
      <c r="EB393" s="119"/>
      <c r="EC393" s="119"/>
      <c r="ED393" s="119"/>
      <c r="EE393" s="119"/>
      <c r="EF393" s="119"/>
      <c r="EG393" s="119"/>
      <c r="EH393" s="119"/>
      <c r="EI393" s="119"/>
      <c r="EJ393" s="119"/>
      <c r="EK393" s="119"/>
      <c r="EL393" s="119"/>
      <c r="EM393" s="119"/>
      <c r="EN393" s="119"/>
      <c r="EO393" s="119"/>
      <c r="EP393" s="119"/>
      <c r="EQ393" s="119"/>
      <c r="ER393" s="119"/>
      <c r="ES393" s="119"/>
      <c r="ET393" s="119"/>
      <c r="EU393" s="119"/>
      <c r="EV393" s="119"/>
      <c r="EW393" s="119"/>
      <c r="EX393" s="119"/>
      <c r="EY393" s="119"/>
      <c r="EZ393" s="119"/>
      <c r="FA393" s="119"/>
      <c r="FB393" s="119"/>
      <c r="FC393" s="119"/>
      <c r="FD393" s="119"/>
      <c r="FE393" s="119"/>
      <c r="FF393" s="119"/>
      <c r="FG393" s="119"/>
      <c r="FH393" s="119"/>
      <c r="FI393" s="119"/>
      <c r="FJ393" s="119"/>
      <c r="FK393" s="119"/>
      <c r="FL393" s="119"/>
      <c r="FM393" s="119"/>
      <c r="FN393" s="119"/>
      <c r="FO393" s="119"/>
      <c r="FP393" s="119"/>
      <c r="FQ393" s="119"/>
      <c r="FR393" s="119"/>
    </row>
    <row x14ac:dyDescent="0.25" r="394" customHeight="1" ht="15">
      <c r="A394" s="112">
        <v>45909</v>
      </c>
      <c r="B394" s="112">
        <v>45910</v>
      </c>
      <c r="C394" s="107" t="s">
        <v>304</v>
      </c>
      <c r="D394" s="107" t="s">
        <v>39</v>
      </c>
      <c r="E394" s="108">
        <v>126902</v>
      </c>
      <c r="F394" s="108">
        <v>127108</v>
      </c>
      <c r="G394" s="109">
        <f>IF((F394-E394)&lt;0,0,(F394-E394))</f>
      </c>
      <c r="H394" s="110"/>
      <c r="I394" s="111">
        <f>IFERROR(SUMPRODUCT($G394*VLOOKUP($C394,'Vehicle Master'!$D:$F,3,0)),"")</f>
      </c>
      <c r="J394" s="11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/>
      <c r="AF394" s="119"/>
      <c r="AG394" s="119"/>
      <c r="AH394" s="119"/>
      <c r="AI394" s="119"/>
      <c r="AJ394" s="119"/>
      <c r="AK394" s="119"/>
      <c r="AL394" s="119"/>
      <c r="AM394" s="119"/>
      <c r="AN394" s="119"/>
      <c r="AO394" s="119"/>
      <c r="AP394" s="119"/>
      <c r="AQ394" s="119"/>
      <c r="AR394" s="119"/>
      <c r="AS394" s="119"/>
      <c r="AT394" s="119"/>
      <c r="AU394" s="119"/>
      <c r="AV394" s="119"/>
      <c r="AW394" s="119"/>
      <c r="AX394" s="119"/>
      <c r="AY394" s="119"/>
      <c r="AZ394" s="119"/>
      <c r="BA394" s="119"/>
      <c r="BB394" s="119"/>
      <c r="BC394" s="119"/>
      <c r="BD394" s="119"/>
      <c r="BE394" s="119"/>
      <c r="BF394" s="119"/>
      <c r="BG394" s="119"/>
      <c r="BH394" s="119"/>
      <c r="BI394" s="119"/>
      <c r="BJ394" s="119"/>
      <c r="BK394" s="119"/>
      <c r="BL394" s="119"/>
      <c r="BM394" s="119"/>
      <c r="BN394" s="119"/>
      <c r="BO394" s="119"/>
      <c r="BP394" s="119"/>
      <c r="BQ394" s="119"/>
      <c r="BR394" s="119"/>
      <c r="BS394" s="119"/>
      <c r="BT394" s="119"/>
      <c r="BU394" s="119"/>
      <c r="BV394" s="119"/>
      <c r="BW394" s="119"/>
      <c r="BX394" s="119"/>
      <c r="BY394" s="119"/>
      <c r="BZ394" s="119"/>
      <c r="CA394" s="119"/>
      <c r="CB394" s="119"/>
      <c r="CC394" s="119"/>
      <c r="CD394" s="119"/>
      <c r="CE394" s="119"/>
      <c r="CF394" s="119"/>
      <c r="CG394" s="119"/>
      <c r="CH394" s="119"/>
      <c r="CI394" s="119"/>
      <c r="CJ394" s="119"/>
      <c r="CK394" s="119"/>
      <c r="CL394" s="119"/>
      <c r="CM394" s="119"/>
      <c r="CN394" s="119"/>
      <c r="CO394" s="119"/>
      <c r="CP394" s="119"/>
      <c r="CQ394" s="119"/>
      <c r="CR394" s="119"/>
      <c r="CS394" s="119"/>
      <c r="CT394" s="119"/>
      <c r="CU394" s="119"/>
      <c r="CV394" s="119"/>
      <c r="CW394" s="119"/>
      <c r="CX394" s="119"/>
      <c r="CY394" s="119"/>
      <c r="CZ394" s="119"/>
      <c r="DA394" s="119"/>
      <c r="DB394" s="119"/>
      <c r="DC394" s="119"/>
      <c r="DD394" s="119"/>
      <c r="DE394" s="119"/>
      <c r="DF394" s="119"/>
      <c r="DG394" s="119"/>
      <c r="DH394" s="119"/>
      <c r="DI394" s="119"/>
      <c r="DJ394" s="119"/>
      <c r="DK394" s="119"/>
      <c r="DL394" s="119"/>
      <c r="DM394" s="119"/>
      <c r="DN394" s="119"/>
      <c r="DO394" s="119"/>
      <c r="DP394" s="119"/>
      <c r="DQ394" s="119"/>
      <c r="DR394" s="119"/>
      <c r="DS394" s="119"/>
      <c r="DT394" s="119"/>
      <c r="DU394" s="119"/>
      <c r="DV394" s="119"/>
      <c r="DW394" s="119"/>
      <c r="DX394" s="119"/>
      <c r="DY394" s="119"/>
      <c r="DZ394" s="119"/>
      <c r="EA394" s="119"/>
      <c r="EB394" s="119"/>
      <c r="EC394" s="119"/>
      <c r="ED394" s="119"/>
      <c r="EE394" s="119"/>
      <c r="EF394" s="119"/>
      <c r="EG394" s="119"/>
      <c r="EH394" s="119"/>
      <c r="EI394" s="119"/>
      <c r="EJ394" s="119"/>
      <c r="EK394" s="119"/>
      <c r="EL394" s="119"/>
      <c r="EM394" s="119"/>
      <c r="EN394" s="119"/>
      <c r="EO394" s="119"/>
      <c r="EP394" s="119"/>
      <c r="EQ394" s="119"/>
      <c r="ER394" s="119"/>
      <c r="ES394" s="119"/>
      <c r="ET394" s="119"/>
      <c r="EU394" s="119"/>
      <c r="EV394" s="119"/>
      <c r="EW394" s="119"/>
      <c r="EX394" s="119"/>
      <c r="EY394" s="119"/>
      <c r="EZ394" s="119"/>
      <c r="FA394" s="119"/>
      <c r="FB394" s="119"/>
      <c r="FC394" s="119"/>
      <c r="FD394" s="119"/>
      <c r="FE394" s="119"/>
      <c r="FF394" s="119"/>
      <c r="FG394" s="119"/>
      <c r="FH394" s="119"/>
      <c r="FI394" s="119"/>
      <c r="FJ394" s="119"/>
      <c r="FK394" s="119"/>
      <c r="FL394" s="119"/>
      <c r="FM394" s="119"/>
      <c r="FN394" s="119"/>
      <c r="FO394" s="119"/>
      <c r="FP394" s="119"/>
      <c r="FQ394" s="119"/>
      <c r="FR394" s="119"/>
    </row>
    <row x14ac:dyDescent="0.25" r="395" customHeight="1" ht="15">
      <c r="A395" s="112">
        <v>45910</v>
      </c>
      <c r="B395" s="112">
        <v>45911</v>
      </c>
      <c r="C395" s="107" t="s">
        <v>303</v>
      </c>
      <c r="D395" s="107" t="s">
        <v>45</v>
      </c>
      <c r="E395" s="108">
        <v>112907</v>
      </c>
      <c r="F395" s="108">
        <v>113030</v>
      </c>
      <c r="G395" s="109">
        <f>IF((F395-E395)&lt;0,0,(F395-E395))</f>
      </c>
      <c r="H395" s="110"/>
      <c r="I395" s="111">
        <f>IFERROR(SUMPRODUCT($G395*VLOOKUP($C395,'Vehicle Master'!$D:$F,3,0)),"")</f>
      </c>
      <c r="J395" s="11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/>
      <c r="AF395" s="119"/>
      <c r="AG395" s="119"/>
      <c r="AH395" s="119"/>
      <c r="AI395" s="119"/>
      <c r="AJ395" s="119"/>
      <c r="AK395" s="119"/>
      <c r="AL395" s="119"/>
      <c r="AM395" s="119"/>
      <c r="AN395" s="119"/>
      <c r="AO395" s="119"/>
      <c r="AP395" s="119"/>
      <c r="AQ395" s="119"/>
      <c r="AR395" s="119"/>
      <c r="AS395" s="119"/>
      <c r="AT395" s="119"/>
      <c r="AU395" s="119"/>
      <c r="AV395" s="119"/>
      <c r="AW395" s="119"/>
      <c r="AX395" s="119"/>
      <c r="AY395" s="119"/>
      <c r="AZ395" s="119"/>
      <c r="BA395" s="119"/>
      <c r="BB395" s="119"/>
      <c r="BC395" s="119"/>
      <c r="BD395" s="119"/>
      <c r="BE395" s="119"/>
      <c r="BF395" s="119"/>
      <c r="BG395" s="119"/>
      <c r="BH395" s="119"/>
      <c r="BI395" s="119"/>
      <c r="BJ395" s="119"/>
      <c r="BK395" s="119"/>
      <c r="BL395" s="119"/>
      <c r="BM395" s="119"/>
      <c r="BN395" s="119"/>
      <c r="BO395" s="119"/>
      <c r="BP395" s="119"/>
      <c r="BQ395" s="119"/>
      <c r="BR395" s="119"/>
      <c r="BS395" s="119"/>
      <c r="BT395" s="119"/>
      <c r="BU395" s="119"/>
      <c r="BV395" s="119"/>
      <c r="BW395" s="119"/>
      <c r="BX395" s="119"/>
      <c r="BY395" s="119"/>
      <c r="BZ395" s="119"/>
      <c r="CA395" s="119"/>
      <c r="CB395" s="119"/>
      <c r="CC395" s="119"/>
      <c r="CD395" s="119"/>
      <c r="CE395" s="119"/>
      <c r="CF395" s="119"/>
      <c r="CG395" s="119"/>
      <c r="CH395" s="119"/>
      <c r="CI395" s="119"/>
      <c r="CJ395" s="119"/>
      <c r="CK395" s="119"/>
      <c r="CL395" s="119"/>
      <c r="CM395" s="119"/>
      <c r="CN395" s="119"/>
      <c r="CO395" s="119"/>
      <c r="CP395" s="119"/>
      <c r="CQ395" s="119"/>
      <c r="CR395" s="119"/>
      <c r="CS395" s="119"/>
      <c r="CT395" s="119"/>
      <c r="CU395" s="119"/>
      <c r="CV395" s="119"/>
      <c r="CW395" s="119"/>
      <c r="CX395" s="119"/>
      <c r="CY395" s="119"/>
      <c r="CZ395" s="119"/>
      <c r="DA395" s="119"/>
      <c r="DB395" s="119"/>
      <c r="DC395" s="119"/>
      <c r="DD395" s="119"/>
      <c r="DE395" s="119"/>
      <c r="DF395" s="119"/>
      <c r="DG395" s="119"/>
      <c r="DH395" s="119"/>
      <c r="DI395" s="119"/>
      <c r="DJ395" s="119"/>
      <c r="DK395" s="119"/>
      <c r="DL395" s="119"/>
      <c r="DM395" s="119"/>
      <c r="DN395" s="119"/>
      <c r="DO395" s="119"/>
      <c r="DP395" s="119"/>
      <c r="DQ395" s="119"/>
      <c r="DR395" s="119"/>
      <c r="DS395" s="119"/>
      <c r="DT395" s="119"/>
      <c r="DU395" s="119"/>
      <c r="DV395" s="119"/>
      <c r="DW395" s="119"/>
      <c r="DX395" s="119"/>
      <c r="DY395" s="119"/>
      <c r="DZ395" s="119"/>
      <c r="EA395" s="119"/>
      <c r="EB395" s="119"/>
      <c r="EC395" s="119"/>
      <c r="ED395" s="119"/>
      <c r="EE395" s="119"/>
      <c r="EF395" s="119"/>
      <c r="EG395" s="119"/>
      <c r="EH395" s="119"/>
      <c r="EI395" s="119"/>
      <c r="EJ395" s="119"/>
      <c r="EK395" s="119"/>
      <c r="EL395" s="119"/>
      <c r="EM395" s="119"/>
      <c r="EN395" s="119"/>
      <c r="EO395" s="119"/>
      <c r="EP395" s="119"/>
      <c r="EQ395" s="119"/>
      <c r="ER395" s="119"/>
      <c r="ES395" s="119"/>
      <c r="ET395" s="119"/>
      <c r="EU395" s="119"/>
      <c r="EV395" s="119"/>
      <c r="EW395" s="119"/>
      <c r="EX395" s="119"/>
      <c r="EY395" s="119"/>
      <c r="EZ395" s="119"/>
      <c r="FA395" s="119"/>
      <c r="FB395" s="119"/>
      <c r="FC395" s="119"/>
      <c r="FD395" s="119"/>
      <c r="FE395" s="119"/>
      <c r="FF395" s="119"/>
      <c r="FG395" s="119"/>
      <c r="FH395" s="119"/>
      <c r="FI395" s="119"/>
      <c r="FJ395" s="119"/>
      <c r="FK395" s="119"/>
      <c r="FL395" s="119"/>
      <c r="FM395" s="119"/>
      <c r="FN395" s="119"/>
      <c r="FO395" s="119"/>
      <c r="FP395" s="119"/>
      <c r="FQ395" s="119"/>
      <c r="FR395" s="119"/>
    </row>
    <row x14ac:dyDescent="0.25" r="396" customHeight="1" ht="15">
      <c r="A396" s="112">
        <v>45910</v>
      </c>
      <c r="B396" s="112">
        <v>45911</v>
      </c>
      <c r="C396" s="107" t="s">
        <v>302</v>
      </c>
      <c r="D396" s="107" t="s">
        <v>42</v>
      </c>
      <c r="E396" s="108">
        <v>92262</v>
      </c>
      <c r="F396" s="108">
        <v>92624</v>
      </c>
      <c r="G396" s="109">
        <f>IF((F396-E396)&lt;0,0,(F396-E396))</f>
      </c>
      <c r="H396" s="110"/>
      <c r="I396" s="111">
        <f>IFERROR(SUMPRODUCT($G396*VLOOKUP($C396,'Vehicle Master'!$D:$F,3,0)),"")</f>
      </c>
      <c r="J396" s="11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/>
      <c r="AH396" s="119"/>
      <c r="AI396" s="119"/>
      <c r="AJ396" s="119"/>
      <c r="AK396" s="119"/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119"/>
      <c r="BF396" s="119"/>
      <c r="BG396" s="119"/>
      <c r="BH396" s="119"/>
      <c r="BI396" s="119"/>
      <c r="BJ396" s="119"/>
      <c r="BK396" s="119"/>
      <c r="BL396" s="119"/>
      <c r="BM396" s="119"/>
      <c r="BN396" s="119"/>
      <c r="BO396" s="119"/>
      <c r="BP396" s="119"/>
      <c r="BQ396" s="119"/>
      <c r="BR396" s="119"/>
      <c r="BS396" s="119"/>
      <c r="BT396" s="119"/>
      <c r="BU396" s="119"/>
      <c r="BV396" s="119"/>
      <c r="BW396" s="119"/>
      <c r="BX396" s="119"/>
      <c r="BY396" s="119"/>
      <c r="BZ396" s="119"/>
      <c r="CA396" s="119"/>
      <c r="CB396" s="119"/>
      <c r="CC396" s="119"/>
      <c r="CD396" s="119"/>
      <c r="CE396" s="119"/>
      <c r="CF396" s="119"/>
      <c r="CG396" s="119"/>
      <c r="CH396" s="119"/>
      <c r="CI396" s="119"/>
      <c r="CJ396" s="119"/>
      <c r="CK396" s="119"/>
      <c r="CL396" s="119"/>
      <c r="CM396" s="119"/>
      <c r="CN396" s="119"/>
      <c r="CO396" s="119"/>
      <c r="CP396" s="119"/>
      <c r="CQ396" s="119"/>
      <c r="CR396" s="119"/>
      <c r="CS396" s="119"/>
      <c r="CT396" s="119"/>
      <c r="CU396" s="119"/>
      <c r="CV396" s="119"/>
      <c r="CW396" s="119"/>
      <c r="CX396" s="119"/>
      <c r="CY396" s="119"/>
      <c r="CZ396" s="119"/>
      <c r="DA396" s="119"/>
      <c r="DB396" s="119"/>
      <c r="DC396" s="119"/>
      <c r="DD396" s="119"/>
      <c r="DE396" s="119"/>
      <c r="DF396" s="119"/>
      <c r="DG396" s="119"/>
      <c r="DH396" s="119"/>
      <c r="DI396" s="119"/>
      <c r="DJ396" s="119"/>
      <c r="DK396" s="119"/>
      <c r="DL396" s="119"/>
      <c r="DM396" s="119"/>
      <c r="DN396" s="119"/>
      <c r="DO396" s="119"/>
      <c r="DP396" s="119"/>
      <c r="DQ396" s="119"/>
      <c r="DR396" s="119"/>
      <c r="DS396" s="119"/>
      <c r="DT396" s="119"/>
      <c r="DU396" s="119"/>
      <c r="DV396" s="119"/>
      <c r="DW396" s="119"/>
      <c r="DX396" s="119"/>
      <c r="DY396" s="119"/>
      <c r="DZ396" s="119"/>
      <c r="EA396" s="119"/>
      <c r="EB396" s="119"/>
      <c r="EC396" s="119"/>
      <c r="ED396" s="119"/>
      <c r="EE396" s="119"/>
      <c r="EF396" s="119"/>
      <c r="EG396" s="119"/>
      <c r="EH396" s="119"/>
      <c r="EI396" s="119"/>
      <c r="EJ396" s="119"/>
      <c r="EK396" s="119"/>
      <c r="EL396" s="119"/>
      <c r="EM396" s="119"/>
      <c r="EN396" s="119"/>
      <c r="EO396" s="119"/>
      <c r="EP396" s="119"/>
      <c r="EQ396" s="119"/>
      <c r="ER396" s="119"/>
      <c r="ES396" s="119"/>
      <c r="ET396" s="119"/>
      <c r="EU396" s="119"/>
      <c r="EV396" s="119"/>
      <c r="EW396" s="119"/>
      <c r="EX396" s="119"/>
      <c r="EY396" s="119"/>
      <c r="EZ396" s="119"/>
      <c r="FA396" s="119"/>
      <c r="FB396" s="119"/>
      <c r="FC396" s="119"/>
      <c r="FD396" s="119"/>
      <c r="FE396" s="119"/>
      <c r="FF396" s="119"/>
      <c r="FG396" s="119"/>
      <c r="FH396" s="119"/>
      <c r="FI396" s="119"/>
      <c r="FJ396" s="119"/>
      <c r="FK396" s="119"/>
      <c r="FL396" s="119"/>
      <c r="FM396" s="119"/>
      <c r="FN396" s="119"/>
      <c r="FO396" s="119"/>
      <c r="FP396" s="119"/>
      <c r="FQ396" s="119"/>
      <c r="FR396" s="119"/>
    </row>
    <row x14ac:dyDescent="0.25" r="397" customHeight="1" ht="15">
      <c r="A397" s="112">
        <v>45910</v>
      </c>
      <c r="B397" s="112">
        <v>45912</v>
      </c>
      <c r="C397" s="107" t="s">
        <v>305</v>
      </c>
      <c r="D397" s="107" t="s">
        <v>43</v>
      </c>
      <c r="E397" s="108">
        <v>114461</v>
      </c>
      <c r="F397" s="108">
        <v>115265</v>
      </c>
      <c r="G397" s="109">
        <f>IF((F397-E397)&lt;0,0,(F397-E397))</f>
      </c>
      <c r="H397" s="110"/>
      <c r="I397" s="111">
        <f>IFERROR(SUMPRODUCT($G397*VLOOKUP($C397,'Vehicle Master'!$D:$F,3,0)),"")</f>
      </c>
      <c r="J397" s="11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/>
      <c r="AX397" s="119"/>
      <c r="AY397" s="119"/>
      <c r="AZ397" s="119"/>
      <c r="BA397" s="119"/>
      <c r="BB397" s="119"/>
      <c r="BC397" s="119"/>
      <c r="BD397" s="119"/>
      <c r="BE397" s="119"/>
      <c r="BF397" s="119"/>
      <c r="BG397" s="119"/>
      <c r="BH397" s="119"/>
      <c r="BI397" s="119"/>
      <c r="BJ397" s="119"/>
      <c r="BK397" s="119"/>
      <c r="BL397" s="119"/>
      <c r="BM397" s="119"/>
      <c r="BN397" s="119"/>
      <c r="BO397" s="119"/>
      <c r="BP397" s="119"/>
      <c r="BQ397" s="119"/>
      <c r="BR397" s="119"/>
      <c r="BS397" s="119"/>
      <c r="BT397" s="119"/>
      <c r="BU397" s="119"/>
      <c r="BV397" s="119"/>
      <c r="BW397" s="119"/>
      <c r="BX397" s="119"/>
      <c r="BY397" s="119"/>
      <c r="BZ397" s="119"/>
      <c r="CA397" s="119"/>
      <c r="CB397" s="119"/>
      <c r="CC397" s="119"/>
      <c r="CD397" s="119"/>
      <c r="CE397" s="119"/>
      <c r="CF397" s="119"/>
      <c r="CG397" s="119"/>
      <c r="CH397" s="119"/>
      <c r="CI397" s="119"/>
      <c r="CJ397" s="119"/>
      <c r="CK397" s="119"/>
      <c r="CL397" s="119"/>
      <c r="CM397" s="119"/>
      <c r="CN397" s="119"/>
      <c r="CO397" s="119"/>
      <c r="CP397" s="119"/>
      <c r="CQ397" s="119"/>
      <c r="CR397" s="119"/>
      <c r="CS397" s="119"/>
      <c r="CT397" s="119"/>
      <c r="CU397" s="119"/>
      <c r="CV397" s="119"/>
      <c r="CW397" s="119"/>
      <c r="CX397" s="119"/>
      <c r="CY397" s="119"/>
      <c r="CZ397" s="119"/>
      <c r="DA397" s="119"/>
      <c r="DB397" s="119"/>
      <c r="DC397" s="119"/>
      <c r="DD397" s="119"/>
      <c r="DE397" s="119"/>
      <c r="DF397" s="119"/>
      <c r="DG397" s="119"/>
      <c r="DH397" s="119"/>
      <c r="DI397" s="119"/>
      <c r="DJ397" s="119"/>
      <c r="DK397" s="119"/>
      <c r="DL397" s="119"/>
      <c r="DM397" s="119"/>
      <c r="DN397" s="119"/>
      <c r="DO397" s="119"/>
      <c r="DP397" s="119"/>
      <c r="DQ397" s="119"/>
      <c r="DR397" s="119"/>
      <c r="DS397" s="119"/>
      <c r="DT397" s="119"/>
      <c r="DU397" s="119"/>
      <c r="DV397" s="119"/>
      <c r="DW397" s="119"/>
      <c r="DX397" s="119"/>
      <c r="DY397" s="119"/>
      <c r="DZ397" s="119"/>
      <c r="EA397" s="119"/>
      <c r="EB397" s="119"/>
      <c r="EC397" s="119"/>
      <c r="ED397" s="119"/>
      <c r="EE397" s="119"/>
      <c r="EF397" s="119"/>
      <c r="EG397" s="119"/>
      <c r="EH397" s="119"/>
      <c r="EI397" s="119"/>
      <c r="EJ397" s="119"/>
      <c r="EK397" s="119"/>
      <c r="EL397" s="119"/>
      <c r="EM397" s="119"/>
      <c r="EN397" s="119"/>
      <c r="EO397" s="119"/>
      <c r="EP397" s="119"/>
      <c r="EQ397" s="119"/>
      <c r="ER397" s="119"/>
      <c r="ES397" s="119"/>
      <c r="ET397" s="119"/>
      <c r="EU397" s="119"/>
      <c r="EV397" s="119"/>
      <c r="EW397" s="119"/>
      <c r="EX397" s="119"/>
      <c r="EY397" s="119"/>
      <c r="EZ397" s="119"/>
      <c r="FA397" s="119"/>
      <c r="FB397" s="119"/>
      <c r="FC397" s="119"/>
      <c r="FD397" s="119"/>
      <c r="FE397" s="119"/>
      <c r="FF397" s="119"/>
      <c r="FG397" s="119"/>
      <c r="FH397" s="119"/>
      <c r="FI397" s="119"/>
      <c r="FJ397" s="119"/>
      <c r="FK397" s="119"/>
      <c r="FL397" s="119"/>
      <c r="FM397" s="119"/>
      <c r="FN397" s="119"/>
      <c r="FO397" s="119"/>
      <c r="FP397" s="119"/>
      <c r="FQ397" s="119"/>
      <c r="FR397" s="119"/>
    </row>
    <row x14ac:dyDescent="0.25" r="398" customHeight="1" ht="15">
      <c r="A398" s="112">
        <v>45911</v>
      </c>
      <c r="B398" s="112">
        <v>45912</v>
      </c>
      <c r="C398" s="107" t="s">
        <v>304</v>
      </c>
      <c r="D398" s="107" t="s">
        <v>39</v>
      </c>
      <c r="E398" s="108">
        <v>127108</v>
      </c>
      <c r="F398" s="108">
        <v>127318</v>
      </c>
      <c r="G398" s="109">
        <f>IF((F398-E398)&lt;0,0,(F398-E398))</f>
      </c>
      <c r="H398" s="110"/>
      <c r="I398" s="111">
        <f>IFERROR(SUMPRODUCT($G398*VLOOKUP($C398,'Vehicle Master'!$D:$F,3,0)),"")</f>
      </c>
      <c r="J398" s="11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/>
      <c r="AP398" s="119"/>
      <c r="AQ398" s="119"/>
      <c r="AR398" s="119"/>
      <c r="AS398" s="119"/>
      <c r="AT398" s="119"/>
      <c r="AU398" s="119"/>
      <c r="AV398" s="119"/>
      <c r="AW398" s="119"/>
      <c r="AX398" s="119"/>
      <c r="AY398" s="119"/>
      <c r="AZ398" s="119"/>
      <c r="BA398" s="119"/>
      <c r="BB398" s="119"/>
      <c r="BC398" s="119"/>
      <c r="BD398" s="119"/>
      <c r="BE398" s="119"/>
      <c r="BF398" s="119"/>
      <c r="BG398" s="119"/>
      <c r="BH398" s="119"/>
      <c r="BI398" s="119"/>
      <c r="BJ398" s="119"/>
      <c r="BK398" s="119"/>
      <c r="BL398" s="119"/>
      <c r="BM398" s="119"/>
      <c r="BN398" s="119"/>
      <c r="BO398" s="119"/>
      <c r="BP398" s="119"/>
      <c r="BQ398" s="119"/>
      <c r="BR398" s="119"/>
      <c r="BS398" s="119"/>
      <c r="BT398" s="119"/>
      <c r="BU398" s="119"/>
      <c r="BV398" s="119"/>
      <c r="BW398" s="119"/>
      <c r="BX398" s="119"/>
      <c r="BY398" s="119"/>
      <c r="BZ398" s="119"/>
      <c r="CA398" s="119"/>
      <c r="CB398" s="119"/>
      <c r="CC398" s="119"/>
      <c r="CD398" s="119"/>
      <c r="CE398" s="119"/>
      <c r="CF398" s="119"/>
      <c r="CG398" s="119"/>
      <c r="CH398" s="119"/>
      <c r="CI398" s="119"/>
      <c r="CJ398" s="119"/>
      <c r="CK398" s="119"/>
      <c r="CL398" s="119"/>
      <c r="CM398" s="119"/>
      <c r="CN398" s="119"/>
      <c r="CO398" s="119"/>
      <c r="CP398" s="119"/>
      <c r="CQ398" s="119"/>
      <c r="CR398" s="119"/>
      <c r="CS398" s="119"/>
      <c r="CT398" s="119"/>
      <c r="CU398" s="119"/>
      <c r="CV398" s="119"/>
      <c r="CW398" s="119"/>
      <c r="CX398" s="119"/>
      <c r="CY398" s="119"/>
      <c r="CZ398" s="119"/>
      <c r="DA398" s="119"/>
      <c r="DB398" s="119"/>
      <c r="DC398" s="119"/>
      <c r="DD398" s="119"/>
      <c r="DE398" s="119"/>
      <c r="DF398" s="119"/>
      <c r="DG398" s="119"/>
      <c r="DH398" s="119"/>
      <c r="DI398" s="119"/>
      <c r="DJ398" s="119"/>
      <c r="DK398" s="119"/>
      <c r="DL398" s="119"/>
      <c r="DM398" s="119"/>
      <c r="DN398" s="119"/>
      <c r="DO398" s="119"/>
      <c r="DP398" s="119"/>
      <c r="DQ398" s="119"/>
      <c r="DR398" s="119"/>
      <c r="DS398" s="119"/>
      <c r="DT398" s="119"/>
      <c r="DU398" s="119"/>
      <c r="DV398" s="119"/>
      <c r="DW398" s="119"/>
      <c r="DX398" s="119"/>
      <c r="DY398" s="119"/>
      <c r="DZ398" s="119"/>
      <c r="EA398" s="119"/>
      <c r="EB398" s="119"/>
      <c r="EC398" s="119"/>
      <c r="ED398" s="119"/>
      <c r="EE398" s="119"/>
      <c r="EF398" s="119"/>
      <c r="EG398" s="119"/>
      <c r="EH398" s="119"/>
      <c r="EI398" s="119"/>
      <c r="EJ398" s="119"/>
      <c r="EK398" s="119"/>
      <c r="EL398" s="119"/>
      <c r="EM398" s="119"/>
      <c r="EN398" s="119"/>
      <c r="EO398" s="119"/>
      <c r="EP398" s="119"/>
      <c r="EQ398" s="119"/>
      <c r="ER398" s="119"/>
      <c r="ES398" s="119"/>
      <c r="ET398" s="119"/>
      <c r="EU398" s="119"/>
      <c r="EV398" s="119"/>
      <c r="EW398" s="119"/>
      <c r="EX398" s="119"/>
      <c r="EY398" s="119"/>
      <c r="EZ398" s="119"/>
      <c r="FA398" s="119"/>
      <c r="FB398" s="119"/>
      <c r="FC398" s="119"/>
      <c r="FD398" s="119"/>
      <c r="FE398" s="119"/>
      <c r="FF398" s="119"/>
      <c r="FG398" s="119"/>
      <c r="FH398" s="119"/>
      <c r="FI398" s="119"/>
      <c r="FJ398" s="119"/>
      <c r="FK398" s="119"/>
      <c r="FL398" s="119"/>
      <c r="FM398" s="119"/>
      <c r="FN398" s="119"/>
      <c r="FO398" s="119"/>
      <c r="FP398" s="119"/>
      <c r="FQ398" s="119"/>
      <c r="FR398" s="119"/>
    </row>
    <row x14ac:dyDescent="0.25" r="399" customHeight="1" ht="15">
      <c r="A399" s="112">
        <v>45912</v>
      </c>
      <c r="B399" s="112">
        <v>45912</v>
      </c>
      <c r="C399" s="107" t="s">
        <v>303</v>
      </c>
      <c r="D399" s="107" t="s">
        <v>45</v>
      </c>
      <c r="E399" s="108">
        <v>113030</v>
      </c>
      <c r="F399" s="108">
        <v>113177</v>
      </c>
      <c r="G399" s="109">
        <f>IF((F399-E399)&lt;0,0,(F399-E399))</f>
      </c>
      <c r="H399" s="110"/>
      <c r="I399" s="111">
        <f>IFERROR(SUMPRODUCT($G399*VLOOKUP($C399,'Vehicle Master'!$D:$F,3,0)),"")</f>
      </c>
      <c r="J399" s="11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/>
      <c r="AH399" s="119"/>
      <c r="AI399" s="119"/>
      <c r="AJ399" s="119"/>
      <c r="AK399" s="119"/>
      <c r="AL399" s="119"/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/>
      <c r="BE399" s="119"/>
      <c r="BF399" s="119"/>
      <c r="BG399" s="119"/>
      <c r="BH399" s="119"/>
      <c r="BI399" s="119"/>
      <c r="BJ399" s="119"/>
      <c r="BK399" s="119"/>
      <c r="BL399" s="119"/>
      <c r="BM399" s="119"/>
      <c r="BN399" s="119"/>
      <c r="BO399" s="119"/>
      <c r="BP399" s="119"/>
      <c r="BQ399" s="119"/>
      <c r="BR399" s="119"/>
      <c r="BS399" s="119"/>
      <c r="BT399" s="119"/>
      <c r="BU399" s="119"/>
      <c r="BV399" s="119"/>
      <c r="BW399" s="119"/>
      <c r="BX399" s="119"/>
      <c r="BY399" s="119"/>
      <c r="BZ399" s="119"/>
      <c r="CA399" s="119"/>
      <c r="CB399" s="119"/>
      <c r="CC399" s="119"/>
      <c r="CD399" s="119"/>
      <c r="CE399" s="119"/>
      <c r="CF399" s="119"/>
      <c r="CG399" s="119"/>
      <c r="CH399" s="119"/>
      <c r="CI399" s="119"/>
      <c r="CJ399" s="119"/>
      <c r="CK399" s="119"/>
      <c r="CL399" s="119"/>
      <c r="CM399" s="119"/>
      <c r="CN399" s="119"/>
      <c r="CO399" s="119"/>
      <c r="CP399" s="119"/>
      <c r="CQ399" s="119"/>
      <c r="CR399" s="119"/>
      <c r="CS399" s="119"/>
      <c r="CT399" s="119"/>
      <c r="CU399" s="119"/>
      <c r="CV399" s="119"/>
      <c r="CW399" s="119"/>
      <c r="CX399" s="119"/>
      <c r="CY399" s="119"/>
      <c r="CZ399" s="119"/>
      <c r="DA399" s="119"/>
      <c r="DB399" s="119"/>
      <c r="DC399" s="119"/>
      <c r="DD399" s="119"/>
      <c r="DE399" s="119"/>
      <c r="DF399" s="119"/>
      <c r="DG399" s="119"/>
      <c r="DH399" s="119"/>
      <c r="DI399" s="119"/>
      <c r="DJ399" s="119"/>
      <c r="DK399" s="119"/>
      <c r="DL399" s="119"/>
      <c r="DM399" s="119"/>
      <c r="DN399" s="119"/>
      <c r="DO399" s="119"/>
      <c r="DP399" s="119"/>
      <c r="DQ399" s="119"/>
      <c r="DR399" s="119"/>
      <c r="DS399" s="119"/>
      <c r="DT399" s="119"/>
      <c r="DU399" s="119"/>
      <c r="DV399" s="119"/>
      <c r="DW399" s="119"/>
      <c r="DX399" s="119"/>
      <c r="DY399" s="119"/>
      <c r="DZ399" s="119"/>
      <c r="EA399" s="119"/>
      <c r="EB399" s="119"/>
      <c r="EC399" s="119"/>
      <c r="ED399" s="119"/>
      <c r="EE399" s="119"/>
      <c r="EF399" s="119"/>
      <c r="EG399" s="119"/>
      <c r="EH399" s="119"/>
      <c r="EI399" s="119"/>
      <c r="EJ399" s="119"/>
      <c r="EK399" s="119"/>
      <c r="EL399" s="119"/>
      <c r="EM399" s="119"/>
      <c r="EN399" s="119"/>
      <c r="EO399" s="119"/>
      <c r="EP399" s="119"/>
      <c r="EQ399" s="119"/>
      <c r="ER399" s="119"/>
      <c r="ES399" s="119"/>
      <c r="ET399" s="119"/>
      <c r="EU399" s="119"/>
      <c r="EV399" s="119"/>
      <c r="EW399" s="119"/>
      <c r="EX399" s="119"/>
      <c r="EY399" s="119"/>
      <c r="EZ399" s="119"/>
      <c r="FA399" s="119"/>
      <c r="FB399" s="119"/>
      <c r="FC399" s="119"/>
      <c r="FD399" s="119"/>
      <c r="FE399" s="119"/>
      <c r="FF399" s="119"/>
      <c r="FG399" s="119"/>
      <c r="FH399" s="119"/>
      <c r="FI399" s="119"/>
      <c r="FJ399" s="119"/>
      <c r="FK399" s="119"/>
      <c r="FL399" s="119"/>
      <c r="FM399" s="119"/>
      <c r="FN399" s="119"/>
      <c r="FO399" s="119"/>
      <c r="FP399" s="119"/>
      <c r="FQ399" s="119"/>
      <c r="FR399" s="119"/>
    </row>
    <row x14ac:dyDescent="0.25" r="400" customHeight="1" ht="15">
      <c r="A400" s="112">
        <v>45912</v>
      </c>
      <c r="B400" s="112">
        <v>45912</v>
      </c>
      <c r="C400" s="107" t="s">
        <v>302</v>
      </c>
      <c r="D400" s="107" t="s">
        <v>42</v>
      </c>
      <c r="E400" s="108">
        <v>92624</v>
      </c>
      <c r="F400" s="108">
        <v>92775</v>
      </c>
      <c r="G400" s="109">
        <f>IF((F400-E400)&lt;0,0,(F400-E400))</f>
      </c>
      <c r="H400" s="110"/>
      <c r="I400" s="111">
        <f>IFERROR(SUMPRODUCT($G400*VLOOKUP($C400,'Vehicle Master'!$D:$F,3,0)),"")</f>
      </c>
      <c r="J400" s="11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/>
      <c r="AI400" s="119"/>
      <c r="AJ400" s="119"/>
      <c r="AK400" s="119"/>
      <c r="AL400" s="119"/>
      <c r="AM400" s="119"/>
      <c r="AN400" s="119"/>
      <c r="AO400" s="119"/>
      <c r="AP400" s="119"/>
      <c r="AQ400" s="119"/>
      <c r="AR400" s="119"/>
      <c r="AS400" s="119"/>
      <c r="AT400" s="119"/>
      <c r="AU400" s="119"/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119"/>
      <c r="BF400" s="119"/>
      <c r="BG400" s="119"/>
      <c r="BH400" s="119"/>
      <c r="BI400" s="119"/>
      <c r="BJ400" s="119"/>
      <c r="BK400" s="119"/>
      <c r="BL400" s="119"/>
      <c r="BM400" s="119"/>
      <c r="BN400" s="119"/>
      <c r="BO400" s="119"/>
      <c r="BP400" s="119"/>
      <c r="BQ400" s="119"/>
      <c r="BR400" s="119"/>
      <c r="BS400" s="119"/>
      <c r="BT400" s="119"/>
      <c r="BU400" s="119"/>
      <c r="BV400" s="119"/>
      <c r="BW400" s="119"/>
      <c r="BX400" s="119"/>
      <c r="BY400" s="119"/>
      <c r="BZ400" s="119"/>
      <c r="CA400" s="119"/>
      <c r="CB400" s="119"/>
      <c r="CC400" s="119"/>
      <c r="CD400" s="119"/>
      <c r="CE400" s="119"/>
      <c r="CF400" s="119"/>
      <c r="CG400" s="119"/>
      <c r="CH400" s="119"/>
      <c r="CI400" s="119"/>
      <c r="CJ400" s="119"/>
      <c r="CK400" s="119"/>
      <c r="CL400" s="119"/>
      <c r="CM400" s="119"/>
      <c r="CN400" s="119"/>
      <c r="CO400" s="119"/>
      <c r="CP400" s="119"/>
      <c r="CQ400" s="119"/>
      <c r="CR400" s="119"/>
      <c r="CS400" s="119"/>
      <c r="CT400" s="119"/>
      <c r="CU400" s="119"/>
      <c r="CV400" s="119"/>
      <c r="CW400" s="119"/>
      <c r="CX400" s="119"/>
      <c r="CY400" s="119"/>
      <c r="CZ400" s="119"/>
      <c r="DA400" s="119"/>
      <c r="DB400" s="119"/>
      <c r="DC400" s="119"/>
      <c r="DD400" s="119"/>
      <c r="DE400" s="119"/>
      <c r="DF400" s="119"/>
      <c r="DG400" s="119"/>
      <c r="DH400" s="119"/>
      <c r="DI400" s="119"/>
      <c r="DJ400" s="119"/>
      <c r="DK400" s="119"/>
      <c r="DL400" s="119"/>
      <c r="DM400" s="119"/>
      <c r="DN400" s="119"/>
      <c r="DO400" s="119"/>
      <c r="DP400" s="119"/>
      <c r="DQ400" s="119"/>
      <c r="DR400" s="119"/>
      <c r="DS400" s="119"/>
      <c r="DT400" s="119"/>
      <c r="DU400" s="119"/>
      <c r="DV400" s="119"/>
      <c r="DW400" s="119"/>
      <c r="DX400" s="119"/>
      <c r="DY400" s="119"/>
      <c r="DZ400" s="119"/>
      <c r="EA400" s="119"/>
      <c r="EB400" s="119"/>
      <c r="EC400" s="119"/>
      <c r="ED400" s="119"/>
      <c r="EE400" s="119"/>
      <c r="EF400" s="119"/>
      <c r="EG400" s="119"/>
      <c r="EH400" s="119"/>
      <c r="EI400" s="119"/>
      <c r="EJ400" s="119"/>
      <c r="EK400" s="119"/>
      <c r="EL400" s="119"/>
      <c r="EM400" s="119"/>
      <c r="EN400" s="119"/>
      <c r="EO400" s="119"/>
      <c r="EP400" s="119"/>
      <c r="EQ400" s="119"/>
      <c r="ER400" s="119"/>
      <c r="ES400" s="119"/>
      <c r="ET400" s="119"/>
      <c r="EU400" s="119"/>
      <c r="EV400" s="119"/>
      <c r="EW400" s="119"/>
      <c r="EX400" s="119"/>
      <c r="EY400" s="119"/>
      <c r="EZ400" s="119"/>
      <c r="FA400" s="119"/>
      <c r="FB400" s="119"/>
      <c r="FC400" s="119"/>
      <c r="FD400" s="119"/>
      <c r="FE400" s="119"/>
      <c r="FF400" s="119"/>
      <c r="FG400" s="119"/>
      <c r="FH400" s="119"/>
      <c r="FI400" s="119"/>
      <c r="FJ400" s="119"/>
      <c r="FK400" s="119"/>
      <c r="FL400" s="119"/>
      <c r="FM400" s="119"/>
      <c r="FN400" s="119"/>
      <c r="FO400" s="119"/>
      <c r="FP400" s="119"/>
      <c r="FQ400" s="119"/>
      <c r="FR400" s="119"/>
    </row>
    <row x14ac:dyDescent="0.25" r="401" customHeight="1" ht="15">
      <c r="A401" s="112">
        <v>45913</v>
      </c>
      <c r="B401" s="112">
        <v>45913</v>
      </c>
      <c r="C401" s="107" t="s">
        <v>302</v>
      </c>
      <c r="D401" s="107" t="s">
        <v>42</v>
      </c>
      <c r="E401" s="108">
        <v>92775</v>
      </c>
      <c r="F401" s="108">
        <v>92822</v>
      </c>
      <c r="G401" s="109">
        <f>IF((F401-E401)&lt;0,0,(F401-E401))</f>
      </c>
      <c r="H401" s="110"/>
      <c r="I401" s="111">
        <f>IFERROR(SUMPRODUCT($G401*VLOOKUP($C401,'Vehicle Master'!$D:$F,3,0)),"")</f>
      </c>
      <c r="J401" s="11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/>
      <c r="AW401" s="119"/>
      <c r="AX401" s="119"/>
      <c r="AY401" s="119"/>
      <c r="AZ401" s="119"/>
      <c r="BA401" s="119"/>
      <c r="BB401" s="119"/>
      <c r="BC401" s="119"/>
      <c r="BD401" s="119"/>
      <c r="BE401" s="119"/>
      <c r="BF401" s="119"/>
      <c r="BG401" s="119"/>
      <c r="BH401" s="119"/>
      <c r="BI401" s="119"/>
      <c r="BJ401" s="119"/>
      <c r="BK401" s="119"/>
      <c r="BL401" s="119"/>
      <c r="BM401" s="119"/>
      <c r="BN401" s="119"/>
      <c r="BO401" s="119"/>
      <c r="BP401" s="119"/>
      <c r="BQ401" s="119"/>
      <c r="BR401" s="119"/>
      <c r="BS401" s="119"/>
      <c r="BT401" s="119"/>
      <c r="BU401" s="119"/>
      <c r="BV401" s="119"/>
      <c r="BW401" s="119"/>
      <c r="BX401" s="119"/>
      <c r="BY401" s="119"/>
      <c r="BZ401" s="119"/>
      <c r="CA401" s="119"/>
      <c r="CB401" s="119"/>
      <c r="CC401" s="119"/>
      <c r="CD401" s="119"/>
      <c r="CE401" s="119"/>
      <c r="CF401" s="119"/>
      <c r="CG401" s="119"/>
      <c r="CH401" s="119"/>
      <c r="CI401" s="119"/>
      <c r="CJ401" s="119"/>
      <c r="CK401" s="119"/>
      <c r="CL401" s="119"/>
      <c r="CM401" s="119"/>
      <c r="CN401" s="119"/>
      <c r="CO401" s="119"/>
      <c r="CP401" s="119"/>
      <c r="CQ401" s="119"/>
      <c r="CR401" s="119"/>
      <c r="CS401" s="119"/>
      <c r="CT401" s="119"/>
      <c r="CU401" s="119"/>
      <c r="CV401" s="119"/>
      <c r="CW401" s="119"/>
      <c r="CX401" s="119"/>
      <c r="CY401" s="119"/>
      <c r="CZ401" s="119"/>
      <c r="DA401" s="119"/>
      <c r="DB401" s="119"/>
      <c r="DC401" s="119"/>
      <c r="DD401" s="119"/>
      <c r="DE401" s="119"/>
      <c r="DF401" s="119"/>
      <c r="DG401" s="119"/>
      <c r="DH401" s="119"/>
      <c r="DI401" s="119"/>
      <c r="DJ401" s="119"/>
      <c r="DK401" s="119"/>
      <c r="DL401" s="119"/>
      <c r="DM401" s="119"/>
      <c r="DN401" s="119"/>
      <c r="DO401" s="119"/>
      <c r="DP401" s="119"/>
      <c r="DQ401" s="119"/>
      <c r="DR401" s="119"/>
      <c r="DS401" s="119"/>
      <c r="DT401" s="119"/>
      <c r="DU401" s="119"/>
      <c r="DV401" s="119"/>
      <c r="DW401" s="119"/>
      <c r="DX401" s="119"/>
      <c r="DY401" s="119"/>
      <c r="DZ401" s="119"/>
      <c r="EA401" s="119"/>
      <c r="EB401" s="119"/>
      <c r="EC401" s="119"/>
      <c r="ED401" s="119"/>
      <c r="EE401" s="119"/>
      <c r="EF401" s="119"/>
      <c r="EG401" s="119"/>
      <c r="EH401" s="119"/>
      <c r="EI401" s="119"/>
      <c r="EJ401" s="119"/>
      <c r="EK401" s="119"/>
      <c r="EL401" s="119"/>
      <c r="EM401" s="119"/>
      <c r="EN401" s="119"/>
      <c r="EO401" s="119"/>
      <c r="EP401" s="119"/>
      <c r="EQ401" s="119"/>
      <c r="ER401" s="119"/>
      <c r="ES401" s="119"/>
      <c r="ET401" s="119"/>
      <c r="EU401" s="119"/>
      <c r="EV401" s="119"/>
      <c r="EW401" s="119"/>
      <c r="EX401" s="119"/>
      <c r="EY401" s="119"/>
      <c r="EZ401" s="119"/>
      <c r="FA401" s="119"/>
      <c r="FB401" s="119"/>
      <c r="FC401" s="119"/>
      <c r="FD401" s="119"/>
      <c r="FE401" s="119"/>
      <c r="FF401" s="119"/>
      <c r="FG401" s="119"/>
      <c r="FH401" s="119"/>
      <c r="FI401" s="119"/>
      <c r="FJ401" s="119"/>
      <c r="FK401" s="119"/>
      <c r="FL401" s="119"/>
      <c r="FM401" s="119"/>
      <c r="FN401" s="119"/>
      <c r="FO401" s="119"/>
      <c r="FP401" s="119"/>
      <c r="FQ401" s="119"/>
      <c r="FR401" s="119"/>
    </row>
    <row x14ac:dyDescent="0.25" r="402" customHeight="1" ht="15">
      <c r="A402" s="112">
        <v>45913</v>
      </c>
      <c r="B402" s="112">
        <v>45913</v>
      </c>
      <c r="C402" s="107" t="s">
        <v>305</v>
      </c>
      <c r="D402" s="107" t="s">
        <v>43</v>
      </c>
      <c r="E402" s="108">
        <v>115265</v>
      </c>
      <c r="F402" s="108">
        <v>115382</v>
      </c>
      <c r="G402" s="109">
        <f>IF((F402-E402)&lt;0,0,(F402-E402))</f>
      </c>
      <c r="H402" s="110"/>
      <c r="I402" s="111">
        <f>IFERROR(SUMPRODUCT($G402*VLOOKUP($C402,'Vehicle Master'!$D:$F,3,0)),"")</f>
      </c>
      <c r="J402" s="11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119"/>
      <c r="BF402" s="119"/>
      <c r="BG402" s="119"/>
      <c r="BH402" s="119"/>
      <c r="BI402" s="119"/>
      <c r="BJ402" s="119"/>
      <c r="BK402" s="119"/>
      <c r="BL402" s="119"/>
      <c r="BM402" s="119"/>
      <c r="BN402" s="119"/>
      <c r="BO402" s="119"/>
      <c r="BP402" s="119"/>
      <c r="BQ402" s="119"/>
      <c r="BR402" s="119"/>
      <c r="BS402" s="119"/>
      <c r="BT402" s="119"/>
      <c r="BU402" s="119"/>
      <c r="BV402" s="119"/>
      <c r="BW402" s="119"/>
      <c r="BX402" s="119"/>
      <c r="BY402" s="119"/>
      <c r="BZ402" s="119"/>
      <c r="CA402" s="119"/>
      <c r="CB402" s="119"/>
      <c r="CC402" s="119"/>
      <c r="CD402" s="119"/>
      <c r="CE402" s="119"/>
      <c r="CF402" s="119"/>
      <c r="CG402" s="119"/>
      <c r="CH402" s="119"/>
      <c r="CI402" s="119"/>
      <c r="CJ402" s="119"/>
      <c r="CK402" s="119"/>
      <c r="CL402" s="119"/>
      <c r="CM402" s="119"/>
      <c r="CN402" s="119"/>
      <c r="CO402" s="119"/>
      <c r="CP402" s="119"/>
      <c r="CQ402" s="119"/>
      <c r="CR402" s="119"/>
      <c r="CS402" s="119"/>
      <c r="CT402" s="119"/>
      <c r="CU402" s="119"/>
      <c r="CV402" s="119"/>
      <c r="CW402" s="119"/>
      <c r="CX402" s="119"/>
      <c r="CY402" s="119"/>
      <c r="CZ402" s="119"/>
      <c r="DA402" s="119"/>
      <c r="DB402" s="119"/>
      <c r="DC402" s="119"/>
      <c r="DD402" s="119"/>
      <c r="DE402" s="119"/>
      <c r="DF402" s="119"/>
      <c r="DG402" s="119"/>
      <c r="DH402" s="119"/>
      <c r="DI402" s="119"/>
      <c r="DJ402" s="119"/>
      <c r="DK402" s="119"/>
      <c r="DL402" s="119"/>
      <c r="DM402" s="119"/>
      <c r="DN402" s="119"/>
      <c r="DO402" s="119"/>
      <c r="DP402" s="119"/>
      <c r="DQ402" s="119"/>
      <c r="DR402" s="119"/>
      <c r="DS402" s="119"/>
      <c r="DT402" s="119"/>
      <c r="DU402" s="119"/>
      <c r="DV402" s="119"/>
      <c r="DW402" s="119"/>
      <c r="DX402" s="119"/>
      <c r="DY402" s="119"/>
      <c r="DZ402" s="119"/>
      <c r="EA402" s="119"/>
      <c r="EB402" s="119"/>
      <c r="EC402" s="119"/>
      <c r="ED402" s="119"/>
      <c r="EE402" s="119"/>
      <c r="EF402" s="119"/>
      <c r="EG402" s="119"/>
      <c r="EH402" s="119"/>
      <c r="EI402" s="119"/>
      <c r="EJ402" s="119"/>
      <c r="EK402" s="119"/>
      <c r="EL402" s="119"/>
      <c r="EM402" s="119"/>
      <c r="EN402" s="119"/>
      <c r="EO402" s="119"/>
      <c r="EP402" s="119"/>
      <c r="EQ402" s="119"/>
      <c r="ER402" s="119"/>
      <c r="ES402" s="119"/>
      <c r="ET402" s="119"/>
      <c r="EU402" s="119"/>
      <c r="EV402" s="119"/>
      <c r="EW402" s="119"/>
      <c r="EX402" s="119"/>
      <c r="EY402" s="119"/>
      <c r="EZ402" s="119"/>
      <c r="FA402" s="119"/>
      <c r="FB402" s="119"/>
      <c r="FC402" s="119"/>
      <c r="FD402" s="119"/>
      <c r="FE402" s="119"/>
      <c r="FF402" s="119"/>
      <c r="FG402" s="119"/>
      <c r="FH402" s="119"/>
      <c r="FI402" s="119"/>
      <c r="FJ402" s="119"/>
      <c r="FK402" s="119"/>
      <c r="FL402" s="119"/>
      <c r="FM402" s="119"/>
      <c r="FN402" s="119"/>
      <c r="FO402" s="119"/>
      <c r="FP402" s="119"/>
      <c r="FQ402" s="119"/>
      <c r="FR402" s="119"/>
    </row>
    <row x14ac:dyDescent="0.25" r="403" customHeight="1" ht="15">
      <c r="A403" s="112">
        <v>45913</v>
      </c>
      <c r="B403" s="112">
        <v>45915</v>
      </c>
      <c r="C403" s="107" t="s">
        <v>303</v>
      </c>
      <c r="D403" s="107" t="s">
        <v>45</v>
      </c>
      <c r="E403" s="108">
        <v>113177</v>
      </c>
      <c r="F403" s="108">
        <v>113580</v>
      </c>
      <c r="G403" s="109">
        <f>IF((F403-E403)&lt;0,0,(F403-E403))</f>
      </c>
      <c r="H403" s="110"/>
      <c r="I403" s="111">
        <f>IFERROR(SUMPRODUCT($G403*VLOOKUP($C403,'Vehicle Master'!$D:$F,3,0)),"")</f>
      </c>
      <c r="J403" s="11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119"/>
      <c r="BF403" s="119"/>
      <c r="BG403" s="119"/>
      <c r="BH403" s="119"/>
      <c r="BI403" s="119"/>
      <c r="BJ403" s="119"/>
      <c r="BK403" s="119"/>
      <c r="BL403" s="119"/>
      <c r="BM403" s="119"/>
      <c r="BN403" s="119"/>
      <c r="BO403" s="119"/>
      <c r="BP403" s="119"/>
      <c r="BQ403" s="119"/>
      <c r="BR403" s="119"/>
      <c r="BS403" s="119"/>
      <c r="BT403" s="119"/>
      <c r="BU403" s="119"/>
      <c r="BV403" s="119"/>
      <c r="BW403" s="119"/>
      <c r="BX403" s="119"/>
      <c r="BY403" s="119"/>
      <c r="BZ403" s="119"/>
      <c r="CA403" s="119"/>
      <c r="CB403" s="119"/>
      <c r="CC403" s="119"/>
      <c r="CD403" s="119"/>
      <c r="CE403" s="119"/>
      <c r="CF403" s="119"/>
      <c r="CG403" s="119"/>
      <c r="CH403" s="119"/>
      <c r="CI403" s="119"/>
      <c r="CJ403" s="119"/>
      <c r="CK403" s="119"/>
      <c r="CL403" s="119"/>
      <c r="CM403" s="119"/>
      <c r="CN403" s="119"/>
      <c r="CO403" s="119"/>
      <c r="CP403" s="119"/>
      <c r="CQ403" s="119"/>
      <c r="CR403" s="119"/>
      <c r="CS403" s="119"/>
      <c r="CT403" s="119"/>
      <c r="CU403" s="119"/>
      <c r="CV403" s="119"/>
      <c r="CW403" s="119"/>
      <c r="CX403" s="119"/>
      <c r="CY403" s="119"/>
      <c r="CZ403" s="119"/>
      <c r="DA403" s="119"/>
      <c r="DB403" s="119"/>
      <c r="DC403" s="119"/>
      <c r="DD403" s="119"/>
      <c r="DE403" s="119"/>
      <c r="DF403" s="119"/>
      <c r="DG403" s="119"/>
      <c r="DH403" s="119"/>
      <c r="DI403" s="119"/>
      <c r="DJ403" s="119"/>
      <c r="DK403" s="119"/>
      <c r="DL403" s="119"/>
      <c r="DM403" s="119"/>
      <c r="DN403" s="119"/>
      <c r="DO403" s="119"/>
      <c r="DP403" s="119"/>
      <c r="DQ403" s="119"/>
      <c r="DR403" s="119"/>
      <c r="DS403" s="119"/>
      <c r="DT403" s="119"/>
      <c r="DU403" s="119"/>
      <c r="DV403" s="119"/>
      <c r="DW403" s="119"/>
      <c r="DX403" s="119"/>
      <c r="DY403" s="119"/>
      <c r="DZ403" s="119"/>
      <c r="EA403" s="119"/>
      <c r="EB403" s="119"/>
      <c r="EC403" s="119"/>
      <c r="ED403" s="119"/>
      <c r="EE403" s="119"/>
      <c r="EF403" s="119"/>
      <c r="EG403" s="119"/>
      <c r="EH403" s="119"/>
      <c r="EI403" s="119"/>
      <c r="EJ403" s="119"/>
      <c r="EK403" s="119"/>
      <c r="EL403" s="119"/>
      <c r="EM403" s="119"/>
      <c r="EN403" s="119"/>
      <c r="EO403" s="119"/>
      <c r="EP403" s="119"/>
      <c r="EQ403" s="119"/>
      <c r="ER403" s="119"/>
      <c r="ES403" s="119"/>
      <c r="ET403" s="119"/>
      <c r="EU403" s="119"/>
      <c r="EV403" s="119"/>
      <c r="EW403" s="119"/>
      <c r="EX403" s="119"/>
      <c r="EY403" s="119"/>
      <c r="EZ403" s="119"/>
      <c r="FA403" s="119"/>
      <c r="FB403" s="119"/>
      <c r="FC403" s="119"/>
      <c r="FD403" s="119"/>
      <c r="FE403" s="119"/>
      <c r="FF403" s="119"/>
      <c r="FG403" s="119"/>
      <c r="FH403" s="119"/>
      <c r="FI403" s="119"/>
      <c r="FJ403" s="119"/>
      <c r="FK403" s="119"/>
      <c r="FL403" s="119"/>
      <c r="FM403" s="119"/>
      <c r="FN403" s="119"/>
      <c r="FO403" s="119"/>
      <c r="FP403" s="119"/>
      <c r="FQ403" s="119"/>
      <c r="FR403" s="119"/>
    </row>
    <row x14ac:dyDescent="0.25" r="404" customHeight="1" ht="15">
      <c r="A404" s="112">
        <v>45915</v>
      </c>
      <c r="B404" s="112">
        <v>45916</v>
      </c>
      <c r="C404" s="107" t="s">
        <v>304</v>
      </c>
      <c r="D404" s="107" t="s">
        <v>39</v>
      </c>
      <c r="E404" s="108">
        <v>127318</v>
      </c>
      <c r="F404" s="108">
        <v>127549</v>
      </c>
      <c r="G404" s="109">
        <f>IF((F404-E404)&lt;0,0,(F404-E404))</f>
      </c>
      <c r="H404" s="110"/>
      <c r="I404" s="111">
        <f>IFERROR(SUMPRODUCT($G404*VLOOKUP($C404,'Vehicle Master'!$D:$F,3,0)),"")</f>
      </c>
      <c r="J404" s="11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/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119"/>
      <c r="BF404" s="119"/>
      <c r="BG404" s="119"/>
      <c r="BH404" s="119"/>
      <c r="BI404" s="119"/>
      <c r="BJ404" s="119"/>
      <c r="BK404" s="119"/>
      <c r="BL404" s="119"/>
      <c r="BM404" s="119"/>
      <c r="BN404" s="119"/>
      <c r="BO404" s="119"/>
      <c r="BP404" s="119"/>
      <c r="BQ404" s="119"/>
      <c r="BR404" s="119"/>
      <c r="BS404" s="119"/>
      <c r="BT404" s="119"/>
      <c r="BU404" s="119"/>
      <c r="BV404" s="119"/>
      <c r="BW404" s="119"/>
      <c r="BX404" s="119"/>
      <c r="BY404" s="119"/>
      <c r="BZ404" s="119"/>
      <c r="CA404" s="119"/>
      <c r="CB404" s="119"/>
      <c r="CC404" s="119"/>
      <c r="CD404" s="119"/>
      <c r="CE404" s="119"/>
      <c r="CF404" s="119"/>
      <c r="CG404" s="119"/>
      <c r="CH404" s="119"/>
      <c r="CI404" s="119"/>
      <c r="CJ404" s="119"/>
      <c r="CK404" s="119"/>
      <c r="CL404" s="119"/>
      <c r="CM404" s="119"/>
      <c r="CN404" s="119"/>
      <c r="CO404" s="119"/>
      <c r="CP404" s="119"/>
      <c r="CQ404" s="119"/>
      <c r="CR404" s="119"/>
      <c r="CS404" s="119"/>
      <c r="CT404" s="119"/>
      <c r="CU404" s="119"/>
      <c r="CV404" s="119"/>
      <c r="CW404" s="119"/>
      <c r="CX404" s="119"/>
      <c r="CY404" s="119"/>
      <c r="CZ404" s="119"/>
      <c r="DA404" s="119"/>
      <c r="DB404" s="119"/>
      <c r="DC404" s="119"/>
      <c r="DD404" s="119"/>
      <c r="DE404" s="119"/>
      <c r="DF404" s="119"/>
      <c r="DG404" s="119"/>
      <c r="DH404" s="119"/>
      <c r="DI404" s="119"/>
      <c r="DJ404" s="119"/>
      <c r="DK404" s="119"/>
      <c r="DL404" s="119"/>
      <c r="DM404" s="119"/>
      <c r="DN404" s="119"/>
      <c r="DO404" s="119"/>
      <c r="DP404" s="119"/>
      <c r="DQ404" s="119"/>
      <c r="DR404" s="119"/>
      <c r="DS404" s="119"/>
      <c r="DT404" s="119"/>
      <c r="DU404" s="119"/>
      <c r="DV404" s="119"/>
      <c r="DW404" s="119"/>
      <c r="DX404" s="119"/>
      <c r="DY404" s="119"/>
      <c r="DZ404" s="119"/>
      <c r="EA404" s="119"/>
      <c r="EB404" s="119"/>
      <c r="EC404" s="119"/>
      <c r="ED404" s="119"/>
      <c r="EE404" s="119"/>
      <c r="EF404" s="119"/>
      <c r="EG404" s="119"/>
      <c r="EH404" s="119"/>
      <c r="EI404" s="119"/>
      <c r="EJ404" s="119"/>
      <c r="EK404" s="119"/>
      <c r="EL404" s="119"/>
      <c r="EM404" s="119"/>
      <c r="EN404" s="119"/>
      <c r="EO404" s="119"/>
      <c r="EP404" s="119"/>
      <c r="EQ404" s="119"/>
      <c r="ER404" s="119"/>
      <c r="ES404" s="119"/>
      <c r="ET404" s="119"/>
      <c r="EU404" s="119"/>
      <c r="EV404" s="119"/>
      <c r="EW404" s="119"/>
      <c r="EX404" s="119"/>
      <c r="EY404" s="119"/>
      <c r="EZ404" s="119"/>
      <c r="FA404" s="119"/>
      <c r="FB404" s="119"/>
      <c r="FC404" s="119"/>
      <c r="FD404" s="119"/>
      <c r="FE404" s="119"/>
      <c r="FF404" s="119"/>
      <c r="FG404" s="119"/>
      <c r="FH404" s="119"/>
      <c r="FI404" s="119"/>
      <c r="FJ404" s="119"/>
      <c r="FK404" s="119"/>
      <c r="FL404" s="119"/>
      <c r="FM404" s="119"/>
      <c r="FN404" s="119"/>
      <c r="FO404" s="119"/>
      <c r="FP404" s="119"/>
      <c r="FQ404" s="119"/>
      <c r="FR404" s="119"/>
    </row>
    <row x14ac:dyDescent="0.25" r="405" customHeight="1" ht="15">
      <c r="A405" s="112">
        <v>45917</v>
      </c>
      <c r="B405" s="112">
        <v>45919</v>
      </c>
      <c r="C405" s="107" t="s">
        <v>302</v>
      </c>
      <c r="D405" s="107" t="s">
        <v>42</v>
      </c>
      <c r="E405" s="108">
        <v>92822</v>
      </c>
      <c r="F405" s="108">
        <v>93177</v>
      </c>
      <c r="G405" s="109">
        <f>IF((F405-E405)&lt;0,0,(F405-E405))</f>
      </c>
      <c r="H405" s="110"/>
      <c r="I405" s="111">
        <f>IFERROR(SUMPRODUCT($G405*VLOOKUP($C405,'Vehicle Master'!$D:$F,3,0)),"")</f>
      </c>
      <c r="J405" s="11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/>
      <c r="AP405" s="119"/>
      <c r="AQ405" s="119"/>
      <c r="AR405" s="119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119"/>
      <c r="BF405" s="119"/>
      <c r="BG405" s="119"/>
      <c r="BH405" s="119"/>
      <c r="BI405" s="119"/>
      <c r="BJ405" s="119"/>
      <c r="BK405" s="119"/>
      <c r="BL405" s="119"/>
      <c r="BM405" s="119"/>
      <c r="BN405" s="119"/>
      <c r="BO405" s="119"/>
      <c r="BP405" s="119"/>
      <c r="BQ405" s="119"/>
      <c r="BR405" s="119"/>
      <c r="BS405" s="119"/>
      <c r="BT405" s="119"/>
      <c r="BU405" s="119"/>
      <c r="BV405" s="119"/>
      <c r="BW405" s="119"/>
      <c r="BX405" s="119"/>
      <c r="BY405" s="119"/>
      <c r="BZ405" s="119"/>
      <c r="CA405" s="119"/>
      <c r="CB405" s="119"/>
      <c r="CC405" s="119"/>
      <c r="CD405" s="119"/>
      <c r="CE405" s="119"/>
      <c r="CF405" s="119"/>
      <c r="CG405" s="119"/>
      <c r="CH405" s="119"/>
      <c r="CI405" s="119"/>
      <c r="CJ405" s="119"/>
      <c r="CK405" s="119"/>
      <c r="CL405" s="119"/>
      <c r="CM405" s="119"/>
      <c r="CN405" s="119"/>
      <c r="CO405" s="119"/>
      <c r="CP405" s="119"/>
      <c r="CQ405" s="119"/>
      <c r="CR405" s="119"/>
      <c r="CS405" s="119"/>
      <c r="CT405" s="119"/>
      <c r="CU405" s="119"/>
      <c r="CV405" s="119"/>
      <c r="CW405" s="119"/>
      <c r="CX405" s="119"/>
      <c r="CY405" s="119"/>
      <c r="CZ405" s="119"/>
      <c r="DA405" s="119"/>
      <c r="DB405" s="119"/>
      <c r="DC405" s="119"/>
      <c r="DD405" s="119"/>
      <c r="DE405" s="119"/>
      <c r="DF405" s="119"/>
      <c r="DG405" s="119"/>
      <c r="DH405" s="119"/>
      <c r="DI405" s="119"/>
      <c r="DJ405" s="119"/>
      <c r="DK405" s="119"/>
      <c r="DL405" s="119"/>
      <c r="DM405" s="119"/>
      <c r="DN405" s="119"/>
      <c r="DO405" s="119"/>
      <c r="DP405" s="119"/>
      <c r="DQ405" s="119"/>
      <c r="DR405" s="119"/>
      <c r="DS405" s="119"/>
      <c r="DT405" s="119"/>
      <c r="DU405" s="119"/>
      <c r="DV405" s="119"/>
      <c r="DW405" s="119"/>
      <c r="DX405" s="119"/>
      <c r="DY405" s="119"/>
      <c r="DZ405" s="119"/>
      <c r="EA405" s="119"/>
      <c r="EB405" s="119"/>
      <c r="EC405" s="119"/>
      <c r="ED405" s="119"/>
      <c r="EE405" s="119"/>
      <c r="EF405" s="119"/>
      <c r="EG405" s="119"/>
      <c r="EH405" s="119"/>
      <c r="EI405" s="119"/>
      <c r="EJ405" s="119"/>
      <c r="EK405" s="119"/>
      <c r="EL405" s="119"/>
      <c r="EM405" s="119"/>
      <c r="EN405" s="119"/>
      <c r="EO405" s="119"/>
      <c r="EP405" s="119"/>
      <c r="EQ405" s="119"/>
      <c r="ER405" s="119"/>
      <c r="ES405" s="119"/>
      <c r="ET405" s="119"/>
      <c r="EU405" s="119"/>
      <c r="EV405" s="119"/>
      <c r="EW405" s="119"/>
      <c r="EX405" s="119"/>
      <c r="EY405" s="119"/>
      <c r="EZ405" s="119"/>
      <c r="FA405" s="119"/>
      <c r="FB405" s="119"/>
      <c r="FC405" s="119"/>
      <c r="FD405" s="119"/>
      <c r="FE405" s="119"/>
      <c r="FF405" s="119"/>
      <c r="FG405" s="119"/>
      <c r="FH405" s="119"/>
      <c r="FI405" s="119"/>
      <c r="FJ405" s="119"/>
      <c r="FK405" s="119"/>
      <c r="FL405" s="119"/>
      <c r="FM405" s="119"/>
      <c r="FN405" s="119"/>
      <c r="FO405" s="119"/>
      <c r="FP405" s="119"/>
      <c r="FQ405" s="119"/>
      <c r="FR405" s="119"/>
    </row>
    <row x14ac:dyDescent="0.25" r="406" customHeight="1" ht="15">
      <c r="A406" s="112">
        <v>45918</v>
      </c>
      <c r="B406" s="112">
        <v>45919</v>
      </c>
      <c r="C406" s="107" t="s">
        <v>303</v>
      </c>
      <c r="D406" s="107" t="s">
        <v>45</v>
      </c>
      <c r="E406" s="108">
        <v>113580</v>
      </c>
      <c r="F406" s="108">
        <v>114141</v>
      </c>
      <c r="G406" s="109">
        <f>IF((F406-E406)&lt;0,0,(F406-E406))</f>
      </c>
      <c r="H406" s="110"/>
      <c r="I406" s="111">
        <f>IFERROR(SUMPRODUCT($G406*VLOOKUP($C406,'Vehicle Master'!$D:$F,3,0)),"")</f>
      </c>
      <c r="J406" s="11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/>
      <c r="AP406" s="119"/>
      <c r="AQ406" s="119"/>
      <c r="AR406" s="119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119"/>
      <c r="BF406" s="119"/>
      <c r="BG406" s="119"/>
      <c r="BH406" s="119"/>
      <c r="BI406" s="119"/>
      <c r="BJ406" s="119"/>
      <c r="BK406" s="119"/>
      <c r="BL406" s="119"/>
      <c r="BM406" s="119"/>
      <c r="BN406" s="119"/>
      <c r="BO406" s="119"/>
      <c r="BP406" s="119"/>
      <c r="BQ406" s="119"/>
      <c r="BR406" s="119"/>
      <c r="BS406" s="119"/>
      <c r="BT406" s="119"/>
      <c r="BU406" s="119"/>
      <c r="BV406" s="119"/>
      <c r="BW406" s="119"/>
      <c r="BX406" s="119"/>
      <c r="BY406" s="119"/>
      <c r="BZ406" s="119"/>
      <c r="CA406" s="119"/>
      <c r="CB406" s="119"/>
      <c r="CC406" s="119"/>
      <c r="CD406" s="119"/>
      <c r="CE406" s="119"/>
      <c r="CF406" s="119"/>
      <c r="CG406" s="119"/>
      <c r="CH406" s="119"/>
      <c r="CI406" s="119"/>
      <c r="CJ406" s="119"/>
      <c r="CK406" s="119"/>
      <c r="CL406" s="119"/>
      <c r="CM406" s="119"/>
      <c r="CN406" s="119"/>
      <c r="CO406" s="119"/>
      <c r="CP406" s="119"/>
      <c r="CQ406" s="119"/>
      <c r="CR406" s="119"/>
      <c r="CS406" s="119"/>
      <c r="CT406" s="119"/>
      <c r="CU406" s="119"/>
      <c r="CV406" s="119"/>
      <c r="CW406" s="119"/>
      <c r="CX406" s="119"/>
      <c r="CY406" s="119"/>
      <c r="CZ406" s="119"/>
      <c r="DA406" s="119"/>
      <c r="DB406" s="119"/>
      <c r="DC406" s="119"/>
      <c r="DD406" s="119"/>
      <c r="DE406" s="119"/>
      <c r="DF406" s="119"/>
      <c r="DG406" s="119"/>
      <c r="DH406" s="119"/>
      <c r="DI406" s="119"/>
      <c r="DJ406" s="119"/>
      <c r="DK406" s="119"/>
      <c r="DL406" s="119"/>
      <c r="DM406" s="119"/>
      <c r="DN406" s="119"/>
      <c r="DO406" s="119"/>
      <c r="DP406" s="119"/>
      <c r="DQ406" s="119"/>
      <c r="DR406" s="119"/>
      <c r="DS406" s="119"/>
      <c r="DT406" s="119"/>
      <c r="DU406" s="119"/>
      <c r="DV406" s="119"/>
      <c r="DW406" s="119"/>
      <c r="DX406" s="119"/>
      <c r="DY406" s="119"/>
      <c r="DZ406" s="119"/>
      <c r="EA406" s="119"/>
      <c r="EB406" s="119"/>
      <c r="EC406" s="119"/>
      <c r="ED406" s="119"/>
      <c r="EE406" s="119"/>
      <c r="EF406" s="119"/>
      <c r="EG406" s="119"/>
      <c r="EH406" s="119"/>
      <c r="EI406" s="119"/>
      <c r="EJ406" s="119"/>
      <c r="EK406" s="119"/>
      <c r="EL406" s="119"/>
      <c r="EM406" s="119"/>
      <c r="EN406" s="119"/>
      <c r="EO406" s="119"/>
      <c r="EP406" s="119"/>
      <c r="EQ406" s="119"/>
      <c r="ER406" s="119"/>
      <c r="ES406" s="119"/>
      <c r="ET406" s="119"/>
      <c r="EU406" s="119"/>
      <c r="EV406" s="119"/>
      <c r="EW406" s="119"/>
      <c r="EX406" s="119"/>
      <c r="EY406" s="119"/>
      <c r="EZ406" s="119"/>
      <c r="FA406" s="119"/>
      <c r="FB406" s="119"/>
      <c r="FC406" s="119"/>
      <c r="FD406" s="119"/>
      <c r="FE406" s="119"/>
      <c r="FF406" s="119"/>
      <c r="FG406" s="119"/>
      <c r="FH406" s="119"/>
      <c r="FI406" s="119"/>
      <c r="FJ406" s="119"/>
      <c r="FK406" s="119"/>
      <c r="FL406" s="119"/>
      <c r="FM406" s="119"/>
      <c r="FN406" s="119"/>
      <c r="FO406" s="119"/>
      <c r="FP406" s="119"/>
      <c r="FQ406" s="119"/>
      <c r="FR406" s="119"/>
    </row>
    <row x14ac:dyDescent="0.25" r="407" customHeight="1" ht="15">
      <c r="A407" s="112">
        <v>45918</v>
      </c>
      <c r="B407" s="112">
        <v>45919</v>
      </c>
      <c r="C407" s="107" t="s">
        <v>304</v>
      </c>
      <c r="D407" s="107" t="s">
        <v>347</v>
      </c>
      <c r="E407" s="108">
        <v>127549</v>
      </c>
      <c r="F407" s="108">
        <v>127746</v>
      </c>
      <c r="G407" s="109">
        <f>IF((F407-E407)&lt;0,0,(F407-E407))</f>
      </c>
      <c r="H407" s="110"/>
      <c r="I407" s="111">
        <f>IFERROR(SUMPRODUCT($G407*VLOOKUP($C407,'Vehicle Master'!$D:$F,3,0)),"")</f>
      </c>
      <c r="J407" s="11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/>
      <c r="AP407" s="119"/>
      <c r="AQ407" s="119"/>
      <c r="AR407" s="119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119"/>
      <c r="BF407" s="119"/>
      <c r="BG407" s="119"/>
      <c r="BH407" s="119"/>
      <c r="BI407" s="119"/>
      <c r="BJ407" s="119"/>
      <c r="BK407" s="119"/>
      <c r="BL407" s="119"/>
      <c r="BM407" s="119"/>
      <c r="BN407" s="119"/>
      <c r="BO407" s="119"/>
      <c r="BP407" s="119"/>
      <c r="BQ407" s="119"/>
      <c r="BR407" s="119"/>
      <c r="BS407" s="119"/>
      <c r="BT407" s="119"/>
      <c r="BU407" s="119"/>
      <c r="BV407" s="119"/>
      <c r="BW407" s="119"/>
      <c r="BX407" s="119"/>
      <c r="BY407" s="119"/>
      <c r="BZ407" s="119"/>
      <c r="CA407" s="119"/>
      <c r="CB407" s="119"/>
      <c r="CC407" s="119"/>
      <c r="CD407" s="119"/>
      <c r="CE407" s="119"/>
      <c r="CF407" s="119"/>
      <c r="CG407" s="119"/>
      <c r="CH407" s="119"/>
      <c r="CI407" s="119"/>
      <c r="CJ407" s="119"/>
      <c r="CK407" s="119"/>
      <c r="CL407" s="119"/>
      <c r="CM407" s="119"/>
      <c r="CN407" s="119"/>
      <c r="CO407" s="119"/>
      <c r="CP407" s="119"/>
      <c r="CQ407" s="119"/>
      <c r="CR407" s="119"/>
      <c r="CS407" s="119"/>
      <c r="CT407" s="119"/>
      <c r="CU407" s="119"/>
      <c r="CV407" s="119"/>
      <c r="CW407" s="119"/>
      <c r="CX407" s="119"/>
      <c r="CY407" s="119"/>
      <c r="CZ407" s="119"/>
      <c r="DA407" s="119"/>
      <c r="DB407" s="119"/>
      <c r="DC407" s="119"/>
      <c r="DD407" s="119"/>
      <c r="DE407" s="119"/>
      <c r="DF407" s="119"/>
      <c r="DG407" s="119"/>
      <c r="DH407" s="119"/>
      <c r="DI407" s="119"/>
      <c r="DJ407" s="119"/>
      <c r="DK407" s="119"/>
      <c r="DL407" s="119"/>
      <c r="DM407" s="119"/>
      <c r="DN407" s="119"/>
      <c r="DO407" s="119"/>
      <c r="DP407" s="119"/>
      <c r="DQ407" s="119"/>
      <c r="DR407" s="119"/>
      <c r="DS407" s="119"/>
      <c r="DT407" s="119"/>
      <c r="DU407" s="119"/>
      <c r="DV407" s="119"/>
      <c r="DW407" s="119"/>
      <c r="DX407" s="119"/>
      <c r="DY407" s="119"/>
      <c r="DZ407" s="119"/>
      <c r="EA407" s="119"/>
      <c r="EB407" s="119"/>
      <c r="EC407" s="119"/>
      <c r="ED407" s="119"/>
      <c r="EE407" s="119"/>
      <c r="EF407" s="119"/>
      <c r="EG407" s="119"/>
      <c r="EH407" s="119"/>
      <c r="EI407" s="119"/>
      <c r="EJ407" s="119"/>
      <c r="EK407" s="119"/>
      <c r="EL407" s="119"/>
      <c r="EM407" s="119"/>
      <c r="EN407" s="119"/>
      <c r="EO407" s="119"/>
      <c r="EP407" s="119"/>
      <c r="EQ407" s="119"/>
      <c r="ER407" s="119"/>
      <c r="ES407" s="119"/>
      <c r="ET407" s="119"/>
      <c r="EU407" s="119"/>
      <c r="EV407" s="119"/>
      <c r="EW407" s="119"/>
      <c r="EX407" s="119"/>
      <c r="EY407" s="119"/>
      <c r="EZ407" s="119"/>
      <c r="FA407" s="119"/>
      <c r="FB407" s="119"/>
      <c r="FC407" s="119"/>
      <c r="FD407" s="119"/>
      <c r="FE407" s="119"/>
      <c r="FF407" s="119"/>
      <c r="FG407" s="119"/>
      <c r="FH407" s="119"/>
      <c r="FI407" s="119"/>
      <c r="FJ407" s="119"/>
      <c r="FK407" s="119"/>
      <c r="FL407" s="119"/>
      <c r="FM407" s="119"/>
      <c r="FN407" s="119"/>
      <c r="FO407" s="119"/>
      <c r="FP407" s="119"/>
      <c r="FQ407" s="119"/>
      <c r="FR407" s="119"/>
    </row>
    <row x14ac:dyDescent="0.25" r="408" customHeight="1" ht="15">
      <c r="A408" s="112">
        <v>45919</v>
      </c>
      <c r="B408" s="112">
        <v>45922</v>
      </c>
      <c r="C408" s="107" t="s">
        <v>305</v>
      </c>
      <c r="D408" s="107" t="s">
        <v>43</v>
      </c>
      <c r="E408" s="108">
        <v>115382</v>
      </c>
      <c r="F408" s="108">
        <v>115793</v>
      </c>
      <c r="G408" s="109">
        <f>IF((F408-E408)&lt;0,0,(F408-E408))</f>
      </c>
      <c r="H408" s="110"/>
      <c r="I408" s="111">
        <f>IFERROR(SUMPRODUCT($G408*VLOOKUP($C408,'Vehicle Master'!$D:$F,3,0)),"")</f>
      </c>
      <c r="J408" s="11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19"/>
      <c r="AN408" s="119"/>
      <c r="AO408" s="119"/>
      <c r="AP408" s="119"/>
      <c r="AQ408" s="119"/>
      <c r="AR408" s="119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119"/>
      <c r="BF408" s="119"/>
      <c r="BG408" s="119"/>
      <c r="BH408" s="119"/>
      <c r="BI408" s="119"/>
      <c r="BJ408" s="119"/>
      <c r="BK408" s="119"/>
      <c r="BL408" s="119"/>
      <c r="BM408" s="119"/>
      <c r="BN408" s="119"/>
      <c r="BO408" s="119"/>
      <c r="BP408" s="119"/>
      <c r="BQ408" s="119"/>
      <c r="BR408" s="119"/>
      <c r="BS408" s="119"/>
      <c r="BT408" s="119"/>
      <c r="BU408" s="119"/>
      <c r="BV408" s="119"/>
      <c r="BW408" s="119"/>
      <c r="BX408" s="119"/>
      <c r="BY408" s="119"/>
      <c r="BZ408" s="119"/>
      <c r="CA408" s="119"/>
      <c r="CB408" s="119"/>
      <c r="CC408" s="119"/>
      <c r="CD408" s="119"/>
      <c r="CE408" s="119"/>
      <c r="CF408" s="119"/>
      <c r="CG408" s="119"/>
      <c r="CH408" s="119"/>
      <c r="CI408" s="119"/>
      <c r="CJ408" s="119"/>
      <c r="CK408" s="119"/>
      <c r="CL408" s="119"/>
      <c r="CM408" s="119"/>
      <c r="CN408" s="119"/>
      <c r="CO408" s="119"/>
      <c r="CP408" s="119"/>
      <c r="CQ408" s="119"/>
      <c r="CR408" s="119"/>
      <c r="CS408" s="119"/>
      <c r="CT408" s="119"/>
      <c r="CU408" s="119"/>
      <c r="CV408" s="119"/>
      <c r="CW408" s="119"/>
      <c r="CX408" s="119"/>
      <c r="CY408" s="119"/>
      <c r="CZ408" s="119"/>
      <c r="DA408" s="119"/>
      <c r="DB408" s="119"/>
      <c r="DC408" s="119"/>
      <c r="DD408" s="119"/>
      <c r="DE408" s="119"/>
      <c r="DF408" s="119"/>
      <c r="DG408" s="119"/>
      <c r="DH408" s="119"/>
      <c r="DI408" s="119"/>
      <c r="DJ408" s="119"/>
      <c r="DK408" s="119"/>
      <c r="DL408" s="119"/>
      <c r="DM408" s="119"/>
      <c r="DN408" s="119"/>
      <c r="DO408" s="119"/>
      <c r="DP408" s="119"/>
      <c r="DQ408" s="119"/>
      <c r="DR408" s="119"/>
      <c r="DS408" s="119"/>
      <c r="DT408" s="119"/>
      <c r="DU408" s="119"/>
      <c r="DV408" s="119"/>
      <c r="DW408" s="119"/>
      <c r="DX408" s="119"/>
      <c r="DY408" s="119"/>
      <c r="DZ408" s="119"/>
      <c r="EA408" s="119"/>
      <c r="EB408" s="119"/>
      <c r="EC408" s="119"/>
      <c r="ED408" s="119"/>
      <c r="EE408" s="119"/>
      <c r="EF408" s="119"/>
      <c r="EG408" s="119"/>
      <c r="EH408" s="119"/>
      <c r="EI408" s="119"/>
      <c r="EJ408" s="119"/>
      <c r="EK408" s="119"/>
      <c r="EL408" s="119"/>
      <c r="EM408" s="119"/>
      <c r="EN408" s="119"/>
      <c r="EO408" s="119"/>
      <c r="EP408" s="119"/>
      <c r="EQ408" s="119"/>
      <c r="ER408" s="119"/>
      <c r="ES408" s="119"/>
      <c r="ET408" s="119"/>
      <c r="EU408" s="119"/>
      <c r="EV408" s="119"/>
      <c r="EW408" s="119"/>
      <c r="EX408" s="119"/>
      <c r="EY408" s="119"/>
      <c r="EZ408" s="119"/>
      <c r="FA408" s="119"/>
      <c r="FB408" s="119"/>
      <c r="FC408" s="119"/>
      <c r="FD408" s="119"/>
      <c r="FE408" s="119"/>
      <c r="FF408" s="119"/>
      <c r="FG408" s="119"/>
      <c r="FH408" s="119"/>
      <c r="FI408" s="119"/>
      <c r="FJ408" s="119"/>
      <c r="FK408" s="119"/>
      <c r="FL408" s="119"/>
      <c r="FM408" s="119"/>
      <c r="FN408" s="119"/>
      <c r="FO408" s="119"/>
      <c r="FP408" s="119"/>
      <c r="FQ408" s="119"/>
      <c r="FR408" s="119"/>
    </row>
    <row x14ac:dyDescent="0.25" r="409" customHeight="1" ht="15">
      <c r="A409" s="112">
        <v>45919</v>
      </c>
      <c r="B409" s="112">
        <v>45921</v>
      </c>
      <c r="C409" s="107" t="s">
        <v>304</v>
      </c>
      <c r="D409" s="107" t="s">
        <v>39</v>
      </c>
      <c r="E409" s="108">
        <v>127746</v>
      </c>
      <c r="F409" s="108">
        <v>128156</v>
      </c>
      <c r="G409" s="109">
        <f>IF((F409-E409)&lt;0,0,(F409-E409))</f>
      </c>
      <c r="H409" s="110"/>
      <c r="I409" s="111">
        <f>IFERROR(SUMPRODUCT($G409*VLOOKUP($C409,'Vehicle Master'!$D:$F,3,0)),"")</f>
      </c>
      <c r="J409" s="11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19"/>
      <c r="AN409" s="119"/>
      <c r="AO409" s="119"/>
      <c r="AP409" s="119"/>
      <c r="AQ409" s="119"/>
      <c r="AR409" s="119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119"/>
      <c r="BF409" s="119"/>
      <c r="BG409" s="119"/>
      <c r="BH409" s="119"/>
      <c r="BI409" s="119"/>
      <c r="BJ409" s="119"/>
      <c r="BK409" s="119"/>
      <c r="BL409" s="119"/>
      <c r="BM409" s="119"/>
      <c r="BN409" s="119"/>
      <c r="BO409" s="119"/>
      <c r="BP409" s="119"/>
      <c r="BQ409" s="119"/>
      <c r="BR409" s="119"/>
      <c r="BS409" s="119"/>
      <c r="BT409" s="119"/>
      <c r="BU409" s="119"/>
      <c r="BV409" s="119"/>
      <c r="BW409" s="119"/>
      <c r="BX409" s="119"/>
      <c r="BY409" s="119"/>
      <c r="BZ409" s="119"/>
      <c r="CA409" s="119"/>
      <c r="CB409" s="119"/>
      <c r="CC409" s="119"/>
      <c r="CD409" s="119"/>
      <c r="CE409" s="119"/>
      <c r="CF409" s="119"/>
      <c r="CG409" s="119"/>
      <c r="CH409" s="119"/>
      <c r="CI409" s="119"/>
      <c r="CJ409" s="119"/>
      <c r="CK409" s="119"/>
      <c r="CL409" s="119"/>
      <c r="CM409" s="119"/>
      <c r="CN409" s="119"/>
      <c r="CO409" s="119"/>
      <c r="CP409" s="119"/>
      <c r="CQ409" s="119"/>
      <c r="CR409" s="119"/>
      <c r="CS409" s="119"/>
      <c r="CT409" s="119"/>
      <c r="CU409" s="119"/>
      <c r="CV409" s="119"/>
      <c r="CW409" s="119"/>
      <c r="CX409" s="119"/>
      <c r="CY409" s="119"/>
      <c r="CZ409" s="119"/>
      <c r="DA409" s="119"/>
      <c r="DB409" s="119"/>
      <c r="DC409" s="119"/>
      <c r="DD409" s="119"/>
      <c r="DE409" s="119"/>
      <c r="DF409" s="119"/>
      <c r="DG409" s="119"/>
      <c r="DH409" s="119"/>
      <c r="DI409" s="119"/>
      <c r="DJ409" s="119"/>
      <c r="DK409" s="119"/>
      <c r="DL409" s="119"/>
      <c r="DM409" s="119"/>
      <c r="DN409" s="119"/>
      <c r="DO409" s="119"/>
      <c r="DP409" s="119"/>
      <c r="DQ409" s="119"/>
      <c r="DR409" s="119"/>
      <c r="DS409" s="119"/>
      <c r="DT409" s="119"/>
      <c r="DU409" s="119"/>
      <c r="DV409" s="119"/>
      <c r="DW409" s="119"/>
      <c r="DX409" s="119"/>
      <c r="DY409" s="119"/>
      <c r="DZ409" s="119"/>
      <c r="EA409" s="119"/>
      <c r="EB409" s="119"/>
      <c r="EC409" s="119"/>
      <c r="ED409" s="119"/>
      <c r="EE409" s="119"/>
      <c r="EF409" s="119"/>
      <c r="EG409" s="119"/>
      <c r="EH409" s="119"/>
      <c r="EI409" s="119"/>
      <c r="EJ409" s="119"/>
      <c r="EK409" s="119"/>
      <c r="EL409" s="119"/>
      <c r="EM409" s="119"/>
      <c r="EN409" s="119"/>
      <c r="EO409" s="119"/>
      <c r="EP409" s="119"/>
      <c r="EQ409" s="119"/>
      <c r="ER409" s="119"/>
      <c r="ES409" s="119"/>
      <c r="ET409" s="119"/>
      <c r="EU409" s="119"/>
      <c r="EV409" s="119"/>
      <c r="EW409" s="119"/>
      <c r="EX409" s="119"/>
      <c r="EY409" s="119"/>
      <c r="EZ409" s="119"/>
      <c r="FA409" s="119"/>
      <c r="FB409" s="119"/>
      <c r="FC409" s="119"/>
      <c r="FD409" s="119"/>
      <c r="FE409" s="119"/>
      <c r="FF409" s="119"/>
      <c r="FG409" s="119"/>
      <c r="FH409" s="119"/>
      <c r="FI409" s="119"/>
      <c r="FJ409" s="119"/>
      <c r="FK409" s="119"/>
      <c r="FL409" s="119"/>
      <c r="FM409" s="119"/>
      <c r="FN409" s="119"/>
      <c r="FO409" s="119"/>
      <c r="FP409" s="119"/>
      <c r="FQ409" s="119"/>
      <c r="FR409" s="119"/>
    </row>
    <row x14ac:dyDescent="0.25" r="410" customHeight="1" ht="15">
      <c r="A410" s="112">
        <v>45920</v>
      </c>
      <c r="B410" s="112">
        <v>45921</v>
      </c>
      <c r="C410" s="107" t="s">
        <v>303</v>
      </c>
      <c r="D410" s="107" t="s">
        <v>45</v>
      </c>
      <c r="E410" s="108">
        <v>114141</v>
      </c>
      <c r="F410" s="108">
        <v>114441</v>
      </c>
      <c r="G410" s="109">
        <f>IF((F410-E410)&lt;0,0,(F410-E410))</f>
      </c>
      <c r="H410" s="110"/>
      <c r="I410" s="111">
        <f>IFERROR(SUMPRODUCT($G410*VLOOKUP($C410,'Vehicle Master'!$D:$F,3,0)),"")</f>
      </c>
      <c r="J410" s="11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19"/>
      <c r="AN410" s="119"/>
      <c r="AO410" s="119"/>
      <c r="AP410" s="119"/>
      <c r="AQ410" s="119"/>
      <c r="AR410" s="119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119"/>
      <c r="BF410" s="119"/>
      <c r="BG410" s="119"/>
      <c r="BH410" s="119"/>
      <c r="BI410" s="119"/>
      <c r="BJ410" s="119"/>
      <c r="BK410" s="119"/>
      <c r="BL410" s="119"/>
      <c r="BM410" s="119"/>
      <c r="BN410" s="119"/>
      <c r="BO410" s="119"/>
      <c r="BP410" s="119"/>
      <c r="BQ410" s="119"/>
      <c r="BR410" s="119"/>
      <c r="BS410" s="119"/>
      <c r="BT410" s="119"/>
      <c r="BU410" s="119"/>
      <c r="BV410" s="119"/>
      <c r="BW410" s="119"/>
      <c r="BX410" s="119"/>
      <c r="BY410" s="119"/>
      <c r="BZ410" s="119"/>
      <c r="CA410" s="119"/>
      <c r="CB410" s="119"/>
      <c r="CC410" s="119"/>
      <c r="CD410" s="119"/>
      <c r="CE410" s="119"/>
      <c r="CF410" s="119"/>
      <c r="CG410" s="119"/>
      <c r="CH410" s="119"/>
      <c r="CI410" s="119"/>
      <c r="CJ410" s="119"/>
      <c r="CK410" s="119"/>
      <c r="CL410" s="119"/>
      <c r="CM410" s="119"/>
      <c r="CN410" s="119"/>
      <c r="CO410" s="119"/>
      <c r="CP410" s="119"/>
      <c r="CQ410" s="119"/>
      <c r="CR410" s="119"/>
      <c r="CS410" s="119"/>
      <c r="CT410" s="119"/>
      <c r="CU410" s="119"/>
      <c r="CV410" s="119"/>
      <c r="CW410" s="119"/>
      <c r="CX410" s="119"/>
      <c r="CY410" s="119"/>
      <c r="CZ410" s="119"/>
      <c r="DA410" s="119"/>
      <c r="DB410" s="119"/>
      <c r="DC410" s="119"/>
      <c r="DD410" s="119"/>
      <c r="DE410" s="119"/>
      <c r="DF410" s="119"/>
      <c r="DG410" s="119"/>
      <c r="DH410" s="119"/>
      <c r="DI410" s="119"/>
      <c r="DJ410" s="119"/>
      <c r="DK410" s="119"/>
      <c r="DL410" s="119"/>
      <c r="DM410" s="119"/>
      <c r="DN410" s="119"/>
      <c r="DO410" s="119"/>
      <c r="DP410" s="119"/>
      <c r="DQ410" s="119"/>
      <c r="DR410" s="119"/>
      <c r="DS410" s="119"/>
      <c r="DT410" s="119"/>
      <c r="DU410" s="119"/>
      <c r="DV410" s="119"/>
      <c r="DW410" s="119"/>
      <c r="DX410" s="119"/>
      <c r="DY410" s="119"/>
      <c r="DZ410" s="119"/>
      <c r="EA410" s="119"/>
      <c r="EB410" s="119"/>
      <c r="EC410" s="119"/>
      <c r="ED410" s="119"/>
      <c r="EE410" s="119"/>
      <c r="EF410" s="119"/>
      <c r="EG410" s="119"/>
      <c r="EH410" s="119"/>
      <c r="EI410" s="119"/>
      <c r="EJ410" s="119"/>
      <c r="EK410" s="119"/>
      <c r="EL410" s="119"/>
      <c r="EM410" s="119"/>
      <c r="EN410" s="119"/>
      <c r="EO410" s="119"/>
      <c r="EP410" s="119"/>
      <c r="EQ410" s="119"/>
      <c r="ER410" s="119"/>
      <c r="ES410" s="119"/>
      <c r="ET410" s="119"/>
      <c r="EU410" s="119"/>
      <c r="EV410" s="119"/>
      <c r="EW410" s="119"/>
      <c r="EX410" s="119"/>
      <c r="EY410" s="119"/>
      <c r="EZ410" s="119"/>
      <c r="FA410" s="119"/>
      <c r="FB410" s="119"/>
      <c r="FC410" s="119"/>
      <c r="FD410" s="119"/>
      <c r="FE410" s="119"/>
      <c r="FF410" s="119"/>
      <c r="FG410" s="119"/>
      <c r="FH410" s="119"/>
      <c r="FI410" s="119"/>
      <c r="FJ410" s="119"/>
      <c r="FK410" s="119"/>
      <c r="FL410" s="119"/>
      <c r="FM410" s="119"/>
      <c r="FN410" s="119"/>
      <c r="FO410" s="119"/>
      <c r="FP410" s="119"/>
      <c r="FQ410" s="119"/>
      <c r="FR410" s="119"/>
    </row>
    <row x14ac:dyDescent="0.25" r="411" customHeight="1" ht="15">
      <c r="A411" s="112">
        <v>45922</v>
      </c>
      <c r="B411" s="112">
        <v>45924</v>
      </c>
      <c r="C411" s="107" t="s">
        <v>302</v>
      </c>
      <c r="D411" s="107" t="s">
        <v>42</v>
      </c>
      <c r="E411" s="108">
        <v>93177</v>
      </c>
      <c r="F411" s="108">
        <v>93835</v>
      </c>
      <c r="G411" s="109">
        <f>IF((F411-E411)&lt;0,0,(F411-E411))</f>
      </c>
      <c r="H411" s="110"/>
      <c r="I411" s="111">
        <f>IFERROR(SUMPRODUCT($G411*VLOOKUP($C411,'Vehicle Master'!$D:$F,3,0)),"")</f>
      </c>
      <c r="J411" s="11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19"/>
      <c r="AN411" s="119"/>
      <c r="AO411" s="119"/>
      <c r="AP411" s="119"/>
      <c r="AQ411" s="119"/>
      <c r="AR411" s="119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119"/>
      <c r="BF411" s="119"/>
      <c r="BG411" s="119"/>
      <c r="BH411" s="119"/>
      <c r="BI411" s="119"/>
      <c r="BJ411" s="119"/>
      <c r="BK411" s="119"/>
      <c r="BL411" s="119"/>
      <c r="BM411" s="119"/>
      <c r="BN411" s="119"/>
      <c r="BO411" s="119"/>
      <c r="BP411" s="119"/>
      <c r="BQ411" s="119"/>
      <c r="BR411" s="119"/>
      <c r="BS411" s="119"/>
      <c r="BT411" s="119"/>
      <c r="BU411" s="119"/>
      <c r="BV411" s="119"/>
      <c r="BW411" s="119"/>
      <c r="BX411" s="119"/>
      <c r="BY411" s="119"/>
      <c r="BZ411" s="119"/>
      <c r="CA411" s="119"/>
      <c r="CB411" s="119"/>
      <c r="CC411" s="119"/>
      <c r="CD411" s="119"/>
      <c r="CE411" s="119"/>
      <c r="CF411" s="119"/>
      <c r="CG411" s="119"/>
      <c r="CH411" s="119"/>
      <c r="CI411" s="119"/>
      <c r="CJ411" s="119"/>
      <c r="CK411" s="119"/>
      <c r="CL411" s="119"/>
      <c r="CM411" s="119"/>
      <c r="CN411" s="119"/>
      <c r="CO411" s="119"/>
      <c r="CP411" s="119"/>
      <c r="CQ411" s="119"/>
      <c r="CR411" s="119"/>
      <c r="CS411" s="119"/>
      <c r="CT411" s="119"/>
      <c r="CU411" s="119"/>
      <c r="CV411" s="119"/>
      <c r="CW411" s="119"/>
      <c r="CX411" s="119"/>
      <c r="CY411" s="119"/>
      <c r="CZ411" s="119"/>
      <c r="DA411" s="119"/>
      <c r="DB411" s="119"/>
      <c r="DC411" s="119"/>
      <c r="DD411" s="119"/>
      <c r="DE411" s="119"/>
      <c r="DF411" s="119"/>
      <c r="DG411" s="119"/>
      <c r="DH411" s="119"/>
      <c r="DI411" s="119"/>
      <c r="DJ411" s="119"/>
      <c r="DK411" s="119"/>
      <c r="DL411" s="119"/>
      <c r="DM411" s="119"/>
      <c r="DN411" s="119"/>
      <c r="DO411" s="119"/>
      <c r="DP411" s="119"/>
      <c r="DQ411" s="119"/>
      <c r="DR411" s="119"/>
      <c r="DS411" s="119"/>
      <c r="DT411" s="119"/>
      <c r="DU411" s="119"/>
      <c r="DV411" s="119"/>
      <c r="DW411" s="119"/>
      <c r="DX411" s="119"/>
      <c r="DY411" s="119"/>
      <c r="DZ411" s="119"/>
      <c r="EA411" s="119"/>
      <c r="EB411" s="119"/>
      <c r="EC411" s="119"/>
      <c r="ED411" s="119"/>
      <c r="EE411" s="119"/>
      <c r="EF411" s="119"/>
      <c r="EG411" s="119"/>
      <c r="EH411" s="119"/>
      <c r="EI411" s="119"/>
      <c r="EJ411" s="119"/>
      <c r="EK411" s="119"/>
      <c r="EL411" s="119"/>
      <c r="EM411" s="119"/>
      <c r="EN411" s="119"/>
      <c r="EO411" s="119"/>
      <c r="EP411" s="119"/>
      <c r="EQ411" s="119"/>
      <c r="ER411" s="119"/>
      <c r="ES411" s="119"/>
      <c r="ET411" s="119"/>
      <c r="EU411" s="119"/>
      <c r="EV411" s="119"/>
      <c r="EW411" s="119"/>
      <c r="EX411" s="119"/>
      <c r="EY411" s="119"/>
      <c r="EZ411" s="119"/>
      <c r="FA411" s="119"/>
      <c r="FB411" s="119"/>
      <c r="FC411" s="119"/>
      <c r="FD411" s="119"/>
      <c r="FE411" s="119"/>
      <c r="FF411" s="119"/>
      <c r="FG411" s="119"/>
      <c r="FH411" s="119"/>
      <c r="FI411" s="119"/>
      <c r="FJ411" s="119"/>
      <c r="FK411" s="119"/>
      <c r="FL411" s="119"/>
      <c r="FM411" s="119"/>
      <c r="FN411" s="119"/>
      <c r="FO411" s="119"/>
      <c r="FP411" s="119"/>
      <c r="FQ411" s="119"/>
      <c r="FR411" s="119"/>
    </row>
    <row x14ac:dyDescent="0.25" r="412" customHeight="1" ht="15">
      <c r="A412" s="112">
        <v>45922</v>
      </c>
      <c r="B412" s="112">
        <v>45924</v>
      </c>
      <c r="C412" s="107" t="s">
        <v>304</v>
      </c>
      <c r="D412" s="107" t="s">
        <v>39</v>
      </c>
      <c r="E412" s="108">
        <v>128156</v>
      </c>
      <c r="F412" s="108">
        <v>128466</v>
      </c>
      <c r="G412" s="109">
        <f>IF((F412-E412)&lt;0,0,(F412-E412))</f>
      </c>
      <c r="H412" s="110"/>
      <c r="I412" s="111">
        <f>IFERROR(SUMPRODUCT($G412*VLOOKUP($C412,'Vehicle Master'!$D:$F,3,0)),"")</f>
      </c>
      <c r="J412" s="11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19"/>
      <c r="AN412" s="119"/>
      <c r="AO412" s="119"/>
      <c r="AP412" s="119"/>
      <c r="AQ412" s="119"/>
      <c r="AR412" s="119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119"/>
      <c r="BF412" s="119"/>
      <c r="BG412" s="119"/>
      <c r="BH412" s="119"/>
      <c r="BI412" s="119"/>
      <c r="BJ412" s="119"/>
      <c r="BK412" s="119"/>
      <c r="BL412" s="119"/>
      <c r="BM412" s="119"/>
      <c r="BN412" s="119"/>
      <c r="BO412" s="119"/>
      <c r="BP412" s="119"/>
      <c r="BQ412" s="119"/>
      <c r="BR412" s="119"/>
      <c r="BS412" s="119"/>
      <c r="BT412" s="119"/>
      <c r="BU412" s="119"/>
      <c r="BV412" s="119"/>
      <c r="BW412" s="119"/>
      <c r="BX412" s="119"/>
      <c r="BY412" s="119"/>
      <c r="BZ412" s="119"/>
      <c r="CA412" s="119"/>
      <c r="CB412" s="119"/>
      <c r="CC412" s="119"/>
      <c r="CD412" s="119"/>
      <c r="CE412" s="119"/>
      <c r="CF412" s="119"/>
      <c r="CG412" s="119"/>
      <c r="CH412" s="119"/>
      <c r="CI412" s="119"/>
      <c r="CJ412" s="119"/>
      <c r="CK412" s="119"/>
      <c r="CL412" s="119"/>
      <c r="CM412" s="119"/>
      <c r="CN412" s="119"/>
      <c r="CO412" s="119"/>
      <c r="CP412" s="119"/>
      <c r="CQ412" s="119"/>
      <c r="CR412" s="119"/>
      <c r="CS412" s="119"/>
      <c r="CT412" s="119"/>
      <c r="CU412" s="119"/>
      <c r="CV412" s="119"/>
      <c r="CW412" s="119"/>
      <c r="CX412" s="119"/>
      <c r="CY412" s="119"/>
      <c r="CZ412" s="119"/>
      <c r="DA412" s="119"/>
      <c r="DB412" s="119"/>
      <c r="DC412" s="119"/>
      <c r="DD412" s="119"/>
      <c r="DE412" s="119"/>
      <c r="DF412" s="119"/>
      <c r="DG412" s="119"/>
      <c r="DH412" s="119"/>
      <c r="DI412" s="119"/>
      <c r="DJ412" s="119"/>
      <c r="DK412" s="119"/>
      <c r="DL412" s="119"/>
      <c r="DM412" s="119"/>
      <c r="DN412" s="119"/>
      <c r="DO412" s="119"/>
      <c r="DP412" s="119"/>
      <c r="DQ412" s="119"/>
      <c r="DR412" s="119"/>
      <c r="DS412" s="119"/>
      <c r="DT412" s="119"/>
      <c r="DU412" s="119"/>
      <c r="DV412" s="119"/>
      <c r="DW412" s="119"/>
      <c r="DX412" s="119"/>
      <c r="DY412" s="119"/>
      <c r="DZ412" s="119"/>
      <c r="EA412" s="119"/>
      <c r="EB412" s="119"/>
      <c r="EC412" s="119"/>
      <c r="ED412" s="119"/>
      <c r="EE412" s="119"/>
      <c r="EF412" s="119"/>
      <c r="EG412" s="119"/>
      <c r="EH412" s="119"/>
      <c r="EI412" s="119"/>
      <c r="EJ412" s="119"/>
      <c r="EK412" s="119"/>
      <c r="EL412" s="119"/>
      <c r="EM412" s="119"/>
      <c r="EN412" s="119"/>
      <c r="EO412" s="119"/>
      <c r="EP412" s="119"/>
      <c r="EQ412" s="119"/>
      <c r="ER412" s="119"/>
      <c r="ES412" s="119"/>
      <c r="ET412" s="119"/>
      <c r="EU412" s="119"/>
      <c r="EV412" s="119"/>
      <c r="EW412" s="119"/>
      <c r="EX412" s="119"/>
      <c r="EY412" s="119"/>
      <c r="EZ412" s="119"/>
      <c r="FA412" s="119"/>
      <c r="FB412" s="119"/>
      <c r="FC412" s="119"/>
      <c r="FD412" s="119"/>
      <c r="FE412" s="119"/>
      <c r="FF412" s="119"/>
      <c r="FG412" s="119"/>
      <c r="FH412" s="119"/>
      <c r="FI412" s="119"/>
      <c r="FJ412" s="119"/>
      <c r="FK412" s="119"/>
      <c r="FL412" s="119"/>
      <c r="FM412" s="119"/>
      <c r="FN412" s="119"/>
      <c r="FO412" s="119"/>
      <c r="FP412" s="119"/>
      <c r="FQ412" s="119"/>
      <c r="FR412" s="119"/>
    </row>
    <row x14ac:dyDescent="0.25" r="413" customHeight="1" ht="15">
      <c r="A413" s="112">
        <v>45923</v>
      </c>
      <c r="B413" s="112">
        <v>45924</v>
      </c>
      <c r="C413" s="107" t="s">
        <v>303</v>
      </c>
      <c r="D413" s="107" t="s">
        <v>45</v>
      </c>
      <c r="E413" s="108">
        <v>114441</v>
      </c>
      <c r="F413" s="108">
        <v>114810</v>
      </c>
      <c r="G413" s="109">
        <f>IF((F413-E413)&lt;0,0,(F413-E413))</f>
      </c>
      <c r="H413" s="110"/>
      <c r="I413" s="111">
        <f>IFERROR(SUMPRODUCT($G413*VLOOKUP($C413,'Vehicle Master'!$D:$F,3,0)),"")</f>
      </c>
      <c r="J413" s="11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19"/>
      <c r="AN413" s="119"/>
      <c r="AO413" s="119"/>
      <c r="AP413" s="119"/>
      <c r="AQ413" s="119"/>
      <c r="AR413" s="119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119"/>
      <c r="BF413" s="119"/>
      <c r="BG413" s="119"/>
      <c r="BH413" s="119"/>
      <c r="BI413" s="119"/>
      <c r="BJ413" s="119"/>
      <c r="BK413" s="119"/>
      <c r="BL413" s="119"/>
      <c r="BM413" s="119"/>
      <c r="BN413" s="119"/>
      <c r="BO413" s="119"/>
      <c r="BP413" s="119"/>
      <c r="BQ413" s="119"/>
      <c r="BR413" s="119"/>
      <c r="BS413" s="119"/>
      <c r="BT413" s="119"/>
      <c r="BU413" s="119"/>
      <c r="BV413" s="119"/>
      <c r="BW413" s="119"/>
      <c r="BX413" s="119"/>
      <c r="BY413" s="119"/>
      <c r="BZ413" s="119"/>
      <c r="CA413" s="119"/>
      <c r="CB413" s="119"/>
      <c r="CC413" s="119"/>
      <c r="CD413" s="119"/>
      <c r="CE413" s="119"/>
      <c r="CF413" s="119"/>
      <c r="CG413" s="119"/>
      <c r="CH413" s="119"/>
      <c r="CI413" s="119"/>
      <c r="CJ413" s="119"/>
      <c r="CK413" s="119"/>
      <c r="CL413" s="119"/>
      <c r="CM413" s="119"/>
      <c r="CN413" s="119"/>
      <c r="CO413" s="119"/>
      <c r="CP413" s="119"/>
      <c r="CQ413" s="119"/>
      <c r="CR413" s="119"/>
      <c r="CS413" s="119"/>
      <c r="CT413" s="119"/>
      <c r="CU413" s="119"/>
      <c r="CV413" s="119"/>
      <c r="CW413" s="119"/>
      <c r="CX413" s="119"/>
      <c r="CY413" s="119"/>
      <c r="CZ413" s="119"/>
      <c r="DA413" s="119"/>
      <c r="DB413" s="119"/>
      <c r="DC413" s="119"/>
      <c r="DD413" s="119"/>
      <c r="DE413" s="119"/>
      <c r="DF413" s="119"/>
      <c r="DG413" s="119"/>
      <c r="DH413" s="119"/>
      <c r="DI413" s="119"/>
      <c r="DJ413" s="119"/>
      <c r="DK413" s="119"/>
      <c r="DL413" s="119"/>
      <c r="DM413" s="119"/>
      <c r="DN413" s="119"/>
      <c r="DO413" s="119"/>
      <c r="DP413" s="119"/>
      <c r="DQ413" s="119"/>
      <c r="DR413" s="119"/>
      <c r="DS413" s="119"/>
      <c r="DT413" s="119"/>
      <c r="DU413" s="119"/>
      <c r="DV413" s="119"/>
      <c r="DW413" s="119"/>
      <c r="DX413" s="119"/>
      <c r="DY413" s="119"/>
      <c r="DZ413" s="119"/>
      <c r="EA413" s="119"/>
      <c r="EB413" s="119"/>
      <c r="EC413" s="119"/>
      <c r="ED413" s="119"/>
      <c r="EE413" s="119"/>
      <c r="EF413" s="119"/>
      <c r="EG413" s="119"/>
      <c r="EH413" s="119"/>
      <c r="EI413" s="119"/>
      <c r="EJ413" s="119"/>
      <c r="EK413" s="119"/>
      <c r="EL413" s="119"/>
      <c r="EM413" s="119"/>
      <c r="EN413" s="119"/>
      <c r="EO413" s="119"/>
      <c r="EP413" s="119"/>
      <c r="EQ413" s="119"/>
      <c r="ER413" s="119"/>
      <c r="ES413" s="119"/>
      <c r="ET413" s="119"/>
      <c r="EU413" s="119"/>
      <c r="EV413" s="119"/>
      <c r="EW413" s="119"/>
      <c r="EX413" s="119"/>
      <c r="EY413" s="119"/>
      <c r="EZ413" s="119"/>
      <c r="FA413" s="119"/>
      <c r="FB413" s="119"/>
      <c r="FC413" s="119"/>
      <c r="FD413" s="119"/>
      <c r="FE413" s="119"/>
      <c r="FF413" s="119"/>
      <c r="FG413" s="119"/>
      <c r="FH413" s="119"/>
      <c r="FI413" s="119"/>
      <c r="FJ413" s="119"/>
      <c r="FK413" s="119"/>
      <c r="FL413" s="119"/>
      <c r="FM413" s="119"/>
      <c r="FN413" s="119"/>
      <c r="FO413" s="119"/>
      <c r="FP413" s="119"/>
      <c r="FQ413" s="119"/>
      <c r="FR413" s="119"/>
    </row>
    <row x14ac:dyDescent="0.25" r="414" customHeight="1" ht="15">
      <c r="A414" s="112">
        <v>45923</v>
      </c>
      <c r="B414" s="112">
        <v>45924</v>
      </c>
      <c r="C414" s="107" t="s">
        <v>305</v>
      </c>
      <c r="D414" s="107" t="s">
        <v>43</v>
      </c>
      <c r="E414" s="108">
        <v>115793</v>
      </c>
      <c r="F414" s="108">
        <v>115978</v>
      </c>
      <c r="G414" s="109">
        <f>IF((F414-E414)&lt;0,0,(F414-E414))</f>
      </c>
      <c r="H414" s="110"/>
      <c r="I414" s="111">
        <f>IFERROR(SUMPRODUCT($G414*VLOOKUP($C414,'Vehicle Master'!$D:$F,3,0)),"")</f>
      </c>
      <c r="J414" s="11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19"/>
      <c r="AN414" s="119"/>
      <c r="AO414" s="119"/>
      <c r="AP414" s="119"/>
      <c r="AQ414" s="119"/>
      <c r="AR414" s="119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119"/>
      <c r="BF414" s="119"/>
      <c r="BG414" s="119"/>
      <c r="BH414" s="119"/>
      <c r="BI414" s="119"/>
      <c r="BJ414" s="119"/>
      <c r="BK414" s="119"/>
      <c r="BL414" s="119"/>
      <c r="BM414" s="119"/>
      <c r="BN414" s="119"/>
      <c r="BO414" s="119"/>
      <c r="BP414" s="119"/>
      <c r="BQ414" s="119"/>
      <c r="BR414" s="119"/>
      <c r="BS414" s="119"/>
      <c r="BT414" s="119"/>
      <c r="BU414" s="119"/>
      <c r="BV414" s="119"/>
      <c r="BW414" s="119"/>
      <c r="BX414" s="119"/>
      <c r="BY414" s="119"/>
      <c r="BZ414" s="119"/>
      <c r="CA414" s="119"/>
      <c r="CB414" s="119"/>
      <c r="CC414" s="119"/>
      <c r="CD414" s="119"/>
      <c r="CE414" s="119"/>
      <c r="CF414" s="119"/>
      <c r="CG414" s="119"/>
      <c r="CH414" s="119"/>
      <c r="CI414" s="119"/>
      <c r="CJ414" s="119"/>
      <c r="CK414" s="119"/>
      <c r="CL414" s="119"/>
      <c r="CM414" s="119"/>
      <c r="CN414" s="119"/>
      <c r="CO414" s="119"/>
      <c r="CP414" s="119"/>
      <c r="CQ414" s="119"/>
      <c r="CR414" s="119"/>
      <c r="CS414" s="119"/>
      <c r="CT414" s="119"/>
      <c r="CU414" s="119"/>
      <c r="CV414" s="119"/>
      <c r="CW414" s="119"/>
      <c r="CX414" s="119"/>
      <c r="CY414" s="119"/>
      <c r="CZ414" s="119"/>
      <c r="DA414" s="119"/>
      <c r="DB414" s="119"/>
      <c r="DC414" s="119"/>
      <c r="DD414" s="119"/>
      <c r="DE414" s="119"/>
      <c r="DF414" s="119"/>
      <c r="DG414" s="119"/>
      <c r="DH414" s="119"/>
      <c r="DI414" s="119"/>
      <c r="DJ414" s="119"/>
      <c r="DK414" s="119"/>
      <c r="DL414" s="119"/>
      <c r="DM414" s="119"/>
      <c r="DN414" s="119"/>
      <c r="DO414" s="119"/>
      <c r="DP414" s="119"/>
      <c r="DQ414" s="119"/>
      <c r="DR414" s="119"/>
      <c r="DS414" s="119"/>
      <c r="DT414" s="119"/>
      <c r="DU414" s="119"/>
      <c r="DV414" s="119"/>
      <c r="DW414" s="119"/>
      <c r="DX414" s="119"/>
      <c r="DY414" s="119"/>
      <c r="DZ414" s="119"/>
      <c r="EA414" s="119"/>
      <c r="EB414" s="119"/>
      <c r="EC414" s="119"/>
      <c r="ED414" s="119"/>
      <c r="EE414" s="119"/>
      <c r="EF414" s="119"/>
      <c r="EG414" s="119"/>
      <c r="EH414" s="119"/>
      <c r="EI414" s="119"/>
      <c r="EJ414" s="119"/>
      <c r="EK414" s="119"/>
      <c r="EL414" s="119"/>
      <c r="EM414" s="119"/>
      <c r="EN414" s="119"/>
      <c r="EO414" s="119"/>
      <c r="EP414" s="119"/>
      <c r="EQ414" s="119"/>
      <c r="ER414" s="119"/>
      <c r="ES414" s="119"/>
      <c r="ET414" s="119"/>
      <c r="EU414" s="119"/>
      <c r="EV414" s="119"/>
      <c r="EW414" s="119"/>
      <c r="EX414" s="119"/>
      <c r="EY414" s="119"/>
      <c r="EZ414" s="119"/>
      <c r="FA414" s="119"/>
      <c r="FB414" s="119"/>
      <c r="FC414" s="119"/>
      <c r="FD414" s="119"/>
      <c r="FE414" s="119"/>
      <c r="FF414" s="119"/>
      <c r="FG414" s="119"/>
      <c r="FH414" s="119"/>
      <c r="FI414" s="119"/>
      <c r="FJ414" s="119"/>
      <c r="FK414" s="119"/>
      <c r="FL414" s="119"/>
      <c r="FM414" s="119"/>
      <c r="FN414" s="119"/>
      <c r="FO414" s="119"/>
      <c r="FP414" s="119"/>
      <c r="FQ414" s="119"/>
      <c r="FR414" s="119"/>
    </row>
    <row x14ac:dyDescent="0.25" r="415" customHeight="1" ht="15">
      <c r="A415" s="112">
        <v>45924</v>
      </c>
      <c r="B415" s="112">
        <v>45924</v>
      </c>
      <c r="C415" s="107" t="s">
        <v>304</v>
      </c>
      <c r="D415" s="107" t="s">
        <v>39</v>
      </c>
      <c r="E415" s="108">
        <v>128466</v>
      </c>
      <c r="F415" s="108">
        <v>128616</v>
      </c>
      <c r="G415" s="109">
        <f>IF((F415-E415)&lt;0,0,(F415-E415))</f>
      </c>
      <c r="H415" s="110"/>
      <c r="I415" s="111">
        <f>IFERROR(SUMPRODUCT($G415*VLOOKUP($C415,'Vehicle Master'!$D:$F,3,0)),"")</f>
      </c>
      <c r="J415" s="11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19"/>
      <c r="AN415" s="119"/>
      <c r="AO415" s="119"/>
      <c r="AP415" s="119"/>
      <c r="AQ415" s="119"/>
      <c r="AR415" s="119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119"/>
      <c r="BF415" s="119"/>
      <c r="BG415" s="119"/>
      <c r="BH415" s="119"/>
      <c r="BI415" s="119"/>
      <c r="BJ415" s="119"/>
      <c r="BK415" s="119"/>
      <c r="BL415" s="119"/>
      <c r="BM415" s="119"/>
      <c r="BN415" s="119"/>
      <c r="BO415" s="119"/>
      <c r="BP415" s="119"/>
      <c r="BQ415" s="119"/>
      <c r="BR415" s="119"/>
      <c r="BS415" s="119"/>
      <c r="BT415" s="119"/>
      <c r="BU415" s="119"/>
      <c r="BV415" s="119"/>
      <c r="BW415" s="119"/>
      <c r="BX415" s="119"/>
      <c r="BY415" s="119"/>
      <c r="BZ415" s="119"/>
      <c r="CA415" s="119"/>
      <c r="CB415" s="119"/>
      <c r="CC415" s="119"/>
      <c r="CD415" s="119"/>
      <c r="CE415" s="119"/>
      <c r="CF415" s="119"/>
      <c r="CG415" s="119"/>
      <c r="CH415" s="119"/>
      <c r="CI415" s="119"/>
      <c r="CJ415" s="119"/>
      <c r="CK415" s="119"/>
      <c r="CL415" s="119"/>
      <c r="CM415" s="119"/>
      <c r="CN415" s="119"/>
      <c r="CO415" s="119"/>
      <c r="CP415" s="119"/>
      <c r="CQ415" s="119"/>
      <c r="CR415" s="119"/>
      <c r="CS415" s="119"/>
      <c r="CT415" s="119"/>
      <c r="CU415" s="119"/>
      <c r="CV415" s="119"/>
      <c r="CW415" s="119"/>
      <c r="CX415" s="119"/>
      <c r="CY415" s="119"/>
      <c r="CZ415" s="119"/>
      <c r="DA415" s="119"/>
      <c r="DB415" s="119"/>
      <c r="DC415" s="119"/>
      <c r="DD415" s="119"/>
      <c r="DE415" s="119"/>
      <c r="DF415" s="119"/>
      <c r="DG415" s="119"/>
      <c r="DH415" s="119"/>
      <c r="DI415" s="119"/>
      <c r="DJ415" s="119"/>
      <c r="DK415" s="119"/>
      <c r="DL415" s="119"/>
      <c r="DM415" s="119"/>
      <c r="DN415" s="119"/>
      <c r="DO415" s="119"/>
      <c r="DP415" s="119"/>
      <c r="DQ415" s="119"/>
      <c r="DR415" s="119"/>
      <c r="DS415" s="119"/>
      <c r="DT415" s="119"/>
      <c r="DU415" s="119"/>
      <c r="DV415" s="119"/>
      <c r="DW415" s="119"/>
      <c r="DX415" s="119"/>
      <c r="DY415" s="119"/>
      <c r="DZ415" s="119"/>
      <c r="EA415" s="119"/>
      <c r="EB415" s="119"/>
      <c r="EC415" s="119"/>
      <c r="ED415" s="119"/>
      <c r="EE415" s="119"/>
      <c r="EF415" s="119"/>
      <c r="EG415" s="119"/>
      <c r="EH415" s="119"/>
      <c r="EI415" s="119"/>
      <c r="EJ415" s="119"/>
      <c r="EK415" s="119"/>
      <c r="EL415" s="119"/>
      <c r="EM415" s="119"/>
      <c r="EN415" s="119"/>
      <c r="EO415" s="119"/>
      <c r="EP415" s="119"/>
      <c r="EQ415" s="119"/>
      <c r="ER415" s="119"/>
      <c r="ES415" s="119"/>
      <c r="ET415" s="119"/>
      <c r="EU415" s="119"/>
      <c r="EV415" s="119"/>
      <c r="EW415" s="119"/>
      <c r="EX415" s="119"/>
      <c r="EY415" s="119"/>
      <c r="EZ415" s="119"/>
      <c r="FA415" s="119"/>
      <c r="FB415" s="119"/>
      <c r="FC415" s="119"/>
      <c r="FD415" s="119"/>
      <c r="FE415" s="119"/>
      <c r="FF415" s="119"/>
      <c r="FG415" s="119"/>
      <c r="FH415" s="119"/>
      <c r="FI415" s="119"/>
      <c r="FJ415" s="119"/>
      <c r="FK415" s="119"/>
      <c r="FL415" s="119"/>
      <c r="FM415" s="119"/>
      <c r="FN415" s="119"/>
      <c r="FO415" s="119"/>
      <c r="FP415" s="119"/>
      <c r="FQ415" s="119"/>
      <c r="FR415" s="119"/>
    </row>
    <row x14ac:dyDescent="0.25" r="416" customHeight="1" ht="15">
      <c r="A416" s="112">
        <v>45924</v>
      </c>
      <c r="B416" s="112">
        <v>45925</v>
      </c>
      <c r="C416" s="107" t="s">
        <v>302</v>
      </c>
      <c r="D416" s="107" t="s">
        <v>42</v>
      </c>
      <c r="E416" s="108">
        <v>93835</v>
      </c>
      <c r="F416" s="108">
        <v>94038</v>
      </c>
      <c r="G416" s="109">
        <f>IF((F416-E416)&lt;0,0,(F416-E416))</f>
      </c>
      <c r="H416" s="110"/>
      <c r="I416" s="111">
        <f>IFERROR(SUMPRODUCT($G416*VLOOKUP($C416,'Vehicle Master'!$D:$F,3,0)),"")</f>
      </c>
      <c r="J416" s="11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19"/>
      <c r="AN416" s="119"/>
      <c r="AO416" s="119"/>
      <c r="AP416" s="119"/>
      <c r="AQ416" s="119"/>
      <c r="AR416" s="119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119"/>
      <c r="BF416" s="119"/>
      <c r="BG416" s="119"/>
      <c r="BH416" s="119"/>
      <c r="BI416" s="119"/>
      <c r="BJ416" s="119"/>
      <c r="BK416" s="119"/>
      <c r="BL416" s="119"/>
      <c r="BM416" s="119"/>
      <c r="BN416" s="119"/>
      <c r="BO416" s="119"/>
      <c r="BP416" s="119"/>
      <c r="BQ416" s="119"/>
      <c r="BR416" s="119"/>
      <c r="BS416" s="119"/>
      <c r="BT416" s="119"/>
      <c r="BU416" s="119"/>
      <c r="BV416" s="119"/>
      <c r="BW416" s="119"/>
      <c r="BX416" s="119"/>
      <c r="BY416" s="119"/>
      <c r="BZ416" s="119"/>
      <c r="CA416" s="119"/>
      <c r="CB416" s="119"/>
      <c r="CC416" s="119"/>
      <c r="CD416" s="119"/>
      <c r="CE416" s="119"/>
      <c r="CF416" s="119"/>
      <c r="CG416" s="119"/>
      <c r="CH416" s="119"/>
      <c r="CI416" s="119"/>
      <c r="CJ416" s="119"/>
      <c r="CK416" s="119"/>
      <c r="CL416" s="119"/>
      <c r="CM416" s="119"/>
      <c r="CN416" s="119"/>
      <c r="CO416" s="119"/>
      <c r="CP416" s="119"/>
      <c r="CQ416" s="119"/>
      <c r="CR416" s="119"/>
      <c r="CS416" s="119"/>
      <c r="CT416" s="119"/>
      <c r="CU416" s="119"/>
      <c r="CV416" s="119"/>
      <c r="CW416" s="119"/>
      <c r="CX416" s="119"/>
      <c r="CY416" s="119"/>
      <c r="CZ416" s="119"/>
      <c r="DA416" s="119"/>
      <c r="DB416" s="119"/>
      <c r="DC416" s="119"/>
      <c r="DD416" s="119"/>
      <c r="DE416" s="119"/>
      <c r="DF416" s="119"/>
      <c r="DG416" s="119"/>
      <c r="DH416" s="119"/>
      <c r="DI416" s="119"/>
      <c r="DJ416" s="119"/>
      <c r="DK416" s="119"/>
      <c r="DL416" s="119"/>
      <c r="DM416" s="119"/>
      <c r="DN416" s="119"/>
      <c r="DO416" s="119"/>
      <c r="DP416" s="119"/>
      <c r="DQ416" s="119"/>
      <c r="DR416" s="119"/>
      <c r="DS416" s="119"/>
      <c r="DT416" s="119"/>
      <c r="DU416" s="119"/>
      <c r="DV416" s="119"/>
      <c r="DW416" s="119"/>
      <c r="DX416" s="119"/>
      <c r="DY416" s="119"/>
      <c r="DZ416" s="119"/>
      <c r="EA416" s="119"/>
      <c r="EB416" s="119"/>
      <c r="EC416" s="119"/>
      <c r="ED416" s="119"/>
      <c r="EE416" s="119"/>
      <c r="EF416" s="119"/>
      <c r="EG416" s="119"/>
      <c r="EH416" s="119"/>
      <c r="EI416" s="119"/>
      <c r="EJ416" s="119"/>
      <c r="EK416" s="119"/>
      <c r="EL416" s="119"/>
      <c r="EM416" s="119"/>
      <c r="EN416" s="119"/>
      <c r="EO416" s="119"/>
      <c r="EP416" s="119"/>
      <c r="EQ416" s="119"/>
      <c r="ER416" s="119"/>
      <c r="ES416" s="119"/>
      <c r="ET416" s="119"/>
      <c r="EU416" s="119"/>
      <c r="EV416" s="119"/>
      <c r="EW416" s="119"/>
      <c r="EX416" s="119"/>
      <c r="EY416" s="119"/>
      <c r="EZ416" s="119"/>
      <c r="FA416" s="119"/>
      <c r="FB416" s="119"/>
      <c r="FC416" s="119"/>
      <c r="FD416" s="119"/>
      <c r="FE416" s="119"/>
      <c r="FF416" s="119"/>
      <c r="FG416" s="119"/>
      <c r="FH416" s="119"/>
      <c r="FI416" s="119"/>
      <c r="FJ416" s="119"/>
      <c r="FK416" s="119"/>
      <c r="FL416" s="119"/>
      <c r="FM416" s="119"/>
      <c r="FN416" s="119"/>
      <c r="FO416" s="119"/>
      <c r="FP416" s="119"/>
      <c r="FQ416" s="119"/>
      <c r="FR416" s="119"/>
    </row>
    <row x14ac:dyDescent="0.25" r="417" customHeight="1" ht="15">
      <c r="A417" s="112">
        <v>45925</v>
      </c>
      <c r="B417" s="112">
        <v>45926</v>
      </c>
      <c r="C417" s="107" t="s">
        <v>303</v>
      </c>
      <c r="D417" s="107" t="s">
        <v>45</v>
      </c>
      <c r="E417" s="108">
        <v>114810</v>
      </c>
      <c r="F417" s="108">
        <v>115153</v>
      </c>
      <c r="G417" s="109">
        <f>IF((F417-E417)&lt;0,0,(F417-E417))</f>
      </c>
      <c r="H417" s="110"/>
      <c r="I417" s="111">
        <f>IFERROR(SUMPRODUCT($G417*VLOOKUP($C417,'Vehicle Master'!$D:$F,3,0)),"")</f>
      </c>
      <c r="J417" s="11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/>
      <c r="AP417" s="119"/>
      <c r="AQ417" s="119"/>
      <c r="AR417" s="119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119"/>
      <c r="BF417" s="119"/>
      <c r="BG417" s="119"/>
      <c r="BH417" s="119"/>
      <c r="BI417" s="119"/>
      <c r="BJ417" s="119"/>
      <c r="BK417" s="119"/>
      <c r="BL417" s="119"/>
      <c r="BM417" s="119"/>
      <c r="BN417" s="119"/>
      <c r="BO417" s="119"/>
      <c r="BP417" s="119"/>
      <c r="BQ417" s="119"/>
      <c r="BR417" s="119"/>
      <c r="BS417" s="119"/>
      <c r="BT417" s="119"/>
      <c r="BU417" s="119"/>
      <c r="BV417" s="119"/>
      <c r="BW417" s="119"/>
      <c r="BX417" s="119"/>
      <c r="BY417" s="119"/>
      <c r="BZ417" s="119"/>
      <c r="CA417" s="119"/>
      <c r="CB417" s="119"/>
      <c r="CC417" s="119"/>
      <c r="CD417" s="119"/>
      <c r="CE417" s="119"/>
      <c r="CF417" s="119"/>
      <c r="CG417" s="119"/>
      <c r="CH417" s="119"/>
      <c r="CI417" s="119"/>
      <c r="CJ417" s="119"/>
      <c r="CK417" s="119"/>
      <c r="CL417" s="119"/>
      <c r="CM417" s="119"/>
      <c r="CN417" s="119"/>
      <c r="CO417" s="119"/>
      <c r="CP417" s="119"/>
      <c r="CQ417" s="119"/>
      <c r="CR417" s="119"/>
      <c r="CS417" s="119"/>
      <c r="CT417" s="119"/>
      <c r="CU417" s="119"/>
      <c r="CV417" s="119"/>
      <c r="CW417" s="119"/>
      <c r="CX417" s="119"/>
      <c r="CY417" s="119"/>
      <c r="CZ417" s="119"/>
      <c r="DA417" s="119"/>
      <c r="DB417" s="119"/>
      <c r="DC417" s="119"/>
      <c r="DD417" s="119"/>
      <c r="DE417" s="119"/>
      <c r="DF417" s="119"/>
      <c r="DG417" s="119"/>
      <c r="DH417" s="119"/>
      <c r="DI417" s="119"/>
      <c r="DJ417" s="119"/>
      <c r="DK417" s="119"/>
      <c r="DL417" s="119"/>
      <c r="DM417" s="119"/>
      <c r="DN417" s="119"/>
      <c r="DO417" s="119"/>
      <c r="DP417" s="119"/>
      <c r="DQ417" s="119"/>
      <c r="DR417" s="119"/>
      <c r="DS417" s="119"/>
      <c r="DT417" s="119"/>
      <c r="DU417" s="119"/>
      <c r="DV417" s="119"/>
      <c r="DW417" s="119"/>
      <c r="DX417" s="119"/>
      <c r="DY417" s="119"/>
      <c r="DZ417" s="119"/>
      <c r="EA417" s="119"/>
      <c r="EB417" s="119"/>
      <c r="EC417" s="119"/>
      <c r="ED417" s="119"/>
      <c r="EE417" s="119"/>
      <c r="EF417" s="119"/>
      <c r="EG417" s="119"/>
      <c r="EH417" s="119"/>
      <c r="EI417" s="119"/>
      <c r="EJ417" s="119"/>
      <c r="EK417" s="119"/>
      <c r="EL417" s="119"/>
      <c r="EM417" s="119"/>
      <c r="EN417" s="119"/>
      <c r="EO417" s="119"/>
      <c r="EP417" s="119"/>
      <c r="EQ417" s="119"/>
      <c r="ER417" s="119"/>
      <c r="ES417" s="119"/>
      <c r="ET417" s="119"/>
      <c r="EU417" s="119"/>
      <c r="EV417" s="119"/>
      <c r="EW417" s="119"/>
      <c r="EX417" s="119"/>
      <c r="EY417" s="119"/>
      <c r="EZ417" s="119"/>
      <c r="FA417" s="119"/>
      <c r="FB417" s="119"/>
      <c r="FC417" s="119"/>
      <c r="FD417" s="119"/>
      <c r="FE417" s="119"/>
      <c r="FF417" s="119"/>
      <c r="FG417" s="119"/>
      <c r="FH417" s="119"/>
      <c r="FI417" s="119"/>
      <c r="FJ417" s="119"/>
      <c r="FK417" s="119"/>
      <c r="FL417" s="119"/>
      <c r="FM417" s="119"/>
      <c r="FN417" s="119"/>
      <c r="FO417" s="119"/>
      <c r="FP417" s="119"/>
      <c r="FQ417" s="119"/>
      <c r="FR417" s="119"/>
    </row>
    <row x14ac:dyDescent="0.25" r="418" customHeight="1" ht="15">
      <c r="A418" s="112">
        <v>45925</v>
      </c>
      <c r="B418" s="112">
        <v>45926</v>
      </c>
      <c r="C418" s="107" t="s">
        <v>304</v>
      </c>
      <c r="D418" s="107" t="s">
        <v>39</v>
      </c>
      <c r="E418" s="108">
        <v>128616</v>
      </c>
      <c r="F418" s="108">
        <v>128871</v>
      </c>
      <c r="G418" s="109">
        <f>IF((F418-E418)&lt;0,0,(F418-E418))</f>
      </c>
      <c r="H418" s="110"/>
      <c r="I418" s="111">
        <f>IFERROR(SUMPRODUCT($G418*VLOOKUP($C418,'Vehicle Master'!$D:$F,3,0)),"")</f>
      </c>
      <c r="J418" s="11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119"/>
      <c r="BF418" s="119"/>
      <c r="BG418" s="119"/>
      <c r="BH418" s="119"/>
      <c r="BI418" s="119"/>
      <c r="BJ418" s="119"/>
      <c r="BK418" s="119"/>
      <c r="BL418" s="119"/>
      <c r="BM418" s="119"/>
      <c r="BN418" s="119"/>
      <c r="BO418" s="119"/>
      <c r="BP418" s="119"/>
      <c r="BQ418" s="119"/>
      <c r="BR418" s="119"/>
      <c r="BS418" s="119"/>
      <c r="BT418" s="119"/>
      <c r="BU418" s="119"/>
      <c r="BV418" s="119"/>
      <c r="BW418" s="119"/>
      <c r="BX418" s="119"/>
      <c r="BY418" s="119"/>
      <c r="BZ418" s="119"/>
      <c r="CA418" s="119"/>
      <c r="CB418" s="119"/>
      <c r="CC418" s="119"/>
      <c r="CD418" s="119"/>
      <c r="CE418" s="119"/>
      <c r="CF418" s="119"/>
      <c r="CG418" s="119"/>
      <c r="CH418" s="119"/>
      <c r="CI418" s="119"/>
      <c r="CJ418" s="119"/>
      <c r="CK418" s="119"/>
      <c r="CL418" s="119"/>
      <c r="CM418" s="119"/>
      <c r="CN418" s="119"/>
      <c r="CO418" s="119"/>
      <c r="CP418" s="119"/>
      <c r="CQ418" s="119"/>
      <c r="CR418" s="119"/>
      <c r="CS418" s="119"/>
      <c r="CT418" s="119"/>
      <c r="CU418" s="119"/>
      <c r="CV418" s="119"/>
      <c r="CW418" s="119"/>
      <c r="CX418" s="119"/>
      <c r="CY418" s="119"/>
      <c r="CZ418" s="119"/>
      <c r="DA418" s="119"/>
      <c r="DB418" s="119"/>
      <c r="DC418" s="119"/>
      <c r="DD418" s="119"/>
      <c r="DE418" s="119"/>
      <c r="DF418" s="119"/>
      <c r="DG418" s="119"/>
      <c r="DH418" s="119"/>
      <c r="DI418" s="119"/>
      <c r="DJ418" s="119"/>
      <c r="DK418" s="119"/>
      <c r="DL418" s="119"/>
      <c r="DM418" s="119"/>
      <c r="DN418" s="119"/>
      <c r="DO418" s="119"/>
      <c r="DP418" s="119"/>
      <c r="DQ418" s="119"/>
      <c r="DR418" s="119"/>
      <c r="DS418" s="119"/>
      <c r="DT418" s="119"/>
      <c r="DU418" s="119"/>
      <c r="DV418" s="119"/>
      <c r="DW418" s="119"/>
      <c r="DX418" s="119"/>
      <c r="DY418" s="119"/>
      <c r="DZ418" s="119"/>
      <c r="EA418" s="119"/>
      <c r="EB418" s="119"/>
      <c r="EC418" s="119"/>
      <c r="ED418" s="119"/>
      <c r="EE418" s="119"/>
      <c r="EF418" s="119"/>
      <c r="EG418" s="119"/>
      <c r="EH418" s="119"/>
      <c r="EI418" s="119"/>
      <c r="EJ418" s="119"/>
      <c r="EK418" s="119"/>
      <c r="EL418" s="119"/>
      <c r="EM418" s="119"/>
      <c r="EN418" s="119"/>
      <c r="EO418" s="119"/>
      <c r="EP418" s="119"/>
      <c r="EQ418" s="119"/>
      <c r="ER418" s="119"/>
      <c r="ES418" s="119"/>
      <c r="ET418" s="119"/>
      <c r="EU418" s="119"/>
      <c r="EV418" s="119"/>
      <c r="EW418" s="119"/>
      <c r="EX418" s="119"/>
      <c r="EY418" s="119"/>
      <c r="EZ418" s="119"/>
      <c r="FA418" s="119"/>
      <c r="FB418" s="119"/>
      <c r="FC418" s="119"/>
      <c r="FD418" s="119"/>
      <c r="FE418" s="119"/>
      <c r="FF418" s="119"/>
      <c r="FG418" s="119"/>
      <c r="FH418" s="119"/>
      <c r="FI418" s="119"/>
      <c r="FJ418" s="119"/>
      <c r="FK418" s="119"/>
      <c r="FL418" s="119"/>
      <c r="FM418" s="119"/>
      <c r="FN418" s="119"/>
      <c r="FO418" s="119"/>
      <c r="FP418" s="119"/>
      <c r="FQ418" s="119"/>
      <c r="FR418" s="119"/>
    </row>
    <row x14ac:dyDescent="0.25" r="419" customHeight="1" ht="15">
      <c r="A419" s="112">
        <v>45925</v>
      </c>
      <c r="B419" s="112">
        <v>45927</v>
      </c>
      <c r="C419" s="107" t="s">
        <v>305</v>
      </c>
      <c r="D419" s="107" t="s">
        <v>43</v>
      </c>
      <c r="E419" s="108">
        <v>115978</v>
      </c>
      <c r="F419" s="108">
        <v>116589</v>
      </c>
      <c r="G419" s="109">
        <f>IF((F419-E419)&lt;0,0,(F419-E419))</f>
      </c>
      <c r="H419" s="110"/>
      <c r="I419" s="111">
        <f>IFERROR(SUMPRODUCT($G419*VLOOKUP($C419,'Vehicle Master'!$D:$F,3,0)),"")</f>
      </c>
      <c r="J419" s="11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19"/>
      <c r="AN419" s="119"/>
      <c r="AO419" s="119"/>
      <c r="AP419" s="119"/>
      <c r="AQ419" s="119"/>
      <c r="AR419" s="119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119"/>
      <c r="BF419" s="119"/>
      <c r="BG419" s="119"/>
      <c r="BH419" s="119"/>
      <c r="BI419" s="119"/>
      <c r="BJ419" s="119"/>
      <c r="BK419" s="119"/>
      <c r="BL419" s="119"/>
      <c r="BM419" s="119"/>
      <c r="BN419" s="119"/>
      <c r="BO419" s="119"/>
      <c r="BP419" s="119"/>
      <c r="BQ419" s="119"/>
      <c r="BR419" s="119"/>
      <c r="BS419" s="119"/>
      <c r="BT419" s="119"/>
      <c r="BU419" s="119"/>
      <c r="BV419" s="119"/>
      <c r="BW419" s="119"/>
      <c r="BX419" s="119"/>
      <c r="BY419" s="119"/>
      <c r="BZ419" s="119"/>
      <c r="CA419" s="119"/>
      <c r="CB419" s="119"/>
      <c r="CC419" s="119"/>
      <c r="CD419" s="119"/>
      <c r="CE419" s="119"/>
      <c r="CF419" s="119"/>
      <c r="CG419" s="119"/>
      <c r="CH419" s="119"/>
      <c r="CI419" s="119"/>
      <c r="CJ419" s="119"/>
      <c r="CK419" s="119"/>
      <c r="CL419" s="119"/>
      <c r="CM419" s="119"/>
      <c r="CN419" s="119"/>
      <c r="CO419" s="119"/>
      <c r="CP419" s="119"/>
      <c r="CQ419" s="119"/>
      <c r="CR419" s="119"/>
      <c r="CS419" s="119"/>
      <c r="CT419" s="119"/>
      <c r="CU419" s="119"/>
      <c r="CV419" s="119"/>
      <c r="CW419" s="119"/>
      <c r="CX419" s="119"/>
      <c r="CY419" s="119"/>
      <c r="CZ419" s="119"/>
      <c r="DA419" s="119"/>
      <c r="DB419" s="119"/>
      <c r="DC419" s="119"/>
      <c r="DD419" s="119"/>
      <c r="DE419" s="119"/>
      <c r="DF419" s="119"/>
      <c r="DG419" s="119"/>
      <c r="DH419" s="119"/>
      <c r="DI419" s="119"/>
      <c r="DJ419" s="119"/>
      <c r="DK419" s="119"/>
      <c r="DL419" s="119"/>
      <c r="DM419" s="119"/>
      <c r="DN419" s="119"/>
      <c r="DO419" s="119"/>
      <c r="DP419" s="119"/>
      <c r="DQ419" s="119"/>
      <c r="DR419" s="119"/>
      <c r="DS419" s="119"/>
      <c r="DT419" s="119"/>
      <c r="DU419" s="119"/>
      <c r="DV419" s="119"/>
      <c r="DW419" s="119"/>
      <c r="DX419" s="119"/>
      <c r="DY419" s="119"/>
      <c r="DZ419" s="119"/>
      <c r="EA419" s="119"/>
      <c r="EB419" s="119"/>
      <c r="EC419" s="119"/>
      <c r="ED419" s="119"/>
      <c r="EE419" s="119"/>
      <c r="EF419" s="119"/>
      <c r="EG419" s="119"/>
      <c r="EH419" s="119"/>
      <c r="EI419" s="119"/>
      <c r="EJ419" s="119"/>
      <c r="EK419" s="119"/>
      <c r="EL419" s="119"/>
      <c r="EM419" s="119"/>
      <c r="EN419" s="119"/>
      <c r="EO419" s="119"/>
      <c r="EP419" s="119"/>
      <c r="EQ419" s="119"/>
      <c r="ER419" s="119"/>
      <c r="ES419" s="119"/>
      <c r="ET419" s="119"/>
      <c r="EU419" s="119"/>
      <c r="EV419" s="119"/>
      <c r="EW419" s="119"/>
      <c r="EX419" s="119"/>
      <c r="EY419" s="119"/>
      <c r="EZ419" s="119"/>
      <c r="FA419" s="119"/>
      <c r="FB419" s="119"/>
      <c r="FC419" s="119"/>
      <c r="FD419" s="119"/>
      <c r="FE419" s="119"/>
      <c r="FF419" s="119"/>
      <c r="FG419" s="119"/>
      <c r="FH419" s="119"/>
      <c r="FI419" s="119"/>
      <c r="FJ419" s="119"/>
      <c r="FK419" s="119"/>
      <c r="FL419" s="119"/>
      <c r="FM419" s="119"/>
      <c r="FN419" s="119"/>
      <c r="FO419" s="119"/>
      <c r="FP419" s="119"/>
      <c r="FQ419" s="119"/>
      <c r="FR419" s="119"/>
    </row>
    <row x14ac:dyDescent="0.25" r="420" customHeight="1" ht="15">
      <c r="A420" s="112">
        <v>45926</v>
      </c>
      <c r="B420" s="112">
        <v>45927</v>
      </c>
      <c r="C420" s="107" t="s">
        <v>302</v>
      </c>
      <c r="D420" s="107" t="s">
        <v>42</v>
      </c>
      <c r="E420" s="108">
        <v>94038</v>
      </c>
      <c r="F420" s="108">
        <v>94447</v>
      </c>
      <c r="G420" s="109">
        <f>IF((F420-E420)&lt;0,0,(F420-E420))</f>
      </c>
      <c r="H420" s="110"/>
      <c r="I420" s="111">
        <f>IFERROR(SUMPRODUCT($G420*VLOOKUP($C420,'Vehicle Master'!$D:$F,3,0)),"")</f>
      </c>
      <c r="J420" s="11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/>
      <c r="AP420" s="119"/>
      <c r="AQ420" s="119"/>
      <c r="AR420" s="119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119"/>
      <c r="BF420" s="119"/>
      <c r="BG420" s="119"/>
      <c r="BH420" s="119"/>
      <c r="BI420" s="119"/>
      <c r="BJ420" s="119"/>
      <c r="BK420" s="119"/>
      <c r="BL420" s="119"/>
      <c r="BM420" s="119"/>
      <c r="BN420" s="119"/>
      <c r="BO420" s="119"/>
      <c r="BP420" s="119"/>
      <c r="BQ420" s="119"/>
      <c r="BR420" s="119"/>
      <c r="BS420" s="119"/>
      <c r="BT420" s="119"/>
      <c r="BU420" s="119"/>
      <c r="BV420" s="119"/>
      <c r="BW420" s="119"/>
      <c r="BX420" s="119"/>
      <c r="BY420" s="119"/>
      <c r="BZ420" s="119"/>
      <c r="CA420" s="119"/>
      <c r="CB420" s="119"/>
      <c r="CC420" s="119"/>
      <c r="CD420" s="119"/>
      <c r="CE420" s="119"/>
      <c r="CF420" s="119"/>
      <c r="CG420" s="119"/>
      <c r="CH420" s="119"/>
      <c r="CI420" s="119"/>
      <c r="CJ420" s="119"/>
      <c r="CK420" s="119"/>
      <c r="CL420" s="119"/>
      <c r="CM420" s="119"/>
      <c r="CN420" s="119"/>
      <c r="CO420" s="119"/>
      <c r="CP420" s="119"/>
      <c r="CQ420" s="119"/>
      <c r="CR420" s="119"/>
      <c r="CS420" s="119"/>
      <c r="CT420" s="119"/>
      <c r="CU420" s="119"/>
      <c r="CV420" s="119"/>
      <c r="CW420" s="119"/>
      <c r="CX420" s="119"/>
      <c r="CY420" s="119"/>
      <c r="CZ420" s="119"/>
      <c r="DA420" s="119"/>
      <c r="DB420" s="119"/>
      <c r="DC420" s="119"/>
      <c r="DD420" s="119"/>
      <c r="DE420" s="119"/>
      <c r="DF420" s="119"/>
      <c r="DG420" s="119"/>
      <c r="DH420" s="119"/>
      <c r="DI420" s="119"/>
      <c r="DJ420" s="119"/>
      <c r="DK420" s="119"/>
      <c r="DL420" s="119"/>
      <c r="DM420" s="119"/>
      <c r="DN420" s="119"/>
      <c r="DO420" s="119"/>
      <c r="DP420" s="119"/>
      <c r="DQ420" s="119"/>
      <c r="DR420" s="119"/>
      <c r="DS420" s="119"/>
      <c r="DT420" s="119"/>
      <c r="DU420" s="119"/>
      <c r="DV420" s="119"/>
      <c r="DW420" s="119"/>
      <c r="DX420" s="119"/>
      <c r="DY420" s="119"/>
      <c r="DZ420" s="119"/>
      <c r="EA420" s="119"/>
      <c r="EB420" s="119"/>
      <c r="EC420" s="119"/>
      <c r="ED420" s="119"/>
      <c r="EE420" s="119"/>
      <c r="EF420" s="119"/>
      <c r="EG420" s="119"/>
      <c r="EH420" s="119"/>
      <c r="EI420" s="119"/>
      <c r="EJ420" s="119"/>
      <c r="EK420" s="119"/>
      <c r="EL420" s="119"/>
      <c r="EM420" s="119"/>
      <c r="EN420" s="119"/>
      <c r="EO420" s="119"/>
      <c r="EP420" s="119"/>
      <c r="EQ420" s="119"/>
      <c r="ER420" s="119"/>
      <c r="ES420" s="119"/>
      <c r="ET420" s="119"/>
      <c r="EU420" s="119"/>
      <c r="EV420" s="119"/>
      <c r="EW420" s="119"/>
      <c r="EX420" s="119"/>
      <c r="EY420" s="119"/>
      <c r="EZ420" s="119"/>
      <c r="FA420" s="119"/>
      <c r="FB420" s="119"/>
      <c r="FC420" s="119"/>
      <c r="FD420" s="119"/>
      <c r="FE420" s="119"/>
      <c r="FF420" s="119"/>
      <c r="FG420" s="119"/>
      <c r="FH420" s="119"/>
      <c r="FI420" s="119"/>
      <c r="FJ420" s="119"/>
      <c r="FK420" s="119"/>
      <c r="FL420" s="119"/>
      <c r="FM420" s="119"/>
      <c r="FN420" s="119"/>
      <c r="FO420" s="119"/>
      <c r="FP420" s="119"/>
      <c r="FQ420" s="119"/>
      <c r="FR420" s="119"/>
    </row>
    <row x14ac:dyDescent="0.25" r="421" customHeight="1" ht="15">
      <c r="A421" s="112">
        <v>45926</v>
      </c>
      <c r="B421" s="112">
        <v>45927</v>
      </c>
      <c r="C421" s="107" t="s">
        <v>304</v>
      </c>
      <c r="D421" s="107" t="s">
        <v>39</v>
      </c>
      <c r="E421" s="108">
        <v>128871</v>
      </c>
      <c r="F421" s="108">
        <v>129247</v>
      </c>
      <c r="G421" s="109">
        <f>IF((F421-E421)&lt;0,0,(F421-E421))</f>
      </c>
      <c r="H421" s="110"/>
      <c r="I421" s="111">
        <f>IFERROR(SUMPRODUCT($G421*VLOOKUP($C421,'Vehicle Master'!$D:$F,3,0)),"")</f>
      </c>
      <c r="J421" s="11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/>
      <c r="AP421" s="119"/>
      <c r="AQ421" s="119"/>
      <c r="AR421" s="119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119"/>
      <c r="BF421" s="119"/>
      <c r="BG421" s="119"/>
      <c r="BH421" s="119"/>
      <c r="BI421" s="119"/>
      <c r="BJ421" s="119"/>
      <c r="BK421" s="119"/>
      <c r="BL421" s="119"/>
      <c r="BM421" s="119"/>
      <c r="BN421" s="119"/>
      <c r="BO421" s="119"/>
      <c r="BP421" s="119"/>
      <c r="BQ421" s="119"/>
      <c r="BR421" s="119"/>
      <c r="BS421" s="119"/>
      <c r="BT421" s="119"/>
      <c r="BU421" s="119"/>
      <c r="BV421" s="119"/>
      <c r="BW421" s="119"/>
      <c r="BX421" s="119"/>
      <c r="BY421" s="119"/>
      <c r="BZ421" s="119"/>
      <c r="CA421" s="119"/>
      <c r="CB421" s="119"/>
      <c r="CC421" s="119"/>
      <c r="CD421" s="119"/>
      <c r="CE421" s="119"/>
      <c r="CF421" s="119"/>
      <c r="CG421" s="119"/>
      <c r="CH421" s="119"/>
      <c r="CI421" s="119"/>
      <c r="CJ421" s="119"/>
      <c r="CK421" s="119"/>
      <c r="CL421" s="119"/>
      <c r="CM421" s="119"/>
      <c r="CN421" s="119"/>
      <c r="CO421" s="119"/>
      <c r="CP421" s="119"/>
      <c r="CQ421" s="119"/>
      <c r="CR421" s="119"/>
      <c r="CS421" s="119"/>
      <c r="CT421" s="119"/>
      <c r="CU421" s="119"/>
      <c r="CV421" s="119"/>
      <c r="CW421" s="119"/>
      <c r="CX421" s="119"/>
      <c r="CY421" s="119"/>
      <c r="CZ421" s="119"/>
      <c r="DA421" s="119"/>
      <c r="DB421" s="119"/>
      <c r="DC421" s="119"/>
      <c r="DD421" s="119"/>
      <c r="DE421" s="119"/>
      <c r="DF421" s="119"/>
      <c r="DG421" s="119"/>
      <c r="DH421" s="119"/>
      <c r="DI421" s="119"/>
      <c r="DJ421" s="119"/>
      <c r="DK421" s="119"/>
      <c r="DL421" s="119"/>
      <c r="DM421" s="119"/>
      <c r="DN421" s="119"/>
      <c r="DO421" s="119"/>
      <c r="DP421" s="119"/>
      <c r="DQ421" s="119"/>
      <c r="DR421" s="119"/>
      <c r="DS421" s="119"/>
      <c r="DT421" s="119"/>
      <c r="DU421" s="119"/>
      <c r="DV421" s="119"/>
      <c r="DW421" s="119"/>
      <c r="DX421" s="119"/>
      <c r="DY421" s="119"/>
      <c r="DZ421" s="119"/>
      <c r="EA421" s="119"/>
      <c r="EB421" s="119"/>
      <c r="EC421" s="119"/>
      <c r="ED421" s="119"/>
      <c r="EE421" s="119"/>
      <c r="EF421" s="119"/>
      <c r="EG421" s="119"/>
      <c r="EH421" s="119"/>
      <c r="EI421" s="119"/>
      <c r="EJ421" s="119"/>
      <c r="EK421" s="119"/>
      <c r="EL421" s="119"/>
      <c r="EM421" s="119"/>
      <c r="EN421" s="119"/>
      <c r="EO421" s="119"/>
      <c r="EP421" s="119"/>
      <c r="EQ421" s="119"/>
      <c r="ER421" s="119"/>
      <c r="ES421" s="119"/>
      <c r="ET421" s="119"/>
      <c r="EU421" s="119"/>
      <c r="EV421" s="119"/>
      <c r="EW421" s="119"/>
      <c r="EX421" s="119"/>
      <c r="EY421" s="119"/>
      <c r="EZ421" s="119"/>
      <c r="FA421" s="119"/>
      <c r="FB421" s="119"/>
      <c r="FC421" s="119"/>
      <c r="FD421" s="119"/>
      <c r="FE421" s="119"/>
      <c r="FF421" s="119"/>
      <c r="FG421" s="119"/>
      <c r="FH421" s="119"/>
      <c r="FI421" s="119"/>
      <c r="FJ421" s="119"/>
      <c r="FK421" s="119"/>
      <c r="FL421" s="119"/>
      <c r="FM421" s="119"/>
      <c r="FN421" s="119"/>
      <c r="FO421" s="119"/>
      <c r="FP421" s="119"/>
      <c r="FQ421" s="119"/>
      <c r="FR421" s="119"/>
    </row>
    <row x14ac:dyDescent="0.25" r="422" customHeight="1" ht="15">
      <c r="A422" s="112">
        <v>45926</v>
      </c>
      <c r="B422" s="112">
        <v>45927</v>
      </c>
      <c r="C422" s="107" t="s">
        <v>303</v>
      </c>
      <c r="D422" s="107" t="s">
        <v>45</v>
      </c>
      <c r="E422" s="108">
        <v>115153</v>
      </c>
      <c r="F422" s="108">
        <v>115331</v>
      </c>
      <c r="G422" s="109">
        <f>IF((F422-E422)&lt;0,0,(F422-E422))</f>
      </c>
      <c r="H422" s="110"/>
      <c r="I422" s="111">
        <f>IFERROR(SUMPRODUCT($G422*VLOOKUP($C422,'Vehicle Master'!$D:$F,3,0)),"")</f>
      </c>
      <c r="J422" s="11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19"/>
      <c r="AN422" s="119"/>
      <c r="AO422" s="119"/>
      <c r="AP422" s="119"/>
      <c r="AQ422" s="119"/>
      <c r="AR422" s="119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119"/>
      <c r="BF422" s="119"/>
      <c r="BG422" s="119"/>
      <c r="BH422" s="119"/>
      <c r="BI422" s="119"/>
      <c r="BJ422" s="119"/>
      <c r="BK422" s="119"/>
      <c r="BL422" s="119"/>
      <c r="BM422" s="119"/>
      <c r="BN422" s="119"/>
      <c r="BO422" s="119"/>
      <c r="BP422" s="119"/>
      <c r="BQ422" s="119"/>
      <c r="BR422" s="119"/>
      <c r="BS422" s="119"/>
      <c r="BT422" s="119"/>
      <c r="BU422" s="119"/>
      <c r="BV422" s="119"/>
      <c r="BW422" s="119"/>
      <c r="BX422" s="119"/>
      <c r="BY422" s="119"/>
      <c r="BZ422" s="119"/>
      <c r="CA422" s="119"/>
      <c r="CB422" s="119"/>
      <c r="CC422" s="119"/>
      <c r="CD422" s="119"/>
      <c r="CE422" s="119"/>
      <c r="CF422" s="119"/>
      <c r="CG422" s="119"/>
      <c r="CH422" s="119"/>
      <c r="CI422" s="119"/>
      <c r="CJ422" s="119"/>
      <c r="CK422" s="119"/>
      <c r="CL422" s="119"/>
      <c r="CM422" s="119"/>
      <c r="CN422" s="119"/>
      <c r="CO422" s="119"/>
      <c r="CP422" s="119"/>
      <c r="CQ422" s="119"/>
      <c r="CR422" s="119"/>
      <c r="CS422" s="119"/>
      <c r="CT422" s="119"/>
      <c r="CU422" s="119"/>
      <c r="CV422" s="119"/>
      <c r="CW422" s="119"/>
      <c r="CX422" s="119"/>
      <c r="CY422" s="119"/>
      <c r="CZ422" s="119"/>
      <c r="DA422" s="119"/>
      <c r="DB422" s="119"/>
      <c r="DC422" s="119"/>
      <c r="DD422" s="119"/>
      <c r="DE422" s="119"/>
      <c r="DF422" s="119"/>
      <c r="DG422" s="119"/>
      <c r="DH422" s="119"/>
      <c r="DI422" s="119"/>
      <c r="DJ422" s="119"/>
      <c r="DK422" s="119"/>
      <c r="DL422" s="119"/>
      <c r="DM422" s="119"/>
      <c r="DN422" s="119"/>
      <c r="DO422" s="119"/>
      <c r="DP422" s="119"/>
      <c r="DQ422" s="119"/>
      <c r="DR422" s="119"/>
      <c r="DS422" s="119"/>
      <c r="DT422" s="119"/>
      <c r="DU422" s="119"/>
      <c r="DV422" s="119"/>
      <c r="DW422" s="119"/>
      <c r="DX422" s="119"/>
      <c r="DY422" s="119"/>
      <c r="DZ422" s="119"/>
      <c r="EA422" s="119"/>
      <c r="EB422" s="119"/>
      <c r="EC422" s="119"/>
      <c r="ED422" s="119"/>
      <c r="EE422" s="119"/>
      <c r="EF422" s="119"/>
      <c r="EG422" s="119"/>
      <c r="EH422" s="119"/>
      <c r="EI422" s="119"/>
      <c r="EJ422" s="119"/>
      <c r="EK422" s="119"/>
      <c r="EL422" s="119"/>
      <c r="EM422" s="119"/>
      <c r="EN422" s="119"/>
      <c r="EO422" s="119"/>
      <c r="EP422" s="119"/>
      <c r="EQ422" s="119"/>
      <c r="ER422" s="119"/>
      <c r="ES422" s="119"/>
      <c r="ET422" s="119"/>
      <c r="EU422" s="119"/>
      <c r="EV422" s="119"/>
      <c r="EW422" s="119"/>
      <c r="EX422" s="119"/>
      <c r="EY422" s="119"/>
      <c r="EZ422" s="119"/>
      <c r="FA422" s="119"/>
      <c r="FB422" s="119"/>
      <c r="FC422" s="119"/>
      <c r="FD422" s="119"/>
      <c r="FE422" s="119"/>
      <c r="FF422" s="119"/>
      <c r="FG422" s="119"/>
      <c r="FH422" s="119"/>
      <c r="FI422" s="119"/>
      <c r="FJ422" s="119"/>
      <c r="FK422" s="119"/>
      <c r="FL422" s="119"/>
      <c r="FM422" s="119"/>
      <c r="FN422" s="119"/>
      <c r="FO422" s="119"/>
      <c r="FP422" s="119"/>
      <c r="FQ422" s="119"/>
      <c r="FR422" s="119"/>
    </row>
    <row x14ac:dyDescent="0.25" r="423" customHeight="1" ht="15">
      <c r="A423" s="112">
        <v>45927</v>
      </c>
      <c r="B423" s="112">
        <v>45927</v>
      </c>
      <c r="C423" s="107" t="s">
        <v>305</v>
      </c>
      <c r="D423" s="107" t="s">
        <v>43</v>
      </c>
      <c r="E423" s="108">
        <v>116589</v>
      </c>
      <c r="F423" s="108">
        <v>116628</v>
      </c>
      <c r="G423" s="109">
        <f>IF((F423-E423)&lt;0,0,(F423-E423))</f>
      </c>
      <c r="H423" s="110"/>
      <c r="I423" s="111">
        <f>IFERROR(SUMPRODUCT($G423*VLOOKUP($C423,'Vehicle Master'!$D:$F,3,0)),"")</f>
      </c>
      <c r="J423" s="11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19"/>
      <c r="AN423" s="119"/>
      <c r="AO423" s="119"/>
      <c r="AP423" s="119"/>
      <c r="AQ423" s="119"/>
      <c r="AR423" s="119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119"/>
      <c r="BF423" s="119"/>
      <c r="BG423" s="119"/>
      <c r="BH423" s="119"/>
      <c r="BI423" s="119"/>
      <c r="BJ423" s="119"/>
      <c r="BK423" s="119"/>
      <c r="BL423" s="119"/>
      <c r="BM423" s="119"/>
      <c r="BN423" s="119"/>
      <c r="BO423" s="119"/>
      <c r="BP423" s="119"/>
      <c r="BQ423" s="119"/>
      <c r="BR423" s="119"/>
      <c r="BS423" s="119"/>
      <c r="BT423" s="119"/>
      <c r="BU423" s="119"/>
      <c r="BV423" s="119"/>
      <c r="BW423" s="119"/>
      <c r="BX423" s="119"/>
      <c r="BY423" s="119"/>
      <c r="BZ423" s="119"/>
      <c r="CA423" s="119"/>
      <c r="CB423" s="119"/>
      <c r="CC423" s="119"/>
      <c r="CD423" s="119"/>
      <c r="CE423" s="119"/>
      <c r="CF423" s="119"/>
      <c r="CG423" s="119"/>
      <c r="CH423" s="119"/>
      <c r="CI423" s="119"/>
      <c r="CJ423" s="119"/>
      <c r="CK423" s="119"/>
      <c r="CL423" s="119"/>
      <c r="CM423" s="119"/>
      <c r="CN423" s="119"/>
      <c r="CO423" s="119"/>
      <c r="CP423" s="119"/>
      <c r="CQ423" s="119"/>
      <c r="CR423" s="119"/>
      <c r="CS423" s="119"/>
      <c r="CT423" s="119"/>
      <c r="CU423" s="119"/>
      <c r="CV423" s="119"/>
      <c r="CW423" s="119"/>
      <c r="CX423" s="119"/>
      <c r="CY423" s="119"/>
      <c r="CZ423" s="119"/>
      <c r="DA423" s="119"/>
      <c r="DB423" s="119"/>
      <c r="DC423" s="119"/>
      <c r="DD423" s="119"/>
      <c r="DE423" s="119"/>
      <c r="DF423" s="119"/>
      <c r="DG423" s="119"/>
      <c r="DH423" s="119"/>
      <c r="DI423" s="119"/>
      <c r="DJ423" s="119"/>
      <c r="DK423" s="119"/>
      <c r="DL423" s="119"/>
      <c r="DM423" s="119"/>
      <c r="DN423" s="119"/>
      <c r="DO423" s="119"/>
      <c r="DP423" s="119"/>
      <c r="DQ423" s="119"/>
      <c r="DR423" s="119"/>
      <c r="DS423" s="119"/>
      <c r="DT423" s="119"/>
      <c r="DU423" s="119"/>
      <c r="DV423" s="119"/>
      <c r="DW423" s="119"/>
      <c r="DX423" s="119"/>
      <c r="DY423" s="119"/>
      <c r="DZ423" s="119"/>
      <c r="EA423" s="119"/>
      <c r="EB423" s="119"/>
      <c r="EC423" s="119"/>
      <c r="ED423" s="119"/>
      <c r="EE423" s="119"/>
      <c r="EF423" s="119"/>
      <c r="EG423" s="119"/>
      <c r="EH423" s="119"/>
      <c r="EI423" s="119"/>
      <c r="EJ423" s="119"/>
      <c r="EK423" s="119"/>
      <c r="EL423" s="119"/>
      <c r="EM423" s="119"/>
      <c r="EN423" s="119"/>
      <c r="EO423" s="119"/>
      <c r="EP423" s="119"/>
      <c r="EQ423" s="119"/>
      <c r="ER423" s="119"/>
      <c r="ES423" s="119"/>
      <c r="ET423" s="119"/>
      <c r="EU423" s="119"/>
      <c r="EV423" s="119"/>
      <c r="EW423" s="119"/>
      <c r="EX423" s="119"/>
      <c r="EY423" s="119"/>
      <c r="EZ423" s="119"/>
      <c r="FA423" s="119"/>
      <c r="FB423" s="119"/>
      <c r="FC423" s="119"/>
      <c r="FD423" s="119"/>
      <c r="FE423" s="119"/>
      <c r="FF423" s="119"/>
      <c r="FG423" s="119"/>
      <c r="FH423" s="119"/>
      <c r="FI423" s="119"/>
      <c r="FJ423" s="119"/>
      <c r="FK423" s="119"/>
      <c r="FL423" s="119"/>
      <c r="FM423" s="119"/>
      <c r="FN423" s="119"/>
      <c r="FO423" s="119"/>
      <c r="FP423" s="119"/>
      <c r="FQ423" s="119"/>
      <c r="FR423" s="119"/>
    </row>
    <row x14ac:dyDescent="0.25" r="424" customHeight="1" ht="15">
      <c r="A424" s="112">
        <v>45927</v>
      </c>
      <c r="B424" s="112">
        <v>45928</v>
      </c>
      <c r="C424" s="107" t="s">
        <v>303</v>
      </c>
      <c r="D424" s="107" t="s">
        <v>45</v>
      </c>
      <c r="E424" s="108">
        <v>115331</v>
      </c>
      <c r="F424" s="108">
        <v>115593</v>
      </c>
      <c r="G424" s="109">
        <f>IF((F424-E424)&lt;0,0,(F424-E424))</f>
      </c>
      <c r="H424" s="110"/>
      <c r="I424" s="111">
        <f>IFERROR(SUMPRODUCT($G424*VLOOKUP($C424,'Vehicle Master'!$D:$F,3,0)),"")</f>
      </c>
      <c r="J424" s="11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/>
      <c r="AP424" s="119"/>
      <c r="AQ424" s="119"/>
      <c r="AR424" s="119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119"/>
      <c r="BF424" s="119"/>
      <c r="BG424" s="119"/>
      <c r="BH424" s="119"/>
      <c r="BI424" s="119"/>
      <c r="BJ424" s="119"/>
      <c r="BK424" s="119"/>
      <c r="BL424" s="119"/>
      <c r="BM424" s="119"/>
      <c r="BN424" s="119"/>
      <c r="BO424" s="119"/>
      <c r="BP424" s="119"/>
      <c r="BQ424" s="119"/>
      <c r="BR424" s="119"/>
      <c r="BS424" s="119"/>
      <c r="BT424" s="119"/>
      <c r="BU424" s="119"/>
      <c r="BV424" s="119"/>
      <c r="BW424" s="119"/>
      <c r="BX424" s="119"/>
      <c r="BY424" s="119"/>
      <c r="BZ424" s="119"/>
      <c r="CA424" s="119"/>
      <c r="CB424" s="119"/>
      <c r="CC424" s="119"/>
      <c r="CD424" s="119"/>
      <c r="CE424" s="119"/>
      <c r="CF424" s="119"/>
      <c r="CG424" s="119"/>
      <c r="CH424" s="119"/>
      <c r="CI424" s="119"/>
      <c r="CJ424" s="119"/>
      <c r="CK424" s="119"/>
      <c r="CL424" s="119"/>
      <c r="CM424" s="119"/>
      <c r="CN424" s="119"/>
      <c r="CO424" s="119"/>
      <c r="CP424" s="119"/>
      <c r="CQ424" s="119"/>
      <c r="CR424" s="119"/>
      <c r="CS424" s="119"/>
      <c r="CT424" s="119"/>
      <c r="CU424" s="119"/>
      <c r="CV424" s="119"/>
      <c r="CW424" s="119"/>
      <c r="CX424" s="119"/>
      <c r="CY424" s="119"/>
      <c r="CZ424" s="119"/>
      <c r="DA424" s="119"/>
      <c r="DB424" s="119"/>
      <c r="DC424" s="119"/>
      <c r="DD424" s="119"/>
      <c r="DE424" s="119"/>
      <c r="DF424" s="119"/>
      <c r="DG424" s="119"/>
      <c r="DH424" s="119"/>
      <c r="DI424" s="119"/>
      <c r="DJ424" s="119"/>
      <c r="DK424" s="119"/>
      <c r="DL424" s="119"/>
      <c r="DM424" s="119"/>
      <c r="DN424" s="119"/>
      <c r="DO424" s="119"/>
      <c r="DP424" s="119"/>
      <c r="DQ424" s="119"/>
      <c r="DR424" s="119"/>
      <c r="DS424" s="119"/>
      <c r="DT424" s="119"/>
      <c r="DU424" s="119"/>
      <c r="DV424" s="119"/>
      <c r="DW424" s="119"/>
      <c r="DX424" s="119"/>
      <c r="DY424" s="119"/>
      <c r="DZ424" s="119"/>
      <c r="EA424" s="119"/>
      <c r="EB424" s="119"/>
      <c r="EC424" s="119"/>
      <c r="ED424" s="119"/>
      <c r="EE424" s="119"/>
      <c r="EF424" s="119"/>
      <c r="EG424" s="119"/>
      <c r="EH424" s="119"/>
      <c r="EI424" s="119"/>
      <c r="EJ424" s="119"/>
      <c r="EK424" s="119"/>
      <c r="EL424" s="119"/>
      <c r="EM424" s="119"/>
      <c r="EN424" s="119"/>
      <c r="EO424" s="119"/>
      <c r="EP424" s="119"/>
      <c r="EQ424" s="119"/>
      <c r="ER424" s="119"/>
      <c r="ES424" s="119"/>
      <c r="ET424" s="119"/>
      <c r="EU424" s="119"/>
      <c r="EV424" s="119"/>
      <c r="EW424" s="119"/>
      <c r="EX424" s="119"/>
      <c r="EY424" s="119"/>
      <c r="EZ424" s="119"/>
      <c r="FA424" s="119"/>
      <c r="FB424" s="119"/>
      <c r="FC424" s="119"/>
      <c r="FD424" s="119"/>
      <c r="FE424" s="119"/>
      <c r="FF424" s="119"/>
      <c r="FG424" s="119"/>
      <c r="FH424" s="119"/>
      <c r="FI424" s="119"/>
      <c r="FJ424" s="119"/>
      <c r="FK424" s="119"/>
      <c r="FL424" s="119"/>
      <c r="FM424" s="119"/>
      <c r="FN424" s="119"/>
      <c r="FO424" s="119"/>
      <c r="FP424" s="119"/>
      <c r="FQ424" s="119"/>
      <c r="FR424" s="119"/>
    </row>
    <row x14ac:dyDescent="0.25" r="425" customHeight="1" ht="15">
      <c r="A425" s="112">
        <v>45927</v>
      </c>
      <c r="B425" s="112">
        <v>45928</v>
      </c>
      <c r="C425" s="107" t="s">
        <v>302</v>
      </c>
      <c r="D425" s="107" t="s">
        <v>42</v>
      </c>
      <c r="E425" s="108">
        <v>94447</v>
      </c>
      <c r="F425" s="108">
        <v>94820</v>
      </c>
      <c r="G425" s="109">
        <f>IF((F425-E425)&lt;0,0,(F425-E425))</f>
      </c>
      <c r="H425" s="110"/>
      <c r="I425" s="111">
        <f>IFERROR(SUMPRODUCT($G425*VLOOKUP($C425,'Vehicle Master'!$D:$F,3,0)),"")</f>
      </c>
      <c r="J425" s="11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19"/>
      <c r="AN425" s="119"/>
      <c r="AO425" s="119"/>
      <c r="AP425" s="119"/>
      <c r="AQ425" s="119"/>
      <c r="AR425" s="119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119"/>
      <c r="BF425" s="119"/>
      <c r="BG425" s="119"/>
      <c r="BH425" s="119"/>
      <c r="BI425" s="119"/>
      <c r="BJ425" s="119"/>
      <c r="BK425" s="119"/>
      <c r="BL425" s="119"/>
      <c r="BM425" s="119"/>
      <c r="BN425" s="119"/>
      <c r="BO425" s="119"/>
      <c r="BP425" s="119"/>
      <c r="BQ425" s="119"/>
      <c r="BR425" s="119"/>
      <c r="BS425" s="119"/>
      <c r="BT425" s="119"/>
      <c r="BU425" s="119"/>
      <c r="BV425" s="119"/>
      <c r="BW425" s="119"/>
      <c r="BX425" s="119"/>
      <c r="BY425" s="119"/>
      <c r="BZ425" s="119"/>
      <c r="CA425" s="119"/>
      <c r="CB425" s="119"/>
      <c r="CC425" s="119"/>
      <c r="CD425" s="119"/>
      <c r="CE425" s="119"/>
      <c r="CF425" s="119"/>
      <c r="CG425" s="119"/>
      <c r="CH425" s="119"/>
      <c r="CI425" s="119"/>
      <c r="CJ425" s="119"/>
      <c r="CK425" s="119"/>
      <c r="CL425" s="119"/>
      <c r="CM425" s="119"/>
      <c r="CN425" s="119"/>
      <c r="CO425" s="119"/>
      <c r="CP425" s="119"/>
      <c r="CQ425" s="119"/>
      <c r="CR425" s="119"/>
      <c r="CS425" s="119"/>
      <c r="CT425" s="119"/>
      <c r="CU425" s="119"/>
      <c r="CV425" s="119"/>
      <c r="CW425" s="119"/>
      <c r="CX425" s="119"/>
      <c r="CY425" s="119"/>
      <c r="CZ425" s="119"/>
      <c r="DA425" s="119"/>
      <c r="DB425" s="119"/>
      <c r="DC425" s="119"/>
      <c r="DD425" s="119"/>
      <c r="DE425" s="119"/>
      <c r="DF425" s="119"/>
      <c r="DG425" s="119"/>
      <c r="DH425" s="119"/>
      <c r="DI425" s="119"/>
      <c r="DJ425" s="119"/>
      <c r="DK425" s="119"/>
      <c r="DL425" s="119"/>
      <c r="DM425" s="119"/>
      <c r="DN425" s="119"/>
      <c r="DO425" s="119"/>
      <c r="DP425" s="119"/>
      <c r="DQ425" s="119"/>
      <c r="DR425" s="119"/>
      <c r="DS425" s="119"/>
      <c r="DT425" s="119"/>
      <c r="DU425" s="119"/>
      <c r="DV425" s="119"/>
      <c r="DW425" s="119"/>
      <c r="DX425" s="119"/>
      <c r="DY425" s="119"/>
      <c r="DZ425" s="119"/>
      <c r="EA425" s="119"/>
      <c r="EB425" s="119"/>
      <c r="EC425" s="119"/>
      <c r="ED425" s="119"/>
      <c r="EE425" s="119"/>
      <c r="EF425" s="119"/>
      <c r="EG425" s="119"/>
      <c r="EH425" s="119"/>
      <c r="EI425" s="119"/>
      <c r="EJ425" s="119"/>
      <c r="EK425" s="119"/>
      <c r="EL425" s="119"/>
      <c r="EM425" s="119"/>
      <c r="EN425" s="119"/>
      <c r="EO425" s="119"/>
      <c r="EP425" s="119"/>
      <c r="EQ425" s="119"/>
      <c r="ER425" s="119"/>
      <c r="ES425" s="119"/>
      <c r="ET425" s="119"/>
      <c r="EU425" s="119"/>
      <c r="EV425" s="119"/>
      <c r="EW425" s="119"/>
      <c r="EX425" s="119"/>
      <c r="EY425" s="119"/>
      <c r="EZ425" s="119"/>
      <c r="FA425" s="119"/>
      <c r="FB425" s="119"/>
      <c r="FC425" s="119"/>
      <c r="FD425" s="119"/>
      <c r="FE425" s="119"/>
      <c r="FF425" s="119"/>
      <c r="FG425" s="119"/>
      <c r="FH425" s="119"/>
      <c r="FI425" s="119"/>
      <c r="FJ425" s="119"/>
      <c r="FK425" s="119"/>
      <c r="FL425" s="119"/>
      <c r="FM425" s="119"/>
      <c r="FN425" s="119"/>
      <c r="FO425" s="119"/>
      <c r="FP425" s="119"/>
      <c r="FQ425" s="119"/>
      <c r="FR425" s="119"/>
    </row>
    <row x14ac:dyDescent="0.25" r="426" customHeight="1" ht="15">
      <c r="A426" s="112">
        <v>45928</v>
      </c>
      <c r="B426" s="112">
        <v>45929</v>
      </c>
      <c r="C426" s="107" t="s">
        <v>305</v>
      </c>
      <c r="D426" s="107" t="s">
        <v>43</v>
      </c>
      <c r="E426" s="108">
        <v>116628</v>
      </c>
      <c r="F426" s="108">
        <v>116837</v>
      </c>
      <c r="G426" s="109">
        <f>IF((F426-E426)&lt;0,0,(F426-E426))</f>
      </c>
      <c r="H426" s="110"/>
      <c r="I426" s="111">
        <f>IFERROR(SUMPRODUCT($G426*VLOOKUP($C426,'Vehicle Master'!$D:$F,3,0)),"")</f>
      </c>
      <c r="J426" s="11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19"/>
      <c r="AN426" s="119"/>
      <c r="AO426" s="119"/>
      <c r="AP426" s="119"/>
      <c r="AQ426" s="119"/>
      <c r="AR426" s="119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119"/>
      <c r="BF426" s="119"/>
      <c r="BG426" s="119"/>
      <c r="BH426" s="119"/>
      <c r="BI426" s="119"/>
      <c r="BJ426" s="119"/>
      <c r="BK426" s="119"/>
      <c r="BL426" s="119"/>
      <c r="BM426" s="119"/>
      <c r="BN426" s="119"/>
      <c r="BO426" s="119"/>
      <c r="BP426" s="119"/>
      <c r="BQ426" s="119"/>
      <c r="BR426" s="119"/>
      <c r="BS426" s="119"/>
      <c r="BT426" s="119"/>
      <c r="BU426" s="119"/>
      <c r="BV426" s="119"/>
      <c r="BW426" s="119"/>
      <c r="BX426" s="119"/>
      <c r="BY426" s="119"/>
      <c r="BZ426" s="119"/>
      <c r="CA426" s="119"/>
      <c r="CB426" s="119"/>
      <c r="CC426" s="119"/>
      <c r="CD426" s="119"/>
      <c r="CE426" s="119"/>
      <c r="CF426" s="119"/>
      <c r="CG426" s="119"/>
      <c r="CH426" s="119"/>
      <c r="CI426" s="119"/>
      <c r="CJ426" s="119"/>
      <c r="CK426" s="119"/>
      <c r="CL426" s="119"/>
      <c r="CM426" s="119"/>
      <c r="CN426" s="119"/>
      <c r="CO426" s="119"/>
      <c r="CP426" s="119"/>
      <c r="CQ426" s="119"/>
      <c r="CR426" s="119"/>
      <c r="CS426" s="119"/>
      <c r="CT426" s="119"/>
      <c r="CU426" s="119"/>
      <c r="CV426" s="119"/>
      <c r="CW426" s="119"/>
      <c r="CX426" s="119"/>
      <c r="CY426" s="119"/>
      <c r="CZ426" s="119"/>
      <c r="DA426" s="119"/>
      <c r="DB426" s="119"/>
      <c r="DC426" s="119"/>
      <c r="DD426" s="119"/>
      <c r="DE426" s="119"/>
      <c r="DF426" s="119"/>
      <c r="DG426" s="119"/>
      <c r="DH426" s="119"/>
      <c r="DI426" s="119"/>
      <c r="DJ426" s="119"/>
      <c r="DK426" s="119"/>
      <c r="DL426" s="119"/>
      <c r="DM426" s="119"/>
      <c r="DN426" s="119"/>
      <c r="DO426" s="119"/>
      <c r="DP426" s="119"/>
      <c r="DQ426" s="119"/>
      <c r="DR426" s="119"/>
      <c r="DS426" s="119"/>
      <c r="DT426" s="119"/>
      <c r="DU426" s="119"/>
      <c r="DV426" s="119"/>
      <c r="DW426" s="119"/>
      <c r="DX426" s="119"/>
      <c r="DY426" s="119"/>
      <c r="DZ426" s="119"/>
      <c r="EA426" s="119"/>
      <c r="EB426" s="119"/>
      <c r="EC426" s="119"/>
      <c r="ED426" s="119"/>
      <c r="EE426" s="119"/>
      <c r="EF426" s="119"/>
      <c r="EG426" s="119"/>
      <c r="EH426" s="119"/>
      <c r="EI426" s="119"/>
      <c r="EJ426" s="119"/>
      <c r="EK426" s="119"/>
      <c r="EL426" s="119"/>
      <c r="EM426" s="119"/>
      <c r="EN426" s="119"/>
      <c r="EO426" s="119"/>
      <c r="EP426" s="119"/>
      <c r="EQ426" s="119"/>
      <c r="ER426" s="119"/>
      <c r="ES426" s="119"/>
      <c r="ET426" s="119"/>
      <c r="EU426" s="119"/>
      <c r="EV426" s="119"/>
      <c r="EW426" s="119"/>
      <c r="EX426" s="119"/>
      <c r="EY426" s="119"/>
      <c r="EZ426" s="119"/>
      <c r="FA426" s="119"/>
      <c r="FB426" s="119"/>
      <c r="FC426" s="119"/>
      <c r="FD426" s="119"/>
      <c r="FE426" s="119"/>
      <c r="FF426" s="119"/>
      <c r="FG426" s="119"/>
      <c r="FH426" s="119"/>
      <c r="FI426" s="119"/>
      <c r="FJ426" s="119"/>
      <c r="FK426" s="119"/>
      <c r="FL426" s="119"/>
      <c r="FM426" s="119"/>
      <c r="FN426" s="119"/>
      <c r="FO426" s="119"/>
      <c r="FP426" s="119"/>
      <c r="FQ426" s="119"/>
      <c r="FR426" s="119"/>
    </row>
    <row x14ac:dyDescent="0.25" r="427" customHeight="1" ht="15">
      <c r="A427" s="112">
        <v>45928</v>
      </c>
      <c r="B427" s="112">
        <v>45929</v>
      </c>
      <c r="C427" s="107" t="s">
        <v>304</v>
      </c>
      <c r="D427" s="107" t="s">
        <v>39</v>
      </c>
      <c r="E427" s="108">
        <v>129247</v>
      </c>
      <c r="F427" s="108">
        <v>129460</v>
      </c>
      <c r="G427" s="109">
        <f>IF((F427-E427)&lt;0,0,(F427-E427))</f>
      </c>
      <c r="H427" s="110"/>
      <c r="I427" s="111">
        <f>IFERROR(SUMPRODUCT($G427*VLOOKUP($C427,'Vehicle Master'!$D:$F,3,0)),"")</f>
      </c>
      <c r="J427" s="11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19"/>
      <c r="AN427" s="119"/>
      <c r="AO427" s="119"/>
      <c r="AP427" s="119"/>
      <c r="AQ427" s="119"/>
      <c r="AR427" s="119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119"/>
      <c r="BF427" s="119"/>
      <c r="BG427" s="119"/>
      <c r="BH427" s="119"/>
      <c r="BI427" s="119"/>
      <c r="BJ427" s="119"/>
      <c r="BK427" s="119"/>
      <c r="BL427" s="119"/>
      <c r="BM427" s="119"/>
      <c r="BN427" s="119"/>
      <c r="BO427" s="119"/>
      <c r="BP427" s="119"/>
      <c r="BQ427" s="119"/>
      <c r="BR427" s="119"/>
      <c r="BS427" s="119"/>
      <c r="BT427" s="119"/>
      <c r="BU427" s="119"/>
      <c r="BV427" s="119"/>
      <c r="BW427" s="119"/>
      <c r="BX427" s="119"/>
      <c r="BY427" s="119"/>
      <c r="BZ427" s="119"/>
      <c r="CA427" s="119"/>
      <c r="CB427" s="119"/>
      <c r="CC427" s="119"/>
      <c r="CD427" s="119"/>
      <c r="CE427" s="119"/>
      <c r="CF427" s="119"/>
      <c r="CG427" s="119"/>
      <c r="CH427" s="119"/>
      <c r="CI427" s="119"/>
      <c r="CJ427" s="119"/>
      <c r="CK427" s="119"/>
      <c r="CL427" s="119"/>
      <c r="CM427" s="119"/>
      <c r="CN427" s="119"/>
      <c r="CO427" s="119"/>
      <c r="CP427" s="119"/>
      <c r="CQ427" s="119"/>
      <c r="CR427" s="119"/>
      <c r="CS427" s="119"/>
      <c r="CT427" s="119"/>
      <c r="CU427" s="119"/>
      <c r="CV427" s="119"/>
      <c r="CW427" s="119"/>
      <c r="CX427" s="119"/>
      <c r="CY427" s="119"/>
      <c r="CZ427" s="119"/>
      <c r="DA427" s="119"/>
      <c r="DB427" s="119"/>
      <c r="DC427" s="119"/>
      <c r="DD427" s="119"/>
      <c r="DE427" s="119"/>
      <c r="DF427" s="119"/>
      <c r="DG427" s="119"/>
      <c r="DH427" s="119"/>
      <c r="DI427" s="119"/>
      <c r="DJ427" s="119"/>
      <c r="DK427" s="119"/>
      <c r="DL427" s="119"/>
      <c r="DM427" s="119"/>
      <c r="DN427" s="119"/>
      <c r="DO427" s="119"/>
      <c r="DP427" s="119"/>
      <c r="DQ427" s="119"/>
      <c r="DR427" s="119"/>
      <c r="DS427" s="119"/>
      <c r="DT427" s="119"/>
      <c r="DU427" s="119"/>
      <c r="DV427" s="119"/>
      <c r="DW427" s="119"/>
      <c r="DX427" s="119"/>
      <c r="DY427" s="119"/>
      <c r="DZ427" s="119"/>
      <c r="EA427" s="119"/>
      <c r="EB427" s="119"/>
      <c r="EC427" s="119"/>
      <c r="ED427" s="119"/>
      <c r="EE427" s="119"/>
      <c r="EF427" s="119"/>
      <c r="EG427" s="119"/>
      <c r="EH427" s="119"/>
      <c r="EI427" s="119"/>
      <c r="EJ427" s="119"/>
      <c r="EK427" s="119"/>
      <c r="EL427" s="119"/>
      <c r="EM427" s="119"/>
      <c r="EN427" s="119"/>
      <c r="EO427" s="119"/>
      <c r="EP427" s="119"/>
      <c r="EQ427" s="119"/>
      <c r="ER427" s="119"/>
      <c r="ES427" s="119"/>
      <c r="ET427" s="119"/>
      <c r="EU427" s="119"/>
      <c r="EV427" s="119"/>
      <c r="EW427" s="119"/>
      <c r="EX427" s="119"/>
      <c r="EY427" s="119"/>
      <c r="EZ427" s="119"/>
      <c r="FA427" s="119"/>
      <c r="FB427" s="119"/>
      <c r="FC427" s="119"/>
      <c r="FD427" s="119"/>
      <c r="FE427" s="119"/>
      <c r="FF427" s="119"/>
      <c r="FG427" s="119"/>
      <c r="FH427" s="119"/>
      <c r="FI427" s="119"/>
      <c r="FJ427" s="119"/>
      <c r="FK427" s="119"/>
      <c r="FL427" s="119"/>
      <c r="FM427" s="119"/>
      <c r="FN427" s="119"/>
      <c r="FO427" s="119"/>
      <c r="FP427" s="119"/>
      <c r="FQ427" s="119"/>
      <c r="FR427" s="119"/>
    </row>
    <row x14ac:dyDescent="0.25" r="428" customHeight="1" ht="15">
      <c r="A428" s="112">
        <v>45928</v>
      </c>
      <c r="B428" s="112">
        <v>45929</v>
      </c>
      <c r="C428" s="107" t="s">
        <v>303</v>
      </c>
      <c r="D428" s="107" t="s">
        <v>45</v>
      </c>
      <c r="E428" s="108">
        <v>115593</v>
      </c>
      <c r="F428" s="108">
        <v>116007</v>
      </c>
      <c r="G428" s="109">
        <f>IF((F428-E428)&lt;0,0,(F428-E428))</f>
      </c>
      <c r="H428" s="110"/>
      <c r="I428" s="111">
        <f>IFERROR(SUMPRODUCT($G428*VLOOKUP($C428,'Vehicle Master'!$D:$F,3,0)),"")</f>
      </c>
      <c r="J428" s="11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19"/>
      <c r="AN428" s="119"/>
      <c r="AO428" s="119"/>
      <c r="AP428" s="119"/>
      <c r="AQ428" s="119"/>
      <c r="AR428" s="119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119"/>
      <c r="BF428" s="119"/>
      <c r="BG428" s="119"/>
      <c r="BH428" s="119"/>
      <c r="BI428" s="119"/>
      <c r="BJ428" s="119"/>
      <c r="BK428" s="119"/>
      <c r="BL428" s="119"/>
      <c r="BM428" s="119"/>
      <c r="BN428" s="119"/>
      <c r="BO428" s="119"/>
      <c r="BP428" s="119"/>
      <c r="BQ428" s="119"/>
      <c r="BR428" s="119"/>
      <c r="BS428" s="119"/>
      <c r="BT428" s="119"/>
      <c r="BU428" s="119"/>
      <c r="BV428" s="119"/>
      <c r="BW428" s="119"/>
      <c r="BX428" s="119"/>
      <c r="BY428" s="119"/>
      <c r="BZ428" s="119"/>
      <c r="CA428" s="119"/>
      <c r="CB428" s="119"/>
      <c r="CC428" s="119"/>
      <c r="CD428" s="119"/>
      <c r="CE428" s="119"/>
      <c r="CF428" s="119"/>
      <c r="CG428" s="119"/>
      <c r="CH428" s="119"/>
      <c r="CI428" s="119"/>
      <c r="CJ428" s="119"/>
      <c r="CK428" s="119"/>
      <c r="CL428" s="119"/>
      <c r="CM428" s="119"/>
      <c r="CN428" s="119"/>
      <c r="CO428" s="119"/>
      <c r="CP428" s="119"/>
      <c r="CQ428" s="119"/>
      <c r="CR428" s="119"/>
      <c r="CS428" s="119"/>
      <c r="CT428" s="119"/>
      <c r="CU428" s="119"/>
      <c r="CV428" s="119"/>
      <c r="CW428" s="119"/>
      <c r="CX428" s="119"/>
      <c r="CY428" s="119"/>
      <c r="CZ428" s="119"/>
      <c r="DA428" s="119"/>
      <c r="DB428" s="119"/>
      <c r="DC428" s="119"/>
      <c r="DD428" s="119"/>
      <c r="DE428" s="119"/>
      <c r="DF428" s="119"/>
      <c r="DG428" s="119"/>
      <c r="DH428" s="119"/>
      <c r="DI428" s="119"/>
      <c r="DJ428" s="119"/>
      <c r="DK428" s="119"/>
      <c r="DL428" s="119"/>
      <c r="DM428" s="119"/>
      <c r="DN428" s="119"/>
      <c r="DO428" s="119"/>
      <c r="DP428" s="119"/>
      <c r="DQ428" s="119"/>
      <c r="DR428" s="119"/>
      <c r="DS428" s="119"/>
      <c r="DT428" s="119"/>
      <c r="DU428" s="119"/>
      <c r="DV428" s="119"/>
      <c r="DW428" s="119"/>
      <c r="DX428" s="119"/>
      <c r="DY428" s="119"/>
      <c r="DZ428" s="119"/>
      <c r="EA428" s="119"/>
      <c r="EB428" s="119"/>
      <c r="EC428" s="119"/>
      <c r="ED428" s="119"/>
      <c r="EE428" s="119"/>
      <c r="EF428" s="119"/>
      <c r="EG428" s="119"/>
      <c r="EH428" s="119"/>
      <c r="EI428" s="119"/>
      <c r="EJ428" s="119"/>
      <c r="EK428" s="119"/>
      <c r="EL428" s="119"/>
      <c r="EM428" s="119"/>
      <c r="EN428" s="119"/>
      <c r="EO428" s="119"/>
      <c r="EP428" s="119"/>
      <c r="EQ428" s="119"/>
      <c r="ER428" s="119"/>
      <c r="ES428" s="119"/>
      <c r="ET428" s="119"/>
      <c r="EU428" s="119"/>
      <c r="EV428" s="119"/>
      <c r="EW428" s="119"/>
      <c r="EX428" s="119"/>
      <c r="EY428" s="119"/>
      <c r="EZ428" s="119"/>
      <c r="FA428" s="119"/>
      <c r="FB428" s="119"/>
      <c r="FC428" s="119"/>
      <c r="FD428" s="119"/>
      <c r="FE428" s="119"/>
      <c r="FF428" s="119"/>
      <c r="FG428" s="119"/>
      <c r="FH428" s="119"/>
      <c r="FI428" s="119"/>
      <c r="FJ428" s="119"/>
      <c r="FK428" s="119"/>
      <c r="FL428" s="119"/>
      <c r="FM428" s="119"/>
      <c r="FN428" s="119"/>
      <c r="FO428" s="119"/>
      <c r="FP428" s="119"/>
      <c r="FQ428" s="119"/>
      <c r="FR428" s="119"/>
    </row>
    <row x14ac:dyDescent="0.25" r="429" customHeight="1" ht="15">
      <c r="A429" s="112">
        <v>45929</v>
      </c>
      <c r="B429" s="112">
        <v>45930</v>
      </c>
      <c r="C429" s="107" t="s">
        <v>302</v>
      </c>
      <c r="D429" s="107" t="s">
        <v>42</v>
      </c>
      <c r="E429" s="108">
        <v>94820</v>
      </c>
      <c r="F429" s="108">
        <v>95097</v>
      </c>
      <c r="G429" s="109">
        <f>IF((F429-E429)&lt;0,0,(F429-E429))</f>
      </c>
      <c r="H429" s="110"/>
      <c r="I429" s="111">
        <f>IFERROR(SUMPRODUCT($G429*VLOOKUP($C429,'Vehicle Master'!$D:$F,3,0)),"")</f>
      </c>
      <c r="J429" s="11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/>
      <c r="AF429" s="119"/>
      <c r="AG429" s="119"/>
      <c r="AH429" s="119"/>
      <c r="AI429" s="119"/>
      <c r="AJ429" s="119"/>
      <c r="AK429" s="119"/>
      <c r="AL429" s="119"/>
      <c r="AM429" s="119"/>
      <c r="AN429" s="119"/>
      <c r="AO429" s="119"/>
      <c r="AP429" s="119"/>
      <c r="AQ429" s="119"/>
      <c r="AR429" s="119"/>
      <c r="AS429" s="119"/>
      <c r="AT429" s="119"/>
      <c r="AU429" s="119"/>
      <c r="AV429" s="119"/>
      <c r="AW429" s="119"/>
      <c r="AX429" s="119"/>
      <c r="AY429" s="119"/>
      <c r="AZ429" s="119"/>
      <c r="BA429" s="119"/>
      <c r="BB429" s="119"/>
      <c r="BC429" s="119"/>
      <c r="BD429" s="119"/>
      <c r="BE429" s="119"/>
      <c r="BF429" s="119"/>
      <c r="BG429" s="119"/>
      <c r="BH429" s="119"/>
      <c r="BI429" s="119"/>
      <c r="BJ429" s="119"/>
      <c r="BK429" s="119"/>
      <c r="BL429" s="119"/>
      <c r="BM429" s="119"/>
      <c r="BN429" s="119"/>
      <c r="BO429" s="119"/>
      <c r="BP429" s="119"/>
      <c r="BQ429" s="119"/>
      <c r="BR429" s="119"/>
      <c r="BS429" s="119"/>
      <c r="BT429" s="119"/>
      <c r="BU429" s="119"/>
      <c r="BV429" s="119"/>
      <c r="BW429" s="119"/>
      <c r="BX429" s="119"/>
      <c r="BY429" s="119"/>
      <c r="BZ429" s="119"/>
      <c r="CA429" s="119"/>
      <c r="CB429" s="119"/>
      <c r="CC429" s="119"/>
      <c r="CD429" s="119"/>
      <c r="CE429" s="119"/>
      <c r="CF429" s="119"/>
      <c r="CG429" s="119"/>
      <c r="CH429" s="119"/>
      <c r="CI429" s="119"/>
      <c r="CJ429" s="119"/>
      <c r="CK429" s="119"/>
      <c r="CL429" s="119"/>
      <c r="CM429" s="119"/>
      <c r="CN429" s="119"/>
      <c r="CO429" s="119"/>
      <c r="CP429" s="119"/>
      <c r="CQ429" s="119"/>
      <c r="CR429" s="119"/>
      <c r="CS429" s="119"/>
      <c r="CT429" s="119"/>
      <c r="CU429" s="119"/>
      <c r="CV429" s="119"/>
      <c r="CW429" s="119"/>
      <c r="CX429" s="119"/>
      <c r="CY429" s="119"/>
      <c r="CZ429" s="119"/>
      <c r="DA429" s="119"/>
      <c r="DB429" s="119"/>
      <c r="DC429" s="119"/>
      <c r="DD429" s="119"/>
      <c r="DE429" s="119"/>
      <c r="DF429" s="119"/>
      <c r="DG429" s="119"/>
      <c r="DH429" s="119"/>
      <c r="DI429" s="119"/>
      <c r="DJ429" s="119"/>
      <c r="DK429" s="119"/>
      <c r="DL429" s="119"/>
      <c r="DM429" s="119"/>
      <c r="DN429" s="119"/>
      <c r="DO429" s="119"/>
      <c r="DP429" s="119"/>
      <c r="DQ429" s="119"/>
      <c r="DR429" s="119"/>
      <c r="DS429" s="119"/>
      <c r="DT429" s="119"/>
      <c r="DU429" s="119"/>
      <c r="DV429" s="119"/>
      <c r="DW429" s="119"/>
      <c r="DX429" s="119"/>
      <c r="DY429" s="119"/>
      <c r="DZ429" s="119"/>
      <c r="EA429" s="119"/>
      <c r="EB429" s="119"/>
      <c r="EC429" s="119"/>
      <c r="ED429" s="119"/>
      <c r="EE429" s="119"/>
      <c r="EF429" s="119"/>
      <c r="EG429" s="119"/>
      <c r="EH429" s="119"/>
      <c r="EI429" s="119"/>
      <c r="EJ429" s="119"/>
      <c r="EK429" s="119"/>
      <c r="EL429" s="119"/>
      <c r="EM429" s="119"/>
      <c r="EN429" s="119"/>
      <c r="EO429" s="119"/>
      <c r="EP429" s="119"/>
      <c r="EQ429" s="119"/>
      <c r="ER429" s="119"/>
      <c r="ES429" s="119"/>
      <c r="ET429" s="119"/>
      <c r="EU429" s="119"/>
      <c r="EV429" s="119"/>
      <c r="EW429" s="119"/>
      <c r="EX429" s="119"/>
      <c r="EY429" s="119"/>
      <c r="EZ429" s="119"/>
      <c r="FA429" s="119"/>
      <c r="FB429" s="119"/>
      <c r="FC429" s="119"/>
      <c r="FD429" s="119"/>
      <c r="FE429" s="119"/>
      <c r="FF429" s="119"/>
      <c r="FG429" s="119"/>
      <c r="FH429" s="119"/>
      <c r="FI429" s="119"/>
      <c r="FJ429" s="119"/>
      <c r="FK429" s="119"/>
      <c r="FL429" s="119"/>
      <c r="FM429" s="119"/>
      <c r="FN429" s="119"/>
      <c r="FO429" s="119"/>
      <c r="FP429" s="119"/>
      <c r="FQ429" s="119"/>
      <c r="FR429" s="119"/>
    </row>
    <row x14ac:dyDescent="0.25" r="430" customHeight="1" ht="15">
      <c r="A430" s="112">
        <v>45929</v>
      </c>
      <c r="B430" s="112">
        <v>45930</v>
      </c>
      <c r="C430" s="107" t="s">
        <v>304</v>
      </c>
      <c r="D430" s="107" t="s">
        <v>39</v>
      </c>
      <c r="E430" s="108">
        <v>129460</v>
      </c>
      <c r="F430" s="108">
        <v>129691</v>
      </c>
      <c r="G430" s="109">
        <f>IF((F430-E430)&lt;0,0,(F430-E430))</f>
      </c>
      <c r="H430" s="110"/>
      <c r="I430" s="111">
        <f>IFERROR(SUMPRODUCT($G430*VLOOKUP($C430,'Vehicle Master'!$D:$F,3,0)),"")</f>
      </c>
      <c r="J430" s="11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19"/>
      <c r="AN430" s="119"/>
      <c r="AO430" s="119"/>
      <c r="AP430" s="119"/>
      <c r="AQ430" s="119"/>
      <c r="AR430" s="119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119"/>
      <c r="BF430" s="119"/>
      <c r="BG430" s="119"/>
      <c r="BH430" s="119"/>
      <c r="BI430" s="119"/>
      <c r="BJ430" s="119"/>
      <c r="BK430" s="119"/>
      <c r="BL430" s="119"/>
      <c r="BM430" s="119"/>
      <c r="BN430" s="119"/>
      <c r="BO430" s="119"/>
      <c r="BP430" s="119"/>
      <c r="BQ430" s="119"/>
      <c r="BR430" s="119"/>
      <c r="BS430" s="119"/>
      <c r="BT430" s="119"/>
      <c r="BU430" s="119"/>
      <c r="BV430" s="119"/>
      <c r="BW430" s="119"/>
      <c r="BX430" s="119"/>
      <c r="BY430" s="119"/>
      <c r="BZ430" s="119"/>
      <c r="CA430" s="119"/>
      <c r="CB430" s="119"/>
      <c r="CC430" s="119"/>
      <c r="CD430" s="119"/>
      <c r="CE430" s="119"/>
      <c r="CF430" s="119"/>
      <c r="CG430" s="119"/>
      <c r="CH430" s="119"/>
      <c r="CI430" s="119"/>
      <c r="CJ430" s="119"/>
      <c r="CK430" s="119"/>
      <c r="CL430" s="119"/>
      <c r="CM430" s="119"/>
      <c r="CN430" s="119"/>
      <c r="CO430" s="119"/>
      <c r="CP430" s="119"/>
      <c r="CQ430" s="119"/>
      <c r="CR430" s="119"/>
      <c r="CS430" s="119"/>
      <c r="CT430" s="119"/>
      <c r="CU430" s="119"/>
      <c r="CV430" s="119"/>
      <c r="CW430" s="119"/>
      <c r="CX430" s="119"/>
      <c r="CY430" s="119"/>
      <c r="CZ430" s="119"/>
      <c r="DA430" s="119"/>
      <c r="DB430" s="119"/>
      <c r="DC430" s="119"/>
      <c r="DD430" s="119"/>
      <c r="DE430" s="119"/>
      <c r="DF430" s="119"/>
      <c r="DG430" s="119"/>
      <c r="DH430" s="119"/>
      <c r="DI430" s="119"/>
      <c r="DJ430" s="119"/>
      <c r="DK430" s="119"/>
      <c r="DL430" s="119"/>
      <c r="DM430" s="119"/>
      <c r="DN430" s="119"/>
      <c r="DO430" s="119"/>
      <c r="DP430" s="119"/>
      <c r="DQ430" s="119"/>
      <c r="DR430" s="119"/>
      <c r="DS430" s="119"/>
      <c r="DT430" s="119"/>
      <c r="DU430" s="119"/>
      <c r="DV430" s="119"/>
      <c r="DW430" s="119"/>
      <c r="DX430" s="119"/>
      <c r="DY430" s="119"/>
      <c r="DZ430" s="119"/>
      <c r="EA430" s="119"/>
      <c r="EB430" s="119"/>
      <c r="EC430" s="119"/>
      <c r="ED430" s="119"/>
      <c r="EE430" s="119"/>
      <c r="EF430" s="119"/>
      <c r="EG430" s="119"/>
      <c r="EH430" s="119"/>
      <c r="EI430" s="119"/>
      <c r="EJ430" s="119"/>
      <c r="EK430" s="119"/>
      <c r="EL430" s="119"/>
      <c r="EM430" s="119"/>
      <c r="EN430" s="119"/>
      <c r="EO430" s="119"/>
      <c r="EP430" s="119"/>
      <c r="EQ430" s="119"/>
      <c r="ER430" s="119"/>
      <c r="ES430" s="119"/>
      <c r="ET430" s="119"/>
      <c r="EU430" s="119"/>
      <c r="EV430" s="119"/>
      <c r="EW430" s="119"/>
      <c r="EX430" s="119"/>
      <c r="EY430" s="119"/>
      <c r="EZ430" s="119"/>
      <c r="FA430" s="119"/>
      <c r="FB430" s="119"/>
      <c r="FC430" s="119"/>
      <c r="FD430" s="119"/>
      <c r="FE430" s="119"/>
      <c r="FF430" s="119"/>
      <c r="FG430" s="119"/>
      <c r="FH430" s="119"/>
      <c r="FI430" s="119"/>
      <c r="FJ430" s="119"/>
      <c r="FK430" s="119"/>
      <c r="FL430" s="119"/>
      <c r="FM430" s="119"/>
      <c r="FN430" s="119"/>
      <c r="FO430" s="119"/>
      <c r="FP430" s="119"/>
      <c r="FQ430" s="119"/>
      <c r="FR430" s="119"/>
    </row>
    <row x14ac:dyDescent="0.25" r="431" customHeight="1" ht="15">
      <c r="A431" s="112">
        <v>45929</v>
      </c>
      <c r="B431" s="112">
        <v>45930</v>
      </c>
      <c r="C431" s="107" t="s">
        <v>303</v>
      </c>
      <c r="D431" s="107" t="s">
        <v>45</v>
      </c>
      <c r="E431" s="108">
        <v>116007</v>
      </c>
      <c r="F431" s="108">
        <v>116171</v>
      </c>
      <c r="G431" s="109">
        <f>IF((F431-E431)&lt;0,0,(F431-E431))</f>
      </c>
      <c r="H431" s="110"/>
      <c r="I431" s="111">
        <f>IFERROR(SUMPRODUCT($G431*VLOOKUP($C431,'Vehicle Master'!$D:$F,3,0)),"")</f>
      </c>
      <c r="J431" s="11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/>
      <c r="AF431" s="119"/>
      <c r="AG431" s="119"/>
      <c r="AH431" s="119"/>
      <c r="AI431" s="119"/>
      <c r="AJ431" s="119"/>
      <c r="AK431" s="119"/>
      <c r="AL431" s="119"/>
      <c r="AM431" s="119"/>
      <c r="AN431" s="119"/>
      <c r="AO431" s="119"/>
      <c r="AP431" s="119"/>
      <c r="AQ431" s="119"/>
      <c r="AR431" s="119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119"/>
      <c r="BF431" s="119"/>
      <c r="BG431" s="119"/>
      <c r="BH431" s="119"/>
      <c r="BI431" s="119"/>
      <c r="BJ431" s="119"/>
      <c r="BK431" s="119"/>
      <c r="BL431" s="119"/>
      <c r="BM431" s="119"/>
      <c r="BN431" s="119"/>
      <c r="BO431" s="119"/>
      <c r="BP431" s="119"/>
      <c r="BQ431" s="119"/>
      <c r="BR431" s="119"/>
      <c r="BS431" s="119"/>
      <c r="BT431" s="119"/>
      <c r="BU431" s="119"/>
      <c r="BV431" s="119"/>
      <c r="BW431" s="119"/>
      <c r="BX431" s="119"/>
      <c r="BY431" s="119"/>
      <c r="BZ431" s="119"/>
      <c r="CA431" s="119"/>
      <c r="CB431" s="119"/>
      <c r="CC431" s="119"/>
      <c r="CD431" s="119"/>
      <c r="CE431" s="119"/>
      <c r="CF431" s="119"/>
      <c r="CG431" s="119"/>
      <c r="CH431" s="119"/>
      <c r="CI431" s="119"/>
      <c r="CJ431" s="119"/>
      <c r="CK431" s="119"/>
      <c r="CL431" s="119"/>
      <c r="CM431" s="119"/>
      <c r="CN431" s="119"/>
      <c r="CO431" s="119"/>
      <c r="CP431" s="119"/>
      <c r="CQ431" s="119"/>
      <c r="CR431" s="119"/>
      <c r="CS431" s="119"/>
      <c r="CT431" s="119"/>
      <c r="CU431" s="119"/>
      <c r="CV431" s="119"/>
      <c r="CW431" s="119"/>
      <c r="CX431" s="119"/>
      <c r="CY431" s="119"/>
      <c r="CZ431" s="119"/>
      <c r="DA431" s="119"/>
      <c r="DB431" s="119"/>
      <c r="DC431" s="119"/>
      <c r="DD431" s="119"/>
      <c r="DE431" s="119"/>
      <c r="DF431" s="119"/>
      <c r="DG431" s="119"/>
      <c r="DH431" s="119"/>
      <c r="DI431" s="119"/>
      <c r="DJ431" s="119"/>
      <c r="DK431" s="119"/>
      <c r="DL431" s="119"/>
      <c r="DM431" s="119"/>
      <c r="DN431" s="119"/>
      <c r="DO431" s="119"/>
      <c r="DP431" s="119"/>
      <c r="DQ431" s="119"/>
      <c r="DR431" s="119"/>
      <c r="DS431" s="119"/>
      <c r="DT431" s="119"/>
      <c r="DU431" s="119"/>
      <c r="DV431" s="119"/>
      <c r="DW431" s="119"/>
      <c r="DX431" s="119"/>
      <c r="DY431" s="119"/>
      <c r="DZ431" s="119"/>
      <c r="EA431" s="119"/>
      <c r="EB431" s="119"/>
      <c r="EC431" s="119"/>
      <c r="ED431" s="119"/>
      <c r="EE431" s="119"/>
      <c r="EF431" s="119"/>
      <c r="EG431" s="119"/>
      <c r="EH431" s="119"/>
      <c r="EI431" s="119"/>
      <c r="EJ431" s="119"/>
      <c r="EK431" s="119"/>
      <c r="EL431" s="119"/>
      <c r="EM431" s="119"/>
      <c r="EN431" s="119"/>
      <c r="EO431" s="119"/>
      <c r="EP431" s="119"/>
      <c r="EQ431" s="119"/>
      <c r="ER431" s="119"/>
      <c r="ES431" s="119"/>
      <c r="ET431" s="119"/>
      <c r="EU431" s="119"/>
      <c r="EV431" s="119"/>
      <c r="EW431" s="119"/>
      <c r="EX431" s="119"/>
      <c r="EY431" s="119"/>
      <c r="EZ431" s="119"/>
      <c r="FA431" s="119"/>
      <c r="FB431" s="119"/>
      <c r="FC431" s="119"/>
      <c r="FD431" s="119"/>
      <c r="FE431" s="119"/>
      <c r="FF431" s="119"/>
      <c r="FG431" s="119"/>
      <c r="FH431" s="119"/>
      <c r="FI431" s="119"/>
      <c r="FJ431" s="119"/>
      <c r="FK431" s="119"/>
      <c r="FL431" s="119"/>
      <c r="FM431" s="119"/>
      <c r="FN431" s="119"/>
      <c r="FO431" s="119"/>
      <c r="FP431" s="119"/>
      <c r="FQ431" s="119"/>
      <c r="FR431" s="119"/>
    </row>
    <row x14ac:dyDescent="0.25" r="432" customHeight="1" ht="15">
      <c r="A432" s="112">
        <v>45930</v>
      </c>
      <c r="B432" s="112">
        <v>45930</v>
      </c>
      <c r="C432" s="107" t="s">
        <v>305</v>
      </c>
      <c r="D432" s="107" t="s">
        <v>43</v>
      </c>
      <c r="E432" s="108">
        <v>116837</v>
      </c>
      <c r="F432" s="108">
        <v>117068</v>
      </c>
      <c r="G432" s="109">
        <f>IF((F432-E432)&lt;0,0,(F432-E432))</f>
      </c>
      <c r="H432" s="110"/>
      <c r="I432" s="111">
        <f>IFERROR(SUMPRODUCT($G432*VLOOKUP($C432,'Vehicle Master'!$D:$F,3,0)),"")</f>
      </c>
      <c r="J432" s="11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/>
      <c r="AF432" s="119"/>
      <c r="AG432" s="119"/>
      <c r="AH432" s="119"/>
      <c r="AI432" s="119"/>
      <c r="AJ432" s="119"/>
      <c r="AK432" s="119"/>
      <c r="AL432" s="119"/>
      <c r="AM432" s="119"/>
      <c r="AN432" s="119"/>
      <c r="AO432" s="119"/>
      <c r="AP432" s="119"/>
      <c r="AQ432" s="119"/>
      <c r="AR432" s="119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119"/>
      <c r="BF432" s="119"/>
      <c r="BG432" s="119"/>
      <c r="BH432" s="119"/>
      <c r="BI432" s="119"/>
      <c r="BJ432" s="119"/>
      <c r="BK432" s="119"/>
      <c r="BL432" s="119"/>
      <c r="BM432" s="119"/>
      <c r="BN432" s="119"/>
      <c r="BO432" s="119"/>
      <c r="BP432" s="119"/>
      <c r="BQ432" s="119"/>
      <c r="BR432" s="119"/>
      <c r="BS432" s="119"/>
      <c r="BT432" s="119"/>
      <c r="BU432" s="119"/>
      <c r="BV432" s="119"/>
      <c r="BW432" s="119"/>
      <c r="BX432" s="119"/>
      <c r="BY432" s="119"/>
      <c r="BZ432" s="119"/>
      <c r="CA432" s="119"/>
      <c r="CB432" s="119"/>
      <c r="CC432" s="119"/>
      <c r="CD432" s="119"/>
      <c r="CE432" s="119"/>
      <c r="CF432" s="119"/>
      <c r="CG432" s="119"/>
      <c r="CH432" s="119"/>
      <c r="CI432" s="119"/>
      <c r="CJ432" s="119"/>
      <c r="CK432" s="119"/>
      <c r="CL432" s="119"/>
      <c r="CM432" s="119"/>
      <c r="CN432" s="119"/>
      <c r="CO432" s="119"/>
      <c r="CP432" s="119"/>
      <c r="CQ432" s="119"/>
      <c r="CR432" s="119"/>
      <c r="CS432" s="119"/>
      <c r="CT432" s="119"/>
      <c r="CU432" s="119"/>
      <c r="CV432" s="119"/>
      <c r="CW432" s="119"/>
      <c r="CX432" s="119"/>
      <c r="CY432" s="119"/>
      <c r="CZ432" s="119"/>
      <c r="DA432" s="119"/>
      <c r="DB432" s="119"/>
      <c r="DC432" s="119"/>
      <c r="DD432" s="119"/>
      <c r="DE432" s="119"/>
      <c r="DF432" s="119"/>
      <c r="DG432" s="119"/>
      <c r="DH432" s="119"/>
      <c r="DI432" s="119"/>
      <c r="DJ432" s="119"/>
      <c r="DK432" s="119"/>
      <c r="DL432" s="119"/>
      <c r="DM432" s="119"/>
      <c r="DN432" s="119"/>
      <c r="DO432" s="119"/>
      <c r="DP432" s="119"/>
      <c r="DQ432" s="119"/>
      <c r="DR432" s="119"/>
      <c r="DS432" s="119"/>
      <c r="DT432" s="119"/>
      <c r="DU432" s="119"/>
      <c r="DV432" s="119"/>
      <c r="DW432" s="119"/>
      <c r="DX432" s="119"/>
      <c r="DY432" s="119"/>
      <c r="DZ432" s="119"/>
      <c r="EA432" s="119"/>
      <c r="EB432" s="119"/>
      <c r="EC432" s="119"/>
      <c r="ED432" s="119"/>
      <c r="EE432" s="119"/>
      <c r="EF432" s="119"/>
      <c r="EG432" s="119"/>
      <c r="EH432" s="119"/>
      <c r="EI432" s="119"/>
      <c r="EJ432" s="119"/>
      <c r="EK432" s="119"/>
      <c r="EL432" s="119"/>
      <c r="EM432" s="119"/>
      <c r="EN432" s="119"/>
      <c r="EO432" s="119"/>
      <c r="EP432" s="119"/>
      <c r="EQ432" s="119"/>
      <c r="ER432" s="119"/>
      <c r="ES432" s="119"/>
      <c r="ET432" s="119"/>
      <c r="EU432" s="119"/>
      <c r="EV432" s="119"/>
      <c r="EW432" s="119"/>
      <c r="EX432" s="119"/>
      <c r="EY432" s="119"/>
      <c r="EZ432" s="119"/>
      <c r="FA432" s="119"/>
      <c r="FB432" s="119"/>
      <c r="FC432" s="119"/>
      <c r="FD432" s="119"/>
      <c r="FE432" s="119"/>
      <c r="FF432" s="119"/>
      <c r="FG432" s="119"/>
      <c r="FH432" s="119"/>
      <c r="FI432" s="119"/>
      <c r="FJ432" s="119"/>
      <c r="FK432" s="119"/>
      <c r="FL432" s="119"/>
      <c r="FM432" s="119"/>
      <c r="FN432" s="119"/>
      <c r="FO432" s="119"/>
      <c r="FP432" s="119"/>
      <c r="FQ432" s="119"/>
      <c r="FR432" s="119"/>
    </row>
    <row x14ac:dyDescent="0.25" r="433" customHeight="1" ht="15">
      <c r="A433" s="112">
        <v>45930</v>
      </c>
      <c r="B433" s="112">
        <v>45931</v>
      </c>
      <c r="C433" s="107" t="s">
        <v>303</v>
      </c>
      <c r="D433" s="107" t="s">
        <v>45</v>
      </c>
      <c r="E433" s="108">
        <v>116171</v>
      </c>
      <c r="F433" s="108">
        <v>116385</v>
      </c>
      <c r="G433" s="109">
        <f>IF((F433-E433)&lt;0,0,(F433-E433))</f>
      </c>
      <c r="H433" s="110"/>
      <c r="I433" s="111">
        <f>IFERROR(SUMPRODUCT($G433*VLOOKUP($C433,'Vehicle Master'!$D:$F,3,0)),"")</f>
      </c>
      <c r="J433" s="11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/>
      <c r="AH433" s="119"/>
      <c r="AI433" s="119"/>
      <c r="AJ433" s="119"/>
      <c r="AK433" s="119"/>
      <c r="AL433" s="119"/>
      <c r="AM433" s="119"/>
      <c r="AN433" s="119"/>
      <c r="AO433" s="119"/>
      <c r="AP433" s="119"/>
      <c r="AQ433" s="119"/>
      <c r="AR433" s="119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119"/>
      <c r="BF433" s="119"/>
      <c r="BG433" s="119"/>
      <c r="BH433" s="119"/>
      <c r="BI433" s="119"/>
      <c r="BJ433" s="119"/>
      <c r="BK433" s="119"/>
      <c r="BL433" s="119"/>
      <c r="BM433" s="119"/>
      <c r="BN433" s="119"/>
      <c r="BO433" s="119"/>
      <c r="BP433" s="119"/>
      <c r="BQ433" s="119"/>
      <c r="BR433" s="119"/>
      <c r="BS433" s="119"/>
      <c r="BT433" s="119"/>
      <c r="BU433" s="119"/>
      <c r="BV433" s="119"/>
      <c r="BW433" s="119"/>
      <c r="BX433" s="119"/>
      <c r="BY433" s="119"/>
      <c r="BZ433" s="119"/>
      <c r="CA433" s="119"/>
      <c r="CB433" s="119"/>
      <c r="CC433" s="119"/>
      <c r="CD433" s="119"/>
      <c r="CE433" s="119"/>
      <c r="CF433" s="119"/>
      <c r="CG433" s="119"/>
      <c r="CH433" s="119"/>
      <c r="CI433" s="119"/>
      <c r="CJ433" s="119"/>
      <c r="CK433" s="119"/>
      <c r="CL433" s="119"/>
      <c r="CM433" s="119"/>
      <c r="CN433" s="119"/>
      <c r="CO433" s="119"/>
      <c r="CP433" s="119"/>
      <c r="CQ433" s="119"/>
      <c r="CR433" s="119"/>
      <c r="CS433" s="119"/>
      <c r="CT433" s="119"/>
      <c r="CU433" s="119"/>
      <c r="CV433" s="119"/>
      <c r="CW433" s="119"/>
      <c r="CX433" s="119"/>
      <c r="CY433" s="119"/>
      <c r="CZ433" s="119"/>
      <c r="DA433" s="119"/>
      <c r="DB433" s="119"/>
      <c r="DC433" s="119"/>
      <c r="DD433" s="119"/>
      <c r="DE433" s="119"/>
      <c r="DF433" s="119"/>
      <c r="DG433" s="119"/>
      <c r="DH433" s="119"/>
      <c r="DI433" s="119"/>
      <c r="DJ433" s="119"/>
      <c r="DK433" s="119"/>
      <c r="DL433" s="119"/>
      <c r="DM433" s="119"/>
      <c r="DN433" s="119"/>
      <c r="DO433" s="119"/>
      <c r="DP433" s="119"/>
      <c r="DQ433" s="119"/>
      <c r="DR433" s="119"/>
      <c r="DS433" s="119"/>
      <c r="DT433" s="119"/>
      <c r="DU433" s="119"/>
      <c r="DV433" s="119"/>
      <c r="DW433" s="119"/>
      <c r="DX433" s="119"/>
      <c r="DY433" s="119"/>
      <c r="DZ433" s="119"/>
      <c r="EA433" s="119"/>
      <c r="EB433" s="119"/>
      <c r="EC433" s="119"/>
      <c r="ED433" s="119"/>
      <c r="EE433" s="119"/>
      <c r="EF433" s="119"/>
      <c r="EG433" s="119"/>
      <c r="EH433" s="119"/>
      <c r="EI433" s="119"/>
      <c r="EJ433" s="119"/>
      <c r="EK433" s="119"/>
      <c r="EL433" s="119"/>
      <c r="EM433" s="119"/>
      <c r="EN433" s="119"/>
      <c r="EO433" s="119"/>
      <c r="EP433" s="119"/>
      <c r="EQ433" s="119"/>
      <c r="ER433" s="119"/>
      <c r="ES433" s="119"/>
      <c r="ET433" s="119"/>
      <c r="EU433" s="119"/>
      <c r="EV433" s="119"/>
      <c r="EW433" s="119"/>
      <c r="EX433" s="119"/>
      <c r="EY433" s="119"/>
      <c r="EZ433" s="119"/>
      <c r="FA433" s="119"/>
      <c r="FB433" s="119"/>
      <c r="FC433" s="119"/>
      <c r="FD433" s="119"/>
      <c r="FE433" s="119"/>
      <c r="FF433" s="119"/>
      <c r="FG433" s="119"/>
      <c r="FH433" s="119"/>
      <c r="FI433" s="119"/>
      <c r="FJ433" s="119"/>
      <c r="FK433" s="119"/>
      <c r="FL433" s="119"/>
      <c r="FM433" s="119"/>
      <c r="FN433" s="119"/>
      <c r="FO433" s="119"/>
      <c r="FP433" s="119"/>
      <c r="FQ433" s="119"/>
      <c r="FR433" s="119"/>
    </row>
    <row x14ac:dyDescent="0.25" r="434" customHeight="1" ht="15">
      <c r="A434" s="112">
        <v>45936</v>
      </c>
      <c r="B434" s="112">
        <v>45937</v>
      </c>
      <c r="C434" s="107" t="s">
        <v>304</v>
      </c>
      <c r="D434" s="107" t="s">
        <v>344</v>
      </c>
      <c r="E434" s="108">
        <v>129691</v>
      </c>
      <c r="F434" s="108">
        <v>129840</v>
      </c>
      <c r="G434" s="109">
        <f>IF((F434-E434)&lt;0,0,(F434-E434))</f>
      </c>
      <c r="H434" s="110"/>
      <c r="I434" s="111">
        <f>IFERROR(SUMPRODUCT($G434*VLOOKUP($C434,'Vehicle Master'!$D:$F,3,0)),"")</f>
      </c>
      <c r="J434" s="11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/>
      <c r="AH434" s="119"/>
      <c r="AI434" s="119"/>
      <c r="AJ434" s="119"/>
      <c r="AK434" s="119"/>
      <c r="AL434" s="119"/>
      <c r="AM434" s="119"/>
      <c r="AN434" s="119"/>
      <c r="AO434" s="119"/>
      <c r="AP434" s="119"/>
      <c r="AQ434" s="119"/>
      <c r="AR434" s="119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119"/>
      <c r="BF434" s="119"/>
      <c r="BG434" s="119"/>
      <c r="BH434" s="119"/>
      <c r="BI434" s="119"/>
      <c r="BJ434" s="119"/>
      <c r="BK434" s="119"/>
      <c r="BL434" s="119"/>
      <c r="BM434" s="119"/>
      <c r="BN434" s="119"/>
      <c r="BO434" s="119"/>
      <c r="BP434" s="119"/>
      <c r="BQ434" s="119"/>
      <c r="BR434" s="119"/>
      <c r="BS434" s="119"/>
      <c r="BT434" s="119"/>
      <c r="BU434" s="119"/>
      <c r="BV434" s="119"/>
      <c r="BW434" s="119"/>
      <c r="BX434" s="119"/>
      <c r="BY434" s="119"/>
      <c r="BZ434" s="119"/>
      <c r="CA434" s="119"/>
      <c r="CB434" s="119"/>
      <c r="CC434" s="119"/>
      <c r="CD434" s="119"/>
      <c r="CE434" s="119"/>
      <c r="CF434" s="119"/>
      <c r="CG434" s="119"/>
      <c r="CH434" s="119"/>
      <c r="CI434" s="119"/>
      <c r="CJ434" s="119"/>
      <c r="CK434" s="119"/>
      <c r="CL434" s="119"/>
      <c r="CM434" s="119"/>
      <c r="CN434" s="119"/>
      <c r="CO434" s="119"/>
      <c r="CP434" s="119"/>
      <c r="CQ434" s="119"/>
      <c r="CR434" s="119"/>
      <c r="CS434" s="119"/>
      <c r="CT434" s="119"/>
      <c r="CU434" s="119"/>
      <c r="CV434" s="119"/>
      <c r="CW434" s="119"/>
      <c r="CX434" s="119"/>
      <c r="CY434" s="119"/>
      <c r="CZ434" s="119"/>
      <c r="DA434" s="119"/>
      <c r="DB434" s="119"/>
      <c r="DC434" s="119"/>
      <c r="DD434" s="119"/>
      <c r="DE434" s="119"/>
      <c r="DF434" s="119"/>
      <c r="DG434" s="119"/>
      <c r="DH434" s="119"/>
      <c r="DI434" s="119"/>
      <c r="DJ434" s="119"/>
      <c r="DK434" s="119"/>
      <c r="DL434" s="119"/>
      <c r="DM434" s="119"/>
      <c r="DN434" s="119"/>
      <c r="DO434" s="119"/>
      <c r="DP434" s="119"/>
      <c r="DQ434" s="119"/>
      <c r="DR434" s="119"/>
      <c r="DS434" s="119"/>
      <c r="DT434" s="119"/>
      <c r="DU434" s="119"/>
      <c r="DV434" s="119"/>
      <c r="DW434" s="119"/>
      <c r="DX434" s="119"/>
      <c r="DY434" s="119"/>
      <c r="DZ434" s="119"/>
      <c r="EA434" s="119"/>
      <c r="EB434" s="119"/>
      <c r="EC434" s="119"/>
      <c r="ED434" s="119"/>
      <c r="EE434" s="119"/>
      <c r="EF434" s="119"/>
      <c r="EG434" s="119"/>
      <c r="EH434" s="119"/>
      <c r="EI434" s="119"/>
      <c r="EJ434" s="119"/>
      <c r="EK434" s="119"/>
      <c r="EL434" s="119"/>
      <c r="EM434" s="119"/>
      <c r="EN434" s="119"/>
      <c r="EO434" s="119"/>
      <c r="EP434" s="119"/>
      <c r="EQ434" s="119"/>
      <c r="ER434" s="119"/>
      <c r="ES434" s="119"/>
      <c r="ET434" s="119"/>
      <c r="EU434" s="119"/>
      <c r="EV434" s="119"/>
      <c r="EW434" s="119"/>
      <c r="EX434" s="119"/>
      <c r="EY434" s="119"/>
      <c r="EZ434" s="119"/>
      <c r="FA434" s="119"/>
      <c r="FB434" s="119"/>
      <c r="FC434" s="119"/>
      <c r="FD434" s="119"/>
      <c r="FE434" s="119"/>
      <c r="FF434" s="119"/>
      <c r="FG434" s="119"/>
      <c r="FH434" s="119"/>
      <c r="FI434" s="119"/>
      <c r="FJ434" s="119"/>
      <c r="FK434" s="119"/>
      <c r="FL434" s="119"/>
      <c r="FM434" s="119"/>
      <c r="FN434" s="119"/>
      <c r="FO434" s="119"/>
      <c r="FP434" s="119"/>
      <c r="FQ434" s="119"/>
      <c r="FR434" s="119"/>
    </row>
    <row x14ac:dyDescent="0.25" r="435" customHeight="1" ht="15">
      <c r="A435" s="112">
        <v>45936</v>
      </c>
      <c r="B435" s="112">
        <v>45937</v>
      </c>
      <c r="C435" s="107" t="s">
        <v>303</v>
      </c>
      <c r="D435" s="107" t="s">
        <v>45</v>
      </c>
      <c r="E435" s="108">
        <v>116385</v>
      </c>
      <c r="F435" s="108">
        <v>116531</v>
      </c>
      <c r="G435" s="109">
        <f>IF((F435-E435)&lt;0,0,(F435-E435))</f>
      </c>
      <c r="H435" s="110"/>
      <c r="I435" s="111">
        <f>IFERROR(SUMPRODUCT($G435*VLOOKUP($C435,'Vehicle Master'!$D:$F,3,0)),"")</f>
      </c>
      <c r="J435" s="11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/>
      <c r="AP435" s="119"/>
      <c r="AQ435" s="119"/>
      <c r="AR435" s="119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119"/>
      <c r="BF435" s="119"/>
      <c r="BG435" s="119"/>
      <c r="BH435" s="119"/>
      <c r="BI435" s="119"/>
      <c r="BJ435" s="119"/>
      <c r="BK435" s="119"/>
      <c r="BL435" s="119"/>
      <c r="BM435" s="119"/>
      <c r="BN435" s="119"/>
      <c r="BO435" s="119"/>
      <c r="BP435" s="119"/>
      <c r="BQ435" s="119"/>
      <c r="BR435" s="119"/>
      <c r="BS435" s="119"/>
      <c r="BT435" s="119"/>
      <c r="BU435" s="119"/>
      <c r="BV435" s="119"/>
      <c r="BW435" s="119"/>
      <c r="BX435" s="119"/>
      <c r="BY435" s="119"/>
      <c r="BZ435" s="119"/>
      <c r="CA435" s="119"/>
      <c r="CB435" s="119"/>
      <c r="CC435" s="119"/>
      <c r="CD435" s="119"/>
      <c r="CE435" s="119"/>
      <c r="CF435" s="119"/>
      <c r="CG435" s="119"/>
      <c r="CH435" s="119"/>
      <c r="CI435" s="119"/>
      <c r="CJ435" s="119"/>
      <c r="CK435" s="119"/>
      <c r="CL435" s="119"/>
      <c r="CM435" s="119"/>
      <c r="CN435" s="119"/>
      <c r="CO435" s="119"/>
      <c r="CP435" s="119"/>
      <c r="CQ435" s="119"/>
      <c r="CR435" s="119"/>
      <c r="CS435" s="119"/>
      <c r="CT435" s="119"/>
      <c r="CU435" s="119"/>
      <c r="CV435" s="119"/>
      <c r="CW435" s="119"/>
      <c r="CX435" s="119"/>
      <c r="CY435" s="119"/>
      <c r="CZ435" s="119"/>
      <c r="DA435" s="119"/>
      <c r="DB435" s="119"/>
      <c r="DC435" s="119"/>
      <c r="DD435" s="119"/>
      <c r="DE435" s="119"/>
      <c r="DF435" s="119"/>
      <c r="DG435" s="119"/>
      <c r="DH435" s="119"/>
      <c r="DI435" s="119"/>
      <c r="DJ435" s="119"/>
      <c r="DK435" s="119"/>
      <c r="DL435" s="119"/>
      <c r="DM435" s="119"/>
      <c r="DN435" s="119"/>
      <c r="DO435" s="119"/>
      <c r="DP435" s="119"/>
      <c r="DQ435" s="119"/>
      <c r="DR435" s="119"/>
      <c r="DS435" s="119"/>
      <c r="DT435" s="119"/>
      <c r="DU435" s="119"/>
      <c r="DV435" s="119"/>
      <c r="DW435" s="119"/>
      <c r="DX435" s="119"/>
      <c r="DY435" s="119"/>
      <c r="DZ435" s="119"/>
      <c r="EA435" s="119"/>
      <c r="EB435" s="119"/>
      <c r="EC435" s="119"/>
      <c r="ED435" s="119"/>
      <c r="EE435" s="119"/>
      <c r="EF435" s="119"/>
      <c r="EG435" s="119"/>
      <c r="EH435" s="119"/>
      <c r="EI435" s="119"/>
      <c r="EJ435" s="119"/>
      <c r="EK435" s="119"/>
      <c r="EL435" s="119"/>
      <c r="EM435" s="119"/>
      <c r="EN435" s="119"/>
      <c r="EO435" s="119"/>
      <c r="EP435" s="119"/>
      <c r="EQ435" s="119"/>
      <c r="ER435" s="119"/>
      <c r="ES435" s="119"/>
      <c r="ET435" s="119"/>
      <c r="EU435" s="119"/>
      <c r="EV435" s="119"/>
      <c r="EW435" s="119"/>
      <c r="EX435" s="119"/>
      <c r="EY435" s="119"/>
      <c r="EZ435" s="119"/>
      <c r="FA435" s="119"/>
      <c r="FB435" s="119"/>
      <c r="FC435" s="119"/>
      <c r="FD435" s="119"/>
      <c r="FE435" s="119"/>
      <c r="FF435" s="119"/>
      <c r="FG435" s="119"/>
      <c r="FH435" s="119"/>
      <c r="FI435" s="119"/>
      <c r="FJ435" s="119"/>
      <c r="FK435" s="119"/>
      <c r="FL435" s="119"/>
      <c r="FM435" s="119"/>
      <c r="FN435" s="119"/>
      <c r="FO435" s="119"/>
      <c r="FP435" s="119"/>
      <c r="FQ435" s="119"/>
      <c r="FR435" s="119"/>
    </row>
    <row x14ac:dyDescent="0.25" r="436" customHeight="1" ht="15">
      <c r="A436" s="112">
        <v>45936</v>
      </c>
      <c r="B436" s="112">
        <v>45937</v>
      </c>
      <c r="C436" s="107" t="s">
        <v>302</v>
      </c>
      <c r="D436" s="107" t="s">
        <v>42</v>
      </c>
      <c r="E436" s="108">
        <v>95079</v>
      </c>
      <c r="F436" s="108">
        <v>95331</v>
      </c>
      <c r="G436" s="109">
        <f>IF((F436-E436)&lt;0,0,(F436-E436))</f>
      </c>
      <c r="H436" s="110"/>
      <c r="I436" s="111">
        <f>IFERROR(SUMPRODUCT($G436*VLOOKUP($C436,'Vehicle Master'!$D:$F,3,0)),"")</f>
      </c>
      <c r="J436" s="11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/>
      <c r="AP436" s="119"/>
      <c r="AQ436" s="119"/>
      <c r="AR436" s="119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119"/>
      <c r="BF436" s="119"/>
      <c r="BG436" s="119"/>
      <c r="BH436" s="119"/>
      <c r="BI436" s="119"/>
      <c r="BJ436" s="119"/>
      <c r="BK436" s="119"/>
      <c r="BL436" s="119"/>
      <c r="BM436" s="119"/>
      <c r="BN436" s="119"/>
      <c r="BO436" s="119"/>
      <c r="BP436" s="119"/>
      <c r="BQ436" s="119"/>
      <c r="BR436" s="119"/>
      <c r="BS436" s="119"/>
      <c r="BT436" s="119"/>
      <c r="BU436" s="119"/>
      <c r="BV436" s="119"/>
      <c r="BW436" s="119"/>
      <c r="BX436" s="119"/>
      <c r="BY436" s="119"/>
      <c r="BZ436" s="119"/>
      <c r="CA436" s="119"/>
      <c r="CB436" s="119"/>
      <c r="CC436" s="119"/>
      <c r="CD436" s="119"/>
      <c r="CE436" s="119"/>
      <c r="CF436" s="119"/>
      <c r="CG436" s="119"/>
      <c r="CH436" s="119"/>
      <c r="CI436" s="119"/>
      <c r="CJ436" s="119"/>
      <c r="CK436" s="119"/>
      <c r="CL436" s="119"/>
      <c r="CM436" s="119"/>
      <c r="CN436" s="119"/>
      <c r="CO436" s="119"/>
      <c r="CP436" s="119"/>
      <c r="CQ436" s="119"/>
      <c r="CR436" s="119"/>
      <c r="CS436" s="119"/>
      <c r="CT436" s="119"/>
      <c r="CU436" s="119"/>
      <c r="CV436" s="119"/>
      <c r="CW436" s="119"/>
      <c r="CX436" s="119"/>
      <c r="CY436" s="119"/>
      <c r="CZ436" s="119"/>
      <c r="DA436" s="119"/>
      <c r="DB436" s="119"/>
      <c r="DC436" s="119"/>
      <c r="DD436" s="119"/>
      <c r="DE436" s="119"/>
      <c r="DF436" s="119"/>
      <c r="DG436" s="119"/>
      <c r="DH436" s="119"/>
      <c r="DI436" s="119"/>
      <c r="DJ436" s="119"/>
      <c r="DK436" s="119"/>
      <c r="DL436" s="119"/>
      <c r="DM436" s="119"/>
      <c r="DN436" s="119"/>
      <c r="DO436" s="119"/>
      <c r="DP436" s="119"/>
      <c r="DQ436" s="119"/>
      <c r="DR436" s="119"/>
      <c r="DS436" s="119"/>
      <c r="DT436" s="119"/>
      <c r="DU436" s="119"/>
      <c r="DV436" s="119"/>
      <c r="DW436" s="119"/>
      <c r="DX436" s="119"/>
      <c r="DY436" s="119"/>
      <c r="DZ436" s="119"/>
      <c r="EA436" s="119"/>
      <c r="EB436" s="119"/>
      <c r="EC436" s="119"/>
      <c r="ED436" s="119"/>
      <c r="EE436" s="119"/>
      <c r="EF436" s="119"/>
      <c r="EG436" s="119"/>
      <c r="EH436" s="119"/>
      <c r="EI436" s="119"/>
      <c r="EJ436" s="119"/>
      <c r="EK436" s="119"/>
      <c r="EL436" s="119"/>
      <c r="EM436" s="119"/>
      <c r="EN436" s="119"/>
      <c r="EO436" s="119"/>
      <c r="EP436" s="119"/>
      <c r="EQ436" s="119"/>
      <c r="ER436" s="119"/>
      <c r="ES436" s="119"/>
      <c r="ET436" s="119"/>
      <c r="EU436" s="119"/>
      <c r="EV436" s="119"/>
      <c r="EW436" s="119"/>
      <c r="EX436" s="119"/>
      <c r="EY436" s="119"/>
      <c r="EZ436" s="119"/>
      <c r="FA436" s="119"/>
      <c r="FB436" s="119"/>
      <c r="FC436" s="119"/>
      <c r="FD436" s="119"/>
      <c r="FE436" s="119"/>
      <c r="FF436" s="119"/>
      <c r="FG436" s="119"/>
      <c r="FH436" s="119"/>
      <c r="FI436" s="119"/>
      <c r="FJ436" s="119"/>
      <c r="FK436" s="119"/>
      <c r="FL436" s="119"/>
      <c r="FM436" s="119"/>
      <c r="FN436" s="119"/>
      <c r="FO436" s="119"/>
      <c r="FP436" s="119"/>
      <c r="FQ436" s="119"/>
      <c r="FR436" s="119"/>
    </row>
    <row x14ac:dyDescent="0.25" r="437" customHeight="1" ht="15">
      <c r="A437" s="112">
        <v>45936</v>
      </c>
      <c r="B437" s="112">
        <v>45937</v>
      </c>
      <c r="C437" s="107" t="s">
        <v>305</v>
      </c>
      <c r="D437" s="107" t="s">
        <v>43</v>
      </c>
      <c r="E437" s="108">
        <v>117068</v>
      </c>
      <c r="F437" s="108">
        <v>117291</v>
      </c>
      <c r="G437" s="109">
        <f>IF((F437-E437)&lt;0,0,(F437-E437))</f>
      </c>
      <c r="H437" s="110"/>
      <c r="I437" s="111">
        <f>IFERROR(SUMPRODUCT($G437*VLOOKUP($C437,'Vehicle Master'!$D:$F,3,0)),"")</f>
      </c>
      <c r="J437" s="11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/>
      <c r="AP437" s="119"/>
      <c r="AQ437" s="119"/>
      <c r="AR437" s="119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119"/>
      <c r="BF437" s="119"/>
      <c r="BG437" s="119"/>
      <c r="BH437" s="119"/>
      <c r="BI437" s="119"/>
      <c r="BJ437" s="119"/>
      <c r="BK437" s="119"/>
      <c r="BL437" s="119"/>
      <c r="BM437" s="119"/>
      <c r="BN437" s="119"/>
      <c r="BO437" s="119"/>
      <c r="BP437" s="119"/>
      <c r="BQ437" s="119"/>
      <c r="BR437" s="119"/>
      <c r="BS437" s="119"/>
      <c r="BT437" s="119"/>
      <c r="BU437" s="119"/>
      <c r="BV437" s="119"/>
      <c r="BW437" s="119"/>
      <c r="BX437" s="119"/>
      <c r="BY437" s="119"/>
      <c r="BZ437" s="119"/>
      <c r="CA437" s="119"/>
      <c r="CB437" s="119"/>
      <c r="CC437" s="119"/>
      <c r="CD437" s="119"/>
      <c r="CE437" s="119"/>
      <c r="CF437" s="119"/>
      <c r="CG437" s="119"/>
      <c r="CH437" s="119"/>
      <c r="CI437" s="119"/>
      <c r="CJ437" s="119"/>
      <c r="CK437" s="119"/>
      <c r="CL437" s="119"/>
      <c r="CM437" s="119"/>
      <c r="CN437" s="119"/>
      <c r="CO437" s="119"/>
      <c r="CP437" s="119"/>
      <c r="CQ437" s="119"/>
      <c r="CR437" s="119"/>
      <c r="CS437" s="119"/>
      <c r="CT437" s="119"/>
      <c r="CU437" s="119"/>
      <c r="CV437" s="119"/>
      <c r="CW437" s="119"/>
      <c r="CX437" s="119"/>
      <c r="CY437" s="119"/>
      <c r="CZ437" s="119"/>
      <c r="DA437" s="119"/>
      <c r="DB437" s="119"/>
      <c r="DC437" s="119"/>
      <c r="DD437" s="119"/>
      <c r="DE437" s="119"/>
      <c r="DF437" s="119"/>
      <c r="DG437" s="119"/>
      <c r="DH437" s="119"/>
      <c r="DI437" s="119"/>
      <c r="DJ437" s="119"/>
      <c r="DK437" s="119"/>
      <c r="DL437" s="119"/>
      <c r="DM437" s="119"/>
      <c r="DN437" s="119"/>
      <c r="DO437" s="119"/>
      <c r="DP437" s="119"/>
      <c r="DQ437" s="119"/>
      <c r="DR437" s="119"/>
      <c r="DS437" s="119"/>
      <c r="DT437" s="119"/>
      <c r="DU437" s="119"/>
      <c r="DV437" s="119"/>
      <c r="DW437" s="119"/>
      <c r="DX437" s="119"/>
      <c r="DY437" s="119"/>
      <c r="DZ437" s="119"/>
      <c r="EA437" s="119"/>
      <c r="EB437" s="119"/>
      <c r="EC437" s="119"/>
      <c r="ED437" s="119"/>
      <c r="EE437" s="119"/>
      <c r="EF437" s="119"/>
      <c r="EG437" s="119"/>
      <c r="EH437" s="119"/>
      <c r="EI437" s="119"/>
      <c r="EJ437" s="119"/>
      <c r="EK437" s="119"/>
      <c r="EL437" s="119"/>
      <c r="EM437" s="119"/>
      <c r="EN437" s="119"/>
      <c r="EO437" s="119"/>
      <c r="EP437" s="119"/>
      <c r="EQ437" s="119"/>
      <c r="ER437" s="119"/>
      <c r="ES437" s="119"/>
      <c r="ET437" s="119"/>
      <c r="EU437" s="119"/>
      <c r="EV437" s="119"/>
      <c r="EW437" s="119"/>
      <c r="EX437" s="119"/>
      <c r="EY437" s="119"/>
      <c r="EZ437" s="119"/>
      <c r="FA437" s="119"/>
      <c r="FB437" s="119"/>
      <c r="FC437" s="119"/>
      <c r="FD437" s="119"/>
      <c r="FE437" s="119"/>
      <c r="FF437" s="119"/>
      <c r="FG437" s="119"/>
      <c r="FH437" s="119"/>
      <c r="FI437" s="119"/>
      <c r="FJ437" s="119"/>
      <c r="FK437" s="119"/>
      <c r="FL437" s="119"/>
      <c r="FM437" s="119"/>
      <c r="FN437" s="119"/>
      <c r="FO437" s="119"/>
      <c r="FP437" s="119"/>
      <c r="FQ437" s="119"/>
      <c r="FR437" s="119"/>
    </row>
    <row x14ac:dyDescent="0.25" r="438" customHeight="1" ht="15">
      <c r="A438" s="112">
        <v>45937</v>
      </c>
      <c r="B438" s="112">
        <v>45938</v>
      </c>
      <c r="C438" s="107" t="s">
        <v>304</v>
      </c>
      <c r="D438" s="107" t="s">
        <v>39</v>
      </c>
      <c r="E438" s="108">
        <v>129840</v>
      </c>
      <c r="F438" s="108">
        <v>130161</v>
      </c>
      <c r="G438" s="109">
        <f>IF((F438-E438)&lt;0,0,(F438-E438))</f>
      </c>
      <c r="H438" s="110"/>
      <c r="I438" s="111">
        <f>IFERROR(SUMPRODUCT($G438*VLOOKUP($C438,'Vehicle Master'!$D:$F,3,0)),"")</f>
      </c>
      <c r="J438" s="11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/>
      <c r="AP438" s="119"/>
      <c r="AQ438" s="119"/>
      <c r="AR438" s="119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119"/>
      <c r="BF438" s="119"/>
      <c r="BG438" s="119"/>
      <c r="BH438" s="119"/>
      <c r="BI438" s="119"/>
      <c r="BJ438" s="119"/>
      <c r="BK438" s="119"/>
      <c r="BL438" s="119"/>
      <c r="BM438" s="119"/>
      <c r="BN438" s="119"/>
      <c r="BO438" s="119"/>
      <c r="BP438" s="119"/>
      <c r="BQ438" s="119"/>
      <c r="BR438" s="119"/>
      <c r="BS438" s="119"/>
      <c r="BT438" s="119"/>
      <c r="BU438" s="119"/>
      <c r="BV438" s="119"/>
      <c r="BW438" s="119"/>
      <c r="BX438" s="119"/>
      <c r="BY438" s="119"/>
      <c r="BZ438" s="119"/>
      <c r="CA438" s="119"/>
      <c r="CB438" s="119"/>
      <c r="CC438" s="119"/>
      <c r="CD438" s="119"/>
      <c r="CE438" s="119"/>
      <c r="CF438" s="119"/>
      <c r="CG438" s="119"/>
      <c r="CH438" s="119"/>
      <c r="CI438" s="119"/>
      <c r="CJ438" s="119"/>
      <c r="CK438" s="119"/>
      <c r="CL438" s="119"/>
      <c r="CM438" s="119"/>
      <c r="CN438" s="119"/>
      <c r="CO438" s="119"/>
      <c r="CP438" s="119"/>
      <c r="CQ438" s="119"/>
      <c r="CR438" s="119"/>
      <c r="CS438" s="119"/>
      <c r="CT438" s="119"/>
      <c r="CU438" s="119"/>
      <c r="CV438" s="119"/>
      <c r="CW438" s="119"/>
      <c r="CX438" s="119"/>
      <c r="CY438" s="119"/>
      <c r="CZ438" s="119"/>
      <c r="DA438" s="119"/>
      <c r="DB438" s="119"/>
      <c r="DC438" s="119"/>
      <c r="DD438" s="119"/>
      <c r="DE438" s="119"/>
      <c r="DF438" s="119"/>
      <c r="DG438" s="119"/>
      <c r="DH438" s="119"/>
      <c r="DI438" s="119"/>
      <c r="DJ438" s="119"/>
      <c r="DK438" s="119"/>
      <c r="DL438" s="119"/>
      <c r="DM438" s="119"/>
      <c r="DN438" s="119"/>
      <c r="DO438" s="119"/>
      <c r="DP438" s="119"/>
      <c r="DQ438" s="119"/>
      <c r="DR438" s="119"/>
      <c r="DS438" s="119"/>
      <c r="DT438" s="119"/>
      <c r="DU438" s="119"/>
      <c r="DV438" s="119"/>
      <c r="DW438" s="119"/>
      <c r="DX438" s="119"/>
      <c r="DY438" s="119"/>
      <c r="DZ438" s="119"/>
      <c r="EA438" s="119"/>
      <c r="EB438" s="119"/>
      <c r="EC438" s="119"/>
      <c r="ED438" s="119"/>
      <c r="EE438" s="119"/>
      <c r="EF438" s="119"/>
      <c r="EG438" s="119"/>
      <c r="EH438" s="119"/>
      <c r="EI438" s="119"/>
      <c r="EJ438" s="119"/>
      <c r="EK438" s="119"/>
      <c r="EL438" s="119"/>
      <c r="EM438" s="119"/>
      <c r="EN438" s="119"/>
      <c r="EO438" s="119"/>
      <c r="EP438" s="119"/>
      <c r="EQ438" s="119"/>
      <c r="ER438" s="119"/>
      <c r="ES438" s="119"/>
      <c r="ET438" s="119"/>
      <c r="EU438" s="119"/>
      <c r="EV438" s="119"/>
      <c r="EW438" s="119"/>
      <c r="EX438" s="119"/>
      <c r="EY438" s="119"/>
      <c r="EZ438" s="119"/>
      <c r="FA438" s="119"/>
      <c r="FB438" s="119"/>
      <c r="FC438" s="119"/>
      <c r="FD438" s="119"/>
      <c r="FE438" s="119"/>
      <c r="FF438" s="119"/>
      <c r="FG438" s="119"/>
      <c r="FH438" s="119"/>
      <c r="FI438" s="119"/>
      <c r="FJ438" s="119"/>
      <c r="FK438" s="119"/>
      <c r="FL438" s="119"/>
      <c r="FM438" s="119"/>
      <c r="FN438" s="119"/>
      <c r="FO438" s="119"/>
      <c r="FP438" s="119"/>
      <c r="FQ438" s="119"/>
      <c r="FR438" s="119"/>
    </row>
    <row x14ac:dyDescent="0.25" r="439" customHeight="1" ht="15">
      <c r="A439" s="112">
        <v>45938</v>
      </c>
      <c r="B439" s="112">
        <v>45939</v>
      </c>
      <c r="C439" s="107" t="s">
        <v>303</v>
      </c>
      <c r="D439" s="107" t="s">
        <v>45</v>
      </c>
      <c r="E439" s="108">
        <v>116385</v>
      </c>
      <c r="F439" s="108">
        <v>116792</v>
      </c>
      <c r="G439" s="109">
        <f>IF((F439-E439)&lt;0,0,(F439-E439))</f>
      </c>
      <c r="H439" s="110"/>
      <c r="I439" s="111">
        <f>IFERROR(SUMPRODUCT($G439*VLOOKUP($C439,'Vehicle Master'!$D:$F,3,0)),"")</f>
      </c>
      <c r="J439" s="11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/>
      <c r="AP439" s="119"/>
      <c r="AQ439" s="119"/>
      <c r="AR439" s="119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119"/>
      <c r="BF439" s="119"/>
      <c r="BG439" s="119"/>
      <c r="BH439" s="119"/>
      <c r="BI439" s="119"/>
      <c r="BJ439" s="119"/>
      <c r="BK439" s="119"/>
      <c r="BL439" s="119"/>
      <c r="BM439" s="119"/>
      <c r="BN439" s="119"/>
      <c r="BO439" s="119"/>
      <c r="BP439" s="119"/>
      <c r="BQ439" s="119"/>
      <c r="BR439" s="119"/>
      <c r="BS439" s="119"/>
      <c r="BT439" s="119"/>
      <c r="BU439" s="119"/>
      <c r="BV439" s="119"/>
      <c r="BW439" s="119"/>
      <c r="BX439" s="119"/>
      <c r="BY439" s="119"/>
      <c r="BZ439" s="119"/>
      <c r="CA439" s="119"/>
      <c r="CB439" s="119"/>
      <c r="CC439" s="119"/>
      <c r="CD439" s="119"/>
      <c r="CE439" s="119"/>
      <c r="CF439" s="119"/>
      <c r="CG439" s="119"/>
      <c r="CH439" s="119"/>
      <c r="CI439" s="119"/>
      <c r="CJ439" s="119"/>
      <c r="CK439" s="119"/>
      <c r="CL439" s="119"/>
      <c r="CM439" s="119"/>
      <c r="CN439" s="119"/>
      <c r="CO439" s="119"/>
      <c r="CP439" s="119"/>
      <c r="CQ439" s="119"/>
      <c r="CR439" s="119"/>
      <c r="CS439" s="119"/>
      <c r="CT439" s="119"/>
      <c r="CU439" s="119"/>
      <c r="CV439" s="119"/>
      <c r="CW439" s="119"/>
      <c r="CX439" s="119"/>
      <c r="CY439" s="119"/>
      <c r="CZ439" s="119"/>
      <c r="DA439" s="119"/>
      <c r="DB439" s="119"/>
      <c r="DC439" s="119"/>
      <c r="DD439" s="119"/>
      <c r="DE439" s="119"/>
      <c r="DF439" s="119"/>
      <c r="DG439" s="119"/>
      <c r="DH439" s="119"/>
      <c r="DI439" s="119"/>
      <c r="DJ439" s="119"/>
      <c r="DK439" s="119"/>
      <c r="DL439" s="119"/>
      <c r="DM439" s="119"/>
      <c r="DN439" s="119"/>
      <c r="DO439" s="119"/>
      <c r="DP439" s="119"/>
      <c r="DQ439" s="119"/>
      <c r="DR439" s="119"/>
      <c r="DS439" s="119"/>
      <c r="DT439" s="119"/>
      <c r="DU439" s="119"/>
      <c r="DV439" s="119"/>
      <c r="DW439" s="119"/>
      <c r="DX439" s="119"/>
      <c r="DY439" s="119"/>
      <c r="DZ439" s="119"/>
      <c r="EA439" s="119"/>
      <c r="EB439" s="119"/>
      <c r="EC439" s="119"/>
      <c r="ED439" s="119"/>
      <c r="EE439" s="119"/>
      <c r="EF439" s="119"/>
      <c r="EG439" s="119"/>
      <c r="EH439" s="119"/>
      <c r="EI439" s="119"/>
      <c r="EJ439" s="119"/>
      <c r="EK439" s="119"/>
      <c r="EL439" s="119"/>
      <c r="EM439" s="119"/>
      <c r="EN439" s="119"/>
      <c r="EO439" s="119"/>
      <c r="EP439" s="119"/>
      <c r="EQ439" s="119"/>
      <c r="ER439" s="119"/>
      <c r="ES439" s="119"/>
      <c r="ET439" s="119"/>
      <c r="EU439" s="119"/>
      <c r="EV439" s="119"/>
      <c r="EW439" s="119"/>
      <c r="EX439" s="119"/>
      <c r="EY439" s="119"/>
      <c r="EZ439" s="119"/>
      <c r="FA439" s="119"/>
      <c r="FB439" s="119"/>
      <c r="FC439" s="119"/>
      <c r="FD439" s="119"/>
      <c r="FE439" s="119"/>
      <c r="FF439" s="119"/>
      <c r="FG439" s="119"/>
      <c r="FH439" s="119"/>
      <c r="FI439" s="119"/>
      <c r="FJ439" s="119"/>
      <c r="FK439" s="119"/>
      <c r="FL439" s="119"/>
      <c r="FM439" s="119"/>
      <c r="FN439" s="119"/>
      <c r="FO439" s="119"/>
      <c r="FP439" s="119"/>
      <c r="FQ439" s="119"/>
      <c r="FR439" s="119"/>
    </row>
    <row x14ac:dyDescent="0.25" r="440" customHeight="1" ht="15">
      <c r="A440" s="112">
        <v>45938</v>
      </c>
      <c r="B440" s="112">
        <v>45939</v>
      </c>
      <c r="C440" s="107" t="s">
        <v>305</v>
      </c>
      <c r="D440" s="107" t="s">
        <v>43</v>
      </c>
      <c r="E440" s="108">
        <v>117291</v>
      </c>
      <c r="F440" s="108">
        <v>117812</v>
      </c>
      <c r="G440" s="109">
        <f>IF((F440-E440)&lt;0,0,(F440-E440))</f>
      </c>
      <c r="H440" s="110"/>
      <c r="I440" s="111">
        <f>IFERROR(SUMPRODUCT($G440*VLOOKUP($C440,'Vehicle Master'!$D:$F,3,0)),"")</f>
      </c>
      <c r="J440" s="11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19"/>
      <c r="AN440" s="119"/>
      <c r="AO440" s="119"/>
      <c r="AP440" s="119"/>
      <c r="AQ440" s="119"/>
      <c r="AR440" s="119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119"/>
      <c r="BF440" s="119"/>
      <c r="BG440" s="119"/>
      <c r="BH440" s="119"/>
      <c r="BI440" s="119"/>
      <c r="BJ440" s="119"/>
      <c r="BK440" s="119"/>
      <c r="BL440" s="119"/>
      <c r="BM440" s="119"/>
      <c r="BN440" s="119"/>
      <c r="BO440" s="119"/>
      <c r="BP440" s="119"/>
      <c r="BQ440" s="119"/>
      <c r="BR440" s="119"/>
      <c r="BS440" s="119"/>
      <c r="BT440" s="119"/>
      <c r="BU440" s="119"/>
      <c r="BV440" s="119"/>
      <c r="BW440" s="119"/>
      <c r="BX440" s="119"/>
      <c r="BY440" s="119"/>
      <c r="BZ440" s="119"/>
      <c r="CA440" s="119"/>
      <c r="CB440" s="119"/>
      <c r="CC440" s="119"/>
      <c r="CD440" s="119"/>
      <c r="CE440" s="119"/>
      <c r="CF440" s="119"/>
      <c r="CG440" s="119"/>
      <c r="CH440" s="119"/>
      <c r="CI440" s="119"/>
      <c r="CJ440" s="119"/>
      <c r="CK440" s="119"/>
      <c r="CL440" s="119"/>
      <c r="CM440" s="119"/>
      <c r="CN440" s="119"/>
      <c r="CO440" s="119"/>
      <c r="CP440" s="119"/>
      <c r="CQ440" s="119"/>
      <c r="CR440" s="119"/>
      <c r="CS440" s="119"/>
      <c r="CT440" s="119"/>
      <c r="CU440" s="119"/>
      <c r="CV440" s="119"/>
      <c r="CW440" s="119"/>
      <c r="CX440" s="119"/>
      <c r="CY440" s="119"/>
      <c r="CZ440" s="119"/>
      <c r="DA440" s="119"/>
      <c r="DB440" s="119"/>
      <c r="DC440" s="119"/>
      <c r="DD440" s="119"/>
      <c r="DE440" s="119"/>
      <c r="DF440" s="119"/>
      <c r="DG440" s="119"/>
      <c r="DH440" s="119"/>
      <c r="DI440" s="119"/>
      <c r="DJ440" s="119"/>
      <c r="DK440" s="119"/>
      <c r="DL440" s="119"/>
      <c r="DM440" s="119"/>
      <c r="DN440" s="119"/>
      <c r="DO440" s="119"/>
      <c r="DP440" s="119"/>
      <c r="DQ440" s="119"/>
      <c r="DR440" s="119"/>
      <c r="DS440" s="119"/>
      <c r="DT440" s="119"/>
      <c r="DU440" s="119"/>
      <c r="DV440" s="119"/>
      <c r="DW440" s="119"/>
      <c r="DX440" s="119"/>
      <c r="DY440" s="119"/>
      <c r="DZ440" s="119"/>
      <c r="EA440" s="119"/>
      <c r="EB440" s="119"/>
      <c r="EC440" s="119"/>
      <c r="ED440" s="119"/>
      <c r="EE440" s="119"/>
      <c r="EF440" s="119"/>
      <c r="EG440" s="119"/>
      <c r="EH440" s="119"/>
      <c r="EI440" s="119"/>
      <c r="EJ440" s="119"/>
      <c r="EK440" s="119"/>
      <c r="EL440" s="119"/>
      <c r="EM440" s="119"/>
      <c r="EN440" s="119"/>
      <c r="EO440" s="119"/>
      <c r="EP440" s="119"/>
      <c r="EQ440" s="119"/>
      <c r="ER440" s="119"/>
      <c r="ES440" s="119"/>
      <c r="ET440" s="119"/>
      <c r="EU440" s="119"/>
      <c r="EV440" s="119"/>
      <c r="EW440" s="119"/>
      <c r="EX440" s="119"/>
      <c r="EY440" s="119"/>
      <c r="EZ440" s="119"/>
      <c r="FA440" s="119"/>
      <c r="FB440" s="119"/>
      <c r="FC440" s="119"/>
      <c r="FD440" s="119"/>
      <c r="FE440" s="119"/>
      <c r="FF440" s="119"/>
      <c r="FG440" s="119"/>
      <c r="FH440" s="119"/>
      <c r="FI440" s="119"/>
      <c r="FJ440" s="119"/>
      <c r="FK440" s="119"/>
      <c r="FL440" s="119"/>
      <c r="FM440" s="119"/>
      <c r="FN440" s="119"/>
      <c r="FO440" s="119"/>
      <c r="FP440" s="119"/>
      <c r="FQ440" s="119"/>
      <c r="FR440" s="119"/>
    </row>
    <row x14ac:dyDescent="0.25" r="441" customHeight="1" ht="15">
      <c r="A441" s="112">
        <v>45938</v>
      </c>
      <c r="B441" s="112">
        <v>45939</v>
      </c>
      <c r="C441" s="107" t="s">
        <v>302</v>
      </c>
      <c r="D441" s="107" t="s">
        <v>42</v>
      </c>
      <c r="E441" s="108">
        <v>95331</v>
      </c>
      <c r="F441" s="108">
        <v>95577</v>
      </c>
      <c r="G441" s="109">
        <f>IF((F441-E441)&lt;0,0,(F441-E441))</f>
      </c>
      <c r="H441" s="110"/>
      <c r="I441" s="111">
        <f>IFERROR(SUMPRODUCT($G441*VLOOKUP($C441,'Vehicle Master'!$D:$F,3,0)),"")</f>
      </c>
      <c r="J441" s="1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19"/>
      <c r="AN441" s="119"/>
      <c r="AO441" s="119"/>
      <c r="AP441" s="119"/>
      <c r="AQ441" s="119"/>
      <c r="AR441" s="119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119"/>
      <c r="BF441" s="119"/>
      <c r="BG441" s="119"/>
      <c r="BH441" s="119"/>
      <c r="BI441" s="119"/>
      <c r="BJ441" s="119"/>
      <c r="BK441" s="119"/>
      <c r="BL441" s="119"/>
      <c r="BM441" s="119"/>
      <c r="BN441" s="119"/>
      <c r="BO441" s="119"/>
      <c r="BP441" s="119"/>
      <c r="BQ441" s="119"/>
      <c r="BR441" s="119"/>
      <c r="BS441" s="119"/>
      <c r="BT441" s="119"/>
      <c r="BU441" s="119"/>
      <c r="BV441" s="119"/>
      <c r="BW441" s="119"/>
      <c r="BX441" s="119"/>
      <c r="BY441" s="119"/>
      <c r="BZ441" s="119"/>
      <c r="CA441" s="119"/>
      <c r="CB441" s="119"/>
      <c r="CC441" s="119"/>
      <c r="CD441" s="119"/>
      <c r="CE441" s="119"/>
      <c r="CF441" s="119"/>
      <c r="CG441" s="119"/>
      <c r="CH441" s="119"/>
      <c r="CI441" s="119"/>
      <c r="CJ441" s="119"/>
      <c r="CK441" s="119"/>
      <c r="CL441" s="119"/>
      <c r="CM441" s="119"/>
      <c r="CN441" s="119"/>
      <c r="CO441" s="119"/>
      <c r="CP441" s="119"/>
      <c r="CQ441" s="119"/>
      <c r="CR441" s="119"/>
      <c r="CS441" s="119"/>
      <c r="CT441" s="119"/>
      <c r="CU441" s="119"/>
      <c r="CV441" s="119"/>
      <c r="CW441" s="119"/>
      <c r="CX441" s="119"/>
      <c r="CY441" s="119"/>
      <c r="CZ441" s="119"/>
      <c r="DA441" s="119"/>
      <c r="DB441" s="119"/>
      <c r="DC441" s="119"/>
      <c r="DD441" s="119"/>
      <c r="DE441" s="119"/>
      <c r="DF441" s="119"/>
      <c r="DG441" s="119"/>
      <c r="DH441" s="119"/>
      <c r="DI441" s="119"/>
      <c r="DJ441" s="119"/>
      <c r="DK441" s="119"/>
      <c r="DL441" s="119"/>
      <c r="DM441" s="119"/>
      <c r="DN441" s="119"/>
      <c r="DO441" s="119"/>
      <c r="DP441" s="119"/>
      <c r="DQ441" s="119"/>
      <c r="DR441" s="119"/>
      <c r="DS441" s="119"/>
      <c r="DT441" s="119"/>
      <c r="DU441" s="119"/>
      <c r="DV441" s="119"/>
      <c r="DW441" s="119"/>
      <c r="DX441" s="119"/>
      <c r="DY441" s="119"/>
      <c r="DZ441" s="119"/>
      <c r="EA441" s="119"/>
      <c r="EB441" s="119"/>
      <c r="EC441" s="119"/>
      <c r="ED441" s="119"/>
      <c r="EE441" s="119"/>
      <c r="EF441" s="119"/>
      <c r="EG441" s="119"/>
      <c r="EH441" s="119"/>
      <c r="EI441" s="119"/>
      <c r="EJ441" s="119"/>
      <c r="EK441" s="119"/>
      <c r="EL441" s="119"/>
      <c r="EM441" s="119"/>
      <c r="EN441" s="119"/>
      <c r="EO441" s="119"/>
      <c r="EP441" s="119"/>
      <c r="EQ441" s="119"/>
      <c r="ER441" s="119"/>
      <c r="ES441" s="119"/>
      <c r="ET441" s="119"/>
      <c r="EU441" s="119"/>
      <c r="EV441" s="119"/>
      <c r="EW441" s="119"/>
      <c r="EX441" s="119"/>
      <c r="EY441" s="119"/>
      <c r="EZ441" s="119"/>
      <c r="FA441" s="119"/>
      <c r="FB441" s="119"/>
      <c r="FC441" s="119"/>
      <c r="FD441" s="119"/>
      <c r="FE441" s="119"/>
      <c r="FF441" s="119"/>
      <c r="FG441" s="119"/>
      <c r="FH441" s="119"/>
      <c r="FI441" s="119"/>
      <c r="FJ441" s="119"/>
      <c r="FK441" s="119"/>
      <c r="FL441" s="119"/>
      <c r="FM441" s="119"/>
      <c r="FN441" s="119"/>
      <c r="FO441" s="119"/>
      <c r="FP441" s="119"/>
      <c r="FQ441" s="119"/>
      <c r="FR441" s="119"/>
    </row>
    <row x14ac:dyDescent="0.25" r="442" customHeight="1" ht="15">
      <c r="A442" s="112">
        <v>45939</v>
      </c>
      <c r="B442" s="112">
        <v>45940</v>
      </c>
      <c r="C442" s="107" t="s">
        <v>303</v>
      </c>
      <c r="D442" s="107" t="s">
        <v>45</v>
      </c>
      <c r="E442" s="108">
        <v>116792</v>
      </c>
      <c r="F442" s="108">
        <v>117020</v>
      </c>
      <c r="G442" s="109">
        <f>IF((F442-E442)&lt;0,0,(F442-E442))</f>
      </c>
      <c r="H442" s="110"/>
      <c r="I442" s="111">
        <f>IFERROR(SUMPRODUCT($G442*VLOOKUP($C442,'Vehicle Master'!$D:$F,3,0)),"")</f>
      </c>
      <c r="J442" s="11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/>
      <c r="AG442" s="119"/>
      <c r="AH442" s="119"/>
      <c r="AI442" s="119"/>
      <c r="AJ442" s="119"/>
      <c r="AK442" s="119"/>
      <c r="AL442" s="119"/>
      <c r="AM442" s="119"/>
      <c r="AN442" s="119"/>
      <c r="AO442" s="119"/>
      <c r="AP442" s="119"/>
      <c r="AQ442" s="119"/>
      <c r="AR442" s="119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119"/>
      <c r="BF442" s="119"/>
      <c r="BG442" s="119"/>
      <c r="BH442" s="119"/>
      <c r="BI442" s="119"/>
      <c r="BJ442" s="119"/>
      <c r="BK442" s="119"/>
      <c r="BL442" s="119"/>
      <c r="BM442" s="119"/>
      <c r="BN442" s="119"/>
      <c r="BO442" s="119"/>
      <c r="BP442" s="119"/>
      <c r="BQ442" s="119"/>
      <c r="BR442" s="119"/>
      <c r="BS442" s="119"/>
      <c r="BT442" s="119"/>
      <c r="BU442" s="119"/>
      <c r="BV442" s="119"/>
      <c r="BW442" s="119"/>
      <c r="BX442" s="119"/>
      <c r="BY442" s="119"/>
      <c r="BZ442" s="119"/>
      <c r="CA442" s="119"/>
      <c r="CB442" s="119"/>
      <c r="CC442" s="119"/>
      <c r="CD442" s="119"/>
      <c r="CE442" s="119"/>
      <c r="CF442" s="119"/>
      <c r="CG442" s="119"/>
      <c r="CH442" s="119"/>
      <c r="CI442" s="119"/>
      <c r="CJ442" s="119"/>
      <c r="CK442" s="119"/>
      <c r="CL442" s="119"/>
      <c r="CM442" s="119"/>
      <c r="CN442" s="119"/>
      <c r="CO442" s="119"/>
      <c r="CP442" s="119"/>
      <c r="CQ442" s="119"/>
      <c r="CR442" s="119"/>
      <c r="CS442" s="119"/>
      <c r="CT442" s="119"/>
      <c r="CU442" s="119"/>
      <c r="CV442" s="119"/>
      <c r="CW442" s="119"/>
      <c r="CX442" s="119"/>
      <c r="CY442" s="119"/>
      <c r="CZ442" s="119"/>
      <c r="DA442" s="119"/>
      <c r="DB442" s="119"/>
      <c r="DC442" s="119"/>
      <c r="DD442" s="119"/>
      <c r="DE442" s="119"/>
      <c r="DF442" s="119"/>
      <c r="DG442" s="119"/>
      <c r="DH442" s="119"/>
      <c r="DI442" s="119"/>
      <c r="DJ442" s="119"/>
      <c r="DK442" s="119"/>
      <c r="DL442" s="119"/>
      <c r="DM442" s="119"/>
      <c r="DN442" s="119"/>
      <c r="DO442" s="119"/>
      <c r="DP442" s="119"/>
      <c r="DQ442" s="119"/>
      <c r="DR442" s="119"/>
      <c r="DS442" s="119"/>
      <c r="DT442" s="119"/>
      <c r="DU442" s="119"/>
      <c r="DV442" s="119"/>
      <c r="DW442" s="119"/>
      <c r="DX442" s="119"/>
      <c r="DY442" s="119"/>
      <c r="DZ442" s="119"/>
      <c r="EA442" s="119"/>
      <c r="EB442" s="119"/>
      <c r="EC442" s="119"/>
      <c r="ED442" s="119"/>
      <c r="EE442" s="119"/>
      <c r="EF442" s="119"/>
      <c r="EG442" s="119"/>
      <c r="EH442" s="119"/>
      <c r="EI442" s="119"/>
      <c r="EJ442" s="119"/>
      <c r="EK442" s="119"/>
      <c r="EL442" s="119"/>
      <c r="EM442" s="119"/>
      <c r="EN442" s="119"/>
      <c r="EO442" s="119"/>
      <c r="EP442" s="119"/>
      <c r="EQ442" s="119"/>
      <c r="ER442" s="119"/>
      <c r="ES442" s="119"/>
      <c r="ET442" s="119"/>
      <c r="EU442" s="119"/>
      <c r="EV442" s="119"/>
      <c r="EW442" s="119"/>
      <c r="EX442" s="119"/>
      <c r="EY442" s="119"/>
      <c r="EZ442" s="119"/>
      <c r="FA442" s="119"/>
      <c r="FB442" s="119"/>
      <c r="FC442" s="119"/>
      <c r="FD442" s="119"/>
      <c r="FE442" s="119"/>
      <c r="FF442" s="119"/>
      <c r="FG442" s="119"/>
      <c r="FH442" s="119"/>
      <c r="FI442" s="119"/>
      <c r="FJ442" s="119"/>
      <c r="FK442" s="119"/>
      <c r="FL442" s="119"/>
      <c r="FM442" s="119"/>
      <c r="FN442" s="119"/>
      <c r="FO442" s="119"/>
      <c r="FP442" s="119"/>
      <c r="FQ442" s="119"/>
      <c r="FR442" s="119"/>
    </row>
    <row x14ac:dyDescent="0.25" r="443" customHeight="1" ht="15">
      <c r="A443" s="112">
        <v>45939</v>
      </c>
      <c r="B443" s="112">
        <v>45940</v>
      </c>
      <c r="C443" s="107" t="s">
        <v>304</v>
      </c>
      <c r="D443" s="107" t="s">
        <v>39</v>
      </c>
      <c r="E443" s="108">
        <v>130161</v>
      </c>
      <c r="F443" s="108">
        <v>130391</v>
      </c>
      <c r="G443" s="109">
        <f>IF((F443-E443)&lt;0,0,(F443-E443))</f>
      </c>
      <c r="H443" s="110"/>
      <c r="I443" s="111">
        <f>IFERROR(SUMPRODUCT($G443*VLOOKUP($C443,'Vehicle Master'!$D:$F,3,0)),"")</f>
      </c>
      <c r="J443" s="11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19"/>
      <c r="AN443" s="119"/>
      <c r="AO443" s="119"/>
      <c r="AP443" s="119"/>
      <c r="AQ443" s="119"/>
      <c r="AR443" s="119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119"/>
      <c r="BF443" s="119"/>
      <c r="BG443" s="119"/>
      <c r="BH443" s="119"/>
      <c r="BI443" s="119"/>
      <c r="BJ443" s="119"/>
      <c r="BK443" s="119"/>
      <c r="BL443" s="119"/>
      <c r="BM443" s="119"/>
      <c r="BN443" s="119"/>
      <c r="BO443" s="119"/>
      <c r="BP443" s="119"/>
      <c r="BQ443" s="119"/>
      <c r="BR443" s="119"/>
      <c r="BS443" s="119"/>
      <c r="BT443" s="119"/>
      <c r="BU443" s="119"/>
      <c r="BV443" s="119"/>
      <c r="BW443" s="119"/>
      <c r="BX443" s="119"/>
      <c r="BY443" s="119"/>
      <c r="BZ443" s="119"/>
      <c r="CA443" s="119"/>
      <c r="CB443" s="119"/>
      <c r="CC443" s="119"/>
      <c r="CD443" s="119"/>
      <c r="CE443" s="119"/>
      <c r="CF443" s="119"/>
      <c r="CG443" s="119"/>
      <c r="CH443" s="119"/>
      <c r="CI443" s="119"/>
      <c r="CJ443" s="119"/>
      <c r="CK443" s="119"/>
      <c r="CL443" s="119"/>
      <c r="CM443" s="119"/>
      <c r="CN443" s="119"/>
      <c r="CO443" s="119"/>
      <c r="CP443" s="119"/>
      <c r="CQ443" s="119"/>
      <c r="CR443" s="119"/>
      <c r="CS443" s="119"/>
      <c r="CT443" s="119"/>
      <c r="CU443" s="119"/>
      <c r="CV443" s="119"/>
      <c r="CW443" s="119"/>
      <c r="CX443" s="119"/>
      <c r="CY443" s="119"/>
      <c r="CZ443" s="119"/>
      <c r="DA443" s="119"/>
      <c r="DB443" s="119"/>
      <c r="DC443" s="119"/>
      <c r="DD443" s="119"/>
      <c r="DE443" s="119"/>
      <c r="DF443" s="119"/>
      <c r="DG443" s="119"/>
      <c r="DH443" s="119"/>
      <c r="DI443" s="119"/>
      <c r="DJ443" s="119"/>
      <c r="DK443" s="119"/>
      <c r="DL443" s="119"/>
      <c r="DM443" s="119"/>
      <c r="DN443" s="119"/>
      <c r="DO443" s="119"/>
      <c r="DP443" s="119"/>
      <c r="DQ443" s="119"/>
      <c r="DR443" s="119"/>
      <c r="DS443" s="119"/>
      <c r="DT443" s="119"/>
      <c r="DU443" s="119"/>
      <c r="DV443" s="119"/>
      <c r="DW443" s="119"/>
      <c r="DX443" s="119"/>
      <c r="DY443" s="119"/>
      <c r="DZ443" s="119"/>
      <c r="EA443" s="119"/>
      <c r="EB443" s="119"/>
      <c r="EC443" s="119"/>
      <c r="ED443" s="119"/>
      <c r="EE443" s="119"/>
      <c r="EF443" s="119"/>
      <c r="EG443" s="119"/>
      <c r="EH443" s="119"/>
      <c r="EI443" s="119"/>
      <c r="EJ443" s="119"/>
      <c r="EK443" s="119"/>
      <c r="EL443" s="119"/>
      <c r="EM443" s="119"/>
      <c r="EN443" s="119"/>
      <c r="EO443" s="119"/>
      <c r="EP443" s="119"/>
      <c r="EQ443" s="119"/>
      <c r="ER443" s="119"/>
      <c r="ES443" s="119"/>
      <c r="ET443" s="119"/>
      <c r="EU443" s="119"/>
      <c r="EV443" s="119"/>
      <c r="EW443" s="119"/>
      <c r="EX443" s="119"/>
      <c r="EY443" s="119"/>
      <c r="EZ443" s="119"/>
      <c r="FA443" s="119"/>
      <c r="FB443" s="119"/>
      <c r="FC443" s="119"/>
      <c r="FD443" s="119"/>
      <c r="FE443" s="119"/>
      <c r="FF443" s="119"/>
      <c r="FG443" s="119"/>
      <c r="FH443" s="119"/>
      <c r="FI443" s="119"/>
      <c r="FJ443" s="119"/>
      <c r="FK443" s="119"/>
      <c r="FL443" s="119"/>
      <c r="FM443" s="119"/>
      <c r="FN443" s="119"/>
      <c r="FO443" s="119"/>
      <c r="FP443" s="119"/>
      <c r="FQ443" s="119"/>
      <c r="FR443" s="119"/>
    </row>
    <row x14ac:dyDescent="0.25" r="444" customHeight="1" ht="15">
      <c r="A444" s="112">
        <v>45939</v>
      </c>
      <c r="B444" s="112">
        <v>45940</v>
      </c>
      <c r="C444" s="107" t="s">
        <v>302</v>
      </c>
      <c r="D444" s="107" t="s">
        <v>42</v>
      </c>
      <c r="E444" s="108">
        <v>95577</v>
      </c>
      <c r="F444" s="108">
        <v>96209</v>
      </c>
      <c r="G444" s="109">
        <f>IF((F444-E444)&lt;0,0,(F444-E444))</f>
      </c>
      <c r="H444" s="110"/>
      <c r="I444" s="111">
        <f>IFERROR(SUMPRODUCT($G444*VLOOKUP($C444,'Vehicle Master'!$D:$F,3,0)),"")</f>
      </c>
      <c r="J444" s="11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/>
      <c r="AP444" s="119"/>
      <c r="AQ444" s="119"/>
      <c r="AR444" s="119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119"/>
      <c r="BF444" s="119"/>
      <c r="BG444" s="119"/>
      <c r="BH444" s="119"/>
      <c r="BI444" s="119"/>
      <c r="BJ444" s="119"/>
      <c r="BK444" s="119"/>
      <c r="BL444" s="119"/>
      <c r="BM444" s="119"/>
      <c r="BN444" s="119"/>
      <c r="BO444" s="119"/>
      <c r="BP444" s="119"/>
      <c r="BQ444" s="119"/>
      <c r="BR444" s="119"/>
      <c r="BS444" s="119"/>
      <c r="BT444" s="119"/>
      <c r="BU444" s="119"/>
      <c r="BV444" s="119"/>
      <c r="BW444" s="119"/>
      <c r="BX444" s="119"/>
      <c r="BY444" s="119"/>
      <c r="BZ444" s="119"/>
      <c r="CA444" s="119"/>
      <c r="CB444" s="119"/>
      <c r="CC444" s="119"/>
      <c r="CD444" s="119"/>
      <c r="CE444" s="119"/>
      <c r="CF444" s="119"/>
      <c r="CG444" s="119"/>
      <c r="CH444" s="119"/>
      <c r="CI444" s="119"/>
      <c r="CJ444" s="119"/>
      <c r="CK444" s="119"/>
      <c r="CL444" s="119"/>
      <c r="CM444" s="119"/>
      <c r="CN444" s="119"/>
      <c r="CO444" s="119"/>
      <c r="CP444" s="119"/>
      <c r="CQ444" s="119"/>
      <c r="CR444" s="119"/>
      <c r="CS444" s="119"/>
      <c r="CT444" s="119"/>
      <c r="CU444" s="119"/>
      <c r="CV444" s="119"/>
      <c r="CW444" s="119"/>
      <c r="CX444" s="119"/>
      <c r="CY444" s="119"/>
      <c r="CZ444" s="119"/>
      <c r="DA444" s="119"/>
      <c r="DB444" s="119"/>
      <c r="DC444" s="119"/>
      <c r="DD444" s="119"/>
      <c r="DE444" s="119"/>
      <c r="DF444" s="119"/>
      <c r="DG444" s="119"/>
      <c r="DH444" s="119"/>
      <c r="DI444" s="119"/>
      <c r="DJ444" s="119"/>
      <c r="DK444" s="119"/>
      <c r="DL444" s="119"/>
      <c r="DM444" s="119"/>
      <c r="DN444" s="119"/>
      <c r="DO444" s="119"/>
      <c r="DP444" s="119"/>
      <c r="DQ444" s="119"/>
      <c r="DR444" s="119"/>
      <c r="DS444" s="119"/>
      <c r="DT444" s="119"/>
      <c r="DU444" s="119"/>
      <c r="DV444" s="119"/>
      <c r="DW444" s="119"/>
      <c r="DX444" s="119"/>
      <c r="DY444" s="119"/>
      <c r="DZ444" s="119"/>
      <c r="EA444" s="119"/>
      <c r="EB444" s="119"/>
      <c r="EC444" s="119"/>
      <c r="ED444" s="119"/>
      <c r="EE444" s="119"/>
      <c r="EF444" s="119"/>
      <c r="EG444" s="119"/>
      <c r="EH444" s="119"/>
      <c r="EI444" s="119"/>
      <c r="EJ444" s="119"/>
      <c r="EK444" s="119"/>
      <c r="EL444" s="119"/>
      <c r="EM444" s="119"/>
      <c r="EN444" s="119"/>
      <c r="EO444" s="119"/>
      <c r="EP444" s="119"/>
      <c r="EQ444" s="119"/>
      <c r="ER444" s="119"/>
      <c r="ES444" s="119"/>
      <c r="ET444" s="119"/>
      <c r="EU444" s="119"/>
      <c r="EV444" s="119"/>
      <c r="EW444" s="119"/>
      <c r="EX444" s="119"/>
      <c r="EY444" s="119"/>
      <c r="EZ444" s="119"/>
      <c r="FA444" s="119"/>
      <c r="FB444" s="119"/>
      <c r="FC444" s="119"/>
      <c r="FD444" s="119"/>
      <c r="FE444" s="119"/>
      <c r="FF444" s="119"/>
      <c r="FG444" s="119"/>
      <c r="FH444" s="119"/>
      <c r="FI444" s="119"/>
      <c r="FJ444" s="119"/>
      <c r="FK444" s="119"/>
      <c r="FL444" s="119"/>
      <c r="FM444" s="119"/>
      <c r="FN444" s="119"/>
      <c r="FO444" s="119"/>
      <c r="FP444" s="119"/>
      <c r="FQ444" s="119"/>
      <c r="FR444" s="119"/>
    </row>
    <row x14ac:dyDescent="0.25" r="445" customHeight="1" ht="15">
      <c r="A445" s="112">
        <v>45940</v>
      </c>
      <c r="B445" s="112">
        <v>45941</v>
      </c>
      <c r="C445" s="107" t="s">
        <v>305</v>
      </c>
      <c r="D445" s="107" t="s">
        <v>43</v>
      </c>
      <c r="E445" s="108">
        <v>117812</v>
      </c>
      <c r="F445" s="108">
        <v>118199</v>
      </c>
      <c r="G445" s="109">
        <f>IF((F445-E445)&lt;0,0,(F445-E445))</f>
      </c>
      <c r="H445" s="110"/>
      <c r="I445" s="111">
        <f>IFERROR(SUMPRODUCT($G445*VLOOKUP($C445,'Vehicle Master'!$D:$F,3,0)),"")</f>
      </c>
      <c r="J445" s="11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19"/>
      <c r="AN445" s="119"/>
      <c r="AO445" s="119"/>
      <c r="AP445" s="119"/>
      <c r="AQ445" s="119"/>
      <c r="AR445" s="119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119"/>
      <c r="BF445" s="119"/>
      <c r="BG445" s="119"/>
      <c r="BH445" s="119"/>
      <c r="BI445" s="119"/>
      <c r="BJ445" s="119"/>
      <c r="BK445" s="119"/>
      <c r="BL445" s="119"/>
      <c r="BM445" s="119"/>
      <c r="BN445" s="119"/>
      <c r="BO445" s="119"/>
      <c r="BP445" s="119"/>
      <c r="BQ445" s="119"/>
      <c r="BR445" s="119"/>
      <c r="BS445" s="119"/>
      <c r="BT445" s="119"/>
      <c r="BU445" s="119"/>
      <c r="BV445" s="119"/>
      <c r="BW445" s="119"/>
      <c r="BX445" s="119"/>
      <c r="BY445" s="119"/>
      <c r="BZ445" s="119"/>
      <c r="CA445" s="119"/>
      <c r="CB445" s="119"/>
      <c r="CC445" s="119"/>
      <c r="CD445" s="119"/>
      <c r="CE445" s="119"/>
      <c r="CF445" s="119"/>
      <c r="CG445" s="119"/>
      <c r="CH445" s="119"/>
      <c r="CI445" s="119"/>
      <c r="CJ445" s="119"/>
      <c r="CK445" s="119"/>
      <c r="CL445" s="119"/>
      <c r="CM445" s="119"/>
      <c r="CN445" s="119"/>
      <c r="CO445" s="119"/>
      <c r="CP445" s="119"/>
      <c r="CQ445" s="119"/>
      <c r="CR445" s="119"/>
      <c r="CS445" s="119"/>
      <c r="CT445" s="119"/>
      <c r="CU445" s="119"/>
      <c r="CV445" s="119"/>
      <c r="CW445" s="119"/>
      <c r="CX445" s="119"/>
      <c r="CY445" s="119"/>
      <c r="CZ445" s="119"/>
      <c r="DA445" s="119"/>
      <c r="DB445" s="119"/>
      <c r="DC445" s="119"/>
      <c r="DD445" s="119"/>
      <c r="DE445" s="119"/>
      <c r="DF445" s="119"/>
      <c r="DG445" s="119"/>
      <c r="DH445" s="119"/>
      <c r="DI445" s="119"/>
      <c r="DJ445" s="119"/>
      <c r="DK445" s="119"/>
      <c r="DL445" s="119"/>
      <c r="DM445" s="119"/>
      <c r="DN445" s="119"/>
      <c r="DO445" s="119"/>
      <c r="DP445" s="119"/>
      <c r="DQ445" s="119"/>
      <c r="DR445" s="119"/>
      <c r="DS445" s="119"/>
      <c r="DT445" s="119"/>
      <c r="DU445" s="119"/>
      <c r="DV445" s="119"/>
      <c r="DW445" s="119"/>
      <c r="DX445" s="119"/>
      <c r="DY445" s="119"/>
      <c r="DZ445" s="119"/>
      <c r="EA445" s="119"/>
      <c r="EB445" s="119"/>
      <c r="EC445" s="119"/>
      <c r="ED445" s="119"/>
      <c r="EE445" s="119"/>
      <c r="EF445" s="119"/>
      <c r="EG445" s="119"/>
      <c r="EH445" s="119"/>
      <c r="EI445" s="119"/>
      <c r="EJ445" s="119"/>
      <c r="EK445" s="119"/>
      <c r="EL445" s="119"/>
      <c r="EM445" s="119"/>
      <c r="EN445" s="119"/>
      <c r="EO445" s="119"/>
      <c r="EP445" s="119"/>
      <c r="EQ445" s="119"/>
      <c r="ER445" s="119"/>
      <c r="ES445" s="119"/>
      <c r="ET445" s="119"/>
      <c r="EU445" s="119"/>
      <c r="EV445" s="119"/>
      <c r="EW445" s="119"/>
      <c r="EX445" s="119"/>
      <c r="EY445" s="119"/>
      <c r="EZ445" s="119"/>
      <c r="FA445" s="119"/>
      <c r="FB445" s="119"/>
      <c r="FC445" s="119"/>
      <c r="FD445" s="119"/>
      <c r="FE445" s="119"/>
      <c r="FF445" s="119"/>
      <c r="FG445" s="119"/>
      <c r="FH445" s="119"/>
      <c r="FI445" s="119"/>
      <c r="FJ445" s="119"/>
      <c r="FK445" s="119"/>
      <c r="FL445" s="119"/>
      <c r="FM445" s="119"/>
      <c r="FN445" s="119"/>
      <c r="FO445" s="119"/>
      <c r="FP445" s="119"/>
      <c r="FQ445" s="119"/>
      <c r="FR445" s="119"/>
    </row>
    <row x14ac:dyDescent="0.25" r="446" customHeight="1" ht="15">
      <c r="A446" s="112">
        <v>45940</v>
      </c>
      <c r="B446" s="112">
        <v>45941</v>
      </c>
      <c r="C446" s="107" t="s">
        <v>303</v>
      </c>
      <c r="D446" s="107" t="s">
        <v>45</v>
      </c>
      <c r="E446" s="108">
        <v>117020</v>
      </c>
      <c r="F446" s="108">
        <v>117474</v>
      </c>
      <c r="G446" s="109">
        <f>IF((F446-E446)&lt;0,0,(F446-E446))</f>
      </c>
      <c r="H446" s="110"/>
      <c r="I446" s="111">
        <f>IFERROR(SUMPRODUCT($G446*VLOOKUP($C446,'Vehicle Master'!$D:$F,3,0)),"")</f>
      </c>
      <c r="J446" s="11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19"/>
      <c r="AN446" s="119"/>
      <c r="AO446" s="119"/>
      <c r="AP446" s="119"/>
      <c r="AQ446" s="119"/>
      <c r="AR446" s="119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119"/>
      <c r="BF446" s="119"/>
      <c r="BG446" s="119"/>
      <c r="BH446" s="119"/>
      <c r="BI446" s="119"/>
      <c r="BJ446" s="119"/>
      <c r="BK446" s="119"/>
      <c r="BL446" s="119"/>
      <c r="BM446" s="119"/>
      <c r="BN446" s="119"/>
      <c r="BO446" s="119"/>
      <c r="BP446" s="119"/>
      <c r="BQ446" s="119"/>
      <c r="BR446" s="119"/>
      <c r="BS446" s="119"/>
      <c r="BT446" s="119"/>
      <c r="BU446" s="119"/>
      <c r="BV446" s="119"/>
      <c r="BW446" s="119"/>
      <c r="BX446" s="119"/>
      <c r="BY446" s="119"/>
      <c r="BZ446" s="119"/>
      <c r="CA446" s="119"/>
      <c r="CB446" s="119"/>
      <c r="CC446" s="119"/>
      <c r="CD446" s="119"/>
      <c r="CE446" s="119"/>
      <c r="CF446" s="119"/>
      <c r="CG446" s="119"/>
      <c r="CH446" s="119"/>
      <c r="CI446" s="119"/>
      <c r="CJ446" s="119"/>
      <c r="CK446" s="119"/>
      <c r="CL446" s="119"/>
      <c r="CM446" s="119"/>
      <c r="CN446" s="119"/>
      <c r="CO446" s="119"/>
      <c r="CP446" s="119"/>
      <c r="CQ446" s="119"/>
      <c r="CR446" s="119"/>
      <c r="CS446" s="119"/>
      <c r="CT446" s="119"/>
      <c r="CU446" s="119"/>
      <c r="CV446" s="119"/>
      <c r="CW446" s="119"/>
      <c r="CX446" s="119"/>
      <c r="CY446" s="119"/>
      <c r="CZ446" s="119"/>
      <c r="DA446" s="119"/>
      <c r="DB446" s="119"/>
      <c r="DC446" s="119"/>
      <c r="DD446" s="119"/>
      <c r="DE446" s="119"/>
      <c r="DF446" s="119"/>
      <c r="DG446" s="119"/>
      <c r="DH446" s="119"/>
      <c r="DI446" s="119"/>
      <c r="DJ446" s="119"/>
      <c r="DK446" s="119"/>
      <c r="DL446" s="119"/>
      <c r="DM446" s="119"/>
      <c r="DN446" s="119"/>
      <c r="DO446" s="119"/>
      <c r="DP446" s="119"/>
      <c r="DQ446" s="119"/>
      <c r="DR446" s="119"/>
      <c r="DS446" s="119"/>
      <c r="DT446" s="119"/>
      <c r="DU446" s="119"/>
      <c r="DV446" s="119"/>
      <c r="DW446" s="119"/>
      <c r="DX446" s="119"/>
      <c r="DY446" s="119"/>
      <c r="DZ446" s="119"/>
      <c r="EA446" s="119"/>
      <c r="EB446" s="119"/>
      <c r="EC446" s="119"/>
      <c r="ED446" s="119"/>
      <c r="EE446" s="119"/>
      <c r="EF446" s="119"/>
      <c r="EG446" s="119"/>
      <c r="EH446" s="119"/>
      <c r="EI446" s="119"/>
      <c r="EJ446" s="119"/>
      <c r="EK446" s="119"/>
      <c r="EL446" s="119"/>
      <c r="EM446" s="119"/>
      <c r="EN446" s="119"/>
      <c r="EO446" s="119"/>
      <c r="EP446" s="119"/>
      <c r="EQ446" s="119"/>
      <c r="ER446" s="119"/>
      <c r="ES446" s="119"/>
      <c r="ET446" s="119"/>
      <c r="EU446" s="119"/>
      <c r="EV446" s="119"/>
      <c r="EW446" s="119"/>
      <c r="EX446" s="119"/>
      <c r="EY446" s="119"/>
      <c r="EZ446" s="119"/>
      <c r="FA446" s="119"/>
      <c r="FB446" s="119"/>
      <c r="FC446" s="119"/>
      <c r="FD446" s="119"/>
      <c r="FE446" s="119"/>
      <c r="FF446" s="119"/>
      <c r="FG446" s="119"/>
      <c r="FH446" s="119"/>
      <c r="FI446" s="119"/>
      <c r="FJ446" s="119"/>
      <c r="FK446" s="119"/>
      <c r="FL446" s="119"/>
      <c r="FM446" s="119"/>
      <c r="FN446" s="119"/>
      <c r="FO446" s="119"/>
      <c r="FP446" s="119"/>
      <c r="FQ446" s="119"/>
      <c r="FR446" s="119"/>
    </row>
    <row x14ac:dyDescent="0.25" r="447" customHeight="1" ht="15">
      <c r="A447" s="112">
        <v>45941</v>
      </c>
      <c r="B447" s="112">
        <v>45941</v>
      </c>
      <c r="C447" s="107" t="s">
        <v>304</v>
      </c>
      <c r="D447" s="107" t="s">
        <v>39</v>
      </c>
      <c r="E447" s="108">
        <v>130391</v>
      </c>
      <c r="F447" s="108">
        <v>130461</v>
      </c>
      <c r="G447" s="109">
        <f>IF((F447-E447)&lt;0,0,(F447-E447))</f>
      </c>
      <c r="H447" s="110"/>
      <c r="I447" s="111">
        <f>IFERROR(SUMPRODUCT($G447*VLOOKUP($C447,'Vehicle Master'!$D:$F,3,0)),"")</f>
      </c>
      <c r="J447" s="11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/>
      <c r="AP447" s="119"/>
      <c r="AQ447" s="119"/>
      <c r="AR447" s="119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119"/>
      <c r="BF447" s="119"/>
      <c r="BG447" s="119"/>
      <c r="BH447" s="119"/>
      <c r="BI447" s="119"/>
      <c r="BJ447" s="119"/>
      <c r="BK447" s="119"/>
      <c r="BL447" s="119"/>
      <c r="BM447" s="119"/>
      <c r="BN447" s="119"/>
      <c r="BO447" s="119"/>
      <c r="BP447" s="119"/>
      <c r="BQ447" s="119"/>
      <c r="BR447" s="119"/>
      <c r="BS447" s="119"/>
      <c r="BT447" s="119"/>
      <c r="BU447" s="119"/>
      <c r="BV447" s="119"/>
      <c r="BW447" s="119"/>
      <c r="BX447" s="119"/>
      <c r="BY447" s="119"/>
      <c r="BZ447" s="119"/>
      <c r="CA447" s="119"/>
      <c r="CB447" s="119"/>
      <c r="CC447" s="119"/>
      <c r="CD447" s="119"/>
      <c r="CE447" s="119"/>
      <c r="CF447" s="119"/>
      <c r="CG447" s="119"/>
      <c r="CH447" s="119"/>
      <c r="CI447" s="119"/>
      <c r="CJ447" s="119"/>
      <c r="CK447" s="119"/>
      <c r="CL447" s="119"/>
      <c r="CM447" s="119"/>
      <c r="CN447" s="119"/>
      <c r="CO447" s="119"/>
      <c r="CP447" s="119"/>
      <c r="CQ447" s="119"/>
      <c r="CR447" s="119"/>
      <c r="CS447" s="119"/>
      <c r="CT447" s="119"/>
      <c r="CU447" s="119"/>
      <c r="CV447" s="119"/>
      <c r="CW447" s="119"/>
      <c r="CX447" s="119"/>
      <c r="CY447" s="119"/>
      <c r="CZ447" s="119"/>
      <c r="DA447" s="119"/>
      <c r="DB447" s="119"/>
      <c r="DC447" s="119"/>
      <c r="DD447" s="119"/>
      <c r="DE447" s="119"/>
      <c r="DF447" s="119"/>
      <c r="DG447" s="119"/>
      <c r="DH447" s="119"/>
      <c r="DI447" s="119"/>
      <c r="DJ447" s="119"/>
      <c r="DK447" s="119"/>
      <c r="DL447" s="119"/>
      <c r="DM447" s="119"/>
      <c r="DN447" s="119"/>
      <c r="DO447" s="119"/>
      <c r="DP447" s="119"/>
      <c r="DQ447" s="119"/>
      <c r="DR447" s="119"/>
      <c r="DS447" s="119"/>
      <c r="DT447" s="119"/>
      <c r="DU447" s="119"/>
      <c r="DV447" s="119"/>
      <c r="DW447" s="119"/>
      <c r="DX447" s="119"/>
      <c r="DY447" s="119"/>
      <c r="DZ447" s="119"/>
      <c r="EA447" s="119"/>
      <c r="EB447" s="119"/>
      <c r="EC447" s="119"/>
      <c r="ED447" s="119"/>
      <c r="EE447" s="119"/>
      <c r="EF447" s="119"/>
      <c r="EG447" s="119"/>
      <c r="EH447" s="119"/>
      <c r="EI447" s="119"/>
      <c r="EJ447" s="119"/>
      <c r="EK447" s="119"/>
      <c r="EL447" s="119"/>
      <c r="EM447" s="119"/>
      <c r="EN447" s="119"/>
      <c r="EO447" s="119"/>
      <c r="EP447" s="119"/>
      <c r="EQ447" s="119"/>
      <c r="ER447" s="119"/>
      <c r="ES447" s="119"/>
      <c r="ET447" s="119"/>
      <c r="EU447" s="119"/>
      <c r="EV447" s="119"/>
      <c r="EW447" s="119"/>
      <c r="EX447" s="119"/>
      <c r="EY447" s="119"/>
      <c r="EZ447" s="119"/>
      <c r="FA447" s="119"/>
      <c r="FB447" s="119"/>
      <c r="FC447" s="119"/>
      <c r="FD447" s="119"/>
      <c r="FE447" s="119"/>
      <c r="FF447" s="119"/>
      <c r="FG447" s="119"/>
      <c r="FH447" s="119"/>
      <c r="FI447" s="119"/>
      <c r="FJ447" s="119"/>
      <c r="FK447" s="119"/>
      <c r="FL447" s="119"/>
      <c r="FM447" s="119"/>
      <c r="FN447" s="119"/>
      <c r="FO447" s="119"/>
      <c r="FP447" s="119"/>
      <c r="FQ447" s="119"/>
      <c r="FR447" s="119"/>
    </row>
    <row x14ac:dyDescent="0.25" r="448" customHeight="1" ht="15">
      <c r="A448" s="112">
        <v>45941</v>
      </c>
      <c r="B448" s="112">
        <v>45941</v>
      </c>
      <c r="C448" s="107" t="s">
        <v>305</v>
      </c>
      <c r="D448" s="107" t="s">
        <v>43</v>
      </c>
      <c r="E448" s="108">
        <v>118199</v>
      </c>
      <c r="F448" s="108">
        <v>118396</v>
      </c>
      <c r="G448" s="109">
        <f>IF((F448-E448)&lt;0,0,(F448-E448))</f>
      </c>
      <c r="H448" s="110"/>
      <c r="I448" s="111">
        <f>IFERROR(SUMPRODUCT($G448*VLOOKUP($C448,'Vehicle Master'!$D:$F,3,0)),"")</f>
      </c>
      <c r="J448" s="11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19"/>
      <c r="AN448" s="119"/>
      <c r="AO448" s="119"/>
      <c r="AP448" s="119"/>
      <c r="AQ448" s="119"/>
      <c r="AR448" s="119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119"/>
      <c r="BF448" s="119"/>
      <c r="BG448" s="119"/>
      <c r="BH448" s="119"/>
      <c r="BI448" s="119"/>
      <c r="BJ448" s="119"/>
      <c r="BK448" s="119"/>
      <c r="BL448" s="119"/>
      <c r="BM448" s="119"/>
      <c r="BN448" s="119"/>
      <c r="BO448" s="119"/>
      <c r="BP448" s="119"/>
      <c r="BQ448" s="119"/>
      <c r="BR448" s="119"/>
      <c r="BS448" s="119"/>
      <c r="BT448" s="119"/>
      <c r="BU448" s="119"/>
      <c r="BV448" s="119"/>
      <c r="BW448" s="119"/>
      <c r="BX448" s="119"/>
      <c r="BY448" s="119"/>
      <c r="BZ448" s="119"/>
      <c r="CA448" s="119"/>
      <c r="CB448" s="119"/>
      <c r="CC448" s="119"/>
      <c r="CD448" s="119"/>
      <c r="CE448" s="119"/>
      <c r="CF448" s="119"/>
      <c r="CG448" s="119"/>
      <c r="CH448" s="119"/>
      <c r="CI448" s="119"/>
      <c r="CJ448" s="119"/>
      <c r="CK448" s="119"/>
      <c r="CL448" s="119"/>
      <c r="CM448" s="119"/>
      <c r="CN448" s="119"/>
      <c r="CO448" s="119"/>
      <c r="CP448" s="119"/>
      <c r="CQ448" s="119"/>
      <c r="CR448" s="119"/>
      <c r="CS448" s="119"/>
      <c r="CT448" s="119"/>
      <c r="CU448" s="119"/>
      <c r="CV448" s="119"/>
      <c r="CW448" s="119"/>
      <c r="CX448" s="119"/>
      <c r="CY448" s="119"/>
      <c r="CZ448" s="119"/>
      <c r="DA448" s="119"/>
      <c r="DB448" s="119"/>
      <c r="DC448" s="119"/>
      <c r="DD448" s="119"/>
      <c r="DE448" s="119"/>
      <c r="DF448" s="119"/>
      <c r="DG448" s="119"/>
      <c r="DH448" s="119"/>
      <c r="DI448" s="119"/>
      <c r="DJ448" s="119"/>
      <c r="DK448" s="119"/>
      <c r="DL448" s="119"/>
      <c r="DM448" s="119"/>
      <c r="DN448" s="119"/>
      <c r="DO448" s="119"/>
      <c r="DP448" s="119"/>
      <c r="DQ448" s="119"/>
      <c r="DR448" s="119"/>
      <c r="DS448" s="119"/>
      <c r="DT448" s="119"/>
      <c r="DU448" s="119"/>
      <c r="DV448" s="119"/>
      <c r="DW448" s="119"/>
      <c r="DX448" s="119"/>
      <c r="DY448" s="119"/>
      <c r="DZ448" s="119"/>
      <c r="EA448" s="119"/>
      <c r="EB448" s="119"/>
      <c r="EC448" s="119"/>
      <c r="ED448" s="119"/>
      <c r="EE448" s="119"/>
      <c r="EF448" s="119"/>
      <c r="EG448" s="119"/>
      <c r="EH448" s="119"/>
      <c r="EI448" s="119"/>
      <c r="EJ448" s="119"/>
      <c r="EK448" s="119"/>
      <c r="EL448" s="119"/>
      <c r="EM448" s="119"/>
      <c r="EN448" s="119"/>
      <c r="EO448" s="119"/>
      <c r="EP448" s="119"/>
      <c r="EQ448" s="119"/>
      <c r="ER448" s="119"/>
      <c r="ES448" s="119"/>
      <c r="ET448" s="119"/>
      <c r="EU448" s="119"/>
      <c r="EV448" s="119"/>
      <c r="EW448" s="119"/>
      <c r="EX448" s="119"/>
      <c r="EY448" s="119"/>
      <c r="EZ448" s="119"/>
      <c r="FA448" s="119"/>
      <c r="FB448" s="119"/>
      <c r="FC448" s="119"/>
      <c r="FD448" s="119"/>
      <c r="FE448" s="119"/>
      <c r="FF448" s="119"/>
      <c r="FG448" s="119"/>
      <c r="FH448" s="119"/>
      <c r="FI448" s="119"/>
      <c r="FJ448" s="119"/>
      <c r="FK448" s="119"/>
      <c r="FL448" s="119"/>
      <c r="FM448" s="119"/>
      <c r="FN448" s="119"/>
      <c r="FO448" s="119"/>
      <c r="FP448" s="119"/>
      <c r="FQ448" s="119"/>
      <c r="FR448" s="119"/>
    </row>
    <row x14ac:dyDescent="0.25" r="449" customHeight="1" ht="15">
      <c r="A449" s="112">
        <v>45941</v>
      </c>
      <c r="B449" s="112">
        <v>45942</v>
      </c>
      <c r="C449" s="107" t="s">
        <v>302</v>
      </c>
      <c r="D449" s="107" t="s">
        <v>42</v>
      </c>
      <c r="E449" s="108">
        <v>96209</v>
      </c>
      <c r="F449" s="108">
        <v>96437</v>
      </c>
      <c r="G449" s="109">
        <f>IF((F449-E449)&lt;0,0,(F449-E449))</f>
      </c>
      <c r="H449" s="110"/>
      <c r="I449" s="111">
        <f>IFERROR(SUMPRODUCT($G449*VLOOKUP($C449,'Vehicle Master'!$D:$F,3,0)),"")</f>
      </c>
      <c r="J449" s="11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19"/>
      <c r="AN449" s="119"/>
      <c r="AO449" s="119"/>
      <c r="AP449" s="119"/>
      <c r="AQ449" s="119"/>
      <c r="AR449" s="119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119"/>
      <c r="BF449" s="119"/>
      <c r="BG449" s="119"/>
      <c r="BH449" s="119"/>
      <c r="BI449" s="119"/>
      <c r="BJ449" s="119"/>
      <c r="BK449" s="119"/>
      <c r="BL449" s="119"/>
      <c r="BM449" s="119"/>
      <c r="BN449" s="119"/>
      <c r="BO449" s="119"/>
      <c r="BP449" s="119"/>
      <c r="BQ449" s="119"/>
      <c r="BR449" s="119"/>
      <c r="BS449" s="119"/>
      <c r="BT449" s="119"/>
      <c r="BU449" s="119"/>
      <c r="BV449" s="119"/>
      <c r="BW449" s="119"/>
      <c r="BX449" s="119"/>
      <c r="BY449" s="119"/>
      <c r="BZ449" s="119"/>
      <c r="CA449" s="119"/>
      <c r="CB449" s="119"/>
      <c r="CC449" s="119"/>
      <c r="CD449" s="119"/>
      <c r="CE449" s="119"/>
      <c r="CF449" s="119"/>
      <c r="CG449" s="119"/>
      <c r="CH449" s="119"/>
      <c r="CI449" s="119"/>
      <c r="CJ449" s="119"/>
      <c r="CK449" s="119"/>
      <c r="CL449" s="119"/>
      <c r="CM449" s="119"/>
      <c r="CN449" s="119"/>
      <c r="CO449" s="119"/>
      <c r="CP449" s="119"/>
      <c r="CQ449" s="119"/>
      <c r="CR449" s="119"/>
      <c r="CS449" s="119"/>
      <c r="CT449" s="119"/>
      <c r="CU449" s="119"/>
      <c r="CV449" s="119"/>
      <c r="CW449" s="119"/>
      <c r="CX449" s="119"/>
      <c r="CY449" s="119"/>
      <c r="CZ449" s="119"/>
      <c r="DA449" s="119"/>
      <c r="DB449" s="119"/>
      <c r="DC449" s="119"/>
      <c r="DD449" s="119"/>
      <c r="DE449" s="119"/>
      <c r="DF449" s="119"/>
      <c r="DG449" s="119"/>
      <c r="DH449" s="119"/>
      <c r="DI449" s="119"/>
      <c r="DJ449" s="119"/>
      <c r="DK449" s="119"/>
      <c r="DL449" s="119"/>
      <c r="DM449" s="119"/>
      <c r="DN449" s="119"/>
      <c r="DO449" s="119"/>
      <c r="DP449" s="119"/>
      <c r="DQ449" s="119"/>
      <c r="DR449" s="119"/>
      <c r="DS449" s="119"/>
      <c r="DT449" s="119"/>
      <c r="DU449" s="119"/>
      <c r="DV449" s="119"/>
      <c r="DW449" s="119"/>
      <c r="DX449" s="119"/>
      <c r="DY449" s="119"/>
      <c r="DZ449" s="119"/>
      <c r="EA449" s="119"/>
      <c r="EB449" s="119"/>
      <c r="EC449" s="119"/>
      <c r="ED449" s="119"/>
      <c r="EE449" s="119"/>
      <c r="EF449" s="119"/>
      <c r="EG449" s="119"/>
      <c r="EH449" s="119"/>
      <c r="EI449" s="119"/>
      <c r="EJ449" s="119"/>
      <c r="EK449" s="119"/>
      <c r="EL449" s="119"/>
      <c r="EM449" s="119"/>
      <c r="EN449" s="119"/>
      <c r="EO449" s="119"/>
      <c r="EP449" s="119"/>
      <c r="EQ449" s="119"/>
      <c r="ER449" s="119"/>
      <c r="ES449" s="119"/>
      <c r="ET449" s="119"/>
      <c r="EU449" s="119"/>
      <c r="EV449" s="119"/>
      <c r="EW449" s="119"/>
      <c r="EX449" s="119"/>
      <c r="EY449" s="119"/>
      <c r="EZ449" s="119"/>
      <c r="FA449" s="119"/>
      <c r="FB449" s="119"/>
      <c r="FC449" s="119"/>
      <c r="FD449" s="119"/>
      <c r="FE449" s="119"/>
      <c r="FF449" s="119"/>
      <c r="FG449" s="119"/>
      <c r="FH449" s="119"/>
      <c r="FI449" s="119"/>
      <c r="FJ449" s="119"/>
      <c r="FK449" s="119"/>
      <c r="FL449" s="119"/>
      <c r="FM449" s="119"/>
      <c r="FN449" s="119"/>
      <c r="FO449" s="119"/>
      <c r="FP449" s="119"/>
      <c r="FQ449" s="119"/>
      <c r="FR449" s="119"/>
    </row>
    <row x14ac:dyDescent="0.25" r="450" customHeight="1" ht="15">
      <c r="A450" s="112">
        <v>45941</v>
      </c>
      <c r="B450" s="112">
        <v>45942</v>
      </c>
      <c r="C450" s="107" t="s">
        <v>303</v>
      </c>
      <c r="D450" s="107" t="s">
        <v>45</v>
      </c>
      <c r="E450" s="108">
        <v>117474</v>
      </c>
      <c r="F450" s="108">
        <v>117654</v>
      </c>
      <c r="G450" s="109">
        <f>IF((F450-E450)&lt;0,0,(F450-E450))</f>
      </c>
      <c r="H450" s="110"/>
      <c r="I450" s="111">
        <f>IFERROR(SUMPRODUCT($G450*VLOOKUP($C450,'Vehicle Master'!$D:$F,3,0)),"")</f>
      </c>
      <c r="J450" s="11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19"/>
      <c r="AN450" s="119"/>
      <c r="AO450" s="119"/>
      <c r="AP450" s="119"/>
      <c r="AQ450" s="119"/>
      <c r="AR450" s="119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119"/>
      <c r="BF450" s="119"/>
      <c r="BG450" s="119"/>
      <c r="BH450" s="119"/>
      <c r="BI450" s="119"/>
      <c r="BJ450" s="119"/>
      <c r="BK450" s="119"/>
      <c r="BL450" s="119"/>
      <c r="BM450" s="119"/>
      <c r="BN450" s="119"/>
      <c r="BO450" s="119"/>
      <c r="BP450" s="119"/>
      <c r="BQ450" s="119"/>
      <c r="BR450" s="119"/>
      <c r="BS450" s="119"/>
      <c r="BT450" s="119"/>
      <c r="BU450" s="119"/>
      <c r="BV450" s="119"/>
      <c r="BW450" s="119"/>
      <c r="BX450" s="119"/>
      <c r="BY450" s="119"/>
      <c r="BZ450" s="119"/>
      <c r="CA450" s="119"/>
      <c r="CB450" s="119"/>
      <c r="CC450" s="119"/>
      <c r="CD450" s="119"/>
      <c r="CE450" s="119"/>
      <c r="CF450" s="119"/>
      <c r="CG450" s="119"/>
      <c r="CH450" s="119"/>
      <c r="CI450" s="119"/>
      <c r="CJ450" s="119"/>
      <c r="CK450" s="119"/>
      <c r="CL450" s="119"/>
      <c r="CM450" s="119"/>
      <c r="CN450" s="119"/>
      <c r="CO450" s="119"/>
      <c r="CP450" s="119"/>
      <c r="CQ450" s="119"/>
      <c r="CR450" s="119"/>
      <c r="CS450" s="119"/>
      <c r="CT450" s="119"/>
      <c r="CU450" s="119"/>
      <c r="CV450" s="119"/>
      <c r="CW450" s="119"/>
      <c r="CX450" s="119"/>
      <c r="CY450" s="119"/>
      <c r="CZ450" s="119"/>
      <c r="DA450" s="119"/>
      <c r="DB450" s="119"/>
      <c r="DC450" s="119"/>
      <c r="DD450" s="119"/>
      <c r="DE450" s="119"/>
      <c r="DF450" s="119"/>
      <c r="DG450" s="119"/>
      <c r="DH450" s="119"/>
      <c r="DI450" s="119"/>
      <c r="DJ450" s="119"/>
      <c r="DK450" s="119"/>
      <c r="DL450" s="119"/>
      <c r="DM450" s="119"/>
      <c r="DN450" s="119"/>
      <c r="DO450" s="119"/>
      <c r="DP450" s="119"/>
      <c r="DQ450" s="119"/>
      <c r="DR450" s="119"/>
      <c r="DS450" s="119"/>
      <c r="DT450" s="119"/>
      <c r="DU450" s="119"/>
      <c r="DV450" s="119"/>
      <c r="DW450" s="119"/>
      <c r="DX450" s="119"/>
      <c r="DY450" s="119"/>
      <c r="DZ450" s="119"/>
      <c r="EA450" s="119"/>
      <c r="EB450" s="119"/>
      <c r="EC450" s="119"/>
      <c r="ED450" s="119"/>
      <c r="EE450" s="119"/>
      <c r="EF450" s="119"/>
      <c r="EG450" s="119"/>
      <c r="EH450" s="119"/>
      <c r="EI450" s="119"/>
      <c r="EJ450" s="119"/>
      <c r="EK450" s="119"/>
      <c r="EL450" s="119"/>
      <c r="EM450" s="119"/>
      <c r="EN450" s="119"/>
      <c r="EO450" s="119"/>
      <c r="EP450" s="119"/>
      <c r="EQ450" s="119"/>
      <c r="ER450" s="119"/>
      <c r="ES450" s="119"/>
      <c r="ET450" s="119"/>
      <c r="EU450" s="119"/>
      <c r="EV450" s="119"/>
      <c r="EW450" s="119"/>
      <c r="EX450" s="119"/>
      <c r="EY450" s="119"/>
      <c r="EZ450" s="119"/>
      <c r="FA450" s="119"/>
      <c r="FB450" s="119"/>
      <c r="FC450" s="119"/>
      <c r="FD450" s="119"/>
      <c r="FE450" s="119"/>
      <c r="FF450" s="119"/>
      <c r="FG450" s="119"/>
      <c r="FH450" s="119"/>
      <c r="FI450" s="119"/>
      <c r="FJ450" s="119"/>
      <c r="FK450" s="119"/>
      <c r="FL450" s="119"/>
      <c r="FM450" s="119"/>
      <c r="FN450" s="119"/>
      <c r="FO450" s="119"/>
      <c r="FP450" s="119"/>
      <c r="FQ450" s="119"/>
      <c r="FR450" s="119"/>
    </row>
    <row x14ac:dyDescent="0.25" r="451" customHeight="1" ht="15">
      <c r="A451" s="112">
        <v>45941</v>
      </c>
      <c r="B451" s="112">
        <v>45943</v>
      </c>
      <c r="C451" s="107" t="s">
        <v>304</v>
      </c>
      <c r="D451" s="107" t="s">
        <v>39</v>
      </c>
      <c r="E451" s="108">
        <v>130461</v>
      </c>
      <c r="F451" s="108">
        <v>130833</v>
      </c>
      <c r="G451" s="109">
        <f>IF((F451-E451)&lt;0,0,(F451-E451))</f>
      </c>
      <c r="H451" s="110"/>
      <c r="I451" s="111">
        <f>IFERROR(SUMPRODUCT($G451*VLOOKUP($C451,'Vehicle Master'!$D:$F,3,0)),"")</f>
      </c>
      <c r="J451" s="11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19"/>
      <c r="AN451" s="119"/>
      <c r="AO451" s="119"/>
      <c r="AP451" s="119"/>
      <c r="AQ451" s="119"/>
      <c r="AR451" s="119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119"/>
      <c r="BF451" s="119"/>
      <c r="BG451" s="119"/>
      <c r="BH451" s="119"/>
      <c r="BI451" s="119"/>
      <c r="BJ451" s="119"/>
      <c r="BK451" s="119"/>
      <c r="BL451" s="119"/>
      <c r="BM451" s="119"/>
      <c r="BN451" s="119"/>
      <c r="BO451" s="119"/>
      <c r="BP451" s="119"/>
      <c r="BQ451" s="119"/>
      <c r="BR451" s="119"/>
      <c r="BS451" s="119"/>
      <c r="BT451" s="119"/>
      <c r="BU451" s="119"/>
      <c r="BV451" s="119"/>
      <c r="BW451" s="119"/>
      <c r="BX451" s="119"/>
      <c r="BY451" s="119"/>
      <c r="BZ451" s="119"/>
      <c r="CA451" s="119"/>
      <c r="CB451" s="119"/>
      <c r="CC451" s="119"/>
      <c r="CD451" s="119"/>
      <c r="CE451" s="119"/>
      <c r="CF451" s="119"/>
      <c r="CG451" s="119"/>
      <c r="CH451" s="119"/>
      <c r="CI451" s="119"/>
      <c r="CJ451" s="119"/>
      <c r="CK451" s="119"/>
      <c r="CL451" s="119"/>
      <c r="CM451" s="119"/>
      <c r="CN451" s="119"/>
      <c r="CO451" s="119"/>
      <c r="CP451" s="119"/>
      <c r="CQ451" s="119"/>
      <c r="CR451" s="119"/>
      <c r="CS451" s="119"/>
      <c r="CT451" s="119"/>
      <c r="CU451" s="119"/>
      <c r="CV451" s="119"/>
      <c r="CW451" s="119"/>
      <c r="CX451" s="119"/>
      <c r="CY451" s="119"/>
      <c r="CZ451" s="119"/>
      <c r="DA451" s="119"/>
      <c r="DB451" s="119"/>
      <c r="DC451" s="119"/>
      <c r="DD451" s="119"/>
      <c r="DE451" s="119"/>
      <c r="DF451" s="119"/>
      <c r="DG451" s="119"/>
      <c r="DH451" s="119"/>
      <c r="DI451" s="119"/>
      <c r="DJ451" s="119"/>
      <c r="DK451" s="119"/>
      <c r="DL451" s="119"/>
      <c r="DM451" s="119"/>
      <c r="DN451" s="119"/>
      <c r="DO451" s="119"/>
      <c r="DP451" s="119"/>
      <c r="DQ451" s="119"/>
      <c r="DR451" s="119"/>
      <c r="DS451" s="119"/>
      <c r="DT451" s="119"/>
      <c r="DU451" s="119"/>
      <c r="DV451" s="119"/>
      <c r="DW451" s="119"/>
      <c r="DX451" s="119"/>
      <c r="DY451" s="119"/>
      <c r="DZ451" s="119"/>
      <c r="EA451" s="119"/>
      <c r="EB451" s="119"/>
      <c r="EC451" s="119"/>
      <c r="ED451" s="119"/>
      <c r="EE451" s="119"/>
      <c r="EF451" s="119"/>
      <c r="EG451" s="119"/>
      <c r="EH451" s="119"/>
      <c r="EI451" s="119"/>
      <c r="EJ451" s="119"/>
      <c r="EK451" s="119"/>
      <c r="EL451" s="119"/>
      <c r="EM451" s="119"/>
      <c r="EN451" s="119"/>
      <c r="EO451" s="119"/>
      <c r="EP451" s="119"/>
      <c r="EQ451" s="119"/>
      <c r="ER451" s="119"/>
      <c r="ES451" s="119"/>
      <c r="ET451" s="119"/>
      <c r="EU451" s="119"/>
      <c r="EV451" s="119"/>
      <c r="EW451" s="119"/>
      <c r="EX451" s="119"/>
      <c r="EY451" s="119"/>
      <c r="EZ451" s="119"/>
      <c r="FA451" s="119"/>
      <c r="FB451" s="119"/>
      <c r="FC451" s="119"/>
      <c r="FD451" s="119"/>
      <c r="FE451" s="119"/>
      <c r="FF451" s="119"/>
      <c r="FG451" s="119"/>
      <c r="FH451" s="119"/>
      <c r="FI451" s="119"/>
      <c r="FJ451" s="119"/>
      <c r="FK451" s="119"/>
      <c r="FL451" s="119"/>
      <c r="FM451" s="119"/>
      <c r="FN451" s="119"/>
      <c r="FO451" s="119"/>
      <c r="FP451" s="119"/>
      <c r="FQ451" s="119"/>
      <c r="FR451" s="119"/>
    </row>
    <row x14ac:dyDescent="0.25" r="452" customHeight="1" ht="15">
      <c r="A452" s="112">
        <v>45942</v>
      </c>
      <c r="B452" s="112">
        <v>45942</v>
      </c>
      <c r="C452" s="107" t="s">
        <v>305</v>
      </c>
      <c r="D452" s="107" t="s">
        <v>43</v>
      </c>
      <c r="E452" s="108">
        <v>118396</v>
      </c>
      <c r="F452" s="108">
        <v>118545</v>
      </c>
      <c r="G452" s="109">
        <f>IF((F452-E452)&lt;0,0,(F452-E452))</f>
      </c>
      <c r="H452" s="110"/>
      <c r="I452" s="111">
        <f>IFERROR(SUMPRODUCT($G452*VLOOKUP($C452,'Vehicle Master'!$D:$F,3,0)),"")</f>
      </c>
      <c r="J452" s="11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/>
      <c r="AP452" s="119"/>
      <c r="AQ452" s="119"/>
      <c r="AR452" s="119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119"/>
      <c r="BF452" s="119"/>
      <c r="BG452" s="119"/>
      <c r="BH452" s="119"/>
      <c r="BI452" s="119"/>
      <c r="BJ452" s="119"/>
      <c r="BK452" s="119"/>
      <c r="BL452" s="119"/>
      <c r="BM452" s="119"/>
      <c r="BN452" s="119"/>
      <c r="BO452" s="119"/>
      <c r="BP452" s="119"/>
      <c r="BQ452" s="119"/>
      <c r="BR452" s="119"/>
      <c r="BS452" s="119"/>
      <c r="BT452" s="119"/>
      <c r="BU452" s="119"/>
      <c r="BV452" s="119"/>
      <c r="BW452" s="119"/>
      <c r="BX452" s="119"/>
      <c r="BY452" s="119"/>
      <c r="BZ452" s="119"/>
      <c r="CA452" s="119"/>
      <c r="CB452" s="119"/>
      <c r="CC452" s="119"/>
      <c r="CD452" s="119"/>
      <c r="CE452" s="119"/>
      <c r="CF452" s="119"/>
      <c r="CG452" s="119"/>
      <c r="CH452" s="119"/>
      <c r="CI452" s="119"/>
      <c r="CJ452" s="119"/>
      <c r="CK452" s="119"/>
      <c r="CL452" s="119"/>
      <c r="CM452" s="119"/>
      <c r="CN452" s="119"/>
      <c r="CO452" s="119"/>
      <c r="CP452" s="119"/>
      <c r="CQ452" s="119"/>
      <c r="CR452" s="119"/>
      <c r="CS452" s="119"/>
      <c r="CT452" s="119"/>
      <c r="CU452" s="119"/>
      <c r="CV452" s="119"/>
      <c r="CW452" s="119"/>
      <c r="CX452" s="119"/>
      <c r="CY452" s="119"/>
      <c r="CZ452" s="119"/>
      <c r="DA452" s="119"/>
      <c r="DB452" s="119"/>
      <c r="DC452" s="119"/>
      <c r="DD452" s="119"/>
      <c r="DE452" s="119"/>
      <c r="DF452" s="119"/>
      <c r="DG452" s="119"/>
      <c r="DH452" s="119"/>
      <c r="DI452" s="119"/>
      <c r="DJ452" s="119"/>
      <c r="DK452" s="119"/>
      <c r="DL452" s="119"/>
      <c r="DM452" s="119"/>
      <c r="DN452" s="119"/>
      <c r="DO452" s="119"/>
      <c r="DP452" s="119"/>
      <c r="DQ452" s="119"/>
      <c r="DR452" s="119"/>
      <c r="DS452" s="119"/>
      <c r="DT452" s="119"/>
      <c r="DU452" s="119"/>
      <c r="DV452" s="119"/>
      <c r="DW452" s="119"/>
      <c r="DX452" s="119"/>
      <c r="DY452" s="119"/>
      <c r="DZ452" s="119"/>
      <c r="EA452" s="119"/>
      <c r="EB452" s="119"/>
      <c r="EC452" s="119"/>
      <c r="ED452" s="119"/>
      <c r="EE452" s="119"/>
      <c r="EF452" s="119"/>
      <c r="EG452" s="119"/>
      <c r="EH452" s="119"/>
      <c r="EI452" s="119"/>
      <c r="EJ452" s="119"/>
      <c r="EK452" s="119"/>
      <c r="EL452" s="119"/>
      <c r="EM452" s="119"/>
      <c r="EN452" s="119"/>
      <c r="EO452" s="119"/>
      <c r="EP452" s="119"/>
      <c r="EQ452" s="119"/>
      <c r="ER452" s="119"/>
      <c r="ES452" s="119"/>
      <c r="ET452" s="119"/>
      <c r="EU452" s="119"/>
      <c r="EV452" s="119"/>
      <c r="EW452" s="119"/>
      <c r="EX452" s="119"/>
      <c r="EY452" s="119"/>
      <c r="EZ452" s="119"/>
      <c r="FA452" s="119"/>
      <c r="FB452" s="119"/>
      <c r="FC452" s="119"/>
      <c r="FD452" s="119"/>
      <c r="FE452" s="119"/>
      <c r="FF452" s="119"/>
      <c r="FG452" s="119"/>
      <c r="FH452" s="119"/>
      <c r="FI452" s="119"/>
      <c r="FJ452" s="119"/>
      <c r="FK452" s="119"/>
      <c r="FL452" s="119"/>
      <c r="FM452" s="119"/>
      <c r="FN452" s="119"/>
      <c r="FO452" s="119"/>
      <c r="FP452" s="119"/>
      <c r="FQ452" s="119"/>
      <c r="FR452" s="119"/>
    </row>
    <row x14ac:dyDescent="0.25" r="453" customHeight="1" ht="15">
      <c r="A453" s="112">
        <v>45942</v>
      </c>
      <c r="B453" s="112">
        <v>45944</v>
      </c>
      <c r="C453" s="107" t="s">
        <v>303</v>
      </c>
      <c r="D453" s="107" t="s">
        <v>45</v>
      </c>
      <c r="E453" s="108">
        <v>117654</v>
      </c>
      <c r="F453" s="108">
        <v>117929</v>
      </c>
      <c r="G453" s="109">
        <f>IF((F453-E453)&lt;0,0,(F453-E453))</f>
      </c>
      <c r="H453" s="110"/>
      <c r="I453" s="111">
        <f>IFERROR(SUMPRODUCT($G453*VLOOKUP($C453,'Vehicle Master'!$D:$F,3,0)),"")</f>
      </c>
      <c r="J453" s="11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/>
      <c r="AP453" s="119"/>
      <c r="AQ453" s="119"/>
      <c r="AR453" s="119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119"/>
      <c r="BF453" s="119"/>
      <c r="BG453" s="119"/>
      <c r="BH453" s="119"/>
      <c r="BI453" s="119"/>
      <c r="BJ453" s="119"/>
      <c r="BK453" s="119"/>
      <c r="BL453" s="119"/>
      <c r="BM453" s="119"/>
      <c r="BN453" s="119"/>
      <c r="BO453" s="119"/>
      <c r="BP453" s="119"/>
      <c r="BQ453" s="119"/>
      <c r="BR453" s="119"/>
      <c r="BS453" s="119"/>
      <c r="BT453" s="119"/>
      <c r="BU453" s="119"/>
      <c r="BV453" s="119"/>
      <c r="BW453" s="119"/>
      <c r="BX453" s="119"/>
      <c r="BY453" s="119"/>
      <c r="BZ453" s="119"/>
      <c r="CA453" s="119"/>
      <c r="CB453" s="119"/>
      <c r="CC453" s="119"/>
      <c r="CD453" s="119"/>
      <c r="CE453" s="119"/>
      <c r="CF453" s="119"/>
      <c r="CG453" s="119"/>
      <c r="CH453" s="119"/>
      <c r="CI453" s="119"/>
      <c r="CJ453" s="119"/>
      <c r="CK453" s="119"/>
      <c r="CL453" s="119"/>
      <c r="CM453" s="119"/>
      <c r="CN453" s="119"/>
      <c r="CO453" s="119"/>
      <c r="CP453" s="119"/>
      <c r="CQ453" s="119"/>
      <c r="CR453" s="119"/>
      <c r="CS453" s="119"/>
      <c r="CT453" s="119"/>
      <c r="CU453" s="119"/>
      <c r="CV453" s="119"/>
      <c r="CW453" s="119"/>
      <c r="CX453" s="119"/>
      <c r="CY453" s="119"/>
      <c r="CZ453" s="119"/>
      <c r="DA453" s="119"/>
      <c r="DB453" s="119"/>
      <c r="DC453" s="119"/>
      <c r="DD453" s="119"/>
      <c r="DE453" s="119"/>
      <c r="DF453" s="119"/>
      <c r="DG453" s="119"/>
      <c r="DH453" s="119"/>
      <c r="DI453" s="119"/>
      <c r="DJ453" s="119"/>
      <c r="DK453" s="119"/>
      <c r="DL453" s="119"/>
      <c r="DM453" s="119"/>
      <c r="DN453" s="119"/>
      <c r="DO453" s="119"/>
      <c r="DP453" s="119"/>
      <c r="DQ453" s="119"/>
      <c r="DR453" s="119"/>
      <c r="DS453" s="119"/>
      <c r="DT453" s="119"/>
      <c r="DU453" s="119"/>
      <c r="DV453" s="119"/>
      <c r="DW453" s="119"/>
      <c r="DX453" s="119"/>
      <c r="DY453" s="119"/>
      <c r="DZ453" s="119"/>
      <c r="EA453" s="119"/>
      <c r="EB453" s="119"/>
      <c r="EC453" s="119"/>
      <c r="ED453" s="119"/>
      <c r="EE453" s="119"/>
      <c r="EF453" s="119"/>
      <c r="EG453" s="119"/>
      <c r="EH453" s="119"/>
      <c r="EI453" s="119"/>
      <c r="EJ453" s="119"/>
      <c r="EK453" s="119"/>
      <c r="EL453" s="119"/>
      <c r="EM453" s="119"/>
      <c r="EN453" s="119"/>
      <c r="EO453" s="119"/>
      <c r="EP453" s="119"/>
      <c r="EQ453" s="119"/>
      <c r="ER453" s="119"/>
      <c r="ES453" s="119"/>
      <c r="ET453" s="119"/>
      <c r="EU453" s="119"/>
      <c r="EV453" s="119"/>
      <c r="EW453" s="119"/>
      <c r="EX453" s="119"/>
      <c r="EY453" s="119"/>
      <c r="EZ453" s="119"/>
      <c r="FA453" s="119"/>
      <c r="FB453" s="119"/>
      <c r="FC453" s="119"/>
      <c r="FD453" s="119"/>
      <c r="FE453" s="119"/>
      <c r="FF453" s="119"/>
      <c r="FG453" s="119"/>
      <c r="FH453" s="119"/>
      <c r="FI453" s="119"/>
      <c r="FJ453" s="119"/>
      <c r="FK453" s="119"/>
      <c r="FL453" s="119"/>
      <c r="FM453" s="119"/>
      <c r="FN453" s="119"/>
      <c r="FO453" s="119"/>
      <c r="FP453" s="119"/>
      <c r="FQ453" s="119"/>
      <c r="FR453" s="119"/>
    </row>
    <row x14ac:dyDescent="0.25" r="454" customHeight="1" ht="15">
      <c r="A454" s="112">
        <v>45942</v>
      </c>
      <c r="B454" s="112">
        <v>45943</v>
      </c>
      <c r="C454" s="107" t="s">
        <v>302</v>
      </c>
      <c r="D454" s="107" t="s">
        <v>42</v>
      </c>
      <c r="E454" s="108">
        <v>96437</v>
      </c>
      <c r="F454" s="108">
        <v>96508</v>
      </c>
      <c r="G454" s="109">
        <f>IF((F454-E454)&lt;0,0,(F454-E454))</f>
      </c>
      <c r="H454" s="110"/>
      <c r="I454" s="111">
        <f>IFERROR(SUMPRODUCT($G454*VLOOKUP($C454,'Vehicle Master'!$D:$F,3,0)),"")</f>
      </c>
      <c r="J454" s="11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119"/>
      <c r="BF454" s="119"/>
      <c r="BG454" s="119"/>
      <c r="BH454" s="119"/>
      <c r="BI454" s="119"/>
      <c r="BJ454" s="119"/>
      <c r="BK454" s="119"/>
      <c r="BL454" s="119"/>
      <c r="BM454" s="119"/>
      <c r="BN454" s="119"/>
      <c r="BO454" s="119"/>
      <c r="BP454" s="119"/>
      <c r="BQ454" s="119"/>
      <c r="BR454" s="119"/>
      <c r="BS454" s="119"/>
      <c r="BT454" s="119"/>
      <c r="BU454" s="119"/>
      <c r="BV454" s="119"/>
      <c r="BW454" s="119"/>
      <c r="BX454" s="119"/>
      <c r="BY454" s="119"/>
      <c r="BZ454" s="119"/>
      <c r="CA454" s="119"/>
      <c r="CB454" s="119"/>
      <c r="CC454" s="119"/>
      <c r="CD454" s="119"/>
      <c r="CE454" s="119"/>
      <c r="CF454" s="119"/>
      <c r="CG454" s="119"/>
      <c r="CH454" s="119"/>
      <c r="CI454" s="119"/>
      <c r="CJ454" s="119"/>
      <c r="CK454" s="119"/>
      <c r="CL454" s="119"/>
      <c r="CM454" s="119"/>
      <c r="CN454" s="119"/>
      <c r="CO454" s="119"/>
      <c r="CP454" s="119"/>
      <c r="CQ454" s="119"/>
      <c r="CR454" s="119"/>
      <c r="CS454" s="119"/>
      <c r="CT454" s="119"/>
      <c r="CU454" s="119"/>
      <c r="CV454" s="119"/>
      <c r="CW454" s="119"/>
      <c r="CX454" s="119"/>
      <c r="CY454" s="119"/>
      <c r="CZ454" s="119"/>
      <c r="DA454" s="119"/>
      <c r="DB454" s="119"/>
      <c r="DC454" s="119"/>
      <c r="DD454" s="119"/>
      <c r="DE454" s="119"/>
      <c r="DF454" s="119"/>
      <c r="DG454" s="119"/>
      <c r="DH454" s="119"/>
      <c r="DI454" s="119"/>
      <c r="DJ454" s="119"/>
      <c r="DK454" s="119"/>
      <c r="DL454" s="119"/>
      <c r="DM454" s="119"/>
      <c r="DN454" s="119"/>
      <c r="DO454" s="119"/>
      <c r="DP454" s="119"/>
      <c r="DQ454" s="119"/>
      <c r="DR454" s="119"/>
      <c r="DS454" s="119"/>
      <c r="DT454" s="119"/>
      <c r="DU454" s="119"/>
      <c r="DV454" s="119"/>
      <c r="DW454" s="119"/>
      <c r="DX454" s="119"/>
      <c r="DY454" s="119"/>
      <c r="DZ454" s="119"/>
      <c r="EA454" s="119"/>
      <c r="EB454" s="119"/>
      <c r="EC454" s="119"/>
      <c r="ED454" s="119"/>
      <c r="EE454" s="119"/>
      <c r="EF454" s="119"/>
      <c r="EG454" s="119"/>
      <c r="EH454" s="119"/>
      <c r="EI454" s="119"/>
      <c r="EJ454" s="119"/>
      <c r="EK454" s="119"/>
      <c r="EL454" s="119"/>
      <c r="EM454" s="119"/>
      <c r="EN454" s="119"/>
      <c r="EO454" s="119"/>
      <c r="EP454" s="119"/>
      <c r="EQ454" s="119"/>
      <c r="ER454" s="119"/>
      <c r="ES454" s="119"/>
      <c r="ET454" s="119"/>
      <c r="EU454" s="119"/>
      <c r="EV454" s="119"/>
      <c r="EW454" s="119"/>
      <c r="EX454" s="119"/>
      <c r="EY454" s="119"/>
      <c r="EZ454" s="119"/>
      <c r="FA454" s="119"/>
      <c r="FB454" s="119"/>
      <c r="FC454" s="119"/>
      <c r="FD454" s="119"/>
      <c r="FE454" s="119"/>
      <c r="FF454" s="119"/>
      <c r="FG454" s="119"/>
      <c r="FH454" s="119"/>
      <c r="FI454" s="119"/>
      <c r="FJ454" s="119"/>
      <c r="FK454" s="119"/>
      <c r="FL454" s="119"/>
      <c r="FM454" s="119"/>
      <c r="FN454" s="119"/>
      <c r="FO454" s="119"/>
      <c r="FP454" s="119"/>
      <c r="FQ454" s="119"/>
      <c r="FR454" s="119"/>
    </row>
    <row x14ac:dyDescent="0.25" r="455" customHeight="1" ht="15">
      <c r="A455" s="112">
        <v>45942</v>
      </c>
      <c r="B455" s="112">
        <v>45943</v>
      </c>
      <c r="C455" s="107" t="s">
        <v>305</v>
      </c>
      <c r="D455" s="107" t="s">
        <v>43</v>
      </c>
      <c r="E455" s="108">
        <v>118545</v>
      </c>
      <c r="F455" s="108">
        <v>118619</v>
      </c>
      <c r="G455" s="109">
        <f>IF((F455-E455)&lt;0,0,(F455-E455))</f>
      </c>
      <c r="H455" s="110"/>
      <c r="I455" s="111">
        <f>IFERROR(SUMPRODUCT($G455*VLOOKUP($C455,'Vehicle Master'!$D:$F,3,0)),"")</f>
      </c>
      <c r="J455" s="11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/>
      <c r="AP455" s="119"/>
      <c r="AQ455" s="119"/>
      <c r="AR455" s="119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119"/>
      <c r="BF455" s="119"/>
      <c r="BG455" s="119"/>
      <c r="BH455" s="119"/>
      <c r="BI455" s="119"/>
      <c r="BJ455" s="119"/>
      <c r="BK455" s="119"/>
      <c r="BL455" s="119"/>
      <c r="BM455" s="119"/>
      <c r="BN455" s="119"/>
      <c r="BO455" s="119"/>
      <c r="BP455" s="119"/>
      <c r="BQ455" s="119"/>
      <c r="BR455" s="119"/>
      <c r="BS455" s="119"/>
      <c r="BT455" s="119"/>
      <c r="BU455" s="119"/>
      <c r="BV455" s="119"/>
      <c r="BW455" s="119"/>
      <c r="BX455" s="119"/>
      <c r="BY455" s="119"/>
      <c r="BZ455" s="119"/>
      <c r="CA455" s="119"/>
      <c r="CB455" s="119"/>
      <c r="CC455" s="119"/>
      <c r="CD455" s="119"/>
      <c r="CE455" s="119"/>
      <c r="CF455" s="119"/>
      <c r="CG455" s="119"/>
      <c r="CH455" s="119"/>
      <c r="CI455" s="119"/>
      <c r="CJ455" s="119"/>
      <c r="CK455" s="119"/>
      <c r="CL455" s="119"/>
      <c r="CM455" s="119"/>
      <c r="CN455" s="119"/>
      <c r="CO455" s="119"/>
      <c r="CP455" s="119"/>
      <c r="CQ455" s="119"/>
      <c r="CR455" s="119"/>
      <c r="CS455" s="119"/>
      <c r="CT455" s="119"/>
      <c r="CU455" s="119"/>
      <c r="CV455" s="119"/>
      <c r="CW455" s="119"/>
      <c r="CX455" s="119"/>
      <c r="CY455" s="119"/>
      <c r="CZ455" s="119"/>
      <c r="DA455" s="119"/>
      <c r="DB455" s="119"/>
      <c r="DC455" s="119"/>
      <c r="DD455" s="119"/>
      <c r="DE455" s="119"/>
      <c r="DF455" s="119"/>
      <c r="DG455" s="119"/>
      <c r="DH455" s="119"/>
      <c r="DI455" s="119"/>
      <c r="DJ455" s="119"/>
      <c r="DK455" s="119"/>
      <c r="DL455" s="119"/>
      <c r="DM455" s="119"/>
      <c r="DN455" s="119"/>
      <c r="DO455" s="119"/>
      <c r="DP455" s="119"/>
      <c r="DQ455" s="119"/>
      <c r="DR455" s="119"/>
      <c r="DS455" s="119"/>
      <c r="DT455" s="119"/>
      <c r="DU455" s="119"/>
      <c r="DV455" s="119"/>
      <c r="DW455" s="119"/>
      <c r="DX455" s="119"/>
      <c r="DY455" s="119"/>
      <c r="DZ455" s="119"/>
      <c r="EA455" s="119"/>
      <c r="EB455" s="119"/>
      <c r="EC455" s="119"/>
      <c r="ED455" s="119"/>
      <c r="EE455" s="119"/>
      <c r="EF455" s="119"/>
      <c r="EG455" s="119"/>
      <c r="EH455" s="119"/>
      <c r="EI455" s="119"/>
      <c r="EJ455" s="119"/>
      <c r="EK455" s="119"/>
      <c r="EL455" s="119"/>
      <c r="EM455" s="119"/>
      <c r="EN455" s="119"/>
      <c r="EO455" s="119"/>
      <c r="EP455" s="119"/>
      <c r="EQ455" s="119"/>
      <c r="ER455" s="119"/>
      <c r="ES455" s="119"/>
      <c r="ET455" s="119"/>
      <c r="EU455" s="119"/>
      <c r="EV455" s="119"/>
      <c r="EW455" s="119"/>
      <c r="EX455" s="119"/>
      <c r="EY455" s="119"/>
      <c r="EZ455" s="119"/>
      <c r="FA455" s="119"/>
      <c r="FB455" s="119"/>
      <c r="FC455" s="119"/>
      <c r="FD455" s="119"/>
      <c r="FE455" s="119"/>
      <c r="FF455" s="119"/>
      <c r="FG455" s="119"/>
      <c r="FH455" s="119"/>
      <c r="FI455" s="119"/>
      <c r="FJ455" s="119"/>
      <c r="FK455" s="119"/>
      <c r="FL455" s="119"/>
      <c r="FM455" s="119"/>
      <c r="FN455" s="119"/>
      <c r="FO455" s="119"/>
      <c r="FP455" s="119"/>
      <c r="FQ455" s="119"/>
      <c r="FR455" s="119"/>
    </row>
    <row x14ac:dyDescent="0.25" r="456" customHeight="1" ht="15">
      <c r="A456" s="112">
        <v>45943</v>
      </c>
      <c r="B456" s="112"/>
      <c r="C456" s="107" t="s">
        <v>304</v>
      </c>
      <c r="D456" s="107" t="s">
        <v>347</v>
      </c>
      <c r="E456" s="108">
        <v>130833</v>
      </c>
      <c r="F456" s="120"/>
      <c r="G456" s="109">
        <f>IF((F456-E456)&lt;0,0,(F456-E456))</f>
      </c>
      <c r="H456" s="110"/>
      <c r="I456" s="111">
        <f>IFERROR(SUMPRODUCT($G456*VLOOKUP($C456,'Vehicle Master'!$D:$F,3,0)),"")</f>
      </c>
      <c r="J456" s="11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19"/>
      <c r="AN456" s="119"/>
      <c r="AO456" s="119"/>
      <c r="AP456" s="119"/>
      <c r="AQ456" s="119"/>
      <c r="AR456" s="119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119"/>
      <c r="BF456" s="119"/>
      <c r="BG456" s="119"/>
      <c r="BH456" s="119"/>
      <c r="BI456" s="119"/>
      <c r="BJ456" s="119"/>
      <c r="BK456" s="119"/>
      <c r="BL456" s="119"/>
      <c r="BM456" s="119"/>
      <c r="BN456" s="119"/>
      <c r="BO456" s="119"/>
      <c r="BP456" s="119"/>
      <c r="BQ456" s="119"/>
      <c r="BR456" s="119"/>
      <c r="BS456" s="119"/>
      <c r="BT456" s="119"/>
      <c r="BU456" s="119"/>
      <c r="BV456" s="119"/>
      <c r="BW456" s="119"/>
      <c r="BX456" s="119"/>
      <c r="BY456" s="119"/>
      <c r="BZ456" s="119"/>
      <c r="CA456" s="119"/>
      <c r="CB456" s="119"/>
      <c r="CC456" s="119"/>
      <c r="CD456" s="119"/>
      <c r="CE456" s="119"/>
      <c r="CF456" s="119"/>
      <c r="CG456" s="119"/>
      <c r="CH456" s="119"/>
      <c r="CI456" s="119"/>
      <c r="CJ456" s="119"/>
      <c r="CK456" s="119"/>
      <c r="CL456" s="119"/>
      <c r="CM456" s="119"/>
      <c r="CN456" s="119"/>
      <c r="CO456" s="119"/>
      <c r="CP456" s="119"/>
      <c r="CQ456" s="119"/>
      <c r="CR456" s="119"/>
      <c r="CS456" s="119"/>
      <c r="CT456" s="119"/>
      <c r="CU456" s="119"/>
      <c r="CV456" s="119"/>
      <c r="CW456" s="119"/>
      <c r="CX456" s="119"/>
      <c r="CY456" s="119"/>
      <c r="CZ456" s="119"/>
      <c r="DA456" s="119"/>
      <c r="DB456" s="119"/>
      <c r="DC456" s="119"/>
      <c r="DD456" s="119"/>
      <c r="DE456" s="119"/>
      <c r="DF456" s="119"/>
      <c r="DG456" s="119"/>
      <c r="DH456" s="119"/>
      <c r="DI456" s="119"/>
      <c r="DJ456" s="119"/>
      <c r="DK456" s="119"/>
      <c r="DL456" s="119"/>
      <c r="DM456" s="119"/>
      <c r="DN456" s="119"/>
      <c r="DO456" s="119"/>
      <c r="DP456" s="119"/>
      <c r="DQ456" s="119"/>
      <c r="DR456" s="119"/>
      <c r="DS456" s="119"/>
      <c r="DT456" s="119"/>
      <c r="DU456" s="119"/>
      <c r="DV456" s="119"/>
      <c r="DW456" s="119"/>
      <c r="DX456" s="119"/>
      <c r="DY456" s="119"/>
      <c r="DZ456" s="119"/>
      <c r="EA456" s="119"/>
      <c r="EB456" s="119"/>
      <c r="EC456" s="119"/>
      <c r="ED456" s="119"/>
      <c r="EE456" s="119"/>
      <c r="EF456" s="119"/>
      <c r="EG456" s="119"/>
      <c r="EH456" s="119"/>
      <c r="EI456" s="119"/>
      <c r="EJ456" s="119"/>
      <c r="EK456" s="119"/>
      <c r="EL456" s="119"/>
      <c r="EM456" s="119"/>
      <c r="EN456" s="119"/>
      <c r="EO456" s="119"/>
      <c r="EP456" s="119"/>
      <c r="EQ456" s="119"/>
      <c r="ER456" s="119"/>
      <c r="ES456" s="119"/>
      <c r="ET456" s="119"/>
      <c r="EU456" s="119"/>
      <c r="EV456" s="119"/>
      <c r="EW456" s="119"/>
      <c r="EX456" s="119"/>
      <c r="EY456" s="119"/>
      <c r="EZ456" s="119"/>
      <c r="FA456" s="119"/>
      <c r="FB456" s="119"/>
      <c r="FC456" s="119"/>
      <c r="FD456" s="119"/>
      <c r="FE456" s="119"/>
      <c r="FF456" s="119"/>
      <c r="FG456" s="119"/>
      <c r="FH456" s="119"/>
      <c r="FI456" s="119"/>
      <c r="FJ456" s="119"/>
      <c r="FK456" s="119"/>
      <c r="FL456" s="119"/>
      <c r="FM456" s="119"/>
      <c r="FN456" s="119"/>
      <c r="FO456" s="119"/>
      <c r="FP456" s="119"/>
      <c r="FQ456" s="119"/>
      <c r="FR456" s="119"/>
    </row>
    <row x14ac:dyDescent="0.25" r="457" customHeight="1" ht="15">
      <c r="A457" s="112">
        <v>45943</v>
      </c>
      <c r="B457" s="112">
        <v>45946</v>
      </c>
      <c r="C457" s="107" t="s">
        <v>305</v>
      </c>
      <c r="D457" s="107" t="s">
        <v>43</v>
      </c>
      <c r="E457" s="108">
        <v>118619</v>
      </c>
      <c r="F457" s="108">
        <v>118969</v>
      </c>
      <c r="G457" s="109">
        <f>IF((F457-E457)&lt;0,0,(F457-E457))</f>
      </c>
      <c r="H457" s="110"/>
      <c r="I457" s="111">
        <f>IFERROR(SUMPRODUCT($G457*VLOOKUP($C457,'Vehicle Master'!$D:$F,3,0)),"")</f>
      </c>
      <c r="J457" s="11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19"/>
      <c r="AN457" s="119"/>
      <c r="AO457" s="119"/>
      <c r="AP457" s="119"/>
      <c r="AQ457" s="119"/>
      <c r="AR457" s="119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119"/>
      <c r="BF457" s="119"/>
      <c r="BG457" s="119"/>
      <c r="BH457" s="119"/>
      <c r="BI457" s="119"/>
      <c r="BJ457" s="119"/>
      <c r="BK457" s="119"/>
      <c r="BL457" s="119"/>
      <c r="BM457" s="119"/>
      <c r="BN457" s="119"/>
      <c r="BO457" s="119"/>
      <c r="BP457" s="119"/>
      <c r="BQ457" s="119"/>
      <c r="BR457" s="119"/>
      <c r="BS457" s="119"/>
      <c r="BT457" s="119"/>
      <c r="BU457" s="119"/>
      <c r="BV457" s="119"/>
      <c r="BW457" s="119"/>
      <c r="BX457" s="119"/>
      <c r="BY457" s="119"/>
      <c r="BZ457" s="119"/>
      <c r="CA457" s="119"/>
      <c r="CB457" s="119"/>
      <c r="CC457" s="119"/>
      <c r="CD457" s="119"/>
      <c r="CE457" s="119"/>
      <c r="CF457" s="119"/>
      <c r="CG457" s="119"/>
      <c r="CH457" s="119"/>
      <c r="CI457" s="119"/>
      <c r="CJ457" s="119"/>
      <c r="CK457" s="119"/>
      <c r="CL457" s="119"/>
      <c r="CM457" s="119"/>
      <c r="CN457" s="119"/>
      <c r="CO457" s="119"/>
      <c r="CP457" s="119"/>
      <c r="CQ457" s="119"/>
      <c r="CR457" s="119"/>
      <c r="CS457" s="119"/>
      <c r="CT457" s="119"/>
      <c r="CU457" s="119"/>
      <c r="CV457" s="119"/>
      <c r="CW457" s="119"/>
      <c r="CX457" s="119"/>
      <c r="CY457" s="119"/>
      <c r="CZ457" s="119"/>
      <c r="DA457" s="119"/>
      <c r="DB457" s="119"/>
      <c r="DC457" s="119"/>
      <c r="DD457" s="119"/>
      <c r="DE457" s="119"/>
      <c r="DF457" s="119"/>
      <c r="DG457" s="119"/>
      <c r="DH457" s="119"/>
      <c r="DI457" s="119"/>
      <c r="DJ457" s="119"/>
      <c r="DK457" s="119"/>
      <c r="DL457" s="119"/>
      <c r="DM457" s="119"/>
      <c r="DN457" s="119"/>
      <c r="DO457" s="119"/>
      <c r="DP457" s="119"/>
      <c r="DQ457" s="119"/>
      <c r="DR457" s="119"/>
      <c r="DS457" s="119"/>
      <c r="DT457" s="119"/>
      <c r="DU457" s="119"/>
      <c r="DV457" s="119"/>
      <c r="DW457" s="119"/>
      <c r="DX457" s="119"/>
      <c r="DY457" s="119"/>
      <c r="DZ457" s="119"/>
      <c r="EA457" s="119"/>
      <c r="EB457" s="119"/>
      <c r="EC457" s="119"/>
      <c r="ED457" s="119"/>
      <c r="EE457" s="119"/>
      <c r="EF457" s="119"/>
      <c r="EG457" s="119"/>
      <c r="EH457" s="119"/>
      <c r="EI457" s="119"/>
      <c r="EJ457" s="119"/>
      <c r="EK457" s="119"/>
      <c r="EL457" s="119"/>
      <c r="EM457" s="119"/>
      <c r="EN457" s="119"/>
      <c r="EO457" s="119"/>
      <c r="EP457" s="119"/>
      <c r="EQ457" s="119"/>
      <c r="ER457" s="119"/>
      <c r="ES457" s="119"/>
      <c r="ET457" s="119"/>
      <c r="EU457" s="119"/>
      <c r="EV457" s="119"/>
      <c r="EW457" s="119"/>
      <c r="EX457" s="119"/>
      <c r="EY457" s="119"/>
      <c r="EZ457" s="119"/>
      <c r="FA457" s="119"/>
      <c r="FB457" s="119"/>
      <c r="FC457" s="119"/>
      <c r="FD457" s="119"/>
      <c r="FE457" s="119"/>
      <c r="FF457" s="119"/>
      <c r="FG457" s="119"/>
      <c r="FH457" s="119"/>
      <c r="FI457" s="119"/>
      <c r="FJ457" s="119"/>
      <c r="FK457" s="119"/>
      <c r="FL457" s="119"/>
      <c r="FM457" s="119"/>
      <c r="FN457" s="119"/>
      <c r="FO457" s="119"/>
      <c r="FP457" s="119"/>
      <c r="FQ457" s="119"/>
      <c r="FR457" s="119"/>
    </row>
    <row x14ac:dyDescent="0.25" r="458" customHeight="1" ht="15">
      <c r="A458" s="112">
        <v>45944</v>
      </c>
      <c r="B458" s="112"/>
      <c r="C458" s="107" t="s">
        <v>303</v>
      </c>
      <c r="D458" s="107" t="s">
        <v>45</v>
      </c>
      <c r="E458" s="108">
        <v>117929</v>
      </c>
      <c r="F458" s="120"/>
      <c r="G458" s="109">
        <f>IF((F458-E458)&lt;0,0,(F458-E458))</f>
      </c>
      <c r="H458" s="110"/>
      <c r="I458" s="111">
        <f>IFERROR(SUMPRODUCT($G458*VLOOKUP($C458,'Vehicle Master'!$D:$F,3,0)),"")</f>
      </c>
      <c r="J458" s="11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19"/>
      <c r="AN458" s="119"/>
      <c r="AO458" s="119"/>
      <c r="AP458" s="119"/>
      <c r="AQ458" s="119"/>
      <c r="AR458" s="119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119"/>
      <c r="BF458" s="119"/>
      <c r="BG458" s="119"/>
      <c r="BH458" s="119"/>
      <c r="BI458" s="119"/>
      <c r="BJ458" s="119"/>
      <c r="BK458" s="119"/>
      <c r="BL458" s="119"/>
      <c r="BM458" s="119"/>
      <c r="BN458" s="119"/>
      <c r="BO458" s="119"/>
      <c r="BP458" s="119"/>
      <c r="BQ458" s="119"/>
      <c r="BR458" s="119"/>
      <c r="BS458" s="119"/>
      <c r="BT458" s="119"/>
      <c r="BU458" s="119"/>
      <c r="BV458" s="119"/>
      <c r="BW458" s="119"/>
      <c r="BX458" s="119"/>
      <c r="BY458" s="119"/>
      <c r="BZ458" s="119"/>
      <c r="CA458" s="119"/>
      <c r="CB458" s="119"/>
      <c r="CC458" s="119"/>
      <c r="CD458" s="119"/>
      <c r="CE458" s="119"/>
      <c r="CF458" s="119"/>
      <c r="CG458" s="119"/>
      <c r="CH458" s="119"/>
      <c r="CI458" s="119"/>
      <c r="CJ458" s="119"/>
      <c r="CK458" s="119"/>
      <c r="CL458" s="119"/>
      <c r="CM458" s="119"/>
      <c r="CN458" s="119"/>
      <c r="CO458" s="119"/>
      <c r="CP458" s="119"/>
      <c r="CQ458" s="119"/>
      <c r="CR458" s="119"/>
      <c r="CS458" s="119"/>
      <c r="CT458" s="119"/>
      <c r="CU458" s="119"/>
      <c r="CV458" s="119"/>
      <c r="CW458" s="119"/>
      <c r="CX458" s="119"/>
      <c r="CY458" s="119"/>
      <c r="CZ458" s="119"/>
      <c r="DA458" s="119"/>
      <c r="DB458" s="119"/>
      <c r="DC458" s="119"/>
      <c r="DD458" s="119"/>
      <c r="DE458" s="119"/>
      <c r="DF458" s="119"/>
      <c r="DG458" s="119"/>
      <c r="DH458" s="119"/>
      <c r="DI458" s="119"/>
      <c r="DJ458" s="119"/>
      <c r="DK458" s="119"/>
      <c r="DL458" s="119"/>
      <c r="DM458" s="119"/>
      <c r="DN458" s="119"/>
      <c r="DO458" s="119"/>
      <c r="DP458" s="119"/>
      <c r="DQ458" s="119"/>
      <c r="DR458" s="119"/>
      <c r="DS458" s="119"/>
      <c r="DT458" s="119"/>
      <c r="DU458" s="119"/>
      <c r="DV458" s="119"/>
      <c r="DW458" s="119"/>
      <c r="DX458" s="119"/>
      <c r="DY458" s="119"/>
      <c r="DZ458" s="119"/>
      <c r="EA458" s="119"/>
      <c r="EB458" s="119"/>
      <c r="EC458" s="119"/>
      <c r="ED458" s="119"/>
      <c r="EE458" s="119"/>
      <c r="EF458" s="119"/>
      <c r="EG458" s="119"/>
      <c r="EH458" s="119"/>
      <c r="EI458" s="119"/>
      <c r="EJ458" s="119"/>
      <c r="EK458" s="119"/>
      <c r="EL458" s="119"/>
      <c r="EM458" s="119"/>
      <c r="EN458" s="119"/>
      <c r="EO458" s="119"/>
      <c r="EP458" s="119"/>
      <c r="EQ458" s="119"/>
      <c r="ER458" s="119"/>
      <c r="ES458" s="119"/>
      <c r="ET458" s="119"/>
      <c r="EU458" s="119"/>
      <c r="EV458" s="119"/>
      <c r="EW458" s="119"/>
      <c r="EX458" s="119"/>
      <c r="EY458" s="119"/>
      <c r="EZ458" s="119"/>
      <c r="FA458" s="119"/>
      <c r="FB458" s="119"/>
      <c r="FC458" s="119"/>
      <c r="FD458" s="119"/>
      <c r="FE458" s="119"/>
      <c r="FF458" s="119"/>
      <c r="FG458" s="119"/>
      <c r="FH458" s="119"/>
      <c r="FI458" s="119"/>
      <c r="FJ458" s="119"/>
      <c r="FK458" s="119"/>
      <c r="FL458" s="119"/>
      <c r="FM458" s="119"/>
      <c r="FN458" s="119"/>
      <c r="FO458" s="119"/>
      <c r="FP458" s="119"/>
      <c r="FQ458" s="119"/>
      <c r="FR458" s="119"/>
    </row>
    <row x14ac:dyDescent="0.25" r="459" customHeight="1" ht="15">
      <c r="A459" s="112">
        <v>45944</v>
      </c>
      <c r="B459" s="112"/>
      <c r="C459" s="107" t="s">
        <v>302</v>
      </c>
      <c r="D459" s="107" t="s">
        <v>42</v>
      </c>
      <c r="E459" s="108">
        <v>96508</v>
      </c>
      <c r="F459" s="120"/>
      <c r="G459" s="109">
        <f>IF((F459-E459)&lt;0,0,(F459-E459))</f>
      </c>
      <c r="H459" s="110"/>
      <c r="I459" s="111">
        <f>IFERROR(SUMPRODUCT($G459*VLOOKUP($C459,'Vehicle Master'!$D:$F,3,0)),"")</f>
      </c>
      <c r="J459" s="11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19"/>
      <c r="AN459" s="119"/>
      <c r="AO459" s="119"/>
      <c r="AP459" s="119"/>
      <c r="AQ459" s="119"/>
      <c r="AR459" s="119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119"/>
      <c r="BF459" s="119"/>
      <c r="BG459" s="119"/>
      <c r="BH459" s="119"/>
      <c r="BI459" s="119"/>
      <c r="BJ459" s="119"/>
      <c r="BK459" s="119"/>
      <c r="BL459" s="119"/>
      <c r="BM459" s="119"/>
      <c r="BN459" s="119"/>
      <c r="BO459" s="119"/>
      <c r="BP459" s="119"/>
      <c r="BQ459" s="119"/>
      <c r="BR459" s="119"/>
      <c r="BS459" s="119"/>
      <c r="BT459" s="119"/>
      <c r="BU459" s="119"/>
      <c r="BV459" s="119"/>
      <c r="BW459" s="119"/>
      <c r="BX459" s="119"/>
      <c r="BY459" s="119"/>
      <c r="BZ459" s="119"/>
      <c r="CA459" s="119"/>
      <c r="CB459" s="119"/>
      <c r="CC459" s="119"/>
      <c r="CD459" s="119"/>
      <c r="CE459" s="119"/>
      <c r="CF459" s="119"/>
      <c r="CG459" s="119"/>
      <c r="CH459" s="119"/>
      <c r="CI459" s="119"/>
      <c r="CJ459" s="119"/>
      <c r="CK459" s="119"/>
      <c r="CL459" s="119"/>
      <c r="CM459" s="119"/>
      <c r="CN459" s="119"/>
      <c r="CO459" s="119"/>
      <c r="CP459" s="119"/>
      <c r="CQ459" s="119"/>
      <c r="CR459" s="119"/>
      <c r="CS459" s="119"/>
      <c r="CT459" s="119"/>
      <c r="CU459" s="119"/>
      <c r="CV459" s="119"/>
      <c r="CW459" s="119"/>
      <c r="CX459" s="119"/>
      <c r="CY459" s="119"/>
      <c r="CZ459" s="119"/>
      <c r="DA459" s="119"/>
      <c r="DB459" s="119"/>
      <c r="DC459" s="119"/>
      <c r="DD459" s="119"/>
      <c r="DE459" s="119"/>
      <c r="DF459" s="119"/>
      <c r="DG459" s="119"/>
      <c r="DH459" s="119"/>
      <c r="DI459" s="119"/>
      <c r="DJ459" s="119"/>
      <c r="DK459" s="119"/>
      <c r="DL459" s="119"/>
      <c r="DM459" s="119"/>
      <c r="DN459" s="119"/>
      <c r="DO459" s="119"/>
      <c r="DP459" s="119"/>
      <c r="DQ459" s="119"/>
      <c r="DR459" s="119"/>
      <c r="DS459" s="119"/>
      <c r="DT459" s="119"/>
      <c r="DU459" s="119"/>
      <c r="DV459" s="119"/>
      <c r="DW459" s="119"/>
      <c r="DX459" s="119"/>
      <c r="DY459" s="119"/>
      <c r="DZ459" s="119"/>
      <c r="EA459" s="119"/>
      <c r="EB459" s="119"/>
      <c r="EC459" s="119"/>
      <c r="ED459" s="119"/>
      <c r="EE459" s="119"/>
      <c r="EF459" s="119"/>
      <c r="EG459" s="119"/>
      <c r="EH459" s="119"/>
      <c r="EI459" s="119"/>
      <c r="EJ459" s="119"/>
      <c r="EK459" s="119"/>
      <c r="EL459" s="119"/>
      <c r="EM459" s="119"/>
      <c r="EN459" s="119"/>
      <c r="EO459" s="119"/>
      <c r="EP459" s="119"/>
      <c r="EQ459" s="119"/>
      <c r="ER459" s="119"/>
      <c r="ES459" s="119"/>
      <c r="ET459" s="119"/>
      <c r="EU459" s="119"/>
      <c r="EV459" s="119"/>
      <c r="EW459" s="119"/>
      <c r="EX459" s="119"/>
      <c r="EY459" s="119"/>
      <c r="EZ459" s="119"/>
      <c r="FA459" s="119"/>
      <c r="FB459" s="119"/>
      <c r="FC459" s="119"/>
      <c r="FD459" s="119"/>
      <c r="FE459" s="119"/>
      <c r="FF459" s="119"/>
      <c r="FG459" s="119"/>
      <c r="FH459" s="119"/>
      <c r="FI459" s="119"/>
      <c r="FJ459" s="119"/>
      <c r="FK459" s="119"/>
      <c r="FL459" s="119"/>
      <c r="FM459" s="119"/>
      <c r="FN459" s="119"/>
      <c r="FO459" s="119"/>
      <c r="FP459" s="119"/>
      <c r="FQ459" s="119"/>
      <c r="FR459" s="119"/>
    </row>
    <row x14ac:dyDescent="0.25" r="460" customHeight="1" ht="15">
      <c r="A460" s="112"/>
      <c r="B460" s="112"/>
      <c r="C460" s="107"/>
      <c r="D460" s="107"/>
      <c r="E460" s="120"/>
      <c r="F460" s="120"/>
      <c r="G460" s="109">
        <f>IF((F460-E460)&lt;0,0,(F460-E460))</f>
      </c>
      <c r="H460" s="110"/>
      <c r="I460" s="111">
        <f>IFERROR(SUMPRODUCT($G460*VLOOKUP($C460,'Vehicle Master'!$D:$F,3,0)),"")</f>
      </c>
      <c r="J460" s="11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19"/>
      <c r="AN460" s="119"/>
      <c r="AO460" s="119"/>
      <c r="AP460" s="119"/>
      <c r="AQ460" s="119"/>
      <c r="AR460" s="119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119"/>
      <c r="BF460" s="119"/>
      <c r="BG460" s="119"/>
      <c r="BH460" s="119"/>
      <c r="BI460" s="119"/>
      <c r="BJ460" s="119"/>
      <c r="BK460" s="119"/>
      <c r="BL460" s="119"/>
      <c r="BM460" s="119"/>
      <c r="BN460" s="119"/>
      <c r="BO460" s="119"/>
      <c r="BP460" s="119"/>
      <c r="BQ460" s="119"/>
      <c r="BR460" s="119"/>
      <c r="BS460" s="119"/>
      <c r="BT460" s="119"/>
      <c r="BU460" s="119"/>
      <c r="BV460" s="119"/>
      <c r="BW460" s="119"/>
      <c r="BX460" s="119"/>
      <c r="BY460" s="119"/>
      <c r="BZ460" s="119"/>
      <c r="CA460" s="119"/>
      <c r="CB460" s="119"/>
      <c r="CC460" s="119"/>
      <c r="CD460" s="119"/>
      <c r="CE460" s="119"/>
      <c r="CF460" s="119"/>
      <c r="CG460" s="119"/>
      <c r="CH460" s="119"/>
      <c r="CI460" s="119"/>
      <c r="CJ460" s="119"/>
      <c r="CK460" s="119"/>
      <c r="CL460" s="119"/>
      <c r="CM460" s="119"/>
      <c r="CN460" s="119"/>
      <c r="CO460" s="119"/>
      <c r="CP460" s="119"/>
      <c r="CQ460" s="119"/>
      <c r="CR460" s="119"/>
      <c r="CS460" s="119"/>
      <c r="CT460" s="119"/>
      <c r="CU460" s="119"/>
      <c r="CV460" s="119"/>
      <c r="CW460" s="119"/>
      <c r="CX460" s="119"/>
      <c r="CY460" s="119"/>
      <c r="CZ460" s="119"/>
      <c r="DA460" s="119"/>
      <c r="DB460" s="119"/>
      <c r="DC460" s="119"/>
      <c r="DD460" s="119"/>
      <c r="DE460" s="119"/>
      <c r="DF460" s="119"/>
      <c r="DG460" s="119"/>
      <c r="DH460" s="119"/>
      <c r="DI460" s="119"/>
      <c r="DJ460" s="119"/>
      <c r="DK460" s="119"/>
      <c r="DL460" s="119"/>
      <c r="DM460" s="119"/>
      <c r="DN460" s="119"/>
      <c r="DO460" s="119"/>
      <c r="DP460" s="119"/>
      <c r="DQ460" s="119"/>
      <c r="DR460" s="119"/>
      <c r="DS460" s="119"/>
      <c r="DT460" s="119"/>
      <c r="DU460" s="119"/>
      <c r="DV460" s="119"/>
      <c r="DW460" s="119"/>
      <c r="DX460" s="119"/>
      <c r="DY460" s="119"/>
      <c r="DZ460" s="119"/>
      <c r="EA460" s="119"/>
      <c r="EB460" s="119"/>
      <c r="EC460" s="119"/>
      <c r="ED460" s="119"/>
      <c r="EE460" s="119"/>
      <c r="EF460" s="119"/>
      <c r="EG460" s="119"/>
      <c r="EH460" s="119"/>
      <c r="EI460" s="119"/>
      <c r="EJ460" s="119"/>
      <c r="EK460" s="119"/>
      <c r="EL460" s="119"/>
      <c r="EM460" s="119"/>
      <c r="EN460" s="119"/>
      <c r="EO460" s="119"/>
      <c r="EP460" s="119"/>
      <c r="EQ460" s="119"/>
      <c r="ER460" s="119"/>
      <c r="ES460" s="119"/>
      <c r="ET460" s="119"/>
      <c r="EU460" s="119"/>
      <c r="EV460" s="119"/>
      <c r="EW460" s="119"/>
      <c r="EX460" s="119"/>
      <c r="EY460" s="119"/>
      <c r="EZ460" s="119"/>
      <c r="FA460" s="119"/>
      <c r="FB460" s="119"/>
      <c r="FC460" s="119"/>
      <c r="FD460" s="119"/>
      <c r="FE460" s="119"/>
      <c r="FF460" s="119"/>
      <c r="FG460" s="119"/>
      <c r="FH460" s="119"/>
      <c r="FI460" s="119"/>
      <c r="FJ460" s="119"/>
      <c r="FK460" s="119"/>
      <c r="FL460" s="119"/>
      <c r="FM460" s="119"/>
      <c r="FN460" s="119"/>
      <c r="FO460" s="119"/>
      <c r="FP460" s="119"/>
      <c r="FQ460" s="119"/>
      <c r="FR460" s="119"/>
    </row>
    <row x14ac:dyDescent="0.25" r="461" customHeight="1" ht="15">
      <c r="A461" s="112"/>
      <c r="B461" s="112"/>
      <c r="C461" s="107"/>
      <c r="D461" s="107"/>
      <c r="E461" s="120"/>
      <c r="F461" s="120"/>
      <c r="G461" s="109">
        <f>IF((F461-E461)&lt;0,0,(F461-E461))</f>
      </c>
      <c r="H461" s="110"/>
      <c r="I461" s="111">
        <f>IFERROR(SUMPRODUCT($G461*VLOOKUP($C461,'Vehicle Master'!$D:$F,3,0)),"")</f>
      </c>
      <c r="J461" s="11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19"/>
      <c r="AN461" s="119"/>
      <c r="AO461" s="119"/>
      <c r="AP461" s="119"/>
      <c r="AQ461" s="119"/>
      <c r="AR461" s="119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119"/>
      <c r="BF461" s="119"/>
      <c r="BG461" s="119"/>
      <c r="BH461" s="119"/>
      <c r="BI461" s="119"/>
      <c r="BJ461" s="119"/>
      <c r="BK461" s="119"/>
      <c r="BL461" s="119"/>
      <c r="BM461" s="119"/>
      <c r="BN461" s="119"/>
      <c r="BO461" s="119"/>
      <c r="BP461" s="119"/>
      <c r="BQ461" s="119"/>
      <c r="BR461" s="119"/>
      <c r="BS461" s="119"/>
      <c r="BT461" s="119"/>
      <c r="BU461" s="119"/>
      <c r="BV461" s="119"/>
      <c r="BW461" s="119"/>
      <c r="BX461" s="119"/>
      <c r="BY461" s="119"/>
      <c r="BZ461" s="119"/>
      <c r="CA461" s="119"/>
      <c r="CB461" s="119"/>
      <c r="CC461" s="119"/>
      <c r="CD461" s="119"/>
      <c r="CE461" s="119"/>
      <c r="CF461" s="119"/>
      <c r="CG461" s="119"/>
      <c r="CH461" s="119"/>
      <c r="CI461" s="119"/>
      <c r="CJ461" s="119"/>
      <c r="CK461" s="119"/>
      <c r="CL461" s="119"/>
      <c r="CM461" s="119"/>
      <c r="CN461" s="119"/>
      <c r="CO461" s="119"/>
      <c r="CP461" s="119"/>
      <c r="CQ461" s="119"/>
      <c r="CR461" s="119"/>
      <c r="CS461" s="119"/>
      <c r="CT461" s="119"/>
      <c r="CU461" s="119"/>
      <c r="CV461" s="119"/>
      <c r="CW461" s="119"/>
      <c r="CX461" s="119"/>
      <c r="CY461" s="119"/>
      <c r="CZ461" s="119"/>
      <c r="DA461" s="119"/>
      <c r="DB461" s="119"/>
      <c r="DC461" s="119"/>
      <c r="DD461" s="119"/>
      <c r="DE461" s="119"/>
      <c r="DF461" s="119"/>
      <c r="DG461" s="119"/>
      <c r="DH461" s="119"/>
      <c r="DI461" s="119"/>
      <c r="DJ461" s="119"/>
      <c r="DK461" s="119"/>
      <c r="DL461" s="119"/>
      <c r="DM461" s="119"/>
      <c r="DN461" s="119"/>
      <c r="DO461" s="119"/>
      <c r="DP461" s="119"/>
      <c r="DQ461" s="119"/>
      <c r="DR461" s="119"/>
      <c r="DS461" s="119"/>
      <c r="DT461" s="119"/>
      <c r="DU461" s="119"/>
      <c r="DV461" s="119"/>
      <c r="DW461" s="119"/>
      <c r="DX461" s="119"/>
      <c r="DY461" s="119"/>
      <c r="DZ461" s="119"/>
      <c r="EA461" s="119"/>
      <c r="EB461" s="119"/>
      <c r="EC461" s="119"/>
      <c r="ED461" s="119"/>
      <c r="EE461" s="119"/>
      <c r="EF461" s="119"/>
      <c r="EG461" s="119"/>
      <c r="EH461" s="119"/>
      <c r="EI461" s="119"/>
      <c r="EJ461" s="119"/>
      <c r="EK461" s="119"/>
      <c r="EL461" s="119"/>
      <c r="EM461" s="119"/>
      <c r="EN461" s="119"/>
      <c r="EO461" s="119"/>
      <c r="EP461" s="119"/>
      <c r="EQ461" s="119"/>
      <c r="ER461" s="119"/>
      <c r="ES461" s="119"/>
      <c r="ET461" s="119"/>
      <c r="EU461" s="119"/>
      <c r="EV461" s="119"/>
      <c r="EW461" s="119"/>
      <c r="EX461" s="119"/>
      <c r="EY461" s="119"/>
      <c r="EZ461" s="119"/>
      <c r="FA461" s="119"/>
      <c r="FB461" s="119"/>
      <c r="FC461" s="119"/>
      <c r="FD461" s="119"/>
      <c r="FE461" s="119"/>
      <c r="FF461" s="119"/>
      <c r="FG461" s="119"/>
      <c r="FH461" s="119"/>
      <c r="FI461" s="119"/>
      <c r="FJ461" s="119"/>
      <c r="FK461" s="119"/>
      <c r="FL461" s="119"/>
      <c r="FM461" s="119"/>
      <c r="FN461" s="119"/>
      <c r="FO461" s="119"/>
      <c r="FP461" s="119"/>
      <c r="FQ461" s="119"/>
      <c r="FR461" s="119"/>
    </row>
    <row x14ac:dyDescent="0.25" r="462" customHeight="1" ht="15">
      <c r="A462" s="112"/>
      <c r="B462" s="112"/>
      <c r="C462" s="107"/>
      <c r="D462" s="107"/>
      <c r="E462" s="120"/>
      <c r="F462" s="120"/>
      <c r="G462" s="109">
        <f>IF((F462-E462)&lt;0,0,(F462-E462))</f>
      </c>
      <c r="H462" s="110"/>
      <c r="I462" s="111">
        <f>IFERROR(SUMPRODUCT($G462*VLOOKUP($C462,'Vehicle Master'!$D:$F,3,0)),"")</f>
      </c>
      <c r="J462" s="11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19"/>
      <c r="AN462" s="119"/>
      <c r="AO462" s="119"/>
      <c r="AP462" s="119"/>
      <c r="AQ462" s="119"/>
      <c r="AR462" s="119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119"/>
      <c r="BF462" s="119"/>
      <c r="BG462" s="119"/>
      <c r="BH462" s="119"/>
      <c r="BI462" s="119"/>
      <c r="BJ462" s="119"/>
      <c r="BK462" s="119"/>
      <c r="BL462" s="119"/>
      <c r="BM462" s="119"/>
      <c r="BN462" s="119"/>
      <c r="BO462" s="119"/>
      <c r="BP462" s="119"/>
      <c r="BQ462" s="119"/>
      <c r="BR462" s="119"/>
      <c r="BS462" s="119"/>
      <c r="BT462" s="119"/>
      <c r="BU462" s="119"/>
      <c r="BV462" s="119"/>
      <c r="BW462" s="119"/>
      <c r="BX462" s="119"/>
      <c r="BY462" s="119"/>
      <c r="BZ462" s="119"/>
      <c r="CA462" s="119"/>
      <c r="CB462" s="119"/>
      <c r="CC462" s="119"/>
      <c r="CD462" s="119"/>
      <c r="CE462" s="119"/>
      <c r="CF462" s="119"/>
      <c r="CG462" s="119"/>
      <c r="CH462" s="119"/>
      <c r="CI462" s="119"/>
      <c r="CJ462" s="119"/>
      <c r="CK462" s="119"/>
      <c r="CL462" s="119"/>
      <c r="CM462" s="119"/>
      <c r="CN462" s="119"/>
      <c r="CO462" s="119"/>
      <c r="CP462" s="119"/>
      <c r="CQ462" s="119"/>
      <c r="CR462" s="119"/>
      <c r="CS462" s="119"/>
      <c r="CT462" s="119"/>
      <c r="CU462" s="119"/>
      <c r="CV462" s="119"/>
      <c r="CW462" s="119"/>
      <c r="CX462" s="119"/>
      <c r="CY462" s="119"/>
      <c r="CZ462" s="119"/>
      <c r="DA462" s="119"/>
      <c r="DB462" s="119"/>
      <c r="DC462" s="119"/>
      <c r="DD462" s="119"/>
      <c r="DE462" s="119"/>
      <c r="DF462" s="119"/>
      <c r="DG462" s="119"/>
      <c r="DH462" s="119"/>
      <c r="DI462" s="119"/>
      <c r="DJ462" s="119"/>
      <c r="DK462" s="119"/>
      <c r="DL462" s="119"/>
      <c r="DM462" s="119"/>
      <c r="DN462" s="119"/>
      <c r="DO462" s="119"/>
      <c r="DP462" s="119"/>
      <c r="DQ462" s="119"/>
      <c r="DR462" s="119"/>
      <c r="DS462" s="119"/>
      <c r="DT462" s="119"/>
      <c r="DU462" s="119"/>
      <c r="DV462" s="119"/>
      <c r="DW462" s="119"/>
      <c r="DX462" s="119"/>
      <c r="DY462" s="119"/>
      <c r="DZ462" s="119"/>
      <c r="EA462" s="119"/>
      <c r="EB462" s="119"/>
      <c r="EC462" s="119"/>
      <c r="ED462" s="119"/>
      <c r="EE462" s="119"/>
      <c r="EF462" s="119"/>
      <c r="EG462" s="119"/>
      <c r="EH462" s="119"/>
      <c r="EI462" s="119"/>
      <c r="EJ462" s="119"/>
      <c r="EK462" s="119"/>
      <c r="EL462" s="119"/>
      <c r="EM462" s="119"/>
      <c r="EN462" s="119"/>
      <c r="EO462" s="119"/>
      <c r="EP462" s="119"/>
      <c r="EQ462" s="119"/>
      <c r="ER462" s="119"/>
      <c r="ES462" s="119"/>
      <c r="ET462" s="119"/>
      <c r="EU462" s="119"/>
      <c r="EV462" s="119"/>
      <c r="EW462" s="119"/>
      <c r="EX462" s="119"/>
      <c r="EY462" s="119"/>
      <c r="EZ462" s="119"/>
      <c r="FA462" s="119"/>
      <c r="FB462" s="119"/>
      <c r="FC462" s="119"/>
      <c r="FD462" s="119"/>
      <c r="FE462" s="119"/>
      <c r="FF462" s="119"/>
      <c r="FG462" s="119"/>
      <c r="FH462" s="119"/>
      <c r="FI462" s="119"/>
      <c r="FJ462" s="119"/>
      <c r="FK462" s="119"/>
      <c r="FL462" s="119"/>
      <c r="FM462" s="119"/>
      <c r="FN462" s="119"/>
      <c r="FO462" s="119"/>
      <c r="FP462" s="119"/>
      <c r="FQ462" s="119"/>
      <c r="FR462" s="119"/>
    </row>
    <row x14ac:dyDescent="0.25" r="463" customHeight="1" ht="15">
      <c r="A463" s="112"/>
      <c r="B463" s="112"/>
      <c r="C463" s="107"/>
      <c r="D463" s="107"/>
      <c r="E463" s="120"/>
      <c r="F463" s="120"/>
      <c r="G463" s="109">
        <f>IF((F463-E463)&lt;0,0,(F463-E463))</f>
      </c>
      <c r="H463" s="110"/>
      <c r="I463" s="111">
        <f>IFERROR(SUMPRODUCT($G463*VLOOKUP($C463,'Vehicle Master'!$D:$F,3,0)),"")</f>
      </c>
      <c r="J463" s="11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19"/>
      <c r="AN463" s="119"/>
      <c r="AO463" s="119"/>
      <c r="AP463" s="119"/>
      <c r="AQ463" s="119"/>
      <c r="AR463" s="119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119"/>
      <c r="BF463" s="119"/>
      <c r="BG463" s="119"/>
      <c r="BH463" s="119"/>
      <c r="BI463" s="119"/>
      <c r="BJ463" s="119"/>
      <c r="BK463" s="119"/>
      <c r="BL463" s="119"/>
      <c r="BM463" s="119"/>
      <c r="BN463" s="119"/>
      <c r="BO463" s="119"/>
      <c r="BP463" s="119"/>
      <c r="BQ463" s="119"/>
      <c r="BR463" s="119"/>
      <c r="BS463" s="119"/>
      <c r="BT463" s="119"/>
      <c r="BU463" s="119"/>
      <c r="BV463" s="119"/>
      <c r="BW463" s="119"/>
      <c r="BX463" s="119"/>
      <c r="BY463" s="119"/>
      <c r="BZ463" s="119"/>
      <c r="CA463" s="119"/>
      <c r="CB463" s="119"/>
      <c r="CC463" s="119"/>
      <c r="CD463" s="119"/>
      <c r="CE463" s="119"/>
      <c r="CF463" s="119"/>
      <c r="CG463" s="119"/>
      <c r="CH463" s="119"/>
      <c r="CI463" s="119"/>
      <c r="CJ463" s="119"/>
      <c r="CK463" s="119"/>
      <c r="CL463" s="119"/>
      <c r="CM463" s="119"/>
      <c r="CN463" s="119"/>
      <c r="CO463" s="119"/>
      <c r="CP463" s="119"/>
      <c r="CQ463" s="119"/>
      <c r="CR463" s="119"/>
      <c r="CS463" s="119"/>
      <c r="CT463" s="119"/>
      <c r="CU463" s="119"/>
      <c r="CV463" s="119"/>
      <c r="CW463" s="119"/>
      <c r="CX463" s="119"/>
      <c r="CY463" s="119"/>
      <c r="CZ463" s="119"/>
      <c r="DA463" s="119"/>
      <c r="DB463" s="119"/>
      <c r="DC463" s="119"/>
      <c r="DD463" s="119"/>
      <c r="DE463" s="119"/>
      <c r="DF463" s="119"/>
      <c r="DG463" s="119"/>
      <c r="DH463" s="119"/>
      <c r="DI463" s="119"/>
      <c r="DJ463" s="119"/>
      <c r="DK463" s="119"/>
      <c r="DL463" s="119"/>
      <c r="DM463" s="119"/>
      <c r="DN463" s="119"/>
      <c r="DO463" s="119"/>
      <c r="DP463" s="119"/>
      <c r="DQ463" s="119"/>
      <c r="DR463" s="119"/>
      <c r="DS463" s="119"/>
      <c r="DT463" s="119"/>
      <c r="DU463" s="119"/>
      <c r="DV463" s="119"/>
      <c r="DW463" s="119"/>
      <c r="DX463" s="119"/>
      <c r="DY463" s="119"/>
      <c r="DZ463" s="119"/>
      <c r="EA463" s="119"/>
      <c r="EB463" s="119"/>
      <c r="EC463" s="119"/>
      <c r="ED463" s="119"/>
      <c r="EE463" s="119"/>
      <c r="EF463" s="119"/>
      <c r="EG463" s="119"/>
      <c r="EH463" s="119"/>
      <c r="EI463" s="119"/>
      <c r="EJ463" s="119"/>
      <c r="EK463" s="119"/>
      <c r="EL463" s="119"/>
      <c r="EM463" s="119"/>
      <c r="EN463" s="119"/>
      <c r="EO463" s="119"/>
      <c r="EP463" s="119"/>
      <c r="EQ463" s="119"/>
      <c r="ER463" s="119"/>
      <c r="ES463" s="119"/>
      <c r="ET463" s="119"/>
      <c r="EU463" s="119"/>
      <c r="EV463" s="119"/>
      <c r="EW463" s="119"/>
      <c r="EX463" s="119"/>
      <c r="EY463" s="119"/>
      <c r="EZ463" s="119"/>
      <c r="FA463" s="119"/>
      <c r="FB463" s="119"/>
      <c r="FC463" s="119"/>
      <c r="FD463" s="119"/>
      <c r="FE463" s="119"/>
      <c r="FF463" s="119"/>
      <c r="FG463" s="119"/>
      <c r="FH463" s="119"/>
      <c r="FI463" s="119"/>
      <c r="FJ463" s="119"/>
      <c r="FK463" s="119"/>
      <c r="FL463" s="119"/>
      <c r="FM463" s="119"/>
      <c r="FN463" s="119"/>
      <c r="FO463" s="119"/>
      <c r="FP463" s="119"/>
      <c r="FQ463" s="119"/>
      <c r="FR463" s="119"/>
    </row>
    <row x14ac:dyDescent="0.25" r="464" customHeight="1" ht="15">
      <c r="A464" s="112"/>
      <c r="B464" s="112"/>
      <c r="C464" s="107"/>
      <c r="D464" s="107"/>
      <c r="E464" s="120"/>
      <c r="F464" s="120"/>
      <c r="G464" s="109">
        <f>IF((F464-E464)&lt;0,0,(F464-E464))</f>
      </c>
      <c r="H464" s="110"/>
      <c r="I464" s="111">
        <f>IFERROR(SUMPRODUCT($G464*VLOOKUP($C464,'Vehicle Master'!$D:$F,3,0)),"")</f>
      </c>
      <c r="J464" s="11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19"/>
      <c r="AN464" s="119"/>
      <c r="AO464" s="119"/>
      <c r="AP464" s="119"/>
      <c r="AQ464" s="119"/>
      <c r="AR464" s="119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119"/>
      <c r="BF464" s="119"/>
      <c r="BG464" s="119"/>
      <c r="BH464" s="119"/>
      <c r="BI464" s="119"/>
      <c r="BJ464" s="119"/>
      <c r="BK464" s="119"/>
      <c r="BL464" s="119"/>
      <c r="BM464" s="119"/>
      <c r="BN464" s="119"/>
      <c r="BO464" s="119"/>
      <c r="BP464" s="119"/>
      <c r="BQ464" s="119"/>
      <c r="BR464" s="119"/>
      <c r="BS464" s="119"/>
      <c r="BT464" s="119"/>
      <c r="BU464" s="119"/>
      <c r="BV464" s="119"/>
      <c r="BW464" s="119"/>
      <c r="BX464" s="119"/>
      <c r="BY464" s="119"/>
      <c r="BZ464" s="119"/>
      <c r="CA464" s="119"/>
      <c r="CB464" s="119"/>
      <c r="CC464" s="119"/>
      <c r="CD464" s="119"/>
      <c r="CE464" s="119"/>
      <c r="CF464" s="119"/>
      <c r="CG464" s="119"/>
      <c r="CH464" s="119"/>
      <c r="CI464" s="119"/>
      <c r="CJ464" s="119"/>
      <c r="CK464" s="119"/>
      <c r="CL464" s="119"/>
      <c r="CM464" s="119"/>
      <c r="CN464" s="119"/>
      <c r="CO464" s="119"/>
      <c r="CP464" s="119"/>
      <c r="CQ464" s="119"/>
      <c r="CR464" s="119"/>
      <c r="CS464" s="119"/>
      <c r="CT464" s="119"/>
      <c r="CU464" s="119"/>
      <c r="CV464" s="119"/>
      <c r="CW464" s="119"/>
      <c r="CX464" s="119"/>
      <c r="CY464" s="119"/>
      <c r="CZ464" s="119"/>
      <c r="DA464" s="119"/>
      <c r="DB464" s="119"/>
      <c r="DC464" s="119"/>
      <c r="DD464" s="119"/>
      <c r="DE464" s="119"/>
      <c r="DF464" s="119"/>
      <c r="DG464" s="119"/>
      <c r="DH464" s="119"/>
      <c r="DI464" s="119"/>
      <c r="DJ464" s="119"/>
      <c r="DK464" s="119"/>
      <c r="DL464" s="119"/>
      <c r="DM464" s="119"/>
      <c r="DN464" s="119"/>
      <c r="DO464" s="119"/>
      <c r="DP464" s="119"/>
      <c r="DQ464" s="119"/>
      <c r="DR464" s="119"/>
      <c r="DS464" s="119"/>
      <c r="DT464" s="119"/>
      <c r="DU464" s="119"/>
      <c r="DV464" s="119"/>
      <c r="DW464" s="119"/>
      <c r="DX464" s="119"/>
      <c r="DY464" s="119"/>
      <c r="DZ464" s="119"/>
      <c r="EA464" s="119"/>
      <c r="EB464" s="119"/>
      <c r="EC464" s="119"/>
      <c r="ED464" s="119"/>
      <c r="EE464" s="119"/>
      <c r="EF464" s="119"/>
      <c r="EG464" s="119"/>
      <c r="EH464" s="119"/>
      <c r="EI464" s="119"/>
      <c r="EJ464" s="119"/>
      <c r="EK464" s="119"/>
      <c r="EL464" s="119"/>
      <c r="EM464" s="119"/>
      <c r="EN464" s="119"/>
      <c r="EO464" s="119"/>
      <c r="EP464" s="119"/>
      <c r="EQ464" s="119"/>
      <c r="ER464" s="119"/>
      <c r="ES464" s="119"/>
      <c r="ET464" s="119"/>
      <c r="EU464" s="119"/>
      <c r="EV464" s="119"/>
      <c r="EW464" s="119"/>
      <c r="EX464" s="119"/>
      <c r="EY464" s="119"/>
      <c r="EZ464" s="119"/>
      <c r="FA464" s="119"/>
      <c r="FB464" s="119"/>
      <c r="FC464" s="119"/>
      <c r="FD464" s="119"/>
      <c r="FE464" s="119"/>
      <c r="FF464" s="119"/>
      <c r="FG464" s="119"/>
      <c r="FH464" s="119"/>
      <c r="FI464" s="119"/>
      <c r="FJ464" s="119"/>
      <c r="FK464" s="119"/>
      <c r="FL464" s="119"/>
      <c r="FM464" s="119"/>
      <c r="FN464" s="119"/>
      <c r="FO464" s="119"/>
      <c r="FP464" s="119"/>
      <c r="FQ464" s="119"/>
      <c r="FR464" s="119"/>
    </row>
    <row x14ac:dyDescent="0.25" r="465" customHeight="1" ht="15">
      <c r="A465" s="112"/>
      <c r="B465" s="112"/>
      <c r="C465" s="107"/>
      <c r="D465" s="107"/>
      <c r="E465" s="120"/>
      <c r="F465" s="120"/>
      <c r="G465" s="109">
        <f>IF((F465-E465)&lt;0,0,(F465-E465))</f>
      </c>
      <c r="H465" s="110"/>
      <c r="I465" s="111">
        <f>IFERROR(SUMPRODUCT($G465*VLOOKUP($C465,'Vehicle Master'!$D:$F,3,0)),"")</f>
      </c>
      <c r="J465" s="11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19"/>
      <c r="AN465" s="119"/>
      <c r="AO465" s="119"/>
      <c r="AP465" s="119"/>
      <c r="AQ465" s="119"/>
      <c r="AR465" s="119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119"/>
      <c r="BF465" s="119"/>
      <c r="BG465" s="119"/>
      <c r="BH465" s="119"/>
      <c r="BI465" s="119"/>
      <c r="BJ465" s="119"/>
      <c r="BK465" s="119"/>
      <c r="BL465" s="119"/>
      <c r="BM465" s="119"/>
      <c r="BN465" s="119"/>
      <c r="BO465" s="119"/>
      <c r="BP465" s="119"/>
      <c r="BQ465" s="119"/>
      <c r="BR465" s="119"/>
      <c r="BS465" s="119"/>
      <c r="BT465" s="119"/>
      <c r="BU465" s="119"/>
      <c r="BV465" s="119"/>
      <c r="BW465" s="119"/>
      <c r="BX465" s="119"/>
      <c r="BY465" s="119"/>
      <c r="BZ465" s="119"/>
      <c r="CA465" s="119"/>
      <c r="CB465" s="119"/>
      <c r="CC465" s="119"/>
      <c r="CD465" s="119"/>
      <c r="CE465" s="119"/>
      <c r="CF465" s="119"/>
      <c r="CG465" s="119"/>
      <c r="CH465" s="119"/>
      <c r="CI465" s="119"/>
      <c r="CJ465" s="119"/>
      <c r="CK465" s="119"/>
      <c r="CL465" s="119"/>
      <c r="CM465" s="119"/>
      <c r="CN465" s="119"/>
      <c r="CO465" s="119"/>
      <c r="CP465" s="119"/>
      <c r="CQ465" s="119"/>
      <c r="CR465" s="119"/>
      <c r="CS465" s="119"/>
      <c r="CT465" s="119"/>
      <c r="CU465" s="119"/>
      <c r="CV465" s="119"/>
      <c r="CW465" s="119"/>
      <c r="CX465" s="119"/>
      <c r="CY465" s="119"/>
      <c r="CZ465" s="119"/>
      <c r="DA465" s="119"/>
      <c r="DB465" s="119"/>
      <c r="DC465" s="119"/>
      <c r="DD465" s="119"/>
      <c r="DE465" s="119"/>
      <c r="DF465" s="119"/>
      <c r="DG465" s="119"/>
      <c r="DH465" s="119"/>
      <c r="DI465" s="119"/>
      <c r="DJ465" s="119"/>
      <c r="DK465" s="119"/>
      <c r="DL465" s="119"/>
      <c r="DM465" s="119"/>
      <c r="DN465" s="119"/>
      <c r="DO465" s="119"/>
      <c r="DP465" s="119"/>
      <c r="DQ465" s="119"/>
      <c r="DR465" s="119"/>
      <c r="DS465" s="119"/>
      <c r="DT465" s="119"/>
      <c r="DU465" s="119"/>
      <c r="DV465" s="119"/>
      <c r="DW465" s="119"/>
      <c r="DX465" s="119"/>
      <c r="DY465" s="119"/>
      <c r="DZ465" s="119"/>
      <c r="EA465" s="119"/>
      <c r="EB465" s="119"/>
      <c r="EC465" s="119"/>
      <c r="ED465" s="119"/>
      <c r="EE465" s="119"/>
      <c r="EF465" s="119"/>
      <c r="EG465" s="119"/>
      <c r="EH465" s="119"/>
      <c r="EI465" s="119"/>
      <c r="EJ465" s="119"/>
      <c r="EK465" s="119"/>
      <c r="EL465" s="119"/>
      <c r="EM465" s="119"/>
      <c r="EN465" s="119"/>
      <c r="EO465" s="119"/>
      <c r="EP465" s="119"/>
      <c r="EQ465" s="119"/>
      <c r="ER465" s="119"/>
      <c r="ES465" s="119"/>
      <c r="ET465" s="119"/>
      <c r="EU465" s="119"/>
      <c r="EV465" s="119"/>
      <c r="EW465" s="119"/>
      <c r="EX465" s="119"/>
      <c r="EY465" s="119"/>
      <c r="EZ465" s="119"/>
      <c r="FA465" s="119"/>
      <c r="FB465" s="119"/>
      <c r="FC465" s="119"/>
      <c r="FD465" s="119"/>
      <c r="FE465" s="119"/>
      <c r="FF465" s="119"/>
      <c r="FG465" s="119"/>
      <c r="FH465" s="119"/>
      <c r="FI465" s="119"/>
      <c r="FJ465" s="119"/>
      <c r="FK465" s="119"/>
      <c r="FL465" s="119"/>
      <c r="FM465" s="119"/>
      <c r="FN465" s="119"/>
      <c r="FO465" s="119"/>
      <c r="FP465" s="119"/>
      <c r="FQ465" s="119"/>
      <c r="FR465" s="119"/>
    </row>
    <row x14ac:dyDescent="0.25" r="466" customHeight="1" ht="15">
      <c r="A466" s="112"/>
      <c r="B466" s="112"/>
      <c r="C466" s="107"/>
      <c r="D466" s="107"/>
      <c r="E466" s="120"/>
      <c r="F466" s="120"/>
      <c r="G466" s="109">
        <f>IF((F466-E466)&lt;0,0,(F466-E466))</f>
      </c>
      <c r="H466" s="110"/>
      <c r="I466" s="111">
        <f>IFERROR(SUMPRODUCT($G466*VLOOKUP($C466,'Vehicle Master'!$D:$F,3,0)),"")</f>
      </c>
      <c r="J466" s="11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19"/>
      <c r="AN466" s="119"/>
      <c r="AO466" s="119"/>
      <c r="AP466" s="119"/>
      <c r="AQ466" s="119"/>
      <c r="AR466" s="119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119"/>
      <c r="BF466" s="119"/>
      <c r="BG466" s="119"/>
      <c r="BH466" s="119"/>
      <c r="BI466" s="119"/>
      <c r="BJ466" s="119"/>
      <c r="BK466" s="119"/>
      <c r="BL466" s="119"/>
      <c r="BM466" s="119"/>
      <c r="BN466" s="119"/>
      <c r="BO466" s="119"/>
      <c r="BP466" s="119"/>
      <c r="BQ466" s="119"/>
      <c r="BR466" s="119"/>
      <c r="BS466" s="119"/>
      <c r="BT466" s="119"/>
      <c r="BU466" s="119"/>
      <c r="BV466" s="119"/>
      <c r="BW466" s="119"/>
      <c r="BX466" s="119"/>
      <c r="BY466" s="119"/>
      <c r="BZ466" s="119"/>
      <c r="CA466" s="119"/>
      <c r="CB466" s="119"/>
      <c r="CC466" s="119"/>
      <c r="CD466" s="119"/>
      <c r="CE466" s="119"/>
      <c r="CF466" s="119"/>
      <c r="CG466" s="119"/>
      <c r="CH466" s="119"/>
      <c r="CI466" s="119"/>
      <c r="CJ466" s="119"/>
      <c r="CK466" s="119"/>
      <c r="CL466" s="119"/>
      <c r="CM466" s="119"/>
      <c r="CN466" s="119"/>
      <c r="CO466" s="119"/>
      <c r="CP466" s="119"/>
      <c r="CQ466" s="119"/>
      <c r="CR466" s="119"/>
      <c r="CS466" s="119"/>
      <c r="CT466" s="119"/>
      <c r="CU466" s="119"/>
      <c r="CV466" s="119"/>
      <c r="CW466" s="119"/>
      <c r="CX466" s="119"/>
      <c r="CY466" s="119"/>
      <c r="CZ466" s="119"/>
      <c r="DA466" s="119"/>
      <c r="DB466" s="119"/>
      <c r="DC466" s="119"/>
      <c r="DD466" s="119"/>
      <c r="DE466" s="119"/>
      <c r="DF466" s="119"/>
      <c r="DG466" s="119"/>
      <c r="DH466" s="119"/>
      <c r="DI466" s="119"/>
      <c r="DJ466" s="119"/>
      <c r="DK466" s="119"/>
      <c r="DL466" s="119"/>
      <c r="DM466" s="119"/>
      <c r="DN466" s="119"/>
      <c r="DO466" s="119"/>
      <c r="DP466" s="119"/>
      <c r="DQ466" s="119"/>
      <c r="DR466" s="119"/>
      <c r="DS466" s="119"/>
      <c r="DT466" s="119"/>
      <c r="DU466" s="119"/>
      <c r="DV466" s="119"/>
      <c r="DW466" s="119"/>
      <c r="DX466" s="119"/>
      <c r="DY466" s="119"/>
      <c r="DZ466" s="119"/>
      <c r="EA466" s="119"/>
      <c r="EB466" s="119"/>
      <c r="EC466" s="119"/>
      <c r="ED466" s="119"/>
      <c r="EE466" s="119"/>
      <c r="EF466" s="119"/>
      <c r="EG466" s="119"/>
      <c r="EH466" s="119"/>
      <c r="EI466" s="119"/>
      <c r="EJ466" s="119"/>
      <c r="EK466" s="119"/>
      <c r="EL466" s="119"/>
      <c r="EM466" s="119"/>
      <c r="EN466" s="119"/>
      <c r="EO466" s="119"/>
      <c r="EP466" s="119"/>
      <c r="EQ466" s="119"/>
      <c r="ER466" s="119"/>
      <c r="ES466" s="119"/>
      <c r="ET466" s="119"/>
      <c r="EU466" s="119"/>
      <c r="EV466" s="119"/>
      <c r="EW466" s="119"/>
      <c r="EX466" s="119"/>
      <c r="EY466" s="119"/>
      <c r="EZ466" s="119"/>
      <c r="FA466" s="119"/>
      <c r="FB466" s="119"/>
      <c r="FC466" s="119"/>
      <c r="FD466" s="119"/>
      <c r="FE466" s="119"/>
      <c r="FF466" s="119"/>
      <c r="FG466" s="119"/>
      <c r="FH466" s="119"/>
      <c r="FI466" s="119"/>
      <c r="FJ466" s="119"/>
      <c r="FK466" s="119"/>
      <c r="FL466" s="119"/>
      <c r="FM466" s="119"/>
      <c r="FN466" s="119"/>
      <c r="FO466" s="119"/>
      <c r="FP466" s="119"/>
      <c r="FQ466" s="119"/>
      <c r="FR466" s="119"/>
    </row>
    <row x14ac:dyDescent="0.25" r="467" customHeight="1" ht="15">
      <c r="A467" s="112"/>
      <c r="B467" s="112"/>
      <c r="C467" s="107"/>
      <c r="D467" s="107"/>
      <c r="E467" s="120"/>
      <c r="F467" s="120"/>
      <c r="G467" s="109">
        <f>IF((F467-E467)&lt;0,0,(F467-E467))</f>
      </c>
      <c r="H467" s="110"/>
      <c r="I467" s="111">
        <f>IFERROR(SUMPRODUCT($G467*VLOOKUP($C467,'Vehicle Master'!$D:$F,3,0)),"")</f>
      </c>
      <c r="J467" s="11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19"/>
      <c r="AN467" s="119"/>
      <c r="AO467" s="119"/>
      <c r="AP467" s="119"/>
      <c r="AQ467" s="119"/>
      <c r="AR467" s="119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119"/>
      <c r="BF467" s="119"/>
      <c r="BG467" s="119"/>
      <c r="BH467" s="119"/>
      <c r="BI467" s="119"/>
      <c r="BJ467" s="119"/>
      <c r="BK467" s="119"/>
      <c r="BL467" s="119"/>
      <c r="BM467" s="119"/>
      <c r="BN467" s="119"/>
      <c r="BO467" s="119"/>
      <c r="BP467" s="119"/>
      <c r="BQ467" s="119"/>
      <c r="BR467" s="119"/>
      <c r="BS467" s="119"/>
      <c r="BT467" s="119"/>
      <c r="BU467" s="119"/>
      <c r="BV467" s="119"/>
      <c r="BW467" s="119"/>
      <c r="BX467" s="119"/>
      <c r="BY467" s="119"/>
      <c r="BZ467" s="119"/>
      <c r="CA467" s="119"/>
      <c r="CB467" s="119"/>
      <c r="CC467" s="119"/>
      <c r="CD467" s="119"/>
      <c r="CE467" s="119"/>
      <c r="CF467" s="119"/>
      <c r="CG467" s="119"/>
      <c r="CH467" s="119"/>
      <c r="CI467" s="119"/>
      <c r="CJ467" s="119"/>
      <c r="CK467" s="119"/>
      <c r="CL467" s="119"/>
      <c r="CM467" s="119"/>
      <c r="CN467" s="119"/>
      <c r="CO467" s="119"/>
      <c r="CP467" s="119"/>
      <c r="CQ467" s="119"/>
      <c r="CR467" s="119"/>
      <c r="CS467" s="119"/>
      <c r="CT467" s="119"/>
      <c r="CU467" s="119"/>
      <c r="CV467" s="119"/>
      <c r="CW467" s="119"/>
      <c r="CX467" s="119"/>
      <c r="CY467" s="119"/>
      <c r="CZ467" s="119"/>
      <c r="DA467" s="119"/>
      <c r="DB467" s="119"/>
      <c r="DC467" s="119"/>
      <c r="DD467" s="119"/>
      <c r="DE467" s="119"/>
      <c r="DF467" s="119"/>
      <c r="DG467" s="119"/>
      <c r="DH467" s="119"/>
      <c r="DI467" s="119"/>
      <c r="DJ467" s="119"/>
      <c r="DK467" s="119"/>
      <c r="DL467" s="119"/>
      <c r="DM467" s="119"/>
      <c r="DN467" s="119"/>
      <c r="DO467" s="119"/>
      <c r="DP467" s="119"/>
      <c r="DQ467" s="119"/>
      <c r="DR467" s="119"/>
      <c r="DS467" s="119"/>
      <c r="DT467" s="119"/>
      <c r="DU467" s="119"/>
      <c r="DV467" s="119"/>
      <c r="DW467" s="119"/>
      <c r="DX467" s="119"/>
      <c r="DY467" s="119"/>
      <c r="DZ467" s="119"/>
      <c r="EA467" s="119"/>
      <c r="EB467" s="119"/>
      <c r="EC467" s="119"/>
      <c r="ED467" s="119"/>
      <c r="EE467" s="119"/>
      <c r="EF467" s="119"/>
      <c r="EG467" s="119"/>
      <c r="EH467" s="119"/>
      <c r="EI467" s="119"/>
      <c r="EJ467" s="119"/>
      <c r="EK467" s="119"/>
      <c r="EL467" s="119"/>
      <c r="EM467" s="119"/>
      <c r="EN467" s="119"/>
      <c r="EO467" s="119"/>
      <c r="EP467" s="119"/>
      <c r="EQ467" s="119"/>
      <c r="ER467" s="119"/>
      <c r="ES467" s="119"/>
      <c r="ET467" s="119"/>
      <c r="EU467" s="119"/>
      <c r="EV467" s="119"/>
      <c r="EW467" s="119"/>
      <c r="EX467" s="119"/>
      <c r="EY467" s="119"/>
      <c r="EZ467" s="119"/>
      <c r="FA467" s="119"/>
      <c r="FB467" s="119"/>
      <c r="FC467" s="119"/>
      <c r="FD467" s="119"/>
      <c r="FE467" s="119"/>
      <c r="FF467" s="119"/>
      <c r="FG467" s="119"/>
      <c r="FH467" s="119"/>
      <c r="FI467" s="119"/>
      <c r="FJ467" s="119"/>
      <c r="FK467" s="119"/>
      <c r="FL467" s="119"/>
      <c r="FM467" s="119"/>
      <c r="FN467" s="119"/>
      <c r="FO467" s="119"/>
      <c r="FP467" s="119"/>
      <c r="FQ467" s="119"/>
      <c r="FR467" s="119"/>
    </row>
    <row x14ac:dyDescent="0.25" r="468" customHeight="1" ht="15">
      <c r="A468" s="112"/>
      <c r="B468" s="112"/>
      <c r="C468" s="107"/>
      <c r="D468" s="107"/>
      <c r="E468" s="120"/>
      <c r="F468" s="120"/>
      <c r="G468" s="109">
        <f>IF((F468-E468)&lt;0,0,(F468-E468))</f>
      </c>
      <c r="H468" s="110"/>
      <c r="I468" s="111">
        <f>IFERROR(SUMPRODUCT($G468*VLOOKUP($C468,'Vehicle Master'!$D:$F,3,0)),"")</f>
      </c>
      <c r="J468" s="11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19"/>
      <c r="AN468" s="119"/>
      <c r="AO468" s="119"/>
      <c r="AP468" s="119"/>
      <c r="AQ468" s="119"/>
      <c r="AR468" s="119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119"/>
      <c r="BF468" s="119"/>
      <c r="BG468" s="119"/>
      <c r="BH468" s="119"/>
      <c r="BI468" s="119"/>
      <c r="BJ468" s="119"/>
      <c r="BK468" s="119"/>
      <c r="BL468" s="119"/>
      <c r="BM468" s="119"/>
      <c r="BN468" s="119"/>
      <c r="BO468" s="119"/>
      <c r="BP468" s="119"/>
      <c r="BQ468" s="119"/>
      <c r="BR468" s="119"/>
      <c r="BS468" s="119"/>
      <c r="BT468" s="119"/>
      <c r="BU468" s="119"/>
      <c r="BV468" s="119"/>
      <c r="BW468" s="119"/>
      <c r="BX468" s="119"/>
      <c r="BY468" s="119"/>
      <c r="BZ468" s="119"/>
      <c r="CA468" s="119"/>
      <c r="CB468" s="119"/>
      <c r="CC468" s="119"/>
      <c r="CD468" s="119"/>
      <c r="CE468" s="119"/>
      <c r="CF468" s="119"/>
      <c r="CG468" s="119"/>
      <c r="CH468" s="119"/>
      <c r="CI468" s="119"/>
      <c r="CJ468" s="119"/>
      <c r="CK468" s="119"/>
      <c r="CL468" s="119"/>
      <c r="CM468" s="119"/>
      <c r="CN468" s="119"/>
      <c r="CO468" s="119"/>
      <c r="CP468" s="119"/>
      <c r="CQ468" s="119"/>
      <c r="CR468" s="119"/>
      <c r="CS468" s="119"/>
      <c r="CT468" s="119"/>
      <c r="CU468" s="119"/>
      <c r="CV468" s="119"/>
      <c r="CW468" s="119"/>
      <c r="CX468" s="119"/>
      <c r="CY468" s="119"/>
      <c r="CZ468" s="119"/>
      <c r="DA468" s="119"/>
      <c r="DB468" s="119"/>
      <c r="DC468" s="119"/>
      <c r="DD468" s="119"/>
      <c r="DE468" s="119"/>
      <c r="DF468" s="119"/>
      <c r="DG468" s="119"/>
      <c r="DH468" s="119"/>
      <c r="DI468" s="119"/>
      <c r="DJ468" s="119"/>
      <c r="DK468" s="119"/>
      <c r="DL468" s="119"/>
      <c r="DM468" s="119"/>
      <c r="DN468" s="119"/>
      <c r="DO468" s="119"/>
      <c r="DP468" s="119"/>
      <c r="DQ468" s="119"/>
      <c r="DR468" s="119"/>
      <c r="DS468" s="119"/>
      <c r="DT468" s="119"/>
      <c r="DU468" s="119"/>
      <c r="DV468" s="119"/>
      <c r="DW468" s="119"/>
      <c r="DX468" s="119"/>
      <c r="DY468" s="119"/>
      <c r="DZ468" s="119"/>
      <c r="EA468" s="119"/>
      <c r="EB468" s="119"/>
      <c r="EC468" s="119"/>
      <c r="ED468" s="119"/>
      <c r="EE468" s="119"/>
      <c r="EF468" s="119"/>
      <c r="EG468" s="119"/>
      <c r="EH468" s="119"/>
      <c r="EI468" s="119"/>
      <c r="EJ468" s="119"/>
      <c r="EK468" s="119"/>
      <c r="EL468" s="119"/>
      <c r="EM468" s="119"/>
      <c r="EN468" s="119"/>
      <c r="EO468" s="119"/>
      <c r="EP468" s="119"/>
      <c r="EQ468" s="119"/>
      <c r="ER468" s="119"/>
      <c r="ES468" s="119"/>
      <c r="ET468" s="119"/>
      <c r="EU468" s="119"/>
      <c r="EV468" s="119"/>
      <c r="EW468" s="119"/>
      <c r="EX468" s="119"/>
      <c r="EY468" s="119"/>
      <c r="EZ468" s="119"/>
      <c r="FA468" s="119"/>
      <c r="FB468" s="119"/>
      <c r="FC468" s="119"/>
      <c r="FD468" s="119"/>
      <c r="FE468" s="119"/>
      <c r="FF468" s="119"/>
      <c r="FG468" s="119"/>
      <c r="FH468" s="119"/>
      <c r="FI468" s="119"/>
      <c r="FJ468" s="119"/>
      <c r="FK468" s="119"/>
      <c r="FL468" s="119"/>
      <c r="FM468" s="119"/>
      <c r="FN468" s="119"/>
      <c r="FO468" s="119"/>
      <c r="FP468" s="119"/>
      <c r="FQ468" s="119"/>
      <c r="FR468" s="119"/>
    </row>
    <row x14ac:dyDescent="0.25" r="469" customHeight="1" ht="15">
      <c r="A469" s="112"/>
      <c r="B469" s="112"/>
      <c r="C469" s="107"/>
      <c r="D469" s="107"/>
      <c r="E469" s="120"/>
      <c r="F469" s="120"/>
      <c r="G469" s="109">
        <f>IF((F469-E469)&lt;0,0,(F469-E469))</f>
      </c>
      <c r="H469" s="110"/>
      <c r="I469" s="111">
        <f>IFERROR(SUMPRODUCT($G469*VLOOKUP($C469,'Vehicle Master'!$D:$F,3,0)),"")</f>
      </c>
      <c r="J469" s="11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/>
      <c r="AP469" s="119"/>
      <c r="AQ469" s="119"/>
      <c r="AR469" s="119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119"/>
      <c r="BF469" s="119"/>
      <c r="BG469" s="119"/>
      <c r="BH469" s="119"/>
      <c r="BI469" s="119"/>
      <c r="BJ469" s="119"/>
      <c r="BK469" s="119"/>
      <c r="BL469" s="119"/>
      <c r="BM469" s="119"/>
      <c r="BN469" s="119"/>
      <c r="BO469" s="119"/>
      <c r="BP469" s="119"/>
      <c r="BQ469" s="119"/>
      <c r="BR469" s="119"/>
      <c r="BS469" s="119"/>
      <c r="BT469" s="119"/>
      <c r="BU469" s="119"/>
      <c r="BV469" s="119"/>
      <c r="BW469" s="119"/>
      <c r="BX469" s="119"/>
      <c r="BY469" s="119"/>
      <c r="BZ469" s="119"/>
      <c r="CA469" s="119"/>
      <c r="CB469" s="119"/>
      <c r="CC469" s="119"/>
      <c r="CD469" s="119"/>
      <c r="CE469" s="119"/>
      <c r="CF469" s="119"/>
      <c r="CG469" s="119"/>
      <c r="CH469" s="119"/>
      <c r="CI469" s="119"/>
      <c r="CJ469" s="119"/>
      <c r="CK469" s="119"/>
      <c r="CL469" s="119"/>
      <c r="CM469" s="119"/>
      <c r="CN469" s="119"/>
      <c r="CO469" s="119"/>
      <c r="CP469" s="119"/>
      <c r="CQ469" s="119"/>
      <c r="CR469" s="119"/>
      <c r="CS469" s="119"/>
      <c r="CT469" s="119"/>
      <c r="CU469" s="119"/>
      <c r="CV469" s="119"/>
      <c r="CW469" s="119"/>
      <c r="CX469" s="119"/>
      <c r="CY469" s="119"/>
      <c r="CZ469" s="119"/>
      <c r="DA469" s="119"/>
      <c r="DB469" s="119"/>
      <c r="DC469" s="119"/>
      <c r="DD469" s="119"/>
      <c r="DE469" s="119"/>
      <c r="DF469" s="119"/>
      <c r="DG469" s="119"/>
      <c r="DH469" s="119"/>
      <c r="DI469" s="119"/>
      <c r="DJ469" s="119"/>
      <c r="DK469" s="119"/>
      <c r="DL469" s="119"/>
      <c r="DM469" s="119"/>
      <c r="DN469" s="119"/>
      <c r="DO469" s="119"/>
      <c r="DP469" s="119"/>
      <c r="DQ469" s="119"/>
      <c r="DR469" s="119"/>
      <c r="DS469" s="119"/>
      <c r="DT469" s="119"/>
      <c r="DU469" s="119"/>
      <c r="DV469" s="119"/>
      <c r="DW469" s="119"/>
      <c r="DX469" s="119"/>
      <c r="DY469" s="119"/>
      <c r="DZ469" s="119"/>
      <c r="EA469" s="119"/>
      <c r="EB469" s="119"/>
      <c r="EC469" s="119"/>
      <c r="ED469" s="119"/>
      <c r="EE469" s="119"/>
      <c r="EF469" s="119"/>
      <c r="EG469" s="119"/>
      <c r="EH469" s="119"/>
      <c r="EI469" s="119"/>
      <c r="EJ469" s="119"/>
      <c r="EK469" s="119"/>
      <c r="EL469" s="119"/>
      <c r="EM469" s="119"/>
      <c r="EN469" s="119"/>
      <c r="EO469" s="119"/>
      <c r="EP469" s="119"/>
      <c r="EQ469" s="119"/>
      <c r="ER469" s="119"/>
      <c r="ES469" s="119"/>
      <c r="ET469" s="119"/>
      <c r="EU469" s="119"/>
      <c r="EV469" s="119"/>
      <c r="EW469" s="119"/>
      <c r="EX469" s="119"/>
      <c r="EY469" s="119"/>
      <c r="EZ469" s="119"/>
      <c r="FA469" s="119"/>
      <c r="FB469" s="119"/>
      <c r="FC469" s="119"/>
      <c r="FD469" s="119"/>
      <c r="FE469" s="119"/>
      <c r="FF469" s="119"/>
      <c r="FG469" s="119"/>
      <c r="FH469" s="119"/>
      <c r="FI469" s="119"/>
      <c r="FJ469" s="119"/>
      <c r="FK469" s="119"/>
      <c r="FL469" s="119"/>
      <c r="FM469" s="119"/>
      <c r="FN469" s="119"/>
      <c r="FO469" s="119"/>
      <c r="FP469" s="119"/>
      <c r="FQ469" s="119"/>
      <c r="FR469" s="119"/>
    </row>
    <row x14ac:dyDescent="0.25" r="470" customHeight="1" ht="15">
      <c r="A470" s="112"/>
      <c r="B470" s="112"/>
      <c r="C470" s="107"/>
      <c r="D470" s="107"/>
      <c r="E470" s="120"/>
      <c r="F470" s="120"/>
      <c r="G470" s="109">
        <f>IF((F470-E470)&lt;0,0,(F470-E470))</f>
      </c>
      <c r="H470" s="110"/>
      <c r="I470" s="111">
        <f>IFERROR(SUMPRODUCT($G470*VLOOKUP($C470,'Vehicle Master'!$D:$F,3,0)),"")</f>
      </c>
      <c r="J470" s="11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19"/>
      <c r="AN470" s="119"/>
      <c r="AO470" s="119"/>
      <c r="AP470" s="119"/>
      <c r="AQ470" s="119"/>
      <c r="AR470" s="119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119"/>
      <c r="BF470" s="119"/>
      <c r="BG470" s="119"/>
      <c r="BH470" s="119"/>
      <c r="BI470" s="119"/>
      <c r="BJ470" s="119"/>
      <c r="BK470" s="119"/>
      <c r="BL470" s="119"/>
      <c r="BM470" s="119"/>
      <c r="BN470" s="119"/>
      <c r="BO470" s="119"/>
      <c r="BP470" s="119"/>
      <c r="BQ470" s="119"/>
      <c r="BR470" s="119"/>
      <c r="BS470" s="119"/>
      <c r="BT470" s="119"/>
      <c r="BU470" s="119"/>
      <c r="BV470" s="119"/>
      <c r="BW470" s="119"/>
      <c r="BX470" s="119"/>
      <c r="BY470" s="119"/>
      <c r="BZ470" s="119"/>
      <c r="CA470" s="119"/>
      <c r="CB470" s="119"/>
      <c r="CC470" s="119"/>
      <c r="CD470" s="119"/>
      <c r="CE470" s="119"/>
      <c r="CF470" s="119"/>
      <c r="CG470" s="119"/>
      <c r="CH470" s="119"/>
      <c r="CI470" s="119"/>
      <c r="CJ470" s="119"/>
      <c r="CK470" s="119"/>
      <c r="CL470" s="119"/>
      <c r="CM470" s="119"/>
      <c r="CN470" s="119"/>
      <c r="CO470" s="119"/>
      <c r="CP470" s="119"/>
      <c r="CQ470" s="119"/>
      <c r="CR470" s="119"/>
      <c r="CS470" s="119"/>
      <c r="CT470" s="119"/>
      <c r="CU470" s="119"/>
      <c r="CV470" s="119"/>
      <c r="CW470" s="119"/>
      <c r="CX470" s="119"/>
      <c r="CY470" s="119"/>
      <c r="CZ470" s="119"/>
      <c r="DA470" s="119"/>
      <c r="DB470" s="119"/>
      <c r="DC470" s="119"/>
      <c r="DD470" s="119"/>
      <c r="DE470" s="119"/>
      <c r="DF470" s="119"/>
      <c r="DG470" s="119"/>
      <c r="DH470" s="119"/>
      <c r="DI470" s="119"/>
      <c r="DJ470" s="119"/>
      <c r="DK470" s="119"/>
      <c r="DL470" s="119"/>
      <c r="DM470" s="119"/>
      <c r="DN470" s="119"/>
      <c r="DO470" s="119"/>
      <c r="DP470" s="119"/>
      <c r="DQ470" s="119"/>
      <c r="DR470" s="119"/>
      <c r="DS470" s="119"/>
      <c r="DT470" s="119"/>
      <c r="DU470" s="119"/>
      <c r="DV470" s="119"/>
      <c r="DW470" s="119"/>
      <c r="DX470" s="119"/>
      <c r="DY470" s="119"/>
      <c r="DZ470" s="119"/>
      <c r="EA470" s="119"/>
      <c r="EB470" s="119"/>
      <c r="EC470" s="119"/>
      <c r="ED470" s="119"/>
      <c r="EE470" s="119"/>
      <c r="EF470" s="119"/>
      <c r="EG470" s="119"/>
      <c r="EH470" s="119"/>
      <c r="EI470" s="119"/>
      <c r="EJ470" s="119"/>
      <c r="EK470" s="119"/>
      <c r="EL470" s="119"/>
      <c r="EM470" s="119"/>
      <c r="EN470" s="119"/>
      <c r="EO470" s="119"/>
      <c r="EP470" s="119"/>
      <c r="EQ470" s="119"/>
      <c r="ER470" s="119"/>
      <c r="ES470" s="119"/>
      <c r="ET470" s="119"/>
      <c r="EU470" s="119"/>
      <c r="EV470" s="119"/>
      <c r="EW470" s="119"/>
      <c r="EX470" s="119"/>
      <c r="EY470" s="119"/>
      <c r="EZ470" s="119"/>
      <c r="FA470" s="119"/>
      <c r="FB470" s="119"/>
      <c r="FC470" s="119"/>
      <c r="FD470" s="119"/>
      <c r="FE470" s="119"/>
      <c r="FF470" s="119"/>
      <c r="FG470" s="119"/>
      <c r="FH470" s="119"/>
      <c r="FI470" s="119"/>
      <c r="FJ470" s="119"/>
      <c r="FK470" s="119"/>
      <c r="FL470" s="119"/>
      <c r="FM470" s="119"/>
      <c r="FN470" s="119"/>
      <c r="FO470" s="119"/>
      <c r="FP470" s="119"/>
      <c r="FQ470" s="119"/>
      <c r="FR470" s="119"/>
    </row>
    <row x14ac:dyDescent="0.25" r="471" customHeight="1" ht="15">
      <c r="A471" s="112"/>
      <c r="B471" s="112"/>
      <c r="C471" s="107"/>
      <c r="D471" s="107"/>
      <c r="E471" s="120"/>
      <c r="F471" s="120"/>
      <c r="G471" s="109">
        <f>IF((F471-E471)&lt;0,0,(F471-E471))</f>
      </c>
      <c r="H471" s="110"/>
      <c r="I471" s="111">
        <f>IFERROR(SUMPRODUCT($G471*VLOOKUP($C471,'Vehicle Master'!$D:$F,3,0)),"")</f>
      </c>
      <c r="J471" s="11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19"/>
      <c r="AN471" s="119"/>
      <c r="AO471" s="119"/>
      <c r="AP471" s="119"/>
      <c r="AQ471" s="119"/>
      <c r="AR471" s="119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119"/>
      <c r="BF471" s="119"/>
      <c r="BG471" s="119"/>
      <c r="BH471" s="119"/>
      <c r="BI471" s="119"/>
      <c r="BJ471" s="119"/>
      <c r="BK471" s="119"/>
      <c r="BL471" s="119"/>
      <c r="BM471" s="119"/>
      <c r="BN471" s="119"/>
      <c r="BO471" s="119"/>
      <c r="BP471" s="119"/>
      <c r="BQ471" s="119"/>
      <c r="BR471" s="119"/>
      <c r="BS471" s="119"/>
      <c r="BT471" s="119"/>
      <c r="BU471" s="119"/>
      <c r="BV471" s="119"/>
      <c r="BW471" s="119"/>
      <c r="BX471" s="119"/>
      <c r="BY471" s="119"/>
      <c r="BZ471" s="119"/>
      <c r="CA471" s="119"/>
      <c r="CB471" s="119"/>
      <c r="CC471" s="119"/>
      <c r="CD471" s="119"/>
      <c r="CE471" s="119"/>
      <c r="CF471" s="119"/>
      <c r="CG471" s="119"/>
      <c r="CH471" s="119"/>
      <c r="CI471" s="119"/>
      <c r="CJ471" s="119"/>
      <c r="CK471" s="119"/>
      <c r="CL471" s="119"/>
      <c r="CM471" s="119"/>
      <c r="CN471" s="119"/>
      <c r="CO471" s="119"/>
      <c r="CP471" s="119"/>
      <c r="CQ471" s="119"/>
      <c r="CR471" s="119"/>
      <c r="CS471" s="119"/>
      <c r="CT471" s="119"/>
      <c r="CU471" s="119"/>
      <c r="CV471" s="119"/>
      <c r="CW471" s="119"/>
      <c r="CX471" s="119"/>
      <c r="CY471" s="119"/>
      <c r="CZ471" s="119"/>
      <c r="DA471" s="119"/>
      <c r="DB471" s="119"/>
      <c r="DC471" s="119"/>
      <c r="DD471" s="119"/>
      <c r="DE471" s="119"/>
      <c r="DF471" s="119"/>
      <c r="DG471" s="119"/>
      <c r="DH471" s="119"/>
      <c r="DI471" s="119"/>
      <c r="DJ471" s="119"/>
      <c r="DK471" s="119"/>
      <c r="DL471" s="119"/>
      <c r="DM471" s="119"/>
      <c r="DN471" s="119"/>
      <c r="DO471" s="119"/>
      <c r="DP471" s="119"/>
      <c r="DQ471" s="119"/>
      <c r="DR471" s="119"/>
      <c r="DS471" s="119"/>
      <c r="DT471" s="119"/>
      <c r="DU471" s="119"/>
      <c r="DV471" s="119"/>
      <c r="DW471" s="119"/>
      <c r="DX471" s="119"/>
      <c r="DY471" s="119"/>
      <c r="DZ471" s="119"/>
      <c r="EA471" s="119"/>
      <c r="EB471" s="119"/>
      <c r="EC471" s="119"/>
      <c r="ED471" s="119"/>
      <c r="EE471" s="119"/>
      <c r="EF471" s="119"/>
      <c r="EG471" s="119"/>
      <c r="EH471" s="119"/>
      <c r="EI471" s="119"/>
      <c r="EJ471" s="119"/>
      <c r="EK471" s="119"/>
      <c r="EL471" s="119"/>
      <c r="EM471" s="119"/>
      <c r="EN471" s="119"/>
      <c r="EO471" s="119"/>
      <c r="EP471" s="119"/>
      <c r="EQ471" s="119"/>
      <c r="ER471" s="119"/>
      <c r="ES471" s="119"/>
      <c r="ET471" s="119"/>
      <c r="EU471" s="119"/>
      <c r="EV471" s="119"/>
      <c r="EW471" s="119"/>
      <c r="EX471" s="119"/>
      <c r="EY471" s="119"/>
      <c r="EZ471" s="119"/>
      <c r="FA471" s="119"/>
      <c r="FB471" s="119"/>
      <c r="FC471" s="119"/>
      <c r="FD471" s="119"/>
      <c r="FE471" s="119"/>
      <c r="FF471" s="119"/>
      <c r="FG471" s="119"/>
      <c r="FH471" s="119"/>
      <c r="FI471" s="119"/>
      <c r="FJ471" s="119"/>
      <c r="FK471" s="119"/>
      <c r="FL471" s="119"/>
      <c r="FM471" s="119"/>
      <c r="FN471" s="119"/>
      <c r="FO471" s="119"/>
      <c r="FP471" s="119"/>
      <c r="FQ471" s="119"/>
      <c r="FR471" s="119"/>
    </row>
    <row x14ac:dyDescent="0.25" r="472" customHeight="1" ht="15">
      <c r="A472" s="112"/>
      <c r="B472" s="112"/>
      <c r="C472" s="107"/>
      <c r="D472" s="107"/>
      <c r="E472" s="120"/>
      <c r="F472" s="120"/>
      <c r="G472" s="109">
        <f>IF((F472-E472)&lt;0,0,(F472-E472))</f>
      </c>
      <c r="H472" s="110"/>
      <c r="I472" s="111">
        <f>IFERROR(SUMPRODUCT($G472*VLOOKUP($C472,'Vehicle Master'!$D:$F,3,0)),"")</f>
      </c>
      <c r="J472" s="11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19"/>
      <c r="AN472" s="119"/>
      <c r="AO472" s="119"/>
      <c r="AP472" s="119"/>
      <c r="AQ472" s="119"/>
      <c r="AR472" s="119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119"/>
      <c r="BF472" s="119"/>
      <c r="BG472" s="119"/>
      <c r="BH472" s="119"/>
      <c r="BI472" s="119"/>
      <c r="BJ472" s="119"/>
      <c r="BK472" s="119"/>
      <c r="BL472" s="119"/>
      <c r="BM472" s="119"/>
      <c r="BN472" s="119"/>
      <c r="BO472" s="119"/>
      <c r="BP472" s="119"/>
      <c r="BQ472" s="119"/>
      <c r="BR472" s="119"/>
      <c r="BS472" s="119"/>
      <c r="BT472" s="119"/>
      <c r="BU472" s="119"/>
      <c r="BV472" s="119"/>
      <c r="BW472" s="119"/>
      <c r="BX472" s="119"/>
      <c r="BY472" s="119"/>
      <c r="BZ472" s="119"/>
      <c r="CA472" s="119"/>
      <c r="CB472" s="119"/>
      <c r="CC472" s="119"/>
      <c r="CD472" s="119"/>
      <c r="CE472" s="119"/>
      <c r="CF472" s="119"/>
      <c r="CG472" s="119"/>
      <c r="CH472" s="119"/>
      <c r="CI472" s="119"/>
      <c r="CJ472" s="119"/>
      <c r="CK472" s="119"/>
      <c r="CL472" s="119"/>
      <c r="CM472" s="119"/>
      <c r="CN472" s="119"/>
      <c r="CO472" s="119"/>
      <c r="CP472" s="119"/>
      <c r="CQ472" s="119"/>
      <c r="CR472" s="119"/>
      <c r="CS472" s="119"/>
      <c r="CT472" s="119"/>
      <c r="CU472" s="119"/>
      <c r="CV472" s="119"/>
      <c r="CW472" s="119"/>
      <c r="CX472" s="119"/>
      <c r="CY472" s="119"/>
      <c r="CZ472" s="119"/>
      <c r="DA472" s="119"/>
      <c r="DB472" s="119"/>
      <c r="DC472" s="119"/>
      <c r="DD472" s="119"/>
      <c r="DE472" s="119"/>
      <c r="DF472" s="119"/>
      <c r="DG472" s="119"/>
      <c r="DH472" s="119"/>
      <c r="DI472" s="119"/>
      <c r="DJ472" s="119"/>
      <c r="DK472" s="119"/>
      <c r="DL472" s="119"/>
      <c r="DM472" s="119"/>
      <c r="DN472" s="119"/>
      <c r="DO472" s="119"/>
      <c r="DP472" s="119"/>
      <c r="DQ472" s="119"/>
      <c r="DR472" s="119"/>
      <c r="DS472" s="119"/>
      <c r="DT472" s="119"/>
      <c r="DU472" s="119"/>
      <c r="DV472" s="119"/>
      <c r="DW472" s="119"/>
      <c r="DX472" s="119"/>
      <c r="DY472" s="119"/>
      <c r="DZ472" s="119"/>
      <c r="EA472" s="119"/>
      <c r="EB472" s="119"/>
      <c r="EC472" s="119"/>
      <c r="ED472" s="119"/>
      <c r="EE472" s="119"/>
      <c r="EF472" s="119"/>
      <c r="EG472" s="119"/>
      <c r="EH472" s="119"/>
      <c r="EI472" s="119"/>
      <c r="EJ472" s="119"/>
      <c r="EK472" s="119"/>
      <c r="EL472" s="119"/>
      <c r="EM472" s="119"/>
      <c r="EN472" s="119"/>
      <c r="EO472" s="119"/>
      <c r="EP472" s="119"/>
      <c r="EQ472" s="119"/>
      <c r="ER472" s="119"/>
      <c r="ES472" s="119"/>
      <c r="ET472" s="119"/>
      <c r="EU472" s="119"/>
      <c r="EV472" s="119"/>
      <c r="EW472" s="119"/>
      <c r="EX472" s="119"/>
      <c r="EY472" s="119"/>
      <c r="EZ472" s="119"/>
      <c r="FA472" s="119"/>
      <c r="FB472" s="119"/>
      <c r="FC472" s="119"/>
      <c r="FD472" s="119"/>
      <c r="FE472" s="119"/>
      <c r="FF472" s="119"/>
      <c r="FG472" s="119"/>
      <c r="FH472" s="119"/>
      <c r="FI472" s="119"/>
      <c r="FJ472" s="119"/>
      <c r="FK472" s="119"/>
      <c r="FL472" s="119"/>
      <c r="FM472" s="119"/>
      <c r="FN472" s="119"/>
      <c r="FO472" s="119"/>
      <c r="FP472" s="119"/>
      <c r="FQ472" s="119"/>
      <c r="FR472" s="119"/>
    </row>
    <row x14ac:dyDescent="0.25" r="473" customHeight="1" ht="15">
      <c r="A473" s="112"/>
      <c r="B473" s="112"/>
      <c r="C473" s="107"/>
      <c r="D473" s="107"/>
      <c r="E473" s="120"/>
      <c r="F473" s="120"/>
      <c r="G473" s="109">
        <f>IF((F473-E473)&lt;0,0,(F473-E473))</f>
      </c>
      <c r="H473" s="110"/>
      <c r="I473" s="111">
        <f>IFERROR(SUMPRODUCT($G473*VLOOKUP($C473,'Vehicle Master'!$D:$F,3,0)),"")</f>
      </c>
      <c r="J473" s="11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19"/>
      <c r="AN473" s="119"/>
      <c r="AO473" s="119"/>
      <c r="AP473" s="119"/>
      <c r="AQ473" s="119"/>
      <c r="AR473" s="119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119"/>
      <c r="BF473" s="119"/>
      <c r="BG473" s="119"/>
      <c r="BH473" s="119"/>
      <c r="BI473" s="119"/>
      <c r="BJ473" s="119"/>
      <c r="BK473" s="119"/>
      <c r="BL473" s="119"/>
      <c r="BM473" s="119"/>
      <c r="BN473" s="119"/>
      <c r="BO473" s="119"/>
      <c r="BP473" s="119"/>
      <c r="BQ473" s="119"/>
      <c r="BR473" s="119"/>
      <c r="BS473" s="119"/>
      <c r="BT473" s="119"/>
      <c r="BU473" s="119"/>
      <c r="BV473" s="119"/>
      <c r="BW473" s="119"/>
      <c r="BX473" s="119"/>
      <c r="BY473" s="119"/>
      <c r="BZ473" s="119"/>
      <c r="CA473" s="119"/>
      <c r="CB473" s="119"/>
      <c r="CC473" s="119"/>
      <c r="CD473" s="119"/>
      <c r="CE473" s="119"/>
      <c r="CF473" s="119"/>
      <c r="CG473" s="119"/>
      <c r="CH473" s="119"/>
      <c r="CI473" s="119"/>
      <c r="CJ473" s="119"/>
      <c r="CK473" s="119"/>
      <c r="CL473" s="119"/>
      <c r="CM473" s="119"/>
      <c r="CN473" s="119"/>
      <c r="CO473" s="119"/>
      <c r="CP473" s="119"/>
      <c r="CQ473" s="119"/>
      <c r="CR473" s="119"/>
      <c r="CS473" s="119"/>
      <c r="CT473" s="119"/>
      <c r="CU473" s="119"/>
      <c r="CV473" s="119"/>
      <c r="CW473" s="119"/>
      <c r="CX473" s="119"/>
      <c r="CY473" s="119"/>
      <c r="CZ473" s="119"/>
      <c r="DA473" s="119"/>
      <c r="DB473" s="119"/>
      <c r="DC473" s="119"/>
      <c r="DD473" s="119"/>
      <c r="DE473" s="119"/>
      <c r="DF473" s="119"/>
      <c r="DG473" s="119"/>
      <c r="DH473" s="119"/>
      <c r="DI473" s="119"/>
      <c r="DJ473" s="119"/>
      <c r="DK473" s="119"/>
      <c r="DL473" s="119"/>
      <c r="DM473" s="119"/>
      <c r="DN473" s="119"/>
      <c r="DO473" s="119"/>
      <c r="DP473" s="119"/>
      <c r="DQ473" s="119"/>
      <c r="DR473" s="119"/>
      <c r="DS473" s="119"/>
      <c r="DT473" s="119"/>
      <c r="DU473" s="119"/>
      <c r="DV473" s="119"/>
      <c r="DW473" s="119"/>
      <c r="DX473" s="119"/>
      <c r="DY473" s="119"/>
      <c r="DZ473" s="119"/>
      <c r="EA473" s="119"/>
      <c r="EB473" s="119"/>
      <c r="EC473" s="119"/>
      <c r="ED473" s="119"/>
      <c r="EE473" s="119"/>
      <c r="EF473" s="119"/>
      <c r="EG473" s="119"/>
      <c r="EH473" s="119"/>
      <c r="EI473" s="119"/>
      <c r="EJ473" s="119"/>
      <c r="EK473" s="119"/>
      <c r="EL473" s="119"/>
      <c r="EM473" s="119"/>
      <c r="EN473" s="119"/>
      <c r="EO473" s="119"/>
      <c r="EP473" s="119"/>
      <c r="EQ473" s="119"/>
      <c r="ER473" s="119"/>
      <c r="ES473" s="119"/>
      <c r="ET473" s="119"/>
      <c r="EU473" s="119"/>
      <c r="EV473" s="119"/>
      <c r="EW473" s="119"/>
      <c r="EX473" s="119"/>
      <c r="EY473" s="119"/>
      <c r="EZ473" s="119"/>
      <c r="FA473" s="119"/>
      <c r="FB473" s="119"/>
      <c r="FC473" s="119"/>
      <c r="FD473" s="119"/>
      <c r="FE473" s="119"/>
      <c r="FF473" s="119"/>
      <c r="FG473" s="119"/>
      <c r="FH473" s="119"/>
      <c r="FI473" s="119"/>
      <c r="FJ473" s="119"/>
      <c r="FK473" s="119"/>
      <c r="FL473" s="119"/>
      <c r="FM473" s="119"/>
      <c r="FN473" s="119"/>
      <c r="FO473" s="119"/>
      <c r="FP473" s="119"/>
      <c r="FQ473" s="119"/>
      <c r="FR473" s="119"/>
    </row>
    <row x14ac:dyDescent="0.25" r="474" customHeight="1" ht="15">
      <c r="A474" s="112"/>
      <c r="B474" s="112"/>
      <c r="C474" s="107"/>
      <c r="D474" s="107"/>
      <c r="E474" s="120"/>
      <c r="F474" s="120"/>
      <c r="G474" s="109">
        <f>IF((F474-E474)&lt;0,0,(F474-E474))</f>
      </c>
      <c r="H474" s="110"/>
      <c r="I474" s="111">
        <f>IFERROR(SUMPRODUCT($G474*VLOOKUP($C474,'Vehicle Master'!$D:$F,3,0)),"")</f>
      </c>
      <c r="J474" s="11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119"/>
      <c r="BF474" s="119"/>
      <c r="BG474" s="119"/>
      <c r="BH474" s="119"/>
      <c r="BI474" s="119"/>
      <c r="BJ474" s="119"/>
      <c r="BK474" s="119"/>
      <c r="BL474" s="119"/>
      <c r="BM474" s="119"/>
      <c r="BN474" s="119"/>
      <c r="BO474" s="119"/>
      <c r="BP474" s="119"/>
      <c r="BQ474" s="119"/>
      <c r="BR474" s="119"/>
      <c r="BS474" s="119"/>
      <c r="BT474" s="119"/>
      <c r="BU474" s="119"/>
      <c r="BV474" s="119"/>
      <c r="BW474" s="119"/>
      <c r="BX474" s="119"/>
      <c r="BY474" s="119"/>
      <c r="BZ474" s="119"/>
      <c r="CA474" s="119"/>
      <c r="CB474" s="119"/>
      <c r="CC474" s="119"/>
      <c r="CD474" s="119"/>
      <c r="CE474" s="119"/>
      <c r="CF474" s="119"/>
      <c r="CG474" s="119"/>
      <c r="CH474" s="119"/>
      <c r="CI474" s="119"/>
      <c r="CJ474" s="119"/>
      <c r="CK474" s="119"/>
      <c r="CL474" s="119"/>
      <c r="CM474" s="119"/>
      <c r="CN474" s="119"/>
      <c r="CO474" s="119"/>
      <c r="CP474" s="119"/>
      <c r="CQ474" s="119"/>
      <c r="CR474" s="119"/>
      <c r="CS474" s="119"/>
      <c r="CT474" s="119"/>
      <c r="CU474" s="119"/>
      <c r="CV474" s="119"/>
      <c r="CW474" s="119"/>
      <c r="CX474" s="119"/>
      <c r="CY474" s="119"/>
      <c r="CZ474" s="119"/>
      <c r="DA474" s="119"/>
      <c r="DB474" s="119"/>
      <c r="DC474" s="119"/>
      <c r="DD474" s="119"/>
      <c r="DE474" s="119"/>
      <c r="DF474" s="119"/>
      <c r="DG474" s="119"/>
      <c r="DH474" s="119"/>
      <c r="DI474" s="119"/>
      <c r="DJ474" s="119"/>
      <c r="DK474" s="119"/>
      <c r="DL474" s="119"/>
      <c r="DM474" s="119"/>
      <c r="DN474" s="119"/>
      <c r="DO474" s="119"/>
      <c r="DP474" s="119"/>
      <c r="DQ474" s="119"/>
      <c r="DR474" s="119"/>
      <c r="DS474" s="119"/>
      <c r="DT474" s="119"/>
      <c r="DU474" s="119"/>
      <c r="DV474" s="119"/>
      <c r="DW474" s="119"/>
      <c r="DX474" s="119"/>
      <c r="DY474" s="119"/>
      <c r="DZ474" s="119"/>
      <c r="EA474" s="119"/>
      <c r="EB474" s="119"/>
      <c r="EC474" s="119"/>
      <c r="ED474" s="119"/>
      <c r="EE474" s="119"/>
      <c r="EF474" s="119"/>
      <c r="EG474" s="119"/>
      <c r="EH474" s="119"/>
      <c r="EI474" s="119"/>
      <c r="EJ474" s="119"/>
      <c r="EK474" s="119"/>
      <c r="EL474" s="119"/>
      <c r="EM474" s="119"/>
      <c r="EN474" s="119"/>
      <c r="EO474" s="119"/>
      <c r="EP474" s="119"/>
      <c r="EQ474" s="119"/>
      <c r="ER474" s="119"/>
      <c r="ES474" s="119"/>
      <c r="ET474" s="119"/>
      <c r="EU474" s="119"/>
      <c r="EV474" s="119"/>
      <c r="EW474" s="119"/>
      <c r="EX474" s="119"/>
      <c r="EY474" s="119"/>
      <c r="EZ474" s="119"/>
      <c r="FA474" s="119"/>
      <c r="FB474" s="119"/>
      <c r="FC474" s="119"/>
      <c r="FD474" s="119"/>
      <c r="FE474" s="119"/>
      <c r="FF474" s="119"/>
      <c r="FG474" s="119"/>
      <c r="FH474" s="119"/>
      <c r="FI474" s="119"/>
      <c r="FJ474" s="119"/>
      <c r="FK474" s="119"/>
      <c r="FL474" s="119"/>
      <c r="FM474" s="119"/>
      <c r="FN474" s="119"/>
      <c r="FO474" s="119"/>
      <c r="FP474" s="119"/>
      <c r="FQ474" s="119"/>
      <c r="FR474" s="119"/>
    </row>
    <row x14ac:dyDescent="0.25" r="475" customHeight="1" ht="15">
      <c r="A475" s="112"/>
      <c r="B475" s="112"/>
      <c r="C475" s="107"/>
      <c r="D475" s="107"/>
      <c r="E475" s="120"/>
      <c r="F475" s="120"/>
      <c r="G475" s="109">
        <f>IF((F475-E475)&lt;0,0,(F475-E475))</f>
      </c>
      <c r="H475" s="110"/>
      <c r="I475" s="111">
        <f>IFERROR(SUMPRODUCT($G475*VLOOKUP($C475,'Vehicle Master'!$D:$F,3,0)),"")</f>
      </c>
      <c r="J475" s="11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19"/>
      <c r="AN475" s="119"/>
      <c r="AO475" s="119"/>
      <c r="AP475" s="119"/>
      <c r="AQ475" s="119"/>
      <c r="AR475" s="119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119"/>
      <c r="BF475" s="119"/>
      <c r="BG475" s="119"/>
      <c r="BH475" s="119"/>
      <c r="BI475" s="119"/>
      <c r="BJ475" s="119"/>
      <c r="BK475" s="119"/>
      <c r="BL475" s="119"/>
      <c r="BM475" s="119"/>
      <c r="BN475" s="119"/>
      <c r="BO475" s="119"/>
      <c r="BP475" s="119"/>
      <c r="BQ475" s="119"/>
      <c r="BR475" s="119"/>
      <c r="BS475" s="119"/>
      <c r="BT475" s="119"/>
      <c r="BU475" s="119"/>
      <c r="BV475" s="119"/>
      <c r="BW475" s="119"/>
      <c r="BX475" s="119"/>
      <c r="BY475" s="119"/>
      <c r="BZ475" s="119"/>
      <c r="CA475" s="119"/>
      <c r="CB475" s="119"/>
      <c r="CC475" s="119"/>
      <c r="CD475" s="119"/>
      <c r="CE475" s="119"/>
      <c r="CF475" s="119"/>
      <c r="CG475" s="119"/>
      <c r="CH475" s="119"/>
      <c r="CI475" s="119"/>
      <c r="CJ475" s="119"/>
      <c r="CK475" s="119"/>
      <c r="CL475" s="119"/>
      <c r="CM475" s="119"/>
      <c r="CN475" s="119"/>
      <c r="CO475" s="119"/>
      <c r="CP475" s="119"/>
      <c r="CQ475" s="119"/>
      <c r="CR475" s="119"/>
      <c r="CS475" s="119"/>
      <c r="CT475" s="119"/>
      <c r="CU475" s="119"/>
      <c r="CV475" s="119"/>
      <c r="CW475" s="119"/>
      <c r="CX475" s="119"/>
      <c r="CY475" s="119"/>
      <c r="CZ475" s="119"/>
      <c r="DA475" s="119"/>
      <c r="DB475" s="119"/>
      <c r="DC475" s="119"/>
      <c r="DD475" s="119"/>
      <c r="DE475" s="119"/>
      <c r="DF475" s="119"/>
      <c r="DG475" s="119"/>
      <c r="DH475" s="119"/>
      <c r="DI475" s="119"/>
      <c r="DJ475" s="119"/>
      <c r="DK475" s="119"/>
      <c r="DL475" s="119"/>
      <c r="DM475" s="119"/>
      <c r="DN475" s="119"/>
      <c r="DO475" s="119"/>
      <c r="DP475" s="119"/>
      <c r="DQ475" s="119"/>
      <c r="DR475" s="119"/>
      <c r="DS475" s="119"/>
      <c r="DT475" s="119"/>
      <c r="DU475" s="119"/>
      <c r="DV475" s="119"/>
      <c r="DW475" s="119"/>
      <c r="DX475" s="119"/>
      <c r="DY475" s="119"/>
      <c r="DZ475" s="119"/>
      <c r="EA475" s="119"/>
      <c r="EB475" s="119"/>
      <c r="EC475" s="119"/>
      <c r="ED475" s="119"/>
      <c r="EE475" s="119"/>
      <c r="EF475" s="119"/>
      <c r="EG475" s="119"/>
      <c r="EH475" s="119"/>
      <c r="EI475" s="119"/>
      <c r="EJ475" s="119"/>
      <c r="EK475" s="119"/>
      <c r="EL475" s="119"/>
      <c r="EM475" s="119"/>
      <c r="EN475" s="119"/>
      <c r="EO475" s="119"/>
      <c r="EP475" s="119"/>
      <c r="EQ475" s="119"/>
      <c r="ER475" s="119"/>
      <c r="ES475" s="119"/>
      <c r="ET475" s="119"/>
      <c r="EU475" s="119"/>
      <c r="EV475" s="119"/>
      <c r="EW475" s="119"/>
      <c r="EX475" s="119"/>
      <c r="EY475" s="119"/>
      <c r="EZ475" s="119"/>
      <c r="FA475" s="119"/>
      <c r="FB475" s="119"/>
      <c r="FC475" s="119"/>
      <c r="FD475" s="119"/>
      <c r="FE475" s="119"/>
      <c r="FF475" s="119"/>
      <c r="FG475" s="119"/>
      <c r="FH475" s="119"/>
      <c r="FI475" s="119"/>
      <c r="FJ475" s="119"/>
      <c r="FK475" s="119"/>
      <c r="FL475" s="119"/>
      <c r="FM475" s="119"/>
      <c r="FN475" s="119"/>
      <c r="FO475" s="119"/>
      <c r="FP475" s="119"/>
      <c r="FQ475" s="119"/>
      <c r="FR475" s="119"/>
    </row>
    <row x14ac:dyDescent="0.25" r="476" customHeight="1" ht="15">
      <c r="A476" s="112"/>
      <c r="B476" s="112"/>
      <c r="C476" s="107"/>
      <c r="D476" s="107"/>
      <c r="E476" s="120"/>
      <c r="F476" s="120"/>
      <c r="G476" s="109">
        <f>IF((F476-E476)&lt;0,0,(F476-E476))</f>
      </c>
      <c r="H476" s="110"/>
      <c r="I476" s="111">
        <f>IFERROR(SUMPRODUCT($G476*VLOOKUP($C476,'Vehicle Master'!$D:$F,3,0)),"")</f>
      </c>
      <c r="J476" s="11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19"/>
      <c r="AN476" s="119"/>
      <c r="AO476" s="119"/>
      <c r="AP476" s="119"/>
      <c r="AQ476" s="119"/>
      <c r="AR476" s="119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119"/>
      <c r="BF476" s="119"/>
      <c r="BG476" s="119"/>
      <c r="BH476" s="119"/>
      <c r="BI476" s="119"/>
      <c r="BJ476" s="119"/>
      <c r="BK476" s="119"/>
      <c r="BL476" s="119"/>
      <c r="BM476" s="119"/>
      <c r="BN476" s="119"/>
      <c r="BO476" s="119"/>
      <c r="BP476" s="119"/>
      <c r="BQ476" s="119"/>
      <c r="BR476" s="119"/>
      <c r="BS476" s="119"/>
      <c r="BT476" s="119"/>
      <c r="BU476" s="119"/>
      <c r="BV476" s="119"/>
      <c r="BW476" s="119"/>
      <c r="BX476" s="119"/>
      <c r="BY476" s="119"/>
      <c r="BZ476" s="119"/>
      <c r="CA476" s="119"/>
      <c r="CB476" s="119"/>
      <c r="CC476" s="119"/>
      <c r="CD476" s="119"/>
      <c r="CE476" s="119"/>
      <c r="CF476" s="119"/>
      <c r="CG476" s="119"/>
      <c r="CH476" s="119"/>
      <c r="CI476" s="119"/>
      <c r="CJ476" s="119"/>
      <c r="CK476" s="119"/>
      <c r="CL476" s="119"/>
      <c r="CM476" s="119"/>
      <c r="CN476" s="119"/>
      <c r="CO476" s="119"/>
      <c r="CP476" s="119"/>
      <c r="CQ476" s="119"/>
      <c r="CR476" s="119"/>
      <c r="CS476" s="119"/>
      <c r="CT476" s="119"/>
      <c r="CU476" s="119"/>
      <c r="CV476" s="119"/>
      <c r="CW476" s="119"/>
      <c r="CX476" s="119"/>
      <c r="CY476" s="119"/>
      <c r="CZ476" s="119"/>
      <c r="DA476" s="119"/>
      <c r="DB476" s="119"/>
      <c r="DC476" s="119"/>
      <c r="DD476" s="119"/>
      <c r="DE476" s="119"/>
      <c r="DF476" s="119"/>
      <c r="DG476" s="119"/>
      <c r="DH476" s="119"/>
      <c r="DI476" s="119"/>
      <c r="DJ476" s="119"/>
      <c r="DK476" s="119"/>
      <c r="DL476" s="119"/>
      <c r="DM476" s="119"/>
      <c r="DN476" s="119"/>
      <c r="DO476" s="119"/>
      <c r="DP476" s="119"/>
      <c r="DQ476" s="119"/>
      <c r="DR476" s="119"/>
      <c r="DS476" s="119"/>
      <c r="DT476" s="119"/>
      <c r="DU476" s="119"/>
      <c r="DV476" s="119"/>
      <c r="DW476" s="119"/>
      <c r="DX476" s="119"/>
      <c r="DY476" s="119"/>
      <c r="DZ476" s="119"/>
      <c r="EA476" s="119"/>
      <c r="EB476" s="119"/>
      <c r="EC476" s="119"/>
      <c r="ED476" s="119"/>
      <c r="EE476" s="119"/>
      <c r="EF476" s="119"/>
      <c r="EG476" s="119"/>
      <c r="EH476" s="119"/>
      <c r="EI476" s="119"/>
      <c r="EJ476" s="119"/>
      <c r="EK476" s="119"/>
      <c r="EL476" s="119"/>
      <c r="EM476" s="119"/>
      <c r="EN476" s="119"/>
      <c r="EO476" s="119"/>
      <c r="EP476" s="119"/>
      <c r="EQ476" s="119"/>
      <c r="ER476" s="119"/>
      <c r="ES476" s="119"/>
      <c r="ET476" s="119"/>
      <c r="EU476" s="119"/>
      <c r="EV476" s="119"/>
      <c r="EW476" s="119"/>
      <c r="EX476" s="119"/>
      <c r="EY476" s="119"/>
      <c r="EZ476" s="119"/>
      <c r="FA476" s="119"/>
      <c r="FB476" s="119"/>
      <c r="FC476" s="119"/>
      <c r="FD476" s="119"/>
      <c r="FE476" s="119"/>
      <c r="FF476" s="119"/>
      <c r="FG476" s="119"/>
      <c r="FH476" s="119"/>
      <c r="FI476" s="119"/>
      <c r="FJ476" s="119"/>
      <c r="FK476" s="119"/>
      <c r="FL476" s="119"/>
      <c r="FM476" s="119"/>
      <c r="FN476" s="119"/>
      <c r="FO476" s="119"/>
      <c r="FP476" s="119"/>
      <c r="FQ476" s="119"/>
      <c r="FR476" s="119"/>
    </row>
    <row x14ac:dyDescent="0.25" r="477" customHeight="1" ht="15">
      <c r="A477" s="112"/>
      <c r="B477" s="112"/>
      <c r="C477" s="107"/>
      <c r="D477" s="107"/>
      <c r="E477" s="120"/>
      <c r="F477" s="120"/>
      <c r="G477" s="109">
        <f>IF((F477-E477)&lt;0,0,(F477-E477))</f>
      </c>
      <c r="H477" s="110"/>
      <c r="I477" s="111">
        <f>IFERROR(SUMPRODUCT($G477*VLOOKUP($C477,'Vehicle Master'!$D:$F,3,0)),"")</f>
      </c>
      <c r="J477" s="11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19"/>
      <c r="AN477" s="119"/>
      <c r="AO477" s="119"/>
      <c r="AP477" s="119"/>
      <c r="AQ477" s="119"/>
      <c r="AR477" s="119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119"/>
      <c r="BF477" s="119"/>
      <c r="BG477" s="119"/>
      <c r="BH477" s="119"/>
      <c r="BI477" s="119"/>
      <c r="BJ477" s="119"/>
      <c r="BK477" s="119"/>
      <c r="BL477" s="119"/>
      <c r="BM477" s="119"/>
      <c r="BN477" s="119"/>
      <c r="BO477" s="119"/>
      <c r="BP477" s="119"/>
      <c r="BQ477" s="119"/>
      <c r="BR477" s="119"/>
      <c r="BS477" s="119"/>
      <c r="BT477" s="119"/>
      <c r="BU477" s="119"/>
      <c r="BV477" s="119"/>
      <c r="BW477" s="119"/>
      <c r="BX477" s="119"/>
      <c r="BY477" s="119"/>
      <c r="BZ477" s="119"/>
      <c r="CA477" s="119"/>
      <c r="CB477" s="119"/>
      <c r="CC477" s="119"/>
      <c r="CD477" s="119"/>
      <c r="CE477" s="119"/>
      <c r="CF477" s="119"/>
      <c r="CG477" s="119"/>
      <c r="CH477" s="119"/>
      <c r="CI477" s="119"/>
      <c r="CJ477" s="119"/>
      <c r="CK477" s="119"/>
      <c r="CL477" s="119"/>
      <c r="CM477" s="119"/>
      <c r="CN477" s="119"/>
      <c r="CO477" s="119"/>
      <c r="CP477" s="119"/>
      <c r="CQ477" s="119"/>
      <c r="CR477" s="119"/>
      <c r="CS477" s="119"/>
      <c r="CT477" s="119"/>
      <c r="CU477" s="119"/>
      <c r="CV477" s="119"/>
      <c r="CW477" s="119"/>
      <c r="CX477" s="119"/>
      <c r="CY477" s="119"/>
      <c r="CZ477" s="119"/>
      <c r="DA477" s="119"/>
      <c r="DB477" s="119"/>
      <c r="DC477" s="119"/>
      <c r="DD477" s="119"/>
      <c r="DE477" s="119"/>
      <c r="DF477" s="119"/>
      <c r="DG477" s="119"/>
      <c r="DH477" s="119"/>
      <c r="DI477" s="119"/>
      <c r="DJ477" s="119"/>
      <c r="DK477" s="119"/>
      <c r="DL477" s="119"/>
      <c r="DM477" s="119"/>
      <c r="DN477" s="119"/>
      <c r="DO477" s="119"/>
      <c r="DP477" s="119"/>
      <c r="DQ477" s="119"/>
      <c r="DR477" s="119"/>
      <c r="DS477" s="119"/>
      <c r="DT477" s="119"/>
      <c r="DU477" s="119"/>
      <c r="DV477" s="119"/>
      <c r="DW477" s="119"/>
      <c r="DX477" s="119"/>
      <c r="DY477" s="119"/>
      <c r="DZ477" s="119"/>
      <c r="EA477" s="119"/>
      <c r="EB477" s="119"/>
      <c r="EC477" s="119"/>
      <c r="ED477" s="119"/>
      <c r="EE477" s="119"/>
      <c r="EF477" s="119"/>
      <c r="EG477" s="119"/>
      <c r="EH477" s="119"/>
      <c r="EI477" s="119"/>
      <c r="EJ477" s="119"/>
      <c r="EK477" s="119"/>
      <c r="EL477" s="119"/>
      <c r="EM477" s="119"/>
      <c r="EN477" s="119"/>
      <c r="EO477" s="119"/>
      <c r="EP477" s="119"/>
      <c r="EQ477" s="119"/>
      <c r="ER477" s="119"/>
      <c r="ES477" s="119"/>
      <c r="ET477" s="119"/>
      <c r="EU477" s="119"/>
      <c r="EV477" s="119"/>
      <c r="EW477" s="119"/>
      <c r="EX477" s="119"/>
      <c r="EY477" s="119"/>
      <c r="EZ477" s="119"/>
      <c r="FA477" s="119"/>
      <c r="FB477" s="119"/>
      <c r="FC477" s="119"/>
      <c r="FD477" s="119"/>
      <c r="FE477" s="119"/>
      <c r="FF477" s="119"/>
      <c r="FG477" s="119"/>
      <c r="FH477" s="119"/>
      <c r="FI477" s="119"/>
      <c r="FJ477" s="119"/>
      <c r="FK477" s="119"/>
      <c r="FL477" s="119"/>
      <c r="FM477" s="119"/>
      <c r="FN477" s="119"/>
      <c r="FO477" s="119"/>
      <c r="FP477" s="119"/>
      <c r="FQ477" s="119"/>
      <c r="FR477" s="119"/>
    </row>
    <row x14ac:dyDescent="0.25" r="478" customHeight="1" ht="15">
      <c r="A478" s="112"/>
      <c r="B478" s="112"/>
      <c r="C478" s="107"/>
      <c r="D478" s="107"/>
      <c r="E478" s="120"/>
      <c r="F478" s="120"/>
      <c r="G478" s="109">
        <f>IF((F478-E478)&lt;0,0,(F478-E478))</f>
      </c>
      <c r="H478" s="110"/>
      <c r="I478" s="111">
        <f>IFERROR(SUMPRODUCT($G478*VLOOKUP($C478,'Vehicle Master'!$D:$F,3,0)),"")</f>
      </c>
      <c r="J478" s="11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19"/>
      <c r="AN478" s="119"/>
      <c r="AO478" s="119"/>
      <c r="AP478" s="119"/>
      <c r="AQ478" s="119"/>
      <c r="AR478" s="119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119"/>
      <c r="BF478" s="119"/>
      <c r="BG478" s="119"/>
      <c r="BH478" s="119"/>
      <c r="BI478" s="119"/>
      <c r="BJ478" s="119"/>
      <c r="BK478" s="119"/>
      <c r="BL478" s="119"/>
      <c r="BM478" s="119"/>
      <c r="BN478" s="119"/>
      <c r="BO478" s="119"/>
      <c r="BP478" s="119"/>
      <c r="BQ478" s="119"/>
      <c r="BR478" s="119"/>
      <c r="BS478" s="119"/>
      <c r="BT478" s="119"/>
      <c r="BU478" s="119"/>
      <c r="BV478" s="119"/>
      <c r="BW478" s="119"/>
      <c r="BX478" s="119"/>
      <c r="BY478" s="119"/>
      <c r="BZ478" s="119"/>
      <c r="CA478" s="119"/>
      <c r="CB478" s="119"/>
      <c r="CC478" s="119"/>
      <c r="CD478" s="119"/>
      <c r="CE478" s="119"/>
      <c r="CF478" s="119"/>
      <c r="CG478" s="119"/>
      <c r="CH478" s="119"/>
      <c r="CI478" s="119"/>
      <c r="CJ478" s="119"/>
      <c r="CK478" s="119"/>
      <c r="CL478" s="119"/>
      <c r="CM478" s="119"/>
      <c r="CN478" s="119"/>
      <c r="CO478" s="119"/>
      <c r="CP478" s="119"/>
      <c r="CQ478" s="119"/>
      <c r="CR478" s="119"/>
      <c r="CS478" s="119"/>
      <c r="CT478" s="119"/>
      <c r="CU478" s="119"/>
      <c r="CV478" s="119"/>
      <c r="CW478" s="119"/>
      <c r="CX478" s="119"/>
      <c r="CY478" s="119"/>
      <c r="CZ478" s="119"/>
      <c r="DA478" s="119"/>
      <c r="DB478" s="119"/>
      <c r="DC478" s="119"/>
      <c r="DD478" s="119"/>
      <c r="DE478" s="119"/>
      <c r="DF478" s="119"/>
      <c r="DG478" s="119"/>
      <c r="DH478" s="119"/>
      <c r="DI478" s="119"/>
      <c r="DJ478" s="119"/>
      <c r="DK478" s="119"/>
      <c r="DL478" s="119"/>
      <c r="DM478" s="119"/>
      <c r="DN478" s="119"/>
      <c r="DO478" s="119"/>
      <c r="DP478" s="119"/>
      <c r="DQ478" s="119"/>
      <c r="DR478" s="119"/>
      <c r="DS478" s="119"/>
      <c r="DT478" s="119"/>
      <c r="DU478" s="119"/>
      <c r="DV478" s="119"/>
      <c r="DW478" s="119"/>
      <c r="DX478" s="119"/>
      <c r="DY478" s="119"/>
      <c r="DZ478" s="119"/>
      <c r="EA478" s="119"/>
      <c r="EB478" s="119"/>
      <c r="EC478" s="119"/>
      <c r="ED478" s="119"/>
      <c r="EE478" s="119"/>
      <c r="EF478" s="119"/>
      <c r="EG478" s="119"/>
      <c r="EH478" s="119"/>
      <c r="EI478" s="119"/>
      <c r="EJ478" s="119"/>
      <c r="EK478" s="119"/>
      <c r="EL478" s="119"/>
      <c r="EM478" s="119"/>
      <c r="EN478" s="119"/>
      <c r="EO478" s="119"/>
      <c r="EP478" s="119"/>
      <c r="EQ478" s="119"/>
      <c r="ER478" s="119"/>
      <c r="ES478" s="119"/>
      <c r="ET478" s="119"/>
      <c r="EU478" s="119"/>
      <c r="EV478" s="119"/>
      <c r="EW478" s="119"/>
      <c r="EX478" s="119"/>
      <c r="EY478" s="119"/>
      <c r="EZ478" s="119"/>
      <c r="FA478" s="119"/>
      <c r="FB478" s="119"/>
      <c r="FC478" s="119"/>
      <c r="FD478" s="119"/>
      <c r="FE478" s="119"/>
      <c r="FF478" s="119"/>
      <c r="FG478" s="119"/>
      <c r="FH478" s="119"/>
      <c r="FI478" s="119"/>
      <c r="FJ478" s="119"/>
      <c r="FK478" s="119"/>
      <c r="FL478" s="119"/>
      <c r="FM478" s="119"/>
      <c r="FN478" s="119"/>
      <c r="FO478" s="119"/>
      <c r="FP478" s="119"/>
      <c r="FQ478" s="119"/>
      <c r="FR478" s="119"/>
    </row>
    <row x14ac:dyDescent="0.25" r="479" customHeight="1" ht="15">
      <c r="A479" s="112"/>
      <c r="B479" s="112"/>
      <c r="C479" s="107"/>
      <c r="D479" s="107"/>
      <c r="E479" s="120"/>
      <c r="F479" s="120"/>
      <c r="G479" s="109">
        <f>IF((F479-E479)&lt;0,0,(F479-E479))</f>
      </c>
      <c r="H479" s="110"/>
      <c r="I479" s="111">
        <f>IFERROR(SUMPRODUCT($G479*VLOOKUP($C479,'Vehicle Master'!$D:$F,3,0)),"")</f>
      </c>
      <c r="J479" s="11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19"/>
      <c r="AN479" s="119"/>
      <c r="AO479" s="119"/>
      <c r="AP479" s="119"/>
      <c r="AQ479" s="119"/>
      <c r="AR479" s="119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119"/>
      <c r="BF479" s="119"/>
      <c r="BG479" s="119"/>
      <c r="BH479" s="119"/>
      <c r="BI479" s="119"/>
      <c r="BJ479" s="119"/>
      <c r="BK479" s="119"/>
      <c r="BL479" s="119"/>
      <c r="BM479" s="119"/>
      <c r="BN479" s="119"/>
      <c r="BO479" s="119"/>
      <c r="BP479" s="119"/>
      <c r="BQ479" s="119"/>
      <c r="BR479" s="119"/>
      <c r="BS479" s="119"/>
      <c r="BT479" s="119"/>
      <c r="BU479" s="119"/>
      <c r="BV479" s="119"/>
      <c r="BW479" s="119"/>
      <c r="BX479" s="119"/>
      <c r="BY479" s="119"/>
      <c r="BZ479" s="119"/>
      <c r="CA479" s="119"/>
      <c r="CB479" s="119"/>
      <c r="CC479" s="119"/>
      <c r="CD479" s="119"/>
      <c r="CE479" s="119"/>
      <c r="CF479" s="119"/>
      <c r="CG479" s="119"/>
      <c r="CH479" s="119"/>
      <c r="CI479" s="119"/>
      <c r="CJ479" s="119"/>
      <c r="CK479" s="119"/>
      <c r="CL479" s="119"/>
      <c r="CM479" s="119"/>
      <c r="CN479" s="119"/>
      <c r="CO479" s="119"/>
      <c r="CP479" s="119"/>
      <c r="CQ479" s="119"/>
      <c r="CR479" s="119"/>
      <c r="CS479" s="119"/>
      <c r="CT479" s="119"/>
      <c r="CU479" s="119"/>
      <c r="CV479" s="119"/>
      <c r="CW479" s="119"/>
      <c r="CX479" s="119"/>
      <c r="CY479" s="119"/>
      <c r="CZ479" s="119"/>
      <c r="DA479" s="119"/>
      <c r="DB479" s="119"/>
      <c r="DC479" s="119"/>
      <c r="DD479" s="119"/>
      <c r="DE479" s="119"/>
      <c r="DF479" s="119"/>
      <c r="DG479" s="119"/>
      <c r="DH479" s="119"/>
      <c r="DI479" s="119"/>
      <c r="DJ479" s="119"/>
      <c r="DK479" s="119"/>
      <c r="DL479" s="119"/>
      <c r="DM479" s="119"/>
      <c r="DN479" s="119"/>
      <c r="DO479" s="119"/>
      <c r="DP479" s="119"/>
      <c r="DQ479" s="119"/>
      <c r="DR479" s="119"/>
      <c r="DS479" s="119"/>
      <c r="DT479" s="119"/>
      <c r="DU479" s="119"/>
      <c r="DV479" s="119"/>
      <c r="DW479" s="119"/>
      <c r="DX479" s="119"/>
      <c r="DY479" s="119"/>
      <c r="DZ479" s="119"/>
      <c r="EA479" s="119"/>
      <c r="EB479" s="119"/>
      <c r="EC479" s="119"/>
      <c r="ED479" s="119"/>
      <c r="EE479" s="119"/>
      <c r="EF479" s="119"/>
      <c r="EG479" s="119"/>
      <c r="EH479" s="119"/>
      <c r="EI479" s="119"/>
      <c r="EJ479" s="119"/>
      <c r="EK479" s="119"/>
      <c r="EL479" s="119"/>
      <c r="EM479" s="119"/>
      <c r="EN479" s="119"/>
      <c r="EO479" s="119"/>
      <c r="EP479" s="119"/>
      <c r="EQ479" s="119"/>
      <c r="ER479" s="119"/>
      <c r="ES479" s="119"/>
      <c r="ET479" s="119"/>
      <c r="EU479" s="119"/>
      <c r="EV479" s="119"/>
      <c r="EW479" s="119"/>
      <c r="EX479" s="119"/>
      <c r="EY479" s="119"/>
      <c r="EZ479" s="119"/>
      <c r="FA479" s="119"/>
      <c r="FB479" s="119"/>
      <c r="FC479" s="119"/>
      <c r="FD479" s="119"/>
      <c r="FE479" s="119"/>
      <c r="FF479" s="119"/>
      <c r="FG479" s="119"/>
      <c r="FH479" s="119"/>
      <c r="FI479" s="119"/>
      <c r="FJ479" s="119"/>
      <c r="FK479" s="119"/>
      <c r="FL479" s="119"/>
      <c r="FM479" s="119"/>
      <c r="FN479" s="119"/>
      <c r="FO479" s="119"/>
      <c r="FP479" s="119"/>
      <c r="FQ479" s="119"/>
      <c r="FR479" s="119"/>
    </row>
    <row x14ac:dyDescent="0.25" r="480" customHeight="1" ht="15">
      <c r="A480" s="112"/>
      <c r="B480" s="112"/>
      <c r="C480" s="107"/>
      <c r="D480" s="107"/>
      <c r="E480" s="120"/>
      <c r="F480" s="120"/>
      <c r="G480" s="109">
        <f>IF((F480-E480)&lt;0,0,(F480-E480))</f>
      </c>
      <c r="H480" s="110"/>
      <c r="I480" s="111">
        <f>IFERROR(SUMPRODUCT($G480*VLOOKUP($C480,'Vehicle Master'!$D:$F,3,0)),"")</f>
      </c>
      <c r="J480" s="11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/>
      <c r="AP480" s="119"/>
      <c r="AQ480" s="119"/>
      <c r="AR480" s="119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119"/>
      <c r="BF480" s="119"/>
      <c r="BG480" s="119"/>
      <c r="BH480" s="119"/>
      <c r="BI480" s="119"/>
      <c r="BJ480" s="119"/>
      <c r="BK480" s="119"/>
      <c r="BL480" s="119"/>
      <c r="BM480" s="119"/>
      <c r="BN480" s="119"/>
      <c r="BO480" s="119"/>
      <c r="BP480" s="119"/>
      <c r="BQ480" s="119"/>
      <c r="BR480" s="119"/>
      <c r="BS480" s="119"/>
      <c r="BT480" s="119"/>
      <c r="BU480" s="119"/>
      <c r="BV480" s="119"/>
      <c r="BW480" s="119"/>
      <c r="BX480" s="119"/>
      <c r="BY480" s="119"/>
      <c r="BZ480" s="119"/>
      <c r="CA480" s="119"/>
      <c r="CB480" s="119"/>
      <c r="CC480" s="119"/>
      <c r="CD480" s="119"/>
      <c r="CE480" s="119"/>
      <c r="CF480" s="119"/>
      <c r="CG480" s="119"/>
      <c r="CH480" s="119"/>
      <c r="CI480" s="119"/>
      <c r="CJ480" s="119"/>
      <c r="CK480" s="119"/>
      <c r="CL480" s="119"/>
      <c r="CM480" s="119"/>
      <c r="CN480" s="119"/>
      <c r="CO480" s="119"/>
      <c r="CP480" s="119"/>
      <c r="CQ480" s="119"/>
      <c r="CR480" s="119"/>
      <c r="CS480" s="119"/>
      <c r="CT480" s="119"/>
      <c r="CU480" s="119"/>
      <c r="CV480" s="119"/>
      <c r="CW480" s="119"/>
      <c r="CX480" s="119"/>
      <c r="CY480" s="119"/>
      <c r="CZ480" s="119"/>
      <c r="DA480" s="119"/>
      <c r="DB480" s="119"/>
      <c r="DC480" s="119"/>
      <c r="DD480" s="119"/>
      <c r="DE480" s="119"/>
      <c r="DF480" s="119"/>
      <c r="DG480" s="119"/>
      <c r="DH480" s="119"/>
      <c r="DI480" s="119"/>
      <c r="DJ480" s="119"/>
      <c r="DK480" s="119"/>
      <c r="DL480" s="119"/>
      <c r="DM480" s="119"/>
      <c r="DN480" s="119"/>
      <c r="DO480" s="119"/>
      <c r="DP480" s="119"/>
      <c r="DQ480" s="119"/>
      <c r="DR480" s="119"/>
      <c r="DS480" s="119"/>
      <c r="DT480" s="119"/>
      <c r="DU480" s="119"/>
      <c r="DV480" s="119"/>
      <c r="DW480" s="119"/>
      <c r="DX480" s="119"/>
      <c r="DY480" s="119"/>
      <c r="DZ480" s="119"/>
      <c r="EA480" s="119"/>
      <c r="EB480" s="119"/>
      <c r="EC480" s="119"/>
      <c r="ED480" s="119"/>
      <c r="EE480" s="119"/>
      <c r="EF480" s="119"/>
      <c r="EG480" s="119"/>
      <c r="EH480" s="119"/>
      <c r="EI480" s="119"/>
      <c r="EJ480" s="119"/>
      <c r="EK480" s="119"/>
      <c r="EL480" s="119"/>
      <c r="EM480" s="119"/>
      <c r="EN480" s="119"/>
      <c r="EO480" s="119"/>
      <c r="EP480" s="119"/>
      <c r="EQ480" s="119"/>
      <c r="ER480" s="119"/>
      <c r="ES480" s="119"/>
      <c r="ET480" s="119"/>
      <c r="EU480" s="119"/>
      <c r="EV480" s="119"/>
      <c r="EW480" s="119"/>
      <c r="EX480" s="119"/>
      <c r="EY480" s="119"/>
      <c r="EZ480" s="119"/>
      <c r="FA480" s="119"/>
      <c r="FB480" s="119"/>
      <c r="FC480" s="119"/>
      <c r="FD480" s="119"/>
      <c r="FE480" s="119"/>
      <c r="FF480" s="119"/>
      <c r="FG480" s="119"/>
      <c r="FH480" s="119"/>
      <c r="FI480" s="119"/>
      <c r="FJ480" s="119"/>
      <c r="FK480" s="119"/>
      <c r="FL480" s="119"/>
      <c r="FM480" s="119"/>
      <c r="FN480" s="119"/>
      <c r="FO480" s="119"/>
      <c r="FP480" s="119"/>
      <c r="FQ480" s="119"/>
      <c r="FR480" s="119"/>
    </row>
    <row x14ac:dyDescent="0.25" r="481" customHeight="1" ht="15">
      <c r="A481" s="112"/>
      <c r="B481" s="112"/>
      <c r="C481" s="107"/>
      <c r="D481" s="107"/>
      <c r="E481" s="120"/>
      <c r="F481" s="120"/>
      <c r="G481" s="109">
        <f>IF((F481-E481)&lt;0,0,(F481-E481))</f>
      </c>
      <c r="H481" s="110"/>
      <c r="I481" s="111">
        <f>IFERROR(SUMPRODUCT($G481*VLOOKUP($C481,'Vehicle Master'!$D:$F,3,0)),"")</f>
      </c>
      <c r="J481" s="11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19"/>
      <c r="AN481" s="119"/>
      <c r="AO481" s="119"/>
      <c r="AP481" s="119"/>
      <c r="AQ481" s="119"/>
      <c r="AR481" s="119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119"/>
      <c r="BF481" s="119"/>
      <c r="BG481" s="119"/>
      <c r="BH481" s="119"/>
      <c r="BI481" s="119"/>
      <c r="BJ481" s="119"/>
      <c r="BK481" s="119"/>
      <c r="BL481" s="119"/>
      <c r="BM481" s="119"/>
      <c r="BN481" s="119"/>
      <c r="BO481" s="119"/>
      <c r="BP481" s="119"/>
      <c r="BQ481" s="119"/>
      <c r="BR481" s="119"/>
      <c r="BS481" s="119"/>
      <c r="BT481" s="119"/>
      <c r="BU481" s="119"/>
      <c r="BV481" s="119"/>
      <c r="BW481" s="119"/>
      <c r="BX481" s="119"/>
      <c r="BY481" s="119"/>
      <c r="BZ481" s="119"/>
      <c r="CA481" s="119"/>
      <c r="CB481" s="119"/>
      <c r="CC481" s="119"/>
      <c r="CD481" s="119"/>
      <c r="CE481" s="119"/>
      <c r="CF481" s="119"/>
      <c r="CG481" s="119"/>
      <c r="CH481" s="119"/>
      <c r="CI481" s="119"/>
      <c r="CJ481" s="119"/>
      <c r="CK481" s="119"/>
      <c r="CL481" s="119"/>
      <c r="CM481" s="119"/>
      <c r="CN481" s="119"/>
      <c r="CO481" s="119"/>
      <c r="CP481" s="119"/>
      <c r="CQ481" s="119"/>
      <c r="CR481" s="119"/>
      <c r="CS481" s="119"/>
      <c r="CT481" s="119"/>
      <c r="CU481" s="119"/>
      <c r="CV481" s="119"/>
      <c r="CW481" s="119"/>
      <c r="CX481" s="119"/>
      <c r="CY481" s="119"/>
      <c r="CZ481" s="119"/>
      <c r="DA481" s="119"/>
      <c r="DB481" s="119"/>
      <c r="DC481" s="119"/>
      <c r="DD481" s="119"/>
      <c r="DE481" s="119"/>
      <c r="DF481" s="119"/>
      <c r="DG481" s="119"/>
      <c r="DH481" s="119"/>
      <c r="DI481" s="119"/>
      <c r="DJ481" s="119"/>
      <c r="DK481" s="119"/>
      <c r="DL481" s="119"/>
      <c r="DM481" s="119"/>
      <c r="DN481" s="119"/>
      <c r="DO481" s="119"/>
      <c r="DP481" s="119"/>
      <c r="DQ481" s="119"/>
      <c r="DR481" s="119"/>
      <c r="DS481" s="119"/>
      <c r="DT481" s="119"/>
      <c r="DU481" s="119"/>
      <c r="DV481" s="119"/>
      <c r="DW481" s="119"/>
      <c r="DX481" s="119"/>
      <c r="DY481" s="119"/>
      <c r="DZ481" s="119"/>
      <c r="EA481" s="119"/>
      <c r="EB481" s="119"/>
      <c r="EC481" s="119"/>
      <c r="ED481" s="119"/>
      <c r="EE481" s="119"/>
      <c r="EF481" s="119"/>
      <c r="EG481" s="119"/>
      <c r="EH481" s="119"/>
      <c r="EI481" s="119"/>
      <c r="EJ481" s="119"/>
      <c r="EK481" s="119"/>
      <c r="EL481" s="119"/>
      <c r="EM481" s="119"/>
      <c r="EN481" s="119"/>
      <c r="EO481" s="119"/>
      <c r="EP481" s="119"/>
      <c r="EQ481" s="119"/>
      <c r="ER481" s="119"/>
      <c r="ES481" s="119"/>
      <c r="ET481" s="119"/>
      <c r="EU481" s="119"/>
      <c r="EV481" s="119"/>
      <c r="EW481" s="119"/>
      <c r="EX481" s="119"/>
      <c r="EY481" s="119"/>
      <c r="EZ481" s="119"/>
      <c r="FA481" s="119"/>
      <c r="FB481" s="119"/>
      <c r="FC481" s="119"/>
      <c r="FD481" s="119"/>
      <c r="FE481" s="119"/>
      <c r="FF481" s="119"/>
      <c r="FG481" s="119"/>
      <c r="FH481" s="119"/>
      <c r="FI481" s="119"/>
      <c r="FJ481" s="119"/>
      <c r="FK481" s="119"/>
      <c r="FL481" s="119"/>
      <c r="FM481" s="119"/>
      <c r="FN481" s="119"/>
      <c r="FO481" s="119"/>
      <c r="FP481" s="119"/>
      <c r="FQ481" s="119"/>
      <c r="FR481" s="119"/>
    </row>
    <row x14ac:dyDescent="0.25" r="482" customHeight="1" ht="15">
      <c r="A482" s="112"/>
      <c r="B482" s="112"/>
      <c r="C482" s="107"/>
      <c r="D482" s="107"/>
      <c r="E482" s="120"/>
      <c r="F482" s="120"/>
      <c r="G482" s="109">
        <f>IF((F482-E482)&lt;0,0,(F482-E482))</f>
      </c>
      <c r="H482" s="110"/>
      <c r="I482" s="111">
        <f>IFERROR(SUMPRODUCT($G482*VLOOKUP($C482,'Vehicle Master'!$D:$F,3,0)),"")</f>
      </c>
      <c r="J482" s="11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19"/>
      <c r="AN482" s="119"/>
      <c r="AO482" s="119"/>
      <c r="AP482" s="119"/>
      <c r="AQ482" s="119"/>
      <c r="AR482" s="119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119"/>
      <c r="BF482" s="119"/>
      <c r="BG482" s="119"/>
      <c r="BH482" s="119"/>
      <c r="BI482" s="119"/>
      <c r="BJ482" s="119"/>
      <c r="BK482" s="119"/>
      <c r="BL482" s="119"/>
      <c r="BM482" s="119"/>
      <c r="BN482" s="119"/>
      <c r="BO482" s="119"/>
      <c r="BP482" s="119"/>
      <c r="BQ482" s="119"/>
      <c r="BR482" s="119"/>
      <c r="BS482" s="119"/>
      <c r="BT482" s="119"/>
      <c r="BU482" s="119"/>
      <c r="BV482" s="119"/>
      <c r="BW482" s="119"/>
      <c r="BX482" s="119"/>
      <c r="BY482" s="119"/>
      <c r="BZ482" s="119"/>
      <c r="CA482" s="119"/>
      <c r="CB482" s="119"/>
      <c r="CC482" s="119"/>
      <c r="CD482" s="119"/>
      <c r="CE482" s="119"/>
      <c r="CF482" s="119"/>
      <c r="CG482" s="119"/>
      <c r="CH482" s="119"/>
      <c r="CI482" s="119"/>
      <c r="CJ482" s="119"/>
      <c r="CK482" s="119"/>
      <c r="CL482" s="119"/>
      <c r="CM482" s="119"/>
      <c r="CN482" s="119"/>
      <c r="CO482" s="119"/>
      <c r="CP482" s="119"/>
      <c r="CQ482" s="119"/>
      <c r="CR482" s="119"/>
      <c r="CS482" s="119"/>
      <c r="CT482" s="119"/>
      <c r="CU482" s="119"/>
      <c r="CV482" s="119"/>
      <c r="CW482" s="119"/>
      <c r="CX482" s="119"/>
      <c r="CY482" s="119"/>
      <c r="CZ482" s="119"/>
      <c r="DA482" s="119"/>
      <c r="DB482" s="119"/>
      <c r="DC482" s="119"/>
      <c r="DD482" s="119"/>
      <c r="DE482" s="119"/>
      <c r="DF482" s="119"/>
      <c r="DG482" s="119"/>
      <c r="DH482" s="119"/>
      <c r="DI482" s="119"/>
      <c r="DJ482" s="119"/>
      <c r="DK482" s="119"/>
      <c r="DL482" s="119"/>
      <c r="DM482" s="119"/>
      <c r="DN482" s="119"/>
      <c r="DO482" s="119"/>
      <c r="DP482" s="119"/>
      <c r="DQ482" s="119"/>
      <c r="DR482" s="119"/>
      <c r="DS482" s="119"/>
      <c r="DT482" s="119"/>
      <c r="DU482" s="119"/>
      <c r="DV482" s="119"/>
      <c r="DW482" s="119"/>
      <c r="DX482" s="119"/>
      <c r="DY482" s="119"/>
      <c r="DZ482" s="119"/>
      <c r="EA482" s="119"/>
      <c r="EB482" s="119"/>
      <c r="EC482" s="119"/>
      <c r="ED482" s="119"/>
      <c r="EE482" s="119"/>
      <c r="EF482" s="119"/>
      <c r="EG482" s="119"/>
      <c r="EH482" s="119"/>
      <c r="EI482" s="119"/>
      <c r="EJ482" s="119"/>
      <c r="EK482" s="119"/>
      <c r="EL482" s="119"/>
      <c r="EM482" s="119"/>
      <c r="EN482" s="119"/>
      <c r="EO482" s="119"/>
      <c r="EP482" s="119"/>
      <c r="EQ482" s="119"/>
      <c r="ER482" s="119"/>
      <c r="ES482" s="119"/>
      <c r="ET482" s="119"/>
      <c r="EU482" s="119"/>
      <c r="EV482" s="119"/>
      <c r="EW482" s="119"/>
      <c r="EX482" s="119"/>
      <c r="EY482" s="119"/>
      <c r="EZ482" s="119"/>
      <c r="FA482" s="119"/>
      <c r="FB482" s="119"/>
      <c r="FC482" s="119"/>
      <c r="FD482" s="119"/>
      <c r="FE482" s="119"/>
      <c r="FF482" s="119"/>
      <c r="FG482" s="119"/>
      <c r="FH482" s="119"/>
      <c r="FI482" s="119"/>
      <c r="FJ482" s="119"/>
      <c r="FK482" s="119"/>
      <c r="FL482" s="119"/>
      <c r="FM482" s="119"/>
      <c r="FN482" s="119"/>
      <c r="FO482" s="119"/>
      <c r="FP482" s="119"/>
      <c r="FQ482" s="119"/>
      <c r="FR482" s="119"/>
    </row>
    <row x14ac:dyDescent="0.25" r="483" customHeight="1" ht="15">
      <c r="A483" s="112"/>
      <c r="B483" s="112"/>
      <c r="C483" s="107"/>
      <c r="D483" s="107"/>
      <c r="E483" s="120"/>
      <c r="F483" s="120"/>
      <c r="G483" s="109">
        <f>IF((F483-E483)&lt;0,0,(F483-E483))</f>
      </c>
      <c r="H483" s="110"/>
      <c r="I483" s="111">
        <f>IFERROR(SUMPRODUCT($G483*VLOOKUP($C483,'Vehicle Master'!$D:$F,3,0)),"")</f>
      </c>
      <c r="J483" s="11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/>
      <c r="AP483" s="119"/>
      <c r="AQ483" s="119"/>
      <c r="AR483" s="119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119"/>
      <c r="BF483" s="119"/>
      <c r="BG483" s="119"/>
      <c r="BH483" s="119"/>
      <c r="BI483" s="119"/>
      <c r="BJ483" s="119"/>
      <c r="BK483" s="119"/>
      <c r="BL483" s="119"/>
      <c r="BM483" s="119"/>
      <c r="BN483" s="119"/>
      <c r="BO483" s="119"/>
      <c r="BP483" s="119"/>
      <c r="BQ483" s="119"/>
      <c r="BR483" s="119"/>
      <c r="BS483" s="119"/>
      <c r="BT483" s="119"/>
      <c r="BU483" s="119"/>
      <c r="BV483" s="119"/>
      <c r="BW483" s="119"/>
      <c r="BX483" s="119"/>
      <c r="BY483" s="119"/>
      <c r="BZ483" s="119"/>
      <c r="CA483" s="119"/>
      <c r="CB483" s="119"/>
      <c r="CC483" s="119"/>
      <c r="CD483" s="119"/>
      <c r="CE483" s="119"/>
      <c r="CF483" s="119"/>
      <c r="CG483" s="119"/>
      <c r="CH483" s="119"/>
      <c r="CI483" s="119"/>
      <c r="CJ483" s="119"/>
      <c r="CK483" s="119"/>
      <c r="CL483" s="119"/>
      <c r="CM483" s="119"/>
      <c r="CN483" s="119"/>
      <c r="CO483" s="119"/>
      <c r="CP483" s="119"/>
      <c r="CQ483" s="119"/>
      <c r="CR483" s="119"/>
      <c r="CS483" s="119"/>
      <c r="CT483" s="119"/>
      <c r="CU483" s="119"/>
      <c r="CV483" s="119"/>
      <c r="CW483" s="119"/>
      <c r="CX483" s="119"/>
      <c r="CY483" s="119"/>
      <c r="CZ483" s="119"/>
      <c r="DA483" s="119"/>
      <c r="DB483" s="119"/>
      <c r="DC483" s="119"/>
      <c r="DD483" s="119"/>
      <c r="DE483" s="119"/>
      <c r="DF483" s="119"/>
      <c r="DG483" s="119"/>
      <c r="DH483" s="119"/>
      <c r="DI483" s="119"/>
      <c r="DJ483" s="119"/>
      <c r="DK483" s="119"/>
      <c r="DL483" s="119"/>
      <c r="DM483" s="119"/>
      <c r="DN483" s="119"/>
      <c r="DO483" s="119"/>
      <c r="DP483" s="119"/>
      <c r="DQ483" s="119"/>
      <c r="DR483" s="119"/>
      <c r="DS483" s="119"/>
      <c r="DT483" s="119"/>
      <c r="DU483" s="119"/>
      <c r="DV483" s="119"/>
      <c r="DW483" s="119"/>
      <c r="DX483" s="119"/>
      <c r="DY483" s="119"/>
      <c r="DZ483" s="119"/>
      <c r="EA483" s="119"/>
      <c r="EB483" s="119"/>
      <c r="EC483" s="119"/>
      <c r="ED483" s="119"/>
      <c r="EE483" s="119"/>
      <c r="EF483" s="119"/>
      <c r="EG483" s="119"/>
      <c r="EH483" s="119"/>
      <c r="EI483" s="119"/>
      <c r="EJ483" s="119"/>
      <c r="EK483" s="119"/>
      <c r="EL483" s="119"/>
      <c r="EM483" s="119"/>
      <c r="EN483" s="119"/>
      <c r="EO483" s="119"/>
      <c r="EP483" s="119"/>
      <c r="EQ483" s="119"/>
      <c r="ER483" s="119"/>
      <c r="ES483" s="119"/>
      <c r="ET483" s="119"/>
      <c r="EU483" s="119"/>
      <c r="EV483" s="119"/>
      <c r="EW483" s="119"/>
      <c r="EX483" s="119"/>
      <c r="EY483" s="119"/>
      <c r="EZ483" s="119"/>
      <c r="FA483" s="119"/>
      <c r="FB483" s="119"/>
      <c r="FC483" s="119"/>
      <c r="FD483" s="119"/>
      <c r="FE483" s="119"/>
      <c r="FF483" s="119"/>
      <c r="FG483" s="119"/>
      <c r="FH483" s="119"/>
      <c r="FI483" s="119"/>
      <c r="FJ483" s="119"/>
      <c r="FK483" s="119"/>
      <c r="FL483" s="119"/>
      <c r="FM483" s="119"/>
      <c r="FN483" s="119"/>
      <c r="FO483" s="119"/>
      <c r="FP483" s="119"/>
      <c r="FQ483" s="119"/>
      <c r="FR483" s="119"/>
    </row>
    <row x14ac:dyDescent="0.25" r="484" customHeight="1" ht="15">
      <c r="A484" s="112"/>
      <c r="B484" s="112"/>
      <c r="C484" s="107"/>
      <c r="D484" s="107"/>
      <c r="E484" s="120"/>
      <c r="F484" s="120"/>
      <c r="G484" s="109">
        <f>IF((F484-E484)&lt;0,0,(F484-E484))</f>
      </c>
      <c r="H484" s="110"/>
      <c r="I484" s="111">
        <f>IFERROR(SUMPRODUCT($G484*VLOOKUP($C484,'Vehicle Master'!$D:$F,3,0)),"")</f>
      </c>
      <c r="J484" s="11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/>
      <c r="AP484" s="119"/>
      <c r="AQ484" s="119"/>
      <c r="AR484" s="119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119"/>
      <c r="BF484" s="119"/>
      <c r="BG484" s="119"/>
      <c r="BH484" s="119"/>
      <c r="BI484" s="119"/>
      <c r="BJ484" s="119"/>
      <c r="BK484" s="119"/>
      <c r="BL484" s="119"/>
      <c r="BM484" s="119"/>
      <c r="BN484" s="119"/>
      <c r="BO484" s="119"/>
      <c r="BP484" s="119"/>
      <c r="BQ484" s="119"/>
      <c r="BR484" s="119"/>
      <c r="BS484" s="119"/>
      <c r="BT484" s="119"/>
      <c r="BU484" s="119"/>
      <c r="BV484" s="119"/>
      <c r="BW484" s="119"/>
      <c r="BX484" s="119"/>
      <c r="BY484" s="119"/>
      <c r="BZ484" s="119"/>
      <c r="CA484" s="119"/>
      <c r="CB484" s="119"/>
      <c r="CC484" s="119"/>
      <c r="CD484" s="119"/>
      <c r="CE484" s="119"/>
      <c r="CF484" s="119"/>
      <c r="CG484" s="119"/>
      <c r="CH484" s="119"/>
      <c r="CI484" s="119"/>
      <c r="CJ484" s="119"/>
      <c r="CK484" s="119"/>
      <c r="CL484" s="119"/>
      <c r="CM484" s="119"/>
      <c r="CN484" s="119"/>
      <c r="CO484" s="119"/>
      <c r="CP484" s="119"/>
      <c r="CQ484" s="119"/>
      <c r="CR484" s="119"/>
      <c r="CS484" s="119"/>
      <c r="CT484" s="119"/>
      <c r="CU484" s="119"/>
      <c r="CV484" s="119"/>
      <c r="CW484" s="119"/>
      <c r="CX484" s="119"/>
      <c r="CY484" s="119"/>
      <c r="CZ484" s="119"/>
      <c r="DA484" s="119"/>
      <c r="DB484" s="119"/>
      <c r="DC484" s="119"/>
      <c r="DD484" s="119"/>
      <c r="DE484" s="119"/>
      <c r="DF484" s="119"/>
      <c r="DG484" s="119"/>
      <c r="DH484" s="119"/>
      <c r="DI484" s="119"/>
      <c r="DJ484" s="119"/>
      <c r="DK484" s="119"/>
      <c r="DL484" s="119"/>
      <c r="DM484" s="119"/>
      <c r="DN484" s="119"/>
      <c r="DO484" s="119"/>
      <c r="DP484" s="119"/>
      <c r="DQ484" s="119"/>
      <c r="DR484" s="119"/>
      <c r="DS484" s="119"/>
      <c r="DT484" s="119"/>
      <c r="DU484" s="119"/>
      <c r="DV484" s="119"/>
      <c r="DW484" s="119"/>
      <c r="DX484" s="119"/>
      <c r="DY484" s="119"/>
      <c r="DZ484" s="119"/>
      <c r="EA484" s="119"/>
      <c r="EB484" s="119"/>
      <c r="EC484" s="119"/>
      <c r="ED484" s="119"/>
      <c r="EE484" s="119"/>
      <c r="EF484" s="119"/>
      <c r="EG484" s="119"/>
      <c r="EH484" s="119"/>
      <c r="EI484" s="119"/>
      <c r="EJ484" s="119"/>
      <c r="EK484" s="119"/>
      <c r="EL484" s="119"/>
      <c r="EM484" s="119"/>
      <c r="EN484" s="119"/>
      <c r="EO484" s="119"/>
      <c r="EP484" s="119"/>
      <c r="EQ484" s="119"/>
      <c r="ER484" s="119"/>
      <c r="ES484" s="119"/>
      <c r="ET484" s="119"/>
      <c r="EU484" s="119"/>
      <c r="EV484" s="119"/>
      <c r="EW484" s="119"/>
      <c r="EX484" s="119"/>
      <c r="EY484" s="119"/>
      <c r="EZ484" s="119"/>
      <c r="FA484" s="119"/>
      <c r="FB484" s="119"/>
      <c r="FC484" s="119"/>
      <c r="FD484" s="119"/>
      <c r="FE484" s="119"/>
      <c r="FF484" s="119"/>
      <c r="FG484" s="119"/>
      <c r="FH484" s="119"/>
      <c r="FI484" s="119"/>
      <c r="FJ484" s="119"/>
      <c r="FK484" s="119"/>
      <c r="FL484" s="119"/>
      <c r="FM484" s="119"/>
      <c r="FN484" s="119"/>
      <c r="FO484" s="119"/>
      <c r="FP484" s="119"/>
      <c r="FQ484" s="119"/>
      <c r="FR484" s="119"/>
    </row>
    <row x14ac:dyDescent="0.25" r="485" customHeight="1" ht="15">
      <c r="A485" s="112"/>
      <c r="B485" s="112"/>
      <c r="C485" s="107"/>
      <c r="D485" s="107"/>
      <c r="E485" s="120"/>
      <c r="F485" s="120"/>
      <c r="G485" s="109">
        <f>IF((F485-E485)&lt;0,0,(F485-E485))</f>
      </c>
      <c r="H485" s="110"/>
      <c r="I485" s="111">
        <f>IFERROR(SUMPRODUCT($G485*VLOOKUP($C485,'Vehicle Master'!$D:$F,3,0)),"")</f>
      </c>
      <c r="J485" s="11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/>
      <c r="AP485" s="119"/>
      <c r="AQ485" s="119"/>
      <c r="AR485" s="119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119"/>
      <c r="BF485" s="119"/>
      <c r="BG485" s="119"/>
      <c r="BH485" s="119"/>
      <c r="BI485" s="119"/>
      <c r="BJ485" s="119"/>
      <c r="BK485" s="119"/>
      <c r="BL485" s="119"/>
      <c r="BM485" s="119"/>
      <c r="BN485" s="119"/>
      <c r="BO485" s="119"/>
      <c r="BP485" s="119"/>
      <c r="BQ485" s="119"/>
      <c r="BR485" s="119"/>
      <c r="BS485" s="119"/>
      <c r="BT485" s="119"/>
      <c r="BU485" s="119"/>
      <c r="BV485" s="119"/>
      <c r="BW485" s="119"/>
      <c r="BX485" s="119"/>
      <c r="BY485" s="119"/>
      <c r="BZ485" s="119"/>
      <c r="CA485" s="119"/>
      <c r="CB485" s="119"/>
      <c r="CC485" s="119"/>
      <c r="CD485" s="119"/>
      <c r="CE485" s="119"/>
      <c r="CF485" s="119"/>
      <c r="CG485" s="119"/>
      <c r="CH485" s="119"/>
      <c r="CI485" s="119"/>
      <c r="CJ485" s="119"/>
      <c r="CK485" s="119"/>
      <c r="CL485" s="119"/>
      <c r="CM485" s="119"/>
      <c r="CN485" s="119"/>
      <c r="CO485" s="119"/>
      <c r="CP485" s="119"/>
      <c r="CQ485" s="119"/>
      <c r="CR485" s="119"/>
      <c r="CS485" s="119"/>
      <c r="CT485" s="119"/>
      <c r="CU485" s="119"/>
      <c r="CV485" s="119"/>
      <c r="CW485" s="119"/>
      <c r="CX485" s="119"/>
      <c r="CY485" s="119"/>
      <c r="CZ485" s="119"/>
      <c r="DA485" s="119"/>
      <c r="DB485" s="119"/>
      <c r="DC485" s="119"/>
      <c r="DD485" s="119"/>
      <c r="DE485" s="119"/>
      <c r="DF485" s="119"/>
      <c r="DG485" s="119"/>
      <c r="DH485" s="119"/>
      <c r="DI485" s="119"/>
      <c r="DJ485" s="119"/>
      <c r="DK485" s="119"/>
      <c r="DL485" s="119"/>
      <c r="DM485" s="119"/>
      <c r="DN485" s="119"/>
      <c r="DO485" s="119"/>
      <c r="DP485" s="119"/>
      <c r="DQ485" s="119"/>
      <c r="DR485" s="119"/>
      <c r="DS485" s="119"/>
      <c r="DT485" s="119"/>
      <c r="DU485" s="119"/>
      <c r="DV485" s="119"/>
      <c r="DW485" s="119"/>
      <c r="DX485" s="119"/>
      <c r="DY485" s="119"/>
      <c r="DZ485" s="119"/>
      <c r="EA485" s="119"/>
      <c r="EB485" s="119"/>
      <c r="EC485" s="119"/>
      <c r="ED485" s="119"/>
      <c r="EE485" s="119"/>
      <c r="EF485" s="119"/>
      <c r="EG485" s="119"/>
      <c r="EH485" s="119"/>
      <c r="EI485" s="119"/>
      <c r="EJ485" s="119"/>
      <c r="EK485" s="119"/>
      <c r="EL485" s="119"/>
      <c r="EM485" s="119"/>
      <c r="EN485" s="119"/>
      <c r="EO485" s="119"/>
      <c r="EP485" s="119"/>
      <c r="EQ485" s="119"/>
      <c r="ER485" s="119"/>
      <c r="ES485" s="119"/>
      <c r="ET485" s="119"/>
      <c r="EU485" s="119"/>
      <c r="EV485" s="119"/>
      <c r="EW485" s="119"/>
      <c r="EX485" s="119"/>
      <c r="EY485" s="119"/>
      <c r="EZ485" s="119"/>
      <c r="FA485" s="119"/>
      <c r="FB485" s="119"/>
      <c r="FC485" s="119"/>
      <c r="FD485" s="119"/>
      <c r="FE485" s="119"/>
      <c r="FF485" s="119"/>
      <c r="FG485" s="119"/>
      <c r="FH485" s="119"/>
      <c r="FI485" s="119"/>
      <c r="FJ485" s="119"/>
      <c r="FK485" s="119"/>
      <c r="FL485" s="119"/>
      <c r="FM485" s="119"/>
      <c r="FN485" s="119"/>
      <c r="FO485" s="119"/>
      <c r="FP485" s="119"/>
      <c r="FQ485" s="119"/>
      <c r="FR485" s="119"/>
    </row>
    <row x14ac:dyDescent="0.25" r="486" customHeight="1" ht="15">
      <c r="A486" s="112"/>
      <c r="B486" s="112"/>
      <c r="C486" s="107"/>
      <c r="D486" s="107"/>
      <c r="E486" s="120"/>
      <c r="F486" s="120"/>
      <c r="G486" s="109">
        <f>IF((F486-E486)&lt;0,0,(F486-E486))</f>
      </c>
      <c r="H486" s="110"/>
      <c r="I486" s="111">
        <f>IFERROR(SUMPRODUCT($G486*VLOOKUP($C486,'Vehicle Master'!$D:$F,3,0)),"")</f>
      </c>
      <c r="J486" s="11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19"/>
      <c r="AN486" s="119"/>
      <c r="AO486" s="119"/>
      <c r="AP486" s="119"/>
      <c r="AQ486" s="119"/>
      <c r="AR486" s="119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119"/>
      <c r="BF486" s="119"/>
      <c r="BG486" s="119"/>
      <c r="BH486" s="119"/>
      <c r="BI486" s="119"/>
      <c r="BJ486" s="119"/>
      <c r="BK486" s="119"/>
      <c r="BL486" s="119"/>
      <c r="BM486" s="119"/>
      <c r="BN486" s="119"/>
      <c r="BO486" s="119"/>
      <c r="BP486" s="119"/>
      <c r="BQ486" s="119"/>
      <c r="BR486" s="119"/>
      <c r="BS486" s="119"/>
      <c r="BT486" s="119"/>
      <c r="BU486" s="119"/>
      <c r="BV486" s="119"/>
      <c r="BW486" s="119"/>
      <c r="BX486" s="119"/>
      <c r="BY486" s="119"/>
      <c r="BZ486" s="119"/>
      <c r="CA486" s="119"/>
      <c r="CB486" s="119"/>
      <c r="CC486" s="119"/>
      <c r="CD486" s="119"/>
      <c r="CE486" s="119"/>
      <c r="CF486" s="119"/>
      <c r="CG486" s="119"/>
      <c r="CH486" s="119"/>
      <c r="CI486" s="119"/>
      <c r="CJ486" s="119"/>
      <c r="CK486" s="119"/>
      <c r="CL486" s="119"/>
      <c r="CM486" s="119"/>
      <c r="CN486" s="119"/>
      <c r="CO486" s="119"/>
      <c r="CP486" s="119"/>
      <c r="CQ486" s="119"/>
      <c r="CR486" s="119"/>
      <c r="CS486" s="119"/>
      <c r="CT486" s="119"/>
      <c r="CU486" s="119"/>
      <c r="CV486" s="119"/>
      <c r="CW486" s="119"/>
      <c r="CX486" s="119"/>
      <c r="CY486" s="119"/>
      <c r="CZ486" s="119"/>
      <c r="DA486" s="119"/>
      <c r="DB486" s="119"/>
      <c r="DC486" s="119"/>
      <c r="DD486" s="119"/>
      <c r="DE486" s="119"/>
      <c r="DF486" s="119"/>
      <c r="DG486" s="119"/>
      <c r="DH486" s="119"/>
      <c r="DI486" s="119"/>
      <c r="DJ486" s="119"/>
      <c r="DK486" s="119"/>
      <c r="DL486" s="119"/>
      <c r="DM486" s="119"/>
      <c r="DN486" s="119"/>
      <c r="DO486" s="119"/>
      <c r="DP486" s="119"/>
      <c r="DQ486" s="119"/>
      <c r="DR486" s="119"/>
      <c r="DS486" s="119"/>
      <c r="DT486" s="119"/>
      <c r="DU486" s="119"/>
      <c r="DV486" s="119"/>
      <c r="DW486" s="119"/>
      <c r="DX486" s="119"/>
      <c r="DY486" s="119"/>
      <c r="DZ486" s="119"/>
      <c r="EA486" s="119"/>
      <c r="EB486" s="119"/>
      <c r="EC486" s="119"/>
      <c r="ED486" s="119"/>
      <c r="EE486" s="119"/>
      <c r="EF486" s="119"/>
      <c r="EG486" s="119"/>
      <c r="EH486" s="119"/>
      <c r="EI486" s="119"/>
      <c r="EJ486" s="119"/>
      <c r="EK486" s="119"/>
      <c r="EL486" s="119"/>
      <c r="EM486" s="119"/>
      <c r="EN486" s="119"/>
      <c r="EO486" s="119"/>
      <c r="EP486" s="119"/>
      <c r="EQ486" s="119"/>
      <c r="ER486" s="119"/>
      <c r="ES486" s="119"/>
      <c r="ET486" s="119"/>
      <c r="EU486" s="119"/>
      <c r="EV486" s="119"/>
      <c r="EW486" s="119"/>
      <c r="EX486" s="119"/>
      <c r="EY486" s="119"/>
      <c r="EZ486" s="119"/>
      <c r="FA486" s="119"/>
      <c r="FB486" s="119"/>
      <c r="FC486" s="119"/>
      <c r="FD486" s="119"/>
      <c r="FE486" s="119"/>
      <c r="FF486" s="119"/>
      <c r="FG486" s="119"/>
      <c r="FH486" s="119"/>
      <c r="FI486" s="119"/>
      <c r="FJ486" s="119"/>
      <c r="FK486" s="119"/>
      <c r="FL486" s="119"/>
      <c r="FM486" s="119"/>
      <c r="FN486" s="119"/>
      <c r="FO486" s="119"/>
      <c r="FP486" s="119"/>
      <c r="FQ486" s="119"/>
      <c r="FR486" s="119"/>
    </row>
    <row x14ac:dyDescent="0.25" r="487" customHeight="1" ht="15">
      <c r="A487" s="112"/>
      <c r="B487" s="112"/>
      <c r="C487" s="107"/>
      <c r="D487" s="107"/>
      <c r="E487" s="120"/>
      <c r="F487" s="120"/>
      <c r="G487" s="109">
        <f>IF((F487-E487)&lt;0,0,(F487-E487))</f>
      </c>
      <c r="H487" s="110"/>
      <c r="I487" s="111">
        <f>IFERROR(SUMPRODUCT($G487*VLOOKUP($C487,'Vehicle Master'!$D:$F,3,0)),"")</f>
      </c>
      <c r="J487" s="11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19"/>
      <c r="AN487" s="119"/>
      <c r="AO487" s="119"/>
      <c r="AP487" s="119"/>
      <c r="AQ487" s="119"/>
      <c r="AR487" s="119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119"/>
      <c r="BF487" s="119"/>
      <c r="BG487" s="119"/>
      <c r="BH487" s="119"/>
      <c r="BI487" s="119"/>
      <c r="BJ487" s="119"/>
      <c r="BK487" s="119"/>
      <c r="BL487" s="119"/>
      <c r="BM487" s="119"/>
      <c r="BN487" s="119"/>
      <c r="BO487" s="119"/>
      <c r="BP487" s="119"/>
      <c r="BQ487" s="119"/>
      <c r="BR487" s="119"/>
      <c r="BS487" s="119"/>
      <c r="BT487" s="119"/>
      <c r="BU487" s="119"/>
      <c r="BV487" s="119"/>
      <c r="BW487" s="119"/>
      <c r="BX487" s="119"/>
      <c r="BY487" s="119"/>
      <c r="BZ487" s="119"/>
      <c r="CA487" s="119"/>
      <c r="CB487" s="119"/>
      <c r="CC487" s="119"/>
      <c r="CD487" s="119"/>
      <c r="CE487" s="119"/>
      <c r="CF487" s="119"/>
      <c r="CG487" s="119"/>
      <c r="CH487" s="119"/>
      <c r="CI487" s="119"/>
      <c r="CJ487" s="119"/>
      <c r="CK487" s="119"/>
      <c r="CL487" s="119"/>
      <c r="CM487" s="119"/>
      <c r="CN487" s="119"/>
      <c r="CO487" s="119"/>
      <c r="CP487" s="119"/>
      <c r="CQ487" s="119"/>
      <c r="CR487" s="119"/>
      <c r="CS487" s="119"/>
      <c r="CT487" s="119"/>
      <c r="CU487" s="119"/>
      <c r="CV487" s="119"/>
      <c r="CW487" s="119"/>
      <c r="CX487" s="119"/>
      <c r="CY487" s="119"/>
      <c r="CZ487" s="119"/>
      <c r="DA487" s="119"/>
      <c r="DB487" s="119"/>
      <c r="DC487" s="119"/>
      <c r="DD487" s="119"/>
      <c r="DE487" s="119"/>
      <c r="DF487" s="119"/>
      <c r="DG487" s="119"/>
      <c r="DH487" s="119"/>
      <c r="DI487" s="119"/>
      <c r="DJ487" s="119"/>
      <c r="DK487" s="119"/>
      <c r="DL487" s="119"/>
      <c r="DM487" s="119"/>
      <c r="DN487" s="119"/>
      <c r="DO487" s="119"/>
      <c r="DP487" s="119"/>
      <c r="DQ487" s="119"/>
      <c r="DR487" s="119"/>
      <c r="DS487" s="119"/>
      <c r="DT487" s="119"/>
      <c r="DU487" s="119"/>
      <c r="DV487" s="119"/>
      <c r="DW487" s="119"/>
      <c r="DX487" s="119"/>
      <c r="DY487" s="119"/>
      <c r="DZ487" s="119"/>
      <c r="EA487" s="119"/>
      <c r="EB487" s="119"/>
      <c r="EC487" s="119"/>
      <c r="ED487" s="119"/>
      <c r="EE487" s="119"/>
      <c r="EF487" s="119"/>
      <c r="EG487" s="119"/>
      <c r="EH487" s="119"/>
      <c r="EI487" s="119"/>
      <c r="EJ487" s="119"/>
      <c r="EK487" s="119"/>
      <c r="EL487" s="119"/>
      <c r="EM487" s="119"/>
      <c r="EN487" s="119"/>
      <c r="EO487" s="119"/>
      <c r="EP487" s="119"/>
      <c r="EQ487" s="119"/>
      <c r="ER487" s="119"/>
      <c r="ES487" s="119"/>
      <c r="ET487" s="119"/>
      <c r="EU487" s="119"/>
      <c r="EV487" s="119"/>
      <c r="EW487" s="119"/>
      <c r="EX487" s="119"/>
      <c r="EY487" s="119"/>
      <c r="EZ487" s="119"/>
      <c r="FA487" s="119"/>
      <c r="FB487" s="119"/>
      <c r="FC487" s="119"/>
      <c r="FD487" s="119"/>
      <c r="FE487" s="119"/>
      <c r="FF487" s="119"/>
      <c r="FG487" s="119"/>
      <c r="FH487" s="119"/>
      <c r="FI487" s="119"/>
      <c r="FJ487" s="119"/>
      <c r="FK487" s="119"/>
      <c r="FL487" s="119"/>
      <c r="FM487" s="119"/>
      <c r="FN487" s="119"/>
      <c r="FO487" s="119"/>
      <c r="FP487" s="119"/>
      <c r="FQ487" s="119"/>
      <c r="FR487" s="119"/>
    </row>
    <row x14ac:dyDescent="0.25" r="488" customHeight="1" ht="15">
      <c r="A488" s="112"/>
      <c r="B488" s="112"/>
      <c r="C488" s="107"/>
      <c r="D488" s="107"/>
      <c r="E488" s="120"/>
      <c r="F488" s="120"/>
      <c r="G488" s="109">
        <f>IF((F488-E488)&lt;0,0,(F488-E488))</f>
      </c>
      <c r="H488" s="110"/>
      <c r="I488" s="111">
        <f>IFERROR(SUMPRODUCT($G488*VLOOKUP($C488,'Vehicle Master'!$D:$F,3,0)),"")</f>
      </c>
      <c r="J488" s="11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/>
      <c r="AP488" s="119"/>
      <c r="AQ488" s="119"/>
      <c r="AR488" s="119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119"/>
      <c r="BF488" s="119"/>
      <c r="BG488" s="119"/>
      <c r="BH488" s="119"/>
      <c r="BI488" s="119"/>
      <c r="BJ488" s="119"/>
      <c r="BK488" s="119"/>
      <c r="BL488" s="119"/>
      <c r="BM488" s="119"/>
      <c r="BN488" s="119"/>
      <c r="BO488" s="119"/>
      <c r="BP488" s="119"/>
      <c r="BQ488" s="119"/>
      <c r="BR488" s="119"/>
      <c r="BS488" s="119"/>
      <c r="BT488" s="119"/>
      <c r="BU488" s="119"/>
      <c r="BV488" s="119"/>
      <c r="BW488" s="119"/>
      <c r="BX488" s="119"/>
      <c r="BY488" s="119"/>
      <c r="BZ488" s="119"/>
      <c r="CA488" s="119"/>
      <c r="CB488" s="119"/>
      <c r="CC488" s="119"/>
      <c r="CD488" s="119"/>
      <c r="CE488" s="119"/>
      <c r="CF488" s="119"/>
      <c r="CG488" s="119"/>
      <c r="CH488" s="119"/>
      <c r="CI488" s="119"/>
      <c r="CJ488" s="119"/>
      <c r="CK488" s="119"/>
      <c r="CL488" s="119"/>
      <c r="CM488" s="119"/>
      <c r="CN488" s="119"/>
      <c r="CO488" s="119"/>
      <c r="CP488" s="119"/>
      <c r="CQ488" s="119"/>
      <c r="CR488" s="119"/>
      <c r="CS488" s="119"/>
      <c r="CT488" s="119"/>
      <c r="CU488" s="119"/>
      <c r="CV488" s="119"/>
      <c r="CW488" s="119"/>
      <c r="CX488" s="119"/>
      <c r="CY488" s="119"/>
      <c r="CZ488" s="119"/>
      <c r="DA488" s="119"/>
      <c r="DB488" s="119"/>
      <c r="DC488" s="119"/>
      <c r="DD488" s="119"/>
      <c r="DE488" s="119"/>
      <c r="DF488" s="119"/>
      <c r="DG488" s="119"/>
      <c r="DH488" s="119"/>
      <c r="DI488" s="119"/>
      <c r="DJ488" s="119"/>
      <c r="DK488" s="119"/>
      <c r="DL488" s="119"/>
      <c r="DM488" s="119"/>
      <c r="DN488" s="119"/>
      <c r="DO488" s="119"/>
      <c r="DP488" s="119"/>
      <c r="DQ488" s="119"/>
      <c r="DR488" s="119"/>
      <c r="DS488" s="119"/>
      <c r="DT488" s="119"/>
      <c r="DU488" s="119"/>
      <c r="DV488" s="119"/>
      <c r="DW488" s="119"/>
      <c r="DX488" s="119"/>
      <c r="DY488" s="119"/>
      <c r="DZ488" s="119"/>
      <c r="EA488" s="119"/>
      <c r="EB488" s="119"/>
      <c r="EC488" s="119"/>
      <c r="ED488" s="119"/>
      <c r="EE488" s="119"/>
      <c r="EF488" s="119"/>
      <c r="EG488" s="119"/>
      <c r="EH488" s="119"/>
      <c r="EI488" s="119"/>
      <c r="EJ488" s="119"/>
      <c r="EK488" s="119"/>
      <c r="EL488" s="119"/>
      <c r="EM488" s="119"/>
      <c r="EN488" s="119"/>
      <c r="EO488" s="119"/>
      <c r="EP488" s="119"/>
      <c r="EQ488" s="119"/>
      <c r="ER488" s="119"/>
      <c r="ES488" s="119"/>
      <c r="ET488" s="119"/>
      <c r="EU488" s="119"/>
      <c r="EV488" s="119"/>
      <c r="EW488" s="119"/>
      <c r="EX488" s="119"/>
      <c r="EY488" s="119"/>
      <c r="EZ488" s="119"/>
      <c r="FA488" s="119"/>
      <c r="FB488" s="119"/>
      <c r="FC488" s="119"/>
      <c r="FD488" s="119"/>
      <c r="FE488" s="119"/>
      <c r="FF488" s="119"/>
      <c r="FG488" s="119"/>
      <c r="FH488" s="119"/>
      <c r="FI488" s="119"/>
      <c r="FJ488" s="119"/>
      <c r="FK488" s="119"/>
      <c r="FL488" s="119"/>
      <c r="FM488" s="119"/>
      <c r="FN488" s="119"/>
      <c r="FO488" s="119"/>
      <c r="FP488" s="119"/>
      <c r="FQ488" s="119"/>
      <c r="FR488" s="119"/>
    </row>
    <row x14ac:dyDescent="0.25" r="489" customHeight="1" ht="15">
      <c r="A489" s="112"/>
      <c r="B489" s="112"/>
      <c r="C489" s="107"/>
      <c r="D489" s="107"/>
      <c r="E489" s="120"/>
      <c r="F489" s="120"/>
      <c r="G489" s="109">
        <f>IF((F489-E489)&lt;0,0,(F489-E489))</f>
      </c>
      <c r="H489" s="110"/>
      <c r="I489" s="111">
        <f>IFERROR(SUMPRODUCT($G489*VLOOKUP($C489,'Vehicle Master'!$D:$F,3,0)),"")</f>
      </c>
      <c r="J489" s="11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/>
      <c r="AP489" s="119"/>
      <c r="AQ489" s="119"/>
      <c r="AR489" s="119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119"/>
      <c r="BF489" s="119"/>
      <c r="BG489" s="119"/>
      <c r="BH489" s="119"/>
      <c r="BI489" s="119"/>
      <c r="BJ489" s="119"/>
      <c r="BK489" s="119"/>
      <c r="BL489" s="119"/>
      <c r="BM489" s="119"/>
      <c r="BN489" s="119"/>
      <c r="BO489" s="119"/>
      <c r="BP489" s="119"/>
      <c r="BQ489" s="119"/>
      <c r="BR489" s="119"/>
      <c r="BS489" s="119"/>
      <c r="BT489" s="119"/>
      <c r="BU489" s="119"/>
      <c r="BV489" s="119"/>
      <c r="BW489" s="119"/>
      <c r="BX489" s="119"/>
      <c r="BY489" s="119"/>
      <c r="BZ489" s="119"/>
      <c r="CA489" s="119"/>
      <c r="CB489" s="119"/>
      <c r="CC489" s="119"/>
      <c r="CD489" s="119"/>
      <c r="CE489" s="119"/>
      <c r="CF489" s="119"/>
      <c r="CG489" s="119"/>
      <c r="CH489" s="119"/>
      <c r="CI489" s="119"/>
      <c r="CJ489" s="119"/>
      <c r="CK489" s="119"/>
      <c r="CL489" s="119"/>
      <c r="CM489" s="119"/>
      <c r="CN489" s="119"/>
      <c r="CO489" s="119"/>
      <c r="CP489" s="119"/>
      <c r="CQ489" s="119"/>
      <c r="CR489" s="119"/>
      <c r="CS489" s="119"/>
      <c r="CT489" s="119"/>
      <c r="CU489" s="119"/>
      <c r="CV489" s="119"/>
      <c r="CW489" s="119"/>
      <c r="CX489" s="119"/>
      <c r="CY489" s="119"/>
      <c r="CZ489" s="119"/>
      <c r="DA489" s="119"/>
      <c r="DB489" s="119"/>
      <c r="DC489" s="119"/>
      <c r="DD489" s="119"/>
      <c r="DE489" s="119"/>
      <c r="DF489" s="119"/>
      <c r="DG489" s="119"/>
      <c r="DH489" s="119"/>
      <c r="DI489" s="119"/>
      <c r="DJ489" s="119"/>
      <c r="DK489" s="119"/>
      <c r="DL489" s="119"/>
      <c r="DM489" s="119"/>
      <c r="DN489" s="119"/>
      <c r="DO489" s="119"/>
      <c r="DP489" s="119"/>
      <c r="DQ489" s="119"/>
      <c r="DR489" s="119"/>
      <c r="DS489" s="119"/>
      <c r="DT489" s="119"/>
      <c r="DU489" s="119"/>
      <c r="DV489" s="119"/>
      <c r="DW489" s="119"/>
      <c r="DX489" s="119"/>
      <c r="DY489" s="119"/>
      <c r="DZ489" s="119"/>
      <c r="EA489" s="119"/>
      <c r="EB489" s="119"/>
      <c r="EC489" s="119"/>
      <c r="ED489" s="119"/>
      <c r="EE489" s="119"/>
      <c r="EF489" s="119"/>
      <c r="EG489" s="119"/>
      <c r="EH489" s="119"/>
      <c r="EI489" s="119"/>
      <c r="EJ489" s="119"/>
      <c r="EK489" s="119"/>
      <c r="EL489" s="119"/>
      <c r="EM489" s="119"/>
      <c r="EN489" s="119"/>
      <c r="EO489" s="119"/>
      <c r="EP489" s="119"/>
      <c r="EQ489" s="119"/>
      <c r="ER489" s="119"/>
      <c r="ES489" s="119"/>
      <c r="ET489" s="119"/>
      <c r="EU489" s="119"/>
      <c r="EV489" s="119"/>
      <c r="EW489" s="119"/>
      <c r="EX489" s="119"/>
      <c r="EY489" s="119"/>
      <c r="EZ489" s="119"/>
      <c r="FA489" s="119"/>
      <c r="FB489" s="119"/>
      <c r="FC489" s="119"/>
      <c r="FD489" s="119"/>
      <c r="FE489" s="119"/>
      <c r="FF489" s="119"/>
      <c r="FG489" s="119"/>
      <c r="FH489" s="119"/>
      <c r="FI489" s="119"/>
      <c r="FJ489" s="119"/>
      <c r="FK489" s="119"/>
      <c r="FL489" s="119"/>
      <c r="FM489" s="119"/>
      <c r="FN489" s="119"/>
      <c r="FO489" s="119"/>
      <c r="FP489" s="119"/>
      <c r="FQ489" s="119"/>
      <c r="FR489" s="119"/>
    </row>
    <row x14ac:dyDescent="0.25" r="490" customHeight="1" ht="15">
      <c r="A490" s="112"/>
      <c r="B490" s="112"/>
      <c r="C490" s="107"/>
      <c r="D490" s="107"/>
      <c r="E490" s="120"/>
      <c r="F490" s="120"/>
      <c r="G490" s="109">
        <f>IF((F490-E490)&lt;0,0,(F490-E490))</f>
      </c>
      <c r="H490" s="110"/>
      <c r="I490" s="111">
        <f>IFERROR(SUMPRODUCT($G490*VLOOKUP($C490,'Vehicle Master'!$D:$F,3,0)),"")</f>
      </c>
      <c r="J490" s="11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19"/>
      <c r="AN490" s="119"/>
      <c r="AO490" s="119"/>
      <c r="AP490" s="119"/>
      <c r="AQ490" s="119"/>
      <c r="AR490" s="119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119"/>
      <c r="BF490" s="119"/>
      <c r="BG490" s="119"/>
      <c r="BH490" s="119"/>
      <c r="BI490" s="119"/>
      <c r="BJ490" s="119"/>
      <c r="BK490" s="119"/>
      <c r="BL490" s="119"/>
      <c r="BM490" s="119"/>
      <c r="BN490" s="119"/>
      <c r="BO490" s="119"/>
      <c r="BP490" s="119"/>
      <c r="BQ490" s="119"/>
      <c r="BR490" s="119"/>
      <c r="BS490" s="119"/>
      <c r="BT490" s="119"/>
      <c r="BU490" s="119"/>
      <c r="BV490" s="119"/>
      <c r="BW490" s="119"/>
      <c r="BX490" s="119"/>
      <c r="BY490" s="119"/>
      <c r="BZ490" s="119"/>
      <c r="CA490" s="119"/>
      <c r="CB490" s="119"/>
      <c r="CC490" s="119"/>
      <c r="CD490" s="119"/>
      <c r="CE490" s="119"/>
      <c r="CF490" s="119"/>
      <c r="CG490" s="119"/>
      <c r="CH490" s="119"/>
      <c r="CI490" s="119"/>
      <c r="CJ490" s="119"/>
      <c r="CK490" s="119"/>
      <c r="CL490" s="119"/>
      <c r="CM490" s="119"/>
      <c r="CN490" s="119"/>
      <c r="CO490" s="119"/>
      <c r="CP490" s="119"/>
      <c r="CQ490" s="119"/>
      <c r="CR490" s="119"/>
      <c r="CS490" s="119"/>
      <c r="CT490" s="119"/>
      <c r="CU490" s="119"/>
      <c r="CV490" s="119"/>
      <c r="CW490" s="119"/>
      <c r="CX490" s="119"/>
      <c r="CY490" s="119"/>
      <c r="CZ490" s="119"/>
      <c r="DA490" s="119"/>
      <c r="DB490" s="119"/>
      <c r="DC490" s="119"/>
      <c r="DD490" s="119"/>
      <c r="DE490" s="119"/>
      <c r="DF490" s="119"/>
      <c r="DG490" s="119"/>
      <c r="DH490" s="119"/>
      <c r="DI490" s="119"/>
      <c r="DJ490" s="119"/>
      <c r="DK490" s="119"/>
      <c r="DL490" s="119"/>
      <c r="DM490" s="119"/>
      <c r="DN490" s="119"/>
      <c r="DO490" s="119"/>
      <c r="DP490" s="119"/>
      <c r="DQ490" s="119"/>
      <c r="DR490" s="119"/>
      <c r="DS490" s="119"/>
      <c r="DT490" s="119"/>
      <c r="DU490" s="119"/>
      <c r="DV490" s="119"/>
      <c r="DW490" s="119"/>
      <c r="DX490" s="119"/>
      <c r="DY490" s="119"/>
      <c r="DZ490" s="119"/>
      <c r="EA490" s="119"/>
      <c r="EB490" s="119"/>
      <c r="EC490" s="119"/>
      <c r="ED490" s="119"/>
      <c r="EE490" s="119"/>
      <c r="EF490" s="119"/>
      <c r="EG490" s="119"/>
      <c r="EH490" s="119"/>
      <c r="EI490" s="119"/>
      <c r="EJ490" s="119"/>
      <c r="EK490" s="119"/>
      <c r="EL490" s="119"/>
      <c r="EM490" s="119"/>
      <c r="EN490" s="119"/>
      <c r="EO490" s="119"/>
      <c r="EP490" s="119"/>
      <c r="EQ490" s="119"/>
      <c r="ER490" s="119"/>
      <c r="ES490" s="119"/>
      <c r="ET490" s="119"/>
      <c r="EU490" s="119"/>
      <c r="EV490" s="119"/>
      <c r="EW490" s="119"/>
      <c r="EX490" s="119"/>
      <c r="EY490" s="119"/>
      <c r="EZ490" s="119"/>
      <c r="FA490" s="119"/>
      <c r="FB490" s="119"/>
      <c r="FC490" s="119"/>
      <c r="FD490" s="119"/>
      <c r="FE490" s="119"/>
      <c r="FF490" s="119"/>
      <c r="FG490" s="119"/>
      <c r="FH490" s="119"/>
      <c r="FI490" s="119"/>
      <c r="FJ490" s="119"/>
      <c r="FK490" s="119"/>
      <c r="FL490" s="119"/>
      <c r="FM490" s="119"/>
      <c r="FN490" s="119"/>
      <c r="FO490" s="119"/>
      <c r="FP490" s="119"/>
      <c r="FQ490" s="119"/>
      <c r="FR490" s="119"/>
    </row>
    <row x14ac:dyDescent="0.25" r="491" customHeight="1" ht="15">
      <c r="A491" s="112"/>
      <c r="B491" s="112"/>
      <c r="C491" s="107"/>
      <c r="D491" s="107"/>
      <c r="E491" s="120"/>
      <c r="F491" s="120"/>
      <c r="G491" s="109">
        <f>IF((F491-E491)&lt;0,0,(F491-E491))</f>
      </c>
      <c r="H491" s="110"/>
      <c r="I491" s="111">
        <f>IFERROR(SUMPRODUCT($G491*VLOOKUP($C491,'Vehicle Master'!$D:$F,3,0)),"")</f>
      </c>
      <c r="J491" s="11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19"/>
      <c r="AN491" s="119"/>
      <c r="AO491" s="119"/>
      <c r="AP491" s="119"/>
      <c r="AQ491" s="119"/>
      <c r="AR491" s="119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119"/>
      <c r="BF491" s="119"/>
      <c r="BG491" s="119"/>
      <c r="BH491" s="119"/>
      <c r="BI491" s="119"/>
      <c r="BJ491" s="119"/>
      <c r="BK491" s="119"/>
      <c r="BL491" s="119"/>
      <c r="BM491" s="119"/>
      <c r="BN491" s="119"/>
      <c r="BO491" s="119"/>
      <c r="BP491" s="119"/>
      <c r="BQ491" s="119"/>
      <c r="BR491" s="119"/>
      <c r="BS491" s="119"/>
      <c r="BT491" s="119"/>
      <c r="BU491" s="119"/>
      <c r="BV491" s="119"/>
      <c r="BW491" s="119"/>
      <c r="BX491" s="119"/>
      <c r="BY491" s="119"/>
      <c r="BZ491" s="119"/>
      <c r="CA491" s="119"/>
      <c r="CB491" s="119"/>
      <c r="CC491" s="119"/>
      <c r="CD491" s="119"/>
      <c r="CE491" s="119"/>
      <c r="CF491" s="119"/>
      <c r="CG491" s="119"/>
      <c r="CH491" s="119"/>
      <c r="CI491" s="119"/>
      <c r="CJ491" s="119"/>
      <c r="CK491" s="119"/>
      <c r="CL491" s="119"/>
      <c r="CM491" s="119"/>
      <c r="CN491" s="119"/>
      <c r="CO491" s="119"/>
      <c r="CP491" s="119"/>
      <c r="CQ491" s="119"/>
      <c r="CR491" s="119"/>
      <c r="CS491" s="119"/>
      <c r="CT491" s="119"/>
      <c r="CU491" s="119"/>
      <c r="CV491" s="119"/>
      <c r="CW491" s="119"/>
      <c r="CX491" s="119"/>
      <c r="CY491" s="119"/>
      <c r="CZ491" s="119"/>
      <c r="DA491" s="119"/>
      <c r="DB491" s="119"/>
      <c r="DC491" s="119"/>
      <c r="DD491" s="119"/>
      <c r="DE491" s="119"/>
      <c r="DF491" s="119"/>
      <c r="DG491" s="119"/>
      <c r="DH491" s="119"/>
      <c r="DI491" s="119"/>
      <c r="DJ491" s="119"/>
      <c r="DK491" s="119"/>
      <c r="DL491" s="119"/>
      <c r="DM491" s="119"/>
      <c r="DN491" s="119"/>
      <c r="DO491" s="119"/>
      <c r="DP491" s="119"/>
      <c r="DQ491" s="119"/>
      <c r="DR491" s="119"/>
      <c r="DS491" s="119"/>
      <c r="DT491" s="119"/>
      <c r="DU491" s="119"/>
      <c r="DV491" s="119"/>
      <c r="DW491" s="119"/>
      <c r="DX491" s="119"/>
      <c r="DY491" s="119"/>
      <c r="DZ491" s="119"/>
      <c r="EA491" s="119"/>
      <c r="EB491" s="119"/>
      <c r="EC491" s="119"/>
      <c r="ED491" s="119"/>
      <c r="EE491" s="119"/>
      <c r="EF491" s="119"/>
      <c r="EG491" s="119"/>
      <c r="EH491" s="119"/>
      <c r="EI491" s="119"/>
      <c r="EJ491" s="119"/>
      <c r="EK491" s="119"/>
      <c r="EL491" s="119"/>
      <c r="EM491" s="119"/>
      <c r="EN491" s="119"/>
      <c r="EO491" s="119"/>
      <c r="EP491" s="119"/>
      <c r="EQ491" s="119"/>
      <c r="ER491" s="119"/>
      <c r="ES491" s="119"/>
      <c r="ET491" s="119"/>
      <c r="EU491" s="119"/>
      <c r="EV491" s="119"/>
      <c r="EW491" s="119"/>
      <c r="EX491" s="119"/>
      <c r="EY491" s="119"/>
      <c r="EZ491" s="119"/>
      <c r="FA491" s="119"/>
      <c r="FB491" s="119"/>
      <c r="FC491" s="119"/>
      <c r="FD491" s="119"/>
      <c r="FE491" s="119"/>
      <c r="FF491" s="119"/>
      <c r="FG491" s="119"/>
      <c r="FH491" s="119"/>
      <c r="FI491" s="119"/>
      <c r="FJ491" s="119"/>
      <c r="FK491" s="119"/>
      <c r="FL491" s="119"/>
      <c r="FM491" s="119"/>
      <c r="FN491" s="119"/>
      <c r="FO491" s="119"/>
      <c r="FP491" s="119"/>
      <c r="FQ491" s="119"/>
      <c r="FR491" s="119"/>
    </row>
    <row x14ac:dyDescent="0.25" r="492" customHeight="1" ht="15">
      <c r="A492" s="112"/>
      <c r="B492" s="112"/>
      <c r="C492" s="107"/>
      <c r="D492" s="107"/>
      <c r="E492" s="120"/>
      <c r="F492" s="120"/>
      <c r="G492" s="109">
        <f>IF((F492-E492)&lt;0,0,(F492-E492))</f>
      </c>
      <c r="H492" s="110"/>
      <c r="I492" s="111">
        <f>IFERROR(SUMPRODUCT($G492*VLOOKUP($C492,'Vehicle Master'!$D:$F,3,0)),"")</f>
      </c>
      <c r="J492" s="11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/>
      <c r="AP492" s="119"/>
      <c r="AQ492" s="119"/>
      <c r="AR492" s="119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119"/>
      <c r="BF492" s="119"/>
      <c r="BG492" s="119"/>
      <c r="BH492" s="119"/>
      <c r="BI492" s="119"/>
      <c r="BJ492" s="119"/>
      <c r="BK492" s="119"/>
      <c r="BL492" s="119"/>
      <c r="BM492" s="119"/>
      <c r="BN492" s="119"/>
      <c r="BO492" s="119"/>
      <c r="BP492" s="119"/>
      <c r="BQ492" s="119"/>
      <c r="BR492" s="119"/>
      <c r="BS492" s="119"/>
      <c r="BT492" s="119"/>
      <c r="BU492" s="119"/>
      <c r="BV492" s="119"/>
      <c r="BW492" s="119"/>
      <c r="BX492" s="119"/>
      <c r="BY492" s="119"/>
      <c r="BZ492" s="119"/>
      <c r="CA492" s="119"/>
      <c r="CB492" s="119"/>
      <c r="CC492" s="119"/>
      <c r="CD492" s="119"/>
      <c r="CE492" s="119"/>
      <c r="CF492" s="119"/>
      <c r="CG492" s="119"/>
      <c r="CH492" s="119"/>
      <c r="CI492" s="119"/>
      <c r="CJ492" s="119"/>
      <c r="CK492" s="119"/>
      <c r="CL492" s="119"/>
      <c r="CM492" s="119"/>
      <c r="CN492" s="119"/>
      <c r="CO492" s="119"/>
      <c r="CP492" s="119"/>
      <c r="CQ492" s="119"/>
      <c r="CR492" s="119"/>
      <c r="CS492" s="119"/>
      <c r="CT492" s="119"/>
      <c r="CU492" s="119"/>
      <c r="CV492" s="119"/>
      <c r="CW492" s="119"/>
      <c r="CX492" s="119"/>
      <c r="CY492" s="119"/>
      <c r="CZ492" s="119"/>
      <c r="DA492" s="119"/>
      <c r="DB492" s="119"/>
      <c r="DC492" s="119"/>
      <c r="DD492" s="119"/>
      <c r="DE492" s="119"/>
      <c r="DF492" s="119"/>
      <c r="DG492" s="119"/>
      <c r="DH492" s="119"/>
      <c r="DI492" s="119"/>
      <c r="DJ492" s="119"/>
      <c r="DK492" s="119"/>
      <c r="DL492" s="119"/>
      <c r="DM492" s="119"/>
      <c r="DN492" s="119"/>
      <c r="DO492" s="119"/>
      <c r="DP492" s="119"/>
      <c r="DQ492" s="119"/>
      <c r="DR492" s="119"/>
      <c r="DS492" s="119"/>
      <c r="DT492" s="119"/>
      <c r="DU492" s="119"/>
      <c r="DV492" s="119"/>
      <c r="DW492" s="119"/>
      <c r="DX492" s="119"/>
      <c r="DY492" s="119"/>
      <c r="DZ492" s="119"/>
      <c r="EA492" s="119"/>
      <c r="EB492" s="119"/>
      <c r="EC492" s="119"/>
      <c r="ED492" s="119"/>
      <c r="EE492" s="119"/>
      <c r="EF492" s="119"/>
      <c r="EG492" s="119"/>
      <c r="EH492" s="119"/>
      <c r="EI492" s="119"/>
      <c r="EJ492" s="119"/>
      <c r="EK492" s="119"/>
      <c r="EL492" s="119"/>
      <c r="EM492" s="119"/>
      <c r="EN492" s="119"/>
      <c r="EO492" s="119"/>
      <c r="EP492" s="119"/>
      <c r="EQ492" s="119"/>
      <c r="ER492" s="119"/>
      <c r="ES492" s="119"/>
      <c r="ET492" s="119"/>
      <c r="EU492" s="119"/>
      <c r="EV492" s="119"/>
      <c r="EW492" s="119"/>
      <c r="EX492" s="119"/>
      <c r="EY492" s="119"/>
      <c r="EZ492" s="119"/>
      <c r="FA492" s="119"/>
      <c r="FB492" s="119"/>
      <c r="FC492" s="119"/>
      <c r="FD492" s="119"/>
      <c r="FE492" s="119"/>
      <c r="FF492" s="119"/>
      <c r="FG492" s="119"/>
      <c r="FH492" s="119"/>
      <c r="FI492" s="119"/>
      <c r="FJ492" s="119"/>
      <c r="FK492" s="119"/>
      <c r="FL492" s="119"/>
      <c r="FM492" s="119"/>
      <c r="FN492" s="119"/>
      <c r="FO492" s="119"/>
      <c r="FP492" s="119"/>
      <c r="FQ492" s="119"/>
      <c r="FR492" s="119"/>
    </row>
    <row x14ac:dyDescent="0.25" r="493" customHeight="1" ht="15">
      <c r="A493" s="112"/>
      <c r="B493" s="112"/>
      <c r="C493" s="107"/>
      <c r="D493" s="107"/>
      <c r="E493" s="120"/>
      <c r="F493" s="120"/>
      <c r="G493" s="109">
        <f>IF((F493-E493)&lt;0,0,(F493-E493))</f>
      </c>
      <c r="H493" s="110"/>
      <c r="I493" s="111">
        <f>IFERROR(SUMPRODUCT($G493*VLOOKUP($C493,'Vehicle Master'!$D:$F,3,0)),"")</f>
      </c>
      <c r="J493" s="11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119"/>
      <c r="BF493" s="119"/>
      <c r="BG493" s="119"/>
      <c r="BH493" s="119"/>
      <c r="BI493" s="119"/>
      <c r="BJ493" s="119"/>
      <c r="BK493" s="119"/>
      <c r="BL493" s="119"/>
      <c r="BM493" s="119"/>
      <c r="BN493" s="119"/>
      <c r="BO493" s="119"/>
      <c r="BP493" s="119"/>
      <c r="BQ493" s="119"/>
      <c r="BR493" s="119"/>
      <c r="BS493" s="119"/>
      <c r="BT493" s="119"/>
      <c r="BU493" s="119"/>
      <c r="BV493" s="119"/>
      <c r="BW493" s="119"/>
      <c r="BX493" s="119"/>
      <c r="BY493" s="119"/>
      <c r="BZ493" s="119"/>
      <c r="CA493" s="119"/>
      <c r="CB493" s="119"/>
      <c r="CC493" s="119"/>
      <c r="CD493" s="119"/>
      <c r="CE493" s="119"/>
      <c r="CF493" s="119"/>
      <c r="CG493" s="119"/>
      <c r="CH493" s="119"/>
      <c r="CI493" s="119"/>
      <c r="CJ493" s="119"/>
      <c r="CK493" s="119"/>
      <c r="CL493" s="119"/>
      <c r="CM493" s="119"/>
      <c r="CN493" s="119"/>
      <c r="CO493" s="119"/>
      <c r="CP493" s="119"/>
      <c r="CQ493" s="119"/>
      <c r="CR493" s="119"/>
      <c r="CS493" s="119"/>
      <c r="CT493" s="119"/>
      <c r="CU493" s="119"/>
      <c r="CV493" s="119"/>
      <c r="CW493" s="119"/>
      <c r="CX493" s="119"/>
      <c r="CY493" s="119"/>
      <c r="CZ493" s="119"/>
      <c r="DA493" s="119"/>
      <c r="DB493" s="119"/>
      <c r="DC493" s="119"/>
      <c r="DD493" s="119"/>
      <c r="DE493" s="119"/>
      <c r="DF493" s="119"/>
      <c r="DG493" s="119"/>
      <c r="DH493" s="119"/>
      <c r="DI493" s="119"/>
      <c r="DJ493" s="119"/>
      <c r="DK493" s="119"/>
      <c r="DL493" s="119"/>
      <c r="DM493" s="119"/>
      <c r="DN493" s="119"/>
      <c r="DO493" s="119"/>
      <c r="DP493" s="119"/>
      <c r="DQ493" s="119"/>
      <c r="DR493" s="119"/>
      <c r="DS493" s="119"/>
      <c r="DT493" s="119"/>
      <c r="DU493" s="119"/>
      <c r="DV493" s="119"/>
      <c r="DW493" s="119"/>
      <c r="DX493" s="119"/>
      <c r="DY493" s="119"/>
      <c r="DZ493" s="119"/>
      <c r="EA493" s="119"/>
      <c r="EB493" s="119"/>
      <c r="EC493" s="119"/>
      <c r="ED493" s="119"/>
      <c r="EE493" s="119"/>
      <c r="EF493" s="119"/>
      <c r="EG493" s="119"/>
      <c r="EH493" s="119"/>
      <c r="EI493" s="119"/>
      <c r="EJ493" s="119"/>
      <c r="EK493" s="119"/>
      <c r="EL493" s="119"/>
      <c r="EM493" s="119"/>
      <c r="EN493" s="119"/>
      <c r="EO493" s="119"/>
      <c r="EP493" s="119"/>
      <c r="EQ493" s="119"/>
      <c r="ER493" s="119"/>
      <c r="ES493" s="119"/>
      <c r="ET493" s="119"/>
      <c r="EU493" s="119"/>
      <c r="EV493" s="119"/>
      <c r="EW493" s="119"/>
      <c r="EX493" s="119"/>
      <c r="EY493" s="119"/>
      <c r="EZ493" s="119"/>
      <c r="FA493" s="119"/>
      <c r="FB493" s="119"/>
      <c r="FC493" s="119"/>
      <c r="FD493" s="119"/>
      <c r="FE493" s="119"/>
      <c r="FF493" s="119"/>
      <c r="FG493" s="119"/>
      <c r="FH493" s="119"/>
      <c r="FI493" s="119"/>
      <c r="FJ493" s="119"/>
      <c r="FK493" s="119"/>
      <c r="FL493" s="119"/>
      <c r="FM493" s="119"/>
      <c r="FN493" s="119"/>
      <c r="FO493" s="119"/>
      <c r="FP493" s="119"/>
      <c r="FQ493" s="119"/>
      <c r="FR493" s="119"/>
    </row>
    <row x14ac:dyDescent="0.25" r="494" customHeight="1" ht="15">
      <c r="A494" s="112"/>
      <c r="B494" s="112"/>
      <c r="C494" s="107"/>
      <c r="D494" s="107"/>
      <c r="E494" s="120"/>
      <c r="F494" s="120"/>
      <c r="G494" s="109">
        <f>IF((F494-E494)&lt;0,0,(F494-E494))</f>
      </c>
      <c r="H494" s="110"/>
      <c r="I494" s="111">
        <f>IFERROR(SUMPRODUCT($G494*VLOOKUP($C494,'Vehicle Master'!$D:$F,3,0)),"")</f>
      </c>
      <c r="J494" s="11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19"/>
      <c r="AN494" s="119"/>
      <c r="AO494" s="119"/>
      <c r="AP494" s="119"/>
      <c r="AQ494" s="119"/>
      <c r="AR494" s="119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119"/>
      <c r="BF494" s="119"/>
      <c r="BG494" s="119"/>
      <c r="BH494" s="119"/>
      <c r="BI494" s="119"/>
      <c r="BJ494" s="119"/>
      <c r="BK494" s="119"/>
      <c r="BL494" s="119"/>
      <c r="BM494" s="119"/>
      <c r="BN494" s="119"/>
      <c r="BO494" s="119"/>
      <c r="BP494" s="119"/>
      <c r="BQ494" s="119"/>
      <c r="BR494" s="119"/>
      <c r="BS494" s="119"/>
      <c r="BT494" s="119"/>
      <c r="BU494" s="119"/>
      <c r="BV494" s="119"/>
      <c r="BW494" s="119"/>
      <c r="BX494" s="119"/>
      <c r="BY494" s="119"/>
      <c r="BZ494" s="119"/>
      <c r="CA494" s="119"/>
      <c r="CB494" s="119"/>
      <c r="CC494" s="119"/>
      <c r="CD494" s="119"/>
      <c r="CE494" s="119"/>
      <c r="CF494" s="119"/>
      <c r="CG494" s="119"/>
      <c r="CH494" s="119"/>
      <c r="CI494" s="119"/>
      <c r="CJ494" s="119"/>
      <c r="CK494" s="119"/>
      <c r="CL494" s="119"/>
      <c r="CM494" s="119"/>
      <c r="CN494" s="119"/>
      <c r="CO494" s="119"/>
      <c r="CP494" s="119"/>
      <c r="CQ494" s="119"/>
      <c r="CR494" s="119"/>
      <c r="CS494" s="119"/>
      <c r="CT494" s="119"/>
      <c r="CU494" s="119"/>
      <c r="CV494" s="119"/>
      <c r="CW494" s="119"/>
      <c r="CX494" s="119"/>
      <c r="CY494" s="119"/>
      <c r="CZ494" s="119"/>
      <c r="DA494" s="119"/>
      <c r="DB494" s="119"/>
      <c r="DC494" s="119"/>
      <c r="DD494" s="119"/>
      <c r="DE494" s="119"/>
      <c r="DF494" s="119"/>
      <c r="DG494" s="119"/>
      <c r="DH494" s="119"/>
      <c r="DI494" s="119"/>
      <c r="DJ494" s="119"/>
      <c r="DK494" s="119"/>
      <c r="DL494" s="119"/>
      <c r="DM494" s="119"/>
      <c r="DN494" s="119"/>
      <c r="DO494" s="119"/>
      <c r="DP494" s="119"/>
      <c r="DQ494" s="119"/>
      <c r="DR494" s="119"/>
      <c r="DS494" s="119"/>
      <c r="DT494" s="119"/>
      <c r="DU494" s="119"/>
      <c r="DV494" s="119"/>
      <c r="DW494" s="119"/>
      <c r="DX494" s="119"/>
      <c r="DY494" s="119"/>
      <c r="DZ494" s="119"/>
      <c r="EA494" s="119"/>
      <c r="EB494" s="119"/>
      <c r="EC494" s="119"/>
      <c r="ED494" s="119"/>
      <c r="EE494" s="119"/>
      <c r="EF494" s="119"/>
      <c r="EG494" s="119"/>
      <c r="EH494" s="119"/>
      <c r="EI494" s="119"/>
      <c r="EJ494" s="119"/>
      <c r="EK494" s="119"/>
      <c r="EL494" s="119"/>
      <c r="EM494" s="119"/>
      <c r="EN494" s="119"/>
      <c r="EO494" s="119"/>
      <c r="EP494" s="119"/>
      <c r="EQ494" s="119"/>
      <c r="ER494" s="119"/>
      <c r="ES494" s="119"/>
      <c r="ET494" s="119"/>
      <c r="EU494" s="119"/>
      <c r="EV494" s="119"/>
      <c r="EW494" s="119"/>
      <c r="EX494" s="119"/>
      <c r="EY494" s="119"/>
      <c r="EZ494" s="119"/>
      <c r="FA494" s="119"/>
      <c r="FB494" s="119"/>
      <c r="FC494" s="119"/>
      <c r="FD494" s="119"/>
      <c r="FE494" s="119"/>
      <c r="FF494" s="119"/>
      <c r="FG494" s="119"/>
      <c r="FH494" s="119"/>
      <c r="FI494" s="119"/>
      <c r="FJ494" s="119"/>
      <c r="FK494" s="119"/>
      <c r="FL494" s="119"/>
      <c r="FM494" s="119"/>
      <c r="FN494" s="119"/>
      <c r="FO494" s="119"/>
      <c r="FP494" s="119"/>
      <c r="FQ494" s="119"/>
      <c r="FR494" s="119"/>
    </row>
    <row x14ac:dyDescent="0.25" r="495" customHeight="1" ht="15">
      <c r="A495" s="112"/>
      <c r="B495" s="112"/>
      <c r="C495" s="107"/>
      <c r="D495" s="107"/>
      <c r="E495" s="120"/>
      <c r="F495" s="120"/>
      <c r="G495" s="109">
        <f>IF((F495-E495)&lt;0,0,(F495-E495))</f>
      </c>
      <c r="H495" s="110"/>
      <c r="I495" s="111">
        <f>IFERROR(SUMPRODUCT($G495*VLOOKUP($C495,'Vehicle Master'!$D:$F,3,0)),"")</f>
      </c>
      <c r="J495" s="11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/>
      <c r="AP495" s="119"/>
      <c r="AQ495" s="119"/>
      <c r="AR495" s="119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119"/>
      <c r="BF495" s="119"/>
      <c r="BG495" s="119"/>
      <c r="BH495" s="119"/>
      <c r="BI495" s="119"/>
      <c r="BJ495" s="119"/>
      <c r="BK495" s="119"/>
      <c r="BL495" s="119"/>
      <c r="BM495" s="119"/>
      <c r="BN495" s="119"/>
      <c r="BO495" s="119"/>
      <c r="BP495" s="119"/>
      <c r="BQ495" s="119"/>
      <c r="BR495" s="119"/>
      <c r="BS495" s="119"/>
      <c r="BT495" s="119"/>
      <c r="BU495" s="119"/>
      <c r="BV495" s="119"/>
      <c r="BW495" s="119"/>
      <c r="BX495" s="119"/>
      <c r="BY495" s="119"/>
      <c r="BZ495" s="119"/>
      <c r="CA495" s="119"/>
      <c r="CB495" s="119"/>
      <c r="CC495" s="119"/>
      <c r="CD495" s="119"/>
      <c r="CE495" s="119"/>
      <c r="CF495" s="119"/>
      <c r="CG495" s="119"/>
      <c r="CH495" s="119"/>
      <c r="CI495" s="119"/>
      <c r="CJ495" s="119"/>
      <c r="CK495" s="119"/>
      <c r="CL495" s="119"/>
      <c r="CM495" s="119"/>
      <c r="CN495" s="119"/>
      <c r="CO495" s="119"/>
      <c r="CP495" s="119"/>
      <c r="CQ495" s="119"/>
      <c r="CR495" s="119"/>
      <c r="CS495" s="119"/>
      <c r="CT495" s="119"/>
      <c r="CU495" s="119"/>
      <c r="CV495" s="119"/>
      <c r="CW495" s="119"/>
      <c r="CX495" s="119"/>
      <c r="CY495" s="119"/>
      <c r="CZ495" s="119"/>
      <c r="DA495" s="119"/>
      <c r="DB495" s="119"/>
      <c r="DC495" s="119"/>
      <c r="DD495" s="119"/>
      <c r="DE495" s="119"/>
      <c r="DF495" s="119"/>
      <c r="DG495" s="119"/>
      <c r="DH495" s="119"/>
      <c r="DI495" s="119"/>
      <c r="DJ495" s="119"/>
      <c r="DK495" s="119"/>
      <c r="DL495" s="119"/>
      <c r="DM495" s="119"/>
      <c r="DN495" s="119"/>
      <c r="DO495" s="119"/>
      <c r="DP495" s="119"/>
      <c r="DQ495" s="119"/>
      <c r="DR495" s="119"/>
      <c r="DS495" s="119"/>
      <c r="DT495" s="119"/>
      <c r="DU495" s="119"/>
      <c r="DV495" s="119"/>
      <c r="DW495" s="119"/>
      <c r="DX495" s="119"/>
      <c r="DY495" s="119"/>
      <c r="DZ495" s="119"/>
      <c r="EA495" s="119"/>
      <c r="EB495" s="119"/>
      <c r="EC495" s="119"/>
      <c r="ED495" s="119"/>
      <c r="EE495" s="119"/>
      <c r="EF495" s="119"/>
      <c r="EG495" s="119"/>
      <c r="EH495" s="119"/>
      <c r="EI495" s="119"/>
      <c r="EJ495" s="119"/>
      <c r="EK495" s="119"/>
      <c r="EL495" s="119"/>
      <c r="EM495" s="119"/>
      <c r="EN495" s="119"/>
      <c r="EO495" s="119"/>
      <c r="EP495" s="119"/>
      <c r="EQ495" s="119"/>
      <c r="ER495" s="119"/>
      <c r="ES495" s="119"/>
      <c r="ET495" s="119"/>
      <c r="EU495" s="119"/>
      <c r="EV495" s="119"/>
      <c r="EW495" s="119"/>
      <c r="EX495" s="119"/>
      <c r="EY495" s="119"/>
      <c r="EZ495" s="119"/>
      <c r="FA495" s="119"/>
      <c r="FB495" s="119"/>
      <c r="FC495" s="119"/>
      <c r="FD495" s="119"/>
      <c r="FE495" s="119"/>
      <c r="FF495" s="119"/>
      <c r="FG495" s="119"/>
      <c r="FH495" s="119"/>
      <c r="FI495" s="119"/>
      <c r="FJ495" s="119"/>
      <c r="FK495" s="119"/>
      <c r="FL495" s="119"/>
      <c r="FM495" s="119"/>
      <c r="FN495" s="119"/>
      <c r="FO495" s="119"/>
      <c r="FP495" s="119"/>
      <c r="FQ495" s="119"/>
      <c r="FR495" s="119"/>
    </row>
    <row x14ac:dyDescent="0.25" r="496" customHeight="1" ht="15">
      <c r="A496" s="112"/>
      <c r="B496" s="112"/>
      <c r="C496" s="107"/>
      <c r="D496" s="107"/>
      <c r="E496" s="120"/>
      <c r="F496" s="120"/>
      <c r="G496" s="109">
        <f>IF((F496-E496)&lt;0,0,(F496-E496))</f>
      </c>
      <c r="H496" s="110"/>
      <c r="I496" s="111">
        <f>IFERROR(SUMPRODUCT($G496*VLOOKUP($C496,'Vehicle Master'!$D:$F,3,0)),"")</f>
      </c>
      <c r="J496" s="11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/>
      <c r="AP496" s="119"/>
      <c r="AQ496" s="119"/>
      <c r="AR496" s="119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119"/>
      <c r="BF496" s="119"/>
      <c r="BG496" s="119"/>
      <c r="BH496" s="119"/>
      <c r="BI496" s="119"/>
      <c r="BJ496" s="119"/>
      <c r="BK496" s="119"/>
      <c r="BL496" s="119"/>
      <c r="BM496" s="119"/>
      <c r="BN496" s="119"/>
      <c r="BO496" s="119"/>
      <c r="BP496" s="119"/>
      <c r="BQ496" s="119"/>
      <c r="BR496" s="119"/>
      <c r="BS496" s="119"/>
      <c r="BT496" s="119"/>
      <c r="BU496" s="119"/>
      <c r="BV496" s="119"/>
      <c r="BW496" s="119"/>
      <c r="BX496" s="119"/>
      <c r="BY496" s="119"/>
      <c r="BZ496" s="119"/>
      <c r="CA496" s="119"/>
      <c r="CB496" s="119"/>
      <c r="CC496" s="119"/>
      <c r="CD496" s="119"/>
      <c r="CE496" s="119"/>
      <c r="CF496" s="119"/>
      <c r="CG496" s="119"/>
      <c r="CH496" s="119"/>
      <c r="CI496" s="119"/>
      <c r="CJ496" s="119"/>
      <c r="CK496" s="119"/>
      <c r="CL496" s="119"/>
      <c r="CM496" s="119"/>
      <c r="CN496" s="119"/>
      <c r="CO496" s="119"/>
      <c r="CP496" s="119"/>
      <c r="CQ496" s="119"/>
      <c r="CR496" s="119"/>
      <c r="CS496" s="119"/>
      <c r="CT496" s="119"/>
      <c r="CU496" s="119"/>
      <c r="CV496" s="119"/>
      <c r="CW496" s="119"/>
      <c r="CX496" s="119"/>
      <c r="CY496" s="119"/>
      <c r="CZ496" s="119"/>
      <c r="DA496" s="119"/>
      <c r="DB496" s="119"/>
      <c r="DC496" s="119"/>
      <c r="DD496" s="119"/>
      <c r="DE496" s="119"/>
      <c r="DF496" s="119"/>
      <c r="DG496" s="119"/>
      <c r="DH496" s="119"/>
      <c r="DI496" s="119"/>
      <c r="DJ496" s="119"/>
      <c r="DK496" s="119"/>
      <c r="DL496" s="119"/>
      <c r="DM496" s="119"/>
      <c r="DN496" s="119"/>
      <c r="DO496" s="119"/>
      <c r="DP496" s="119"/>
      <c r="DQ496" s="119"/>
      <c r="DR496" s="119"/>
      <c r="DS496" s="119"/>
      <c r="DT496" s="119"/>
      <c r="DU496" s="119"/>
      <c r="DV496" s="119"/>
      <c r="DW496" s="119"/>
      <c r="DX496" s="119"/>
      <c r="DY496" s="119"/>
      <c r="DZ496" s="119"/>
      <c r="EA496" s="119"/>
      <c r="EB496" s="119"/>
      <c r="EC496" s="119"/>
      <c r="ED496" s="119"/>
      <c r="EE496" s="119"/>
      <c r="EF496" s="119"/>
      <c r="EG496" s="119"/>
      <c r="EH496" s="119"/>
      <c r="EI496" s="119"/>
      <c r="EJ496" s="119"/>
      <c r="EK496" s="119"/>
      <c r="EL496" s="119"/>
      <c r="EM496" s="119"/>
      <c r="EN496" s="119"/>
      <c r="EO496" s="119"/>
      <c r="EP496" s="119"/>
      <c r="EQ496" s="119"/>
      <c r="ER496" s="119"/>
      <c r="ES496" s="119"/>
      <c r="ET496" s="119"/>
      <c r="EU496" s="119"/>
      <c r="EV496" s="119"/>
      <c r="EW496" s="119"/>
      <c r="EX496" s="119"/>
      <c r="EY496" s="119"/>
      <c r="EZ496" s="119"/>
      <c r="FA496" s="119"/>
      <c r="FB496" s="119"/>
      <c r="FC496" s="119"/>
      <c r="FD496" s="119"/>
      <c r="FE496" s="119"/>
      <c r="FF496" s="119"/>
      <c r="FG496" s="119"/>
      <c r="FH496" s="119"/>
      <c r="FI496" s="119"/>
      <c r="FJ496" s="119"/>
      <c r="FK496" s="119"/>
      <c r="FL496" s="119"/>
      <c r="FM496" s="119"/>
      <c r="FN496" s="119"/>
      <c r="FO496" s="119"/>
      <c r="FP496" s="119"/>
      <c r="FQ496" s="119"/>
      <c r="FR496" s="119"/>
    </row>
    <row x14ac:dyDescent="0.25" r="497" customHeight="1" ht="15">
      <c r="A497" s="112"/>
      <c r="B497" s="112"/>
      <c r="C497" s="107"/>
      <c r="D497" s="107"/>
      <c r="E497" s="120"/>
      <c r="F497" s="120"/>
      <c r="G497" s="109">
        <f>IF((F497-E497)&lt;0,0,(F497-E497))</f>
      </c>
      <c r="H497" s="110"/>
      <c r="I497" s="111">
        <f>IFERROR(SUMPRODUCT($G497*VLOOKUP($C497,'Vehicle Master'!$D:$F,3,0)),"")</f>
      </c>
      <c r="J497" s="11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/>
      <c r="AP497" s="119"/>
      <c r="AQ497" s="119"/>
      <c r="AR497" s="119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119"/>
      <c r="BF497" s="119"/>
      <c r="BG497" s="119"/>
      <c r="BH497" s="119"/>
      <c r="BI497" s="119"/>
      <c r="BJ497" s="119"/>
      <c r="BK497" s="119"/>
      <c r="BL497" s="119"/>
      <c r="BM497" s="119"/>
      <c r="BN497" s="119"/>
      <c r="BO497" s="119"/>
      <c r="BP497" s="119"/>
      <c r="BQ497" s="119"/>
      <c r="BR497" s="119"/>
      <c r="BS497" s="119"/>
      <c r="BT497" s="119"/>
      <c r="BU497" s="119"/>
      <c r="BV497" s="119"/>
      <c r="BW497" s="119"/>
      <c r="BX497" s="119"/>
      <c r="BY497" s="119"/>
      <c r="BZ497" s="119"/>
      <c r="CA497" s="119"/>
      <c r="CB497" s="119"/>
      <c r="CC497" s="119"/>
      <c r="CD497" s="119"/>
      <c r="CE497" s="119"/>
      <c r="CF497" s="119"/>
      <c r="CG497" s="119"/>
      <c r="CH497" s="119"/>
      <c r="CI497" s="119"/>
      <c r="CJ497" s="119"/>
      <c r="CK497" s="119"/>
      <c r="CL497" s="119"/>
      <c r="CM497" s="119"/>
      <c r="CN497" s="119"/>
      <c r="CO497" s="119"/>
      <c r="CP497" s="119"/>
      <c r="CQ497" s="119"/>
      <c r="CR497" s="119"/>
      <c r="CS497" s="119"/>
      <c r="CT497" s="119"/>
      <c r="CU497" s="119"/>
      <c r="CV497" s="119"/>
      <c r="CW497" s="119"/>
      <c r="CX497" s="119"/>
      <c r="CY497" s="119"/>
      <c r="CZ497" s="119"/>
      <c r="DA497" s="119"/>
      <c r="DB497" s="119"/>
      <c r="DC497" s="119"/>
      <c r="DD497" s="119"/>
      <c r="DE497" s="119"/>
      <c r="DF497" s="119"/>
      <c r="DG497" s="119"/>
      <c r="DH497" s="119"/>
      <c r="DI497" s="119"/>
      <c r="DJ497" s="119"/>
      <c r="DK497" s="119"/>
      <c r="DL497" s="119"/>
      <c r="DM497" s="119"/>
      <c r="DN497" s="119"/>
      <c r="DO497" s="119"/>
      <c r="DP497" s="119"/>
      <c r="DQ497" s="119"/>
      <c r="DR497" s="119"/>
      <c r="DS497" s="119"/>
      <c r="DT497" s="119"/>
      <c r="DU497" s="119"/>
      <c r="DV497" s="119"/>
      <c r="DW497" s="119"/>
      <c r="DX497" s="119"/>
      <c r="DY497" s="119"/>
      <c r="DZ497" s="119"/>
      <c r="EA497" s="119"/>
      <c r="EB497" s="119"/>
      <c r="EC497" s="119"/>
      <c r="ED497" s="119"/>
      <c r="EE497" s="119"/>
      <c r="EF497" s="119"/>
      <c r="EG497" s="119"/>
      <c r="EH497" s="119"/>
      <c r="EI497" s="119"/>
      <c r="EJ497" s="119"/>
      <c r="EK497" s="119"/>
      <c r="EL497" s="119"/>
      <c r="EM497" s="119"/>
      <c r="EN497" s="119"/>
      <c r="EO497" s="119"/>
      <c r="EP497" s="119"/>
      <c r="EQ497" s="119"/>
      <c r="ER497" s="119"/>
      <c r="ES497" s="119"/>
      <c r="ET497" s="119"/>
      <c r="EU497" s="119"/>
      <c r="EV497" s="119"/>
      <c r="EW497" s="119"/>
      <c r="EX497" s="119"/>
      <c r="EY497" s="119"/>
      <c r="EZ497" s="119"/>
      <c r="FA497" s="119"/>
      <c r="FB497" s="119"/>
      <c r="FC497" s="119"/>
      <c r="FD497" s="119"/>
      <c r="FE497" s="119"/>
      <c r="FF497" s="119"/>
      <c r="FG497" s="119"/>
      <c r="FH497" s="119"/>
      <c r="FI497" s="119"/>
      <c r="FJ497" s="119"/>
      <c r="FK497" s="119"/>
      <c r="FL497" s="119"/>
      <c r="FM497" s="119"/>
      <c r="FN497" s="119"/>
      <c r="FO497" s="119"/>
      <c r="FP497" s="119"/>
      <c r="FQ497" s="119"/>
      <c r="FR497" s="119"/>
    </row>
    <row x14ac:dyDescent="0.25" r="498" customHeight="1" ht="15">
      <c r="A498" s="112"/>
      <c r="B498" s="112"/>
      <c r="C498" s="107"/>
      <c r="D498" s="107"/>
      <c r="E498" s="120"/>
      <c r="F498" s="120"/>
      <c r="G498" s="109">
        <f>IF((F498-E498)&lt;0,0,(F498-E498))</f>
      </c>
      <c r="H498" s="110"/>
      <c r="I498" s="111">
        <f>IFERROR(SUMPRODUCT($G498*VLOOKUP($C498,'Vehicle Master'!$D:$F,3,0)),"")</f>
      </c>
      <c r="J498" s="11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19"/>
      <c r="AN498" s="119"/>
      <c r="AO498" s="119"/>
      <c r="AP498" s="119"/>
      <c r="AQ498" s="119"/>
      <c r="AR498" s="119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119"/>
      <c r="BF498" s="119"/>
      <c r="BG498" s="119"/>
      <c r="BH498" s="119"/>
      <c r="BI498" s="119"/>
      <c r="BJ498" s="119"/>
      <c r="BK498" s="119"/>
      <c r="BL498" s="119"/>
      <c r="BM498" s="119"/>
      <c r="BN498" s="119"/>
      <c r="BO498" s="119"/>
      <c r="BP498" s="119"/>
      <c r="BQ498" s="119"/>
      <c r="BR498" s="119"/>
      <c r="BS498" s="119"/>
      <c r="BT498" s="119"/>
      <c r="BU498" s="119"/>
      <c r="BV498" s="119"/>
      <c r="BW498" s="119"/>
      <c r="BX498" s="119"/>
      <c r="BY498" s="119"/>
      <c r="BZ498" s="119"/>
      <c r="CA498" s="119"/>
      <c r="CB498" s="119"/>
      <c r="CC498" s="119"/>
      <c r="CD498" s="119"/>
      <c r="CE498" s="119"/>
      <c r="CF498" s="119"/>
      <c r="CG498" s="119"/>
      <c r="CH498" s="119"/>
      <c r="CI498" s="119"/>
      <c r="CJ498" s="119"/>
      <c r="CK498" s="119"/>
      <c r="CL498" s="119"/>
      <c r="CM498" s="119"/>
      <c r="CN498" s="119"/>
      <c r="CO498" s="119"/>
      <c r="CP498" s="119"/>
      <c r="CQ498" s="119"/>
      <c r="CR498" s="119"/>
      <c r="CS498" s="119"/>
      <c r="CT498" s="119"/>
      <c r="CU498" s="119"/>
      <c r="CV498" s="119"/>
      <c r="CW498" s="119"/>
      <c r="CX498" s="119"/>
      <c r="CY498" s="119"/>
      <c r="CZ498" s="119"/>
      <c r="DA498" s="119"/>
      <c r="DB498" s="119"/>
      <c r="DC498" s="119"/>
      <c r="DD498" s="119"/>
      <c r="DE498" s="119"/>
      <c r="DF498" s="119"/>
      <c r="DG498" s="119"/>
      <c r="DH498" s="119"/>
      <c r="DI498" s="119"/>
      <c r="DJ498" s="119"/>
      <c r="DK498" s="119"/>
      <c r="DL498" s="119"/>
      <c r="DM498" s="119"/>
      <c r="DN498" s="119"/>
      <c r="DO498" s="119"/>
      <c r="DP498" s="119"/>
      <c r="DQ498" s="119"/>
      <c r="DR498" s="119"/>
      <c r="DS498" s="119"/>
      <c r="DT498" s="119"/>
      <c r="DU498" s="119"/>
      <c r="DV498" s="119"/>
      <c r="DW498" s="119"/>
      <c r="DX498" s="119"/>
      <c r="DY498" s="119"/>
      <c r="DZ498" s="119"/>
      <c r="EA498" s="119"/>
      <c r="EB498" s="119"/>
      <c r="EC498" s="119"/>
      <c r="ED498" s="119"/>
      <c r="EE498" s="119"/>
      <c r="EF498" s="119"/>
      <c r="EG498" s="119"/>
      <c r="EH498" s="119"/>
      <c r="EI498" s="119"/>
      <c r="EJ498" s="119"/>
      <c r="EK498" s="119"/>
      <c r="EL498" s="119"/>
      <c r="EM498" s="119"/>
      <c r="EN498" s="119"/>
      <c r="EO498" s="119"/>
      <c r="EP498" s="119"/>
      <c r="EQ498" s="119"/>
      <c r="ER498" s="119"/>
      <c r="ES498" s="119"/>
      <c r="ET498" s="119"/>
      <c r="EU498" s="119"/>
      <c r="EV498" s="119"/>
      <c r="EW498" s="119"/>
      <c r="EX498" s="119"/>
      <c r="EY498" s="119"/>
      <c r="EZ498" s="119"/>
      <c r="FA498" s="119"/>
      <c r="FB498" s="119"/>
      <c r="FC498" s="119"/>
      <c r="FD498" s="119"/>
      <c r="FE498" s="119"/>
      <c r="FF498" s="119"/>
      <c r="FG498" s="119"/>
      <c r="FH498" s="119"/>
      <c r="FI498" s="119"/>
      <c r="FJ498" s="119"/>
      <c r="FK498" s="119"/>
      <c r="FL498" s="119"/>
      <c r="FM498" s="119"/>
      <c r="FN498" s="119"/>
      <c r="FO498" s="119"/>
      <c r="FP498" s="119"/>
      <c r="FQ498" s="119"/>
      <c r="FR498" s="119"/>
    </row>
    <row x14ac:dyDescent="0.25" r="499" customHeight="1" ht="15">
      <c r="A499" s="112"/>
      <c r="B499" s="112"/>
      <c r="C499" s="107"/>
      <c r="D499" s="107"/>
      <c r="E499" s="120"/>
      <c r="F499" s="120"/>
      <c r="G499" s="109">
        <f>IF((F499-E499)&lt;0,0,(F499-E499))</f>
      </c>
      <c r="H499" s="110"/>
      <c r="I499" s="111">
        <f>IFERROR(SUMPRODUCT($G499*VLOOKUP($C499,'Vehicle Master'!$D:$F,3,0)),"")</f>
      </c>
      <c r="J499" s="11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/>
      <c r="AP499" s="119"/>
      <c r="AQ499" s="119"/>
      <c r="AR499" s="119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119"/>
      <c r="BF499" s="119"/>
      <c r="BG499" s="119"/>
      <c r="BH499" s="119"/>
      <c r="BI499" s="119"/>
      <c r="BJ499" s="119"/>
      <c r="BK499" s="119"/>
      <c r="BL499" s="119"/>
      <c r="BM499" s="119"/>
      <c r="BN499" s="119"/>
      <c r="BO499" s="119"/>
      <c r="BP499" s="119"/>
      <c r="BQ499" s="119"/>
      <c r="BR499" s="119"/>
      <c r="BS499" s="119"/>
      <c r="BT499" s="119"/>
      <c r="BU499" s="119"/>
      <c r="BV499" s="119"/>
      <c r="BW499" s="119"/>
      <c r="BX499" s="119"/>
      <c r="BY499" s="119"/>
      <c r="BZ499" s="119"/>
      <c r="CA499" s="119"/>
      <c r="CB499" s="119"/>
      <c r="CC499" s="119"/>
      <c r="CD499" s="119"/>
      <c r="CE499" s="119"/>
      <c r="CF499" s="119"/>
      <c r="CG499" s="119"/>
      <c r="CH499" s="119"/>
      <c r="CI499" s="119"/>
      <c r="CJ499" s="119"/>
      <c r="CK499" s="119"/>
      <c r="CL499" s="119"/>
      <c r="CM499" s="119"/>
      <c r="CN499" s="119"/>
      <c r="CO499" s="119"/>
      <c r="CP499" s="119"/>
      <c r="CQ499" s="119"/>
      <c r="CR499" s="119"/>
      <c r="CS499" s="119"/>
      <c r="CT499" s="119"/>
      <c r="CU499" s="119"/>
      <c r="CV499" s="119"/>
      <c r="CW499" s="119"/>
      <c r="CX499" s="119"/>
      <c r="CY499" s="119"/>
      <c r="CZ499" s="119"/>
      <c r="DA499" s="119"/>
      <c r="DB499" s="119"/>
      <c r="DC499" s="119"/>
      <c r="DD499" s="119"/>
      <c r="DE499" s="119"/>
      <c r="DF499" s="119"/>
      <c r="DG499" s="119"/>
      <c r="DH499" s="119"/>
      <c r="DI499" s="119"/>
      <c r="DJ499" s="119"/>
      <c r="DK499" s="119"/>
      <c r="DL499" s="119"/>
      <c r="DM499" s="119"/>
      <c r="DN499" s="119"/>
      <c r="DO499" s="119"/>
      <c r="DP499" s="119"/>
      <c r="DQ499" s="119"/>
      <c r="DR499" s="119"/>
      <c r="DS499" s="119"/>
      <c r="DT499" s="119"/>
      <c r="DU499" s="119"/>
      <c r="DV499" s="119"/>
      <c r="DW499" s="119"/>
      <c r="DX499" s="119"/>
      <c r="DY499" s="119"/>
      <c r="DZ499" s="119"/>
      <c r="EA499" s="119"/>
      <c r="EB499" s="119"/>
      <c r="EC499" s="119"/>
      <c r="ED499" s="119"/>
      <c r="EE499" s="119"/>
      <c r="EF499" s="119"/>
      <c r="EG499" s="119"/>
      <c r="EH499" s="119"/>
      <c r="EI499" s="119"/>
      <c r="EJ499" s="119"/>
      <c r="EK499" s="119"/>
      <c r="EL499" s="119"/>
      <c r="EM499" s="119"/>
      <c r="EN499" s="119"/>
      <c r="EO499" s="119"/>
      <c r="EP499" s="119"/>
      <c r="EQ499" s="119"/>
      <c r="ER499" s="119"/>
      <c r="ES499" s="119"/>
      <c r="ET499" s="119"/>
      <c r="EU499" s="119"/>
      <c r="EV499" s="119"/>
      <c r="EW499" s="119"/>
      <c r="EX499" s="119"/>
      <c r="EY499" s="119"/>
      <c r="EZ499" s="119"/>
      <c r="FA499" s="119"/>
      <c r="FB499" s="119"/>
      <c r="FC499" s="119"/>
      <c r="FD499" s="119"/>
      <c r="FE499" s="119"/>
      <c r="FF499" s="119"/>
      <c r="FG499" s="119"/>
      <c r="FH499" s="119"/>
      <c r="FI499" s="119"/>
      <c r="FJ499" s="119"/>
      <c r="FK499" s="119"/>
      <c r="FL499" s="119"/>
      <c r="FM499" s="119"/>
      <c r="FN499" s="119"/>
      <c r="FO499" s="119"/>
      <c r="FP499" s="119"/>
      <c r="FQ499" s="119"/>
      <c r="FR499" s="119"/>
    </row>
    <row x14ac:dyDescent="0.25" r="500" customHeight="1" ht="15">
      <c r="A500" s="112"/>
      <c r="B500" s="112"/>
      <c r="C500" s="107"/>
      <c r="D500" s="107"/>
      <c r="E500" s="120"/>
      <c r="F500" s="120"/>
      <c r="G500" s="109">
        <f>IF((F500-E500)&lt;0,0,(F500-E500))</f>
      </c>
      <c r="H500" s="110"/>
      <c r="I500" s="111">
        <f>IFERROR(SUMPRODUCT($G500*VLOOKUP($C500,'Vehicle Master'!$D:$F,3,0)),"")</f>
      </c>
      <c r="J500" s="11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19"/>
      <c r="AN500" s="119"/>
      <c r="AO500" s="119"/>
      <c r="AP500" s="119"/>
      <c r="AQ500" s="119"/>
      <c r="AR500" s="119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119"/>
      <c r="BF500" s="119"/>
      <c r="BG500" s="119"/>
      <c r="BH500" s="119"/>
      <c r="BI500" s="119"/>
      <c r="BJ500" s="119"/>
      <c r="BK500" s="119"/>
      <c r="BL500" s="119"/>
      <c r="BM500" s="119"/>
      <c r="BN500" s="119"/>
      <c r="BO500" s="119"/>
      <c r="BP500" s="119"/>
      <c r="BQ500" s="119"/>
      <c r="BR500" s="119"/>
      <c r="BS500" s="119"/>
      <c r="BT500" s="119"/>
      <c r="BU500" s="119"/>
      <c r="BV500" s="119"/>
      <c r="BW500" s="119"/>
      <c r="BX500" s="119"/>
      <c r="BY500" s="119"/>
      <c r="BZ500" s="119"/>
      <c r="CA500" s="119"/>
      <c r="CB500" s="119"/>
      <c r="CC500" s="119"/>
      <c r="CD500" s="119"/>
      <c r="CE500" s="119"/>
      <c r="CF500" s="119"/>
      <c r="CG500" s="119"/>
      <c r="CH500" s="119"/>
      <c r="CI500" s="119"/>
      <c r="CJ500" s="119"/>
      <c r="CK500" s="119"/>
      <c r="CL500" s="119"/>
      <c r="CM500" s="119"/>
      <c r="CN500" s="119"/>
      <c r="CO500" s="119"/>
      <c r="CP500" s="119"/>
      <c r="CQ500" s="119"/>
      <c r="CR500" s="119"/>
      <c r="CS500" s="119"/>
      <c r="CT500" s="119"/>
      <c r="CU500" s="119"/>
      <c r="CV500" s="119"/>
      <c r="CW500" s="119"/>
      <c r="CX500" s="119"/>
      <c r="CY500" s="119"/>
      <c r="CZ500" s="119"/>
      <c r="DA500" s="119"/>
      <c r="DB500" s="119"/>
      <c r="DC500" s="119"/>
      <c r="DD500" s="119"/>
      <c r="DE500" s="119"/>
      <c r="DF500" s="119"/>
      <c r="DG500" s="119"/>
      <c r="DH500" s="119"/>
      <c r="DI500" s="119"/>
      <c r="DJ500" s="119"/>
      <c r="DK500" s="119"/>
      <c r="DL500" s="119"/>
      <c r="DM500" s="119"/>
      <c r="DN500" s="119"/>
      <c r="DO500" s="119"/>
      <c r="DP500" s="119"/>
      <c r="DQ500" s="119"/>
      <c r="DR500" s="119"/>
      <c r="DS500" s="119"/>
      <c r="DT500" s="119"/>
      <c r="DU500" s="119"/>
      <c r="DV500" s="119"/>
      <c r="DW500" s="119"/>
      <c r="DX500" s="119"/>
      <c r="DY500" s="119"/>
      <c r="DZ500" s="119"/>
      <c r="EA500" s="119"/>
      <c r="EB500" s="119"/>
      <c r="EC500" s="119"/>
      <c r="ED500" s="119"/>
      <c r="EE500" s="119"/>
      <c r="EF500" s="119"/>
      <c r="EG500" s="119"/>
      <c r="EH500" s="119"/>
      <c r="EI500" s="119"/>
      <c r="EJ500" s="119"/>
      <c r="EK500" s="119"/>
      <c r="EL500" s="119"/>
      <c r="EM500" s="119"/>
      <c r="EN500" s="119"/>
      <c r="EO500" s="119"/>
      <c r="EP500" s="119"/>
      <c r="EQ500" s="119"/>
      <c r="ER500" s="119"/>
      <c r="ES500" s="119"/>
      <c r="ET500" s="119"/>
      <c r="EU500" s="119"/>
      <c r="EV500" s="119"/>
      <c r="EW500" s="119"/>
      <c r="EX500" s="119"/>
      <c r="EY500" s="119"/>
      <c r="EZ500" s="119"/>
      <c r="FA500" s="119"/>
      <c r="FB500" s="119"/>
      <c r="FC500" s="119"/>
      <c r="FD500" s="119"/>
      <c r="FE500" s="119"/>
      <c r="FF500" s="119"/>
      <c r="FG500" s="119"/>
      <c r="FH500" s="119"/>
      <c r="FI500" s="119"/>
      <c r="FJ500" s="119"/>
      <c r="FK500" s="119"/>
      <c r="FL500" s="119"/>
      <c r="FM500" s="119"/>
      <c r="FN500" s="119"/>
      <c r="FO500" s="119"/>
      <c r="FP500" s="119"/>
      <c r="FQ500" s="119"/>
      <c r="FR500" s="119"/>
    </row>
    <row x14ac:dyDescent="0.25" r="501" customHeight="1" ht="15">
      <c r="A501" s="112"/>
      <c r="B501" s="112"/>
      <c r="C501" s="107"/>
      <c r="D501" s="107"/>
      <c r="E501" s="120"/>
      <c r="F501" s="120"/>
      <c r="G501" s="109">
        <f>IF((F501-E501)&lt;0,0,(F501-E501))</f>
      </c>
      <c r="H501" s="110"/>
      <c r="I501" s="111">
        <f>IFERROR(SUMPRODUCT($G501*VLOOKUP($C501,'Vehicle Master'!$D:$F,3,0)),"")</f>
      </c>
      <c r="J501" s="11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19"/>
      <c r="AN501" s="119"/>
      <c r="AO501" s="119"/>
      <c r="AP501" s="119"/>
      <c r="AQ501" s="119"/>
      <c r="AR501" s="119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119"/>
      <c r="BF501" s="119"/>
      <c r="BG501" s="119"/>
      <c r="BH501" s="119"/>
      <c r="BI501" s="119"/>
      <c r="BJ501" s="119"/>
      <c r="BK501" s="119"/>
      <c r="BL501" s="119"/>
      <c r="BM501" s="119"/>
      <c r="BN501" s="119"/>
      <c r="BO501" s="119"/>
      <c r="BP501" s="119"/>
      <c r="BQ501" s="119"/>
      <c r="BR501" s="119"/>
      <c r="BS501" s="119"/>
      <c r="BT501" s="119"/>
      <c r="BU501" s="119"/>
      <c r="BV501" s="119"/>
      <c r="BW501" s="119"/>
      <c r="BX501" s="119"/>
      <c r="BY501" s="119"/>
      <c r="BZ501" s="119"/>
      <c r="CA501" s="119"/>
      <c r="CB501" s="119"/>
      <c r="CC501" s="119"/>
      <c r="CD501" s="119"/>
      <c r="CE501" s="119"/>
      <c r="CF501" s="119"/>
      <c r="CG501" s="119"/>
      <c r="CH501" s="119"/>
      <c r="CI501" s="119"/>
      <c r="CJ501" s="119"/>
      <c r="CK501" s="119"/>
      <c r="CL501" s="119"/>
      <c r="CM501" s="119"/>
      <c r="CN501" s="119"/>
      <c r="CO501" s="119"/>
      <c r="CP501" s="119"/>
      <c r="CQ501" s="119"/>
      <c r="CR501" s="119"/>
      <c r="CS501" s="119"/>
      <c r="CT501" s="119"/>
      <c r="CU501" s="119"/>
      <c r="CV501" s="119"/>
      <c r="CW501" s="119"/>
      <c r="CX501" s="119"/>
      <c r="CY501" s="119"/>
      <c r="CZ501" s="119"/>
      <c r="DA501" s="119"/>
      <c r="DB501" s="119"/>
      <c r="DC501" s="119"/>
      <c r="DD501" s="119"/>
      <c r="DE501" s="119"/>
      <c r="DF501" s="119"/>
      <c r="DG501" s="119"/>
      <c r="DH501" s="119"/>
      <c r="DI501" s="119"/>
      <c r="DJ501" s="119"/>
      <c r="DK501" s="119"/>
      <c r="DL501" s="119"/>
      <c r="DM501" s="119"/>
      <c r="DN501" s="119"/>
      <c r="DO501" s="119"/>
      <c r="DP501" s="119"/>
      <c r="DQ501" s="119"/>
      <c r="DR501" s="119"/>
      <c r="DS501" s="119"/>
      <c r="DT501" s="119"/>
      <c r="DU501" s="119"/>
      <c r="DV501" s="119"/>
      <c r="DW501" s="119"/>
      <c r="DX501" s="119"/>
      <c r="DY501" s="119"/>
      <c r="DZ501" s="119"/>
      <c r="EA501" s="119"/>
      <c r="EB501" s="119"/>
      <c r="EC501" s="119"/>
      <c r="ED501" s="119"/>
      <c r="EE501" s="119"/>
      <c r="EF501" s="119"/>
      <c r="EG501" s="119"/>
      <c r="EH501" s="119"/>
      <c r="EI501" s="119"/>
      <c r="EJ501" s="119"/>
      <c r="EK501" s="119"/>
      <c r="EL501" s="119"/>
      <c r="EM501" s="119"/>
      <c r="EN501" s="119"/>
      <c r="EO501" s="119"/>
      <c r="EP501" s="119"/>
      <c r="EQ501" s="119"/>
      <c r="ER501" s="119"/>
      <c r="ES501" s="119"/>
      <c r="ET501" s="119"/>
      <c r="EU501" s="119"/>
      <c r="EV501" s="119"/>
      <c r="EW501" s="119"/>
      <c r="EX501" s="119"/>
      <c r="EY501" s="119"/>
      <c r="EZ501" s="119"/>
      <c r="FA501" s="119"/>
      <c r="FB501" s="119"/>
      <c r="FC501" s="119"/>
      <c r="FD501" s="119"/>
      <c r="FE501" s="119"/>
      <c r="FF501" s="119"/>
      <c r="FG501" s="119"/>
      <c r="FH501" s="119"/>
      <c r="FI501" s="119"/>
      <c r="FJ501" s="119"/>
      <c r="FK501" s="119"/>
      <c r="FL501" s="119"/>
      <c r="FM501" s="119"/>
      <c r="FN501" s="119"/>
      <c r="FO501" s="119"/>
      <c r="FP501" s="119"/>
      <c r="FQ501" s="119"/>
      <c r="FR501" s="119"/>
    </row>
    <row x14ac:dyDescent="0.25" r="502" customHeight="1" ht="15">
      <c r="A502" s="112"/>
      <c r="B502" s="112"/>
      <c r="C502" s="107"/>
      <c r="D502" s="107"/>
      <c r="E502" s="120"/>
      <c r="F502" s="120"/>
      <c r="G502" s="109">
        <f>IF((F502-E502)&lt;0,0,(F502-E502))</f>
      </c>
      <c r="H502" s="110"/>
      <c r="I502" s="111">
        <f>IFERROR(SUMPRODUCT($G502*VLOOKUP($C502,'Vehicle Master'!$D:$F,3,0)),"")</f>
      </c>
      <c r="J502" s="11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19"/>
      <c r="AN502" s="119"/>
      <c r="AO502" s="119"/>
      <c r="AP502" s="119"/>
      <c r="AQ502" s="119"/>
      <c r="AR502" s="119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119"/>
      <c r="BF502" s="119"/>
      <c r="BG502" s="119"/>
      <c r="BH502" s="119"/>
      <c r="BI502" s="119"/>
      <c r="BJ502" s="119"/>
      <c r="BK502" s="119"/>
      <c r="BL502" s="119"/>
      <c r="BM502" s="119"/>
      <c r="BN502" s="119"/>
      <c r="BO502" s="119"/>
      <c r="BP502" s="119"/>
      <c r="BQ502" s="119"/>
      <c r="BR502" s="119"/>
      <c r="BS502" s="119"/>
      <c r="BT502" s="119"/>
      <c r="BU502" s="119"/>
      <c r="BV502" s="119"/>
      <c r="BW502" s="119"/>
      <c r="BX502" s="119"/>
      <c r="BY502" s="119"/>
      <c r="BZ502" s="119"/>
      <c r="CA502" s="119"/>
      <c r="CB502" s="119"/>
      <c r="CC502" s="119"/>
      <c r="CD502" s="119"/>
      <c r="CE502" s="119"/>
      <c r="CF502" s="119"/>
      <c r="CG502" s="119"/>
      <c r="CH502" s="119"/>
      <c r="CI502" s="119"/>
      <c r="CJ502" s="119"/>
      <c r="CK502" s="119"/>
      <c r="CL502" s="119"/>
      <c r="CM502" s="119"/>
      <c r="CN502" s="119"/>
      <c r="CO502" s="119"/>
      <c r="CP502" s="119"/>
      <c r="CQ502" s="119"/>
      <c r="CR502" s="119"/>
      <c r="CS502" s="119"/>
      <c r="CT502" s="119"/>
      <c r="CU502" s="119"/>
      <c r="CV502" s="119"/>
      <c r="CW502" s="119"/>
      <c r="CX502" s="119"/>
      <c r="CY502" s="119"/>
      <c r="CZ502" s="119"/>
      <c r="DA502" s="119"/>
      <c r="DB502" s="119"/>
      <c r="DC502" s="119"/>
      <c r="DD502" s="119"/>
      <c r="DE502" s="119"/>
      <c r="DF502" s="119"/>
      <c r="DG502" s="119"/>
      <c r="DH502" s="119"/>
      <c r="DI502" s="119"/>
      <c r="DJ502" s="119"/>
      <c r="DK502" s="119"/>
      <c r="DL502" s="119"/>
      <c r="DM502" s="119"/>
      <c r="DN502" s="119"/>
      <c r="DO502" s="119"/>
      <c r="DP502" s="119"/>
      <c r="DQ502" s="119"/>
      <c r="DR502" s="119"/>
      <c r="DS502" s="119"/>
      <c r="DT502" s="119"/>
      <c r="DU502" s="119"/>
      <c r="DV502" s="119"/>
      <c r="DW502" s="119"/>
      <c r="DX502" s="119"/>
      <c r="DY502" s="119"/>
      <c r="DZ502" s="119"/>
      <c r="EA502" s="119"/>
      <c r="EB502" s="119"/>
      <c r="EC502" s="119"/>
      <c r="ED502" s="119"/>
      <c r="EE502" s="119"/>
      <c r="EF502" s="119"/>
      <c r="EG502" s="119"/>
      <c r="EH502" s="119"/>
      <c r="EI502" s="119"/>
      <c r="EJ502" s="119"/>
      <c r="EK502" s="119"/>
      <c r="EL502" s="119"/>
      <c r="EM502" s="119"/>
      <c r="EN502" s="119"/>
      <c r="EO502" s="119"/>
      <c r="EP502" s="119"/>
      <c r="EQ502" s="119"/>
      <c r="ER502" s="119"/>
      <c r="ES502" s="119"/>
      <c r="ET502" s="119"/>
      <c r="EU502" s="119"/>
      <c r="EV502" s="119"/>
      <c r="EW502" s="119"/>
      <c r="EX502" s="119"/>
      <c r="EY502" s="119"/>
      <c r="EZ502" s="119"/>
      <c r="FA502" s="119"/>
      <c r="FB502" s="119"/>
      <c r="FC502" s="119"/>
      <c r="FD502" s="119"/>
      <c r="FE502" s="119"/>
      <c r="FF502" s="119"/>
      <c r="FG502" s="119"/>
      <c r="FH502" s="119"/>
      <c r="FI502" s="119"/>
      <c r="FJ502" s="119"/>
      <c r="FK502" s="119"/>
      <c r="FL502" s="119"/>
      <c r="FM502" s="119"/>
      <c r="FN502" s="119"/>
      <c r="FO502" s="119"/>
      <c r="FP502" s="119"/>
      <c r="FQ502" s="119"/>
      <c r="FR502" s="119"/>
    </row>
    <row x14ac:dyDescent="0.25" r="503" customHeight="1" ht="15">
      <c r="A503" s="112"/>
      <c r="B503" s="112"/>
      <c r="C503" s="107"/>
      <c r="D503" s="107"/>
      <c r="E503" s="120"/>
      <c r="F503" s="120"/>
      <c r="G503" s="109">
        <f>IF((F503-E503)&lt;0,0,(F503-E503))</f>
      </c>
      <c r="H503" s="110"/>
      <c r="I503" s="111">
        <f>IFERROR(SUMPRODUCT($G503*VLOOKUP($C503,'Vehicle Master'!$D:$F,3,0)),"")</f>
      </c>
      <c r="J503" s="11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  <c r="AA503" s="119"/>
      <c r="AB503" s="119"/>
      <c r="AC503" s="119"/>
      <c r="AD503" s="119"/>
      <c r="AE503" s="119"/>
      <c r="AF503" s="119"/>
      <c r="AG503" s="119"/>
      <c r="AH503" s="119"/>
      <c r="AI503" s="119"/>
      <c r="AJ503" s="119"/>
      <c r="AK503" s="119"/>
      <c r="AL503" s="119"/>
      <c r="AM503" s="119"/>
      <c r="AN503" s="119"/>
      <c r="AO503" s="119"/>
      <c r="AP503" s="119"/>
      <c r="AQ503" s="119"/>
      <c r="AR503" s="119"/>
      <c r="AS503" s="119"/>
      <c r="AT503" s="119"/>
      <c r="AU503" s="119"/>
      <c r="AV503" s="119"/>
      <c r="AW503" s="119"/>
      <c r="AX503" s="119"/>
      <c r="AY503" s="119"/>
      <c r="AZ503" s="119"/>
      <c r="BA503" s="119"/>
      <c r="BB503" s="119"/>
      <c r="BC503" s="119"/>
      <c r="BD503" s="119"/>
      <c r="BE503" s="119"/>
      <c r="BF503" s="119"/>
      <c r="BG503" s="119"/>
      <c r="BH503" s="119"/>
      <c r="BI503" s="119"/>
      <c r="BJ503" s="119"/>
      <c r="BK503" s="119"/>
      <c r="BL503" s="119"/>
      <c r="BM503" s="119"/>
      <c r="BN503" s="119"/>
      <c r="BO503" s="119"/>
      <c r="BP503" s="119"/>
      <c r="BQ503" s="119"/>
      <c r="BR503" s="119"/>
      <c r="BS503" s="119"/>
      <c r="BT503" s="119"/>
      <c r="BU503" s="119"/>
      <c r="BV503" s="119"/>
      <c r="BW503" s="119"/>
      <c r="BX503" s="119"/>
      <c r="BY503" s="119"/>
      <c r="BZ503" s="119"/>
      <c r="CA503" s="119"/>
      <c r="CB503" s="119"/>
      <c r="CC503" s="119"/>
      <c r="CD503" s="119"/>
      <c r="CE503" s="119"/>
      <c r="CF503" s="119"/>
      <c r="CG503" s="119"/>
      <c r="CH503" s="119"/>
      <c r="CI503" s="119"/>
      <c r="CJ503" s="119"/>
      <c r="CK503" s="119"/>
      <c r="CL503" s="119"/>
      <c r="CM503" s="119"/>
      <c r="CN503" s="119"/>
      <c r="CO503" s="119"/>
      <c r="CP503" s="119"/>
      <c r="CQ503" s="119"/>
      <c r="CR503" s="119"/>
      <c r="CS503" s="119"/>
      <c r="CT503" s="119"/>
      <c r="CU503" s="119"/>
      <c r="CV503" s="119"/>
      <c r="CW503" s="119"/>
      <c r="CX503" s="119"/>
      <c r="CY503" s="119"/>
      <c r="CZ503" s="119"/>
      <c r="DA503" s="119"/>
      <c r="DB503" s="119"/>
      <c r="DC503" s="119"/>
      <c r="DD503" s="119"/>
      <c r="DE503" s="119"/>
      <c r="DF503" s="119"/>
      <c r="DG503" s="119"/>
      <c r="DH503" s="119"/>
      <c r="DI503" s="119"/>
      <c r="DJ503" s="119"/>
      <c r="DK503" s="119"/>
      <c r="DL503" s="119"/>
      <c r="DM503" s="119"/>
      <c r="DN503" s="119"/>
      <c r="DO503" s="119"/>
      <c r="DP503" s="119"/>
      <c r="DQ503" s="119"/>
      <c r="DR503" s="119"/>
      <c r="DS503" s="119"/>
      <c r="DT503" s="119"/>
      <c r="DU503" s="119"/>
      <c r="DV503" s="119"/>
      <c r="DW503" s="119"/>
      <c r="DX503" s="119"/>
      <c r="DY503" s="119"/>
      <c r="DZ503" s="119"/>
      <c r="EA503" s="119"/>
      <c r="EB503" s="119"/>
      <c r="EC503" s="119"/>
      <c r="ED503" s="119"/>
      <c r="EE503" s="119"/>
      <c r="EF503" s="119"/>
      <c r="EG503" s="119"/>
      <c r="EH503" s="119"/>
      <c r="EI503" s="119"/>
      <c r="EJ503" s="119"/>
      <c r="EK503" s="119"/>
      <c r="EL503" s="119"/>
      <c r="EM503" s="119"/>
      <c r="EN503" s="119"/>
      <c r="EO503" s="119"/>
      <c r="EP503" s="119"/>
      <c r="EQ503" s="119"/>
      <c r="ER503" s="119"/>
      <c r="ES503" s="119"/>
      <c r="ET503" s="119"/>
      <c r="EU503" s="119"/>
      <c r="EV503" s="119"/>
      <c r="EW503" s="119"/>
      <c r="EX503" s="119"/>
      <c r="EY503" s="119"/>
      <c r="EZ503" s="119"/>
      <c r="FA503" s="119"/>
      <c r="FB503" s="119"/>
      <c r="FC503" s="119"/>
      <c r="FD503" s="119"/>
      <c r="FE503" s="119"/>
      <c r="FF503" s="119"/>
      <c r="FG503" s="119"/>
      <c r="FH503" s="119"/>
      <c r="FI503" s="119"/>
      <c r="FJ503" s="119"/>
      <c r="FK503" s="119"/>
      <c r="FL503" s="119"/>
      <c r="FM503" s="119"/>
      <c r="FN503" s="119"/>
      <c r="FO503" s="119"/>
      <c r="FP503" s="119"/>
      <c r="FQ503" s="119"/>
      <c r="FR503" s="119"/>
    </row>
    <row x14ac:dyDescent="0.25" r="504" customHeight="1" ht="15">
      <c r="A504" s="112"/>
      <c r="B504" s="112"/>
      <c r="C504" s="107"/>
      <c r="D504" s="107"/>
      <c r="E504" s="120"/>
      <c r="F504" s="120"/>
      <c r="G504" s="109">
        <f>IF((F504-E504)&lt;0,0,(F504-E504))</f>
      </c>
      <c r="H504" s="110"/>
      <c r="I504" s="111">
        <f>IFERROR(SUMPRODUCT($G504*VLOOKUP($C504,'Vehicle Master'!$D:$F,3,0)),"")</f>
      </c>
      <c r="J504" s="11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  <c r="AA504" s="119"/>
      <c r="AB504" s="119"/>
      <c r="AC504" s="119"/>
      <c r="AD504" s="119"/>
      <c r="AE504" s="119"/>
      <c r="AF504" s="119"/>
      <c r="AG504" s="119"/>
      <c r="AH504" s="119"/>
      <c r="AI504" s="119"/>
      <c r="AJ504" s="119"/>
      <c r="AK504" s="119"/>
      <c r="AL504" s="119"/>
      <c r="AM504" s="119"/>
      <c r="AN504" s="119"/>
      <c r="AO504" s="119"/>
      <c r="AP504" s="119"/>
      <c r="AQ504" s="119"/>
      <c r="AR504" s="119"/>
      <c r="AS504" s="119"/>
      <c r="AT504" s="119"/>
      <c r="AU504" s="119"/>
      <c r="AV504" s="119"/>
      <c r="AW504" s="119"/>
      <c r="AX504" s="119"/>
      <c r="AY504" s="119"/>
      <c r="AZ504" s="119"/>
      <c r="BA504" s="119"/>
      <c r="BB504" s="119"/>
      <c r="BC504" s="119"/>
      <c r="BD504" s="119"/>
      <c r="BE504" s="119"/>
      <c r="BF504" s="119"/>
      <c r="BG504" s="119"/>
      <c r="BH504" s="119"/>
      <c r="BI504" s="119"/>
      <c r="BJ504" s="119"/>
      <c r="BK504" s="119"/>
      <c r="BL504" s="119"/>
      <c r="BM504" s="119"/>
      <c r="BN504" s="119"/>
      <c r="BO504" s="119"/>
      <c r="BP504" s="119"/>
      <c r="BQ504" s="119"/>
      <c r="BR504" s="119"/>
      <c r="BS504" s="119"/>
      <c r="BT504" s="119"/>
      <c r="BU504" s="119"/>
      <c r="BV504" s="119"/>
      <c r="BW504" s="119"/>
      <c r="BX504" s="119"/>
      <c r="BY504" s="119"/>
      <c r="BZ504" s="119"/>
      <c r="CA504" s="119"/>
      <c r="CB504" s="119"/>
      <c r="CC504" s="119"/>
      <c r="CD504" s="119"/>
      <c r="CE504" s="119"/>
      <c r="CF504" s="119"/>
      <c r="CG504" s="119"/>
      <c r="CH504" s="119"/>
      <c r="CI504" s="119"/>
      <c r="CJ504" s="119"/>
      <c r="CK504" s="119"/>
      <c r="CL504" s="119"/>
      <c r="CM504" s="119"/>
      <c r="CN504" s="119"/>
      <c r="CO504" s="119"/>
      <c r="CP504" s="119"/>
      <c r="CQ504" s="119"/>
      <c r="CR504" s="119"/>
      <c r="CS504" s="119"/>
      <c r="CT504" s="119"/>
      <c r="CU504" s="119"/>
      <c r="CV504" s="119"/>
      <c r="CW504" s="119"/>
      <c r="CX504" s="119"/>
      <c r="CY504" s="119"/>
      <c r="CZ504" s="119"/>
      <c r="DA504" s="119"/>
      <c r="DB504" s="119"/>
      <c r="DC504" s="119"/>
      <c r="DD504" s="119"/>
      <c r="DE504" s="119"/>
      <c r="DF504" s="119"/>
      <c r="DG504" s="119"/>
      <c r="DH504" s="119"/>
      <c r="DI504" s="119"/>
      <c r="DJ504" s="119"/>
      <c r="DK504" s="119"/>
      <c r="DL504" s="119"/>
      <c r="DM504" s="119"/>
      <c r="DN504" s="119"/>
      <c r="DO504" s="119"/>
      <c r="DP504" s="119"/>
      <c r="DQ504" s="119"/>
      <c r="DR504" s="119"/>
      <c r="DS504" s="119"/>
      <c r="DT504" s="119"/>
      <c r="DU504" s="119"/>
      <c r="DV504" s="119"/>
      <c r="DW504" s="119"/>
      <c r="DX504" s="119"/>
      <c r="DY504" s="119"/>
      <c r="DZ504" s="119"/>
      <c r="EA504" s="119"/>
      <c r="EB504" s="119"/>
      <c r="EC504" s="119"/>
      <c r="ED504" s="119"/>
      <c r="EE504" s="119"/>
      <c r="EF504" s="119"/>
      <c r="EG504" s="119"/>
      <c r="EH504" s="119"/>
      <c r="EI504" s="119"/>
      <c r="EJ504" s="119"/>
      <c r="EK504" s="119"/>
      <c r="EL504" s="119"/>
      <c r="EM504" s="119"/>
      <c r="EN504" s="119"/>
      <c r="EO504" s="119"/>
      <c r="EP504" s="119"/>
      <c r="EQ504" s="119"/>
      <c r="ER504" s="119"/>
      <c r="ES504" s="119"/>
      <c r="ET504" s="119"/>
      <c r="EU504" s="119"/>
      <c r="EV504" s="119"/>
      <c r="EW504" s="119"/>
      <c r="EX504" s="119"/>
      <c r="EY504" s="119"/>
      <c r="EZ504" s="119"/>
      <c r="FA504" s="119"/>
      <c r="FB504" s="119"/>
      <c r="FC504" s="119"/>
      <c r="FD504" s="119"/>
      <c r="FE504" s="119"/>
      <c r="FF504" s="119"/>
      <c r="FG504" s="119"/>
      <c r="FH504" s="119"/>
      <c r="FI504" s="119"/>
      <c r="FJ504" s="119"/>
      <c r="FK504" s="119"/>
      <c r="FL504" s="119"/>
      <c r="FM504" s="119"/>
      <c r="FN504" s="119"/>
      <c r="FO504" s="119"/>
      <c r="FP504" s="119"/>
      <c r="FQ504" s="119"/>
      <c r="FR504" s="119"/>
    </row>
    <row x14ac:dyDescent="0.25" r="505" customHeight="1" ht="15">
      <c r="A505" s="112"/>
      <c r="B505" s="112"/>
      <c r="C505" s="107"/>
      <c r="D505" s="107"/>
      <c r="E505" s="120"/>
      <c r="F505" s="120"/>
      <c r="G505" s="109">
        <f>IF((F505-E505)&lt;0,0,(F505-E505))</f>
      </c>
      <c r="H505" s="110"/>
      <c r="I505" s="111">
        <f>IFERROR(SUMPRODUCT($G505*VLOOKUP($C505,'Vehicle Master'!$D:$F,3,0)),"")</f>
      </c>
      <c r="J505" s="11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  <c r="AA505" s="119"/>
      <c r="AB505" s="119"/>
      <c r="AC505" s="119"/>
      <c r="AD505" s="119"/>
      <c r="AE505" s="119"/>
      <c r="AF505" s="119"/>
      <c r="AG505" s="119"/>
      <c r="AH505" s="119"/>
      <c r="AI505" s="119"/>
      <c r="AJ505" s="119"/>
      <c r="AK505" s="119"/>
      <c r="AL505" s="119"/>
      <c r="AM505" s="119"/>
      <c r="AN505" s="119"/>
      <c r="AO505" s="119"/>
      <c r="AP505" s="119"/>
      <c r="AQ505" s="119"/>
      <c r="AR505" s="119"/>
      <c r="AS505" s="119"/>
      <c r="AT505" s="119"/>
      <c r="AU505" s="119"/>
      <c r="AV505" s="119"/>
      <c r="AW505" s="119"/>
      <c r="AX505" s="119"/>
      <c r="AY505" s="119"/>
      <c r="AZ505" s="119"/>
      <c r="BA505" s="119"/>
      <c r="BB505" s="119"/>
      <c r="BC505" s="119"/>
      <c r="BD505" s="119"/>
      <c r="BE505" s="119"/>
      <c r="BF505" s="119"/>
      <c r="BG505" s="119"/>
      <c r="BH505" s="119"/>
      <c r="BI505" s="119"/>
      <c r="BJ505" s="119"/>
      <c r="BK505" s="119"/>
      <c r="BL505" s="119"/>
      <c r="BM505" s="119"/>
      <c r="BN505" s="119"/>
      <c r="BO505" s="119"/>
      <c r="BP505" s="119"/>
      <c r="BQ505" s="119"/>
      <c r="BR505" s="119"/>
      <c r="BS505" s="119"/>
      <c r="BT505" s="119"/>
      <c r="BU505" s="119"/>
      <c r="BV505" s="119"/>
      <c r="BW505" s="119"/>
      <c r="BX505" s="119"/>
      <c r="BY505" s="119"/>
      <c r="BZ505" s="119"/>
      <c r="CA505" s="119"/>
      <c r="CB505" s="119"/>
      <c r="CC505" s="119"/>
      <c r="CD505" s="119"/>
      <c r="CE505" s="119"/>
      <c r="CF505" s="119"/>
      <c r="CG505" s="119"/>
      <c r="CH505" s="119"/>
      <c r="CI505" s="119"/>
      <c r="CJ505" s="119"/>
      <c r="CK505" s="119"/>
      <c r="CL505" s="119"/>
      <c r="CM505" s="119"/>
      <c r="CN505" s="119"/>
      <c r="CO505" s="119"/>
      <c r="CP505" s="119"/>
      <c r="CQ505" s="119"/>
      <c r="CR505" s="119"/>
      <c r="CS505" s="119"/>
      <c r="CT505" s="119"/>
      <c r="CU505" s="119"/>
      <c r="CV505" s="119"/>
      <c r="CW505" s="119"/>
      <c r="CX505" s="119"/>
      <c r="CY505" s="119"/>
      <c r="CZ505" s="119"/>
      <c r="DA505" s="119"/>
      <c r="DB505" s="119"/>
      <c r="DC505" s="119"/>
      <c r="DD505" s="119"/>
      <c r="DE505" s="119"/>
      <c r="DF505" s="119"/>
      <c r="DG505" s="119"/>
      <c r="DH505" s="119"/>
      <c r="DI505" s="119"/>
      <c r="DJ505" s="119"/>
      <c r="DK505" s="119"/>
      <c r="DL505" s="119"/>
      <c r="DM505" s="119"/>
      <c r="DN505" s="119"/>
      <c r="DO505" s="119"/>
      <c r="DP505" s="119"/>
      <c r="DQ505" s="119"/>
      <c r="DR505" s="119"/>
      <c r="DS505" s="119"/>
      <c r="DT505" s="119"/>
      <c r="DU505" s="119"/>
      <c r="DV505" s="119"/>
      <c r="DW505" s="119"/>
      <c r="DX505" s="119"/>
      <c r="DY505" s="119"/>
      <c r="DZ505" s="119"/>
      <c r="EA505" s="119"/>
      <c r="EB505" s="119"/>
      <c r="EC505" s="119"/>
      <c r="ED505" s="119"/>
      <c r="EE505" s="119"/>
      <c r="EF505" s="119"/>
      <c r="EG505" s="119"/>
      <c r="EH505" s="119"/>
      <c r="EI505" s="119"/>
      <c r="EJ505" s="119"/>
      <c r="EK505" s="119"/>
      <c r="EL505" s="119"/>
      <c r="EM505" s="119"/>
      <c r="EN505" s="119"/>
      <c r="EO505" s="119"/>
      <c r="EP505" s="119"/>
      <c r="EQ505" s="119"/>
      <c r="ER505" s="119"/>
      <c r="ES505" s="119"/>
      <c r="ET505" s="119"/>
      <c r="EU505" s="119"/>
      <c r="EV505" s="119"/>
      <c r="EW505" s="119"/>
      <c r="EX505" s="119"/>
      <c r="EY505" s="119"/>
      <c r="EZ505" s="119"/>
      <c r="FA505" s="119"/>
      <c r="FB505" s="119"/>
      <c r="FC505" s="119"/>
      <c r="FD505" s="119"/>
      <c r="FE505" s="119"/>
      <c r="FF505" s="119"/>
      <c r="FG505" s="119"/>
      <c r="FH505" s="119"/>
      <c r="FI505" s="119"/>
      <c r="FJ505" s="119"/>
      <c r="FK505" s="119"/>
      <c r="FL505" s="119"/>
      <c r="FM505" s="119"/>
      <c r="FN505" s="119"/>
      <c r="FO505" s="119"/>
      <c r="FP505" s="119"/>
      <c r="FQ505" s="119"/>
      <c r="FR505" s="119"/>
    </row>
    <row x14ac:dyDescent="0.25" r="506" customHeight="1" ht="15">
      <c r="A506" s="112"/>
      <c r="B506" s="112"/>
      <c r="C506" s="107"/>
      <c r="D506" s="107"/>
      <c r="E506" s="120"/>
      <c r="F506" s="120"/>
      <c r="G506" s="109">
        <f>IF((F506-E506)&lt;0,0,(F506-E506))</f>
      </c>
      <c r="H506" s="110"/>
      <c r="I506" s="111">
        <f>IFERROR(SUMPRODUCT($G506*VLOOKUP($C506,'Vehicle Master'!$D:$F,3,0)),"")</f>
      </c>
      <c r="J506" s="11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  <c r="AA506" s="119"/>
      <c r="AB506" s="119"/>
      <c r="AC506" s="119"/>
      <c r="AD506" s="119"/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/>
      <c r="AP506" s="119"/>
      <c r="AQ506" s="119"/>
      <c r="AR506" s="119"/>
      <c r="AS506" s="119"/>
      <c r="AT506" s="119"/>
      <c r="AU506" s="119"/>
      <c r="AV506" s="119"/>
      <c r="AW506" s="119"/>
      <c r="AX506" s="119"/>
      <c r="AY506" s="119"/>
      <c r="AZ506" s="119"/>
      <c r="BA506" s="119"/>
      <c r="BB506" s="119"/>
      <c r="BC506" s="119"/>
      <c r="BD506" s="119"/>
      <c r="BE506" s="119"/>
      <c r="BF506" s="119"/>
      <c r="BG506" s="119"/>
      <c r="BH506" s="119"/>
      <c r="BI506" s="119"/>
      <c r="BJ506" s="119"/>
      <c r="BK506" s="119"/>
      <c r="BL506" s="119"/>
      <c r="BM506" s="119"/>
      <c r="BN506" s="119"/>
      <c r="BO506" s="119"/>
      <c r="BP506" s="119"/>
      <c r="BQ506" s="119"/>
      <c r="BR506" s="119"/>
      <c r="BS506" s="119"/>
      <c r="BT506" s="119"/>
      <c r="BU506" s="119"/>
      <c r="BV506" s="119"/>
      <c r="BW506" s="119"/>
      <c r="BX506" s="119"/>
      <c r="BY506" s="119"/>
      <c r="BZ506" s="119"/>
      <c r="CA506" s="119"/>
      <c r="CB506" s="119"/>
      <c r="CC506" s="119"/>
      <c r="CD506" s="119"/>
      <c r="CE506" s="119"/>
      <c r="CF506" s="119"/>
      <c r="CG506" s="119"/>
      <c r="CH506" s="119"/>
      <c r="CI506" s="119"/>
      <c r="CJ506" s="119"/>
      <c r="CK506" s="119"/>
      <c r="CL506" s="119"/>
      <c r="CM506" s="119"/>
      <c r="CN506" s="119"/>
      <c r="CO506" s="119"/>
      <c r="CP506" s="119"/>
      <c r="CQ506" s="119"/>
      <c r="CR506" s="119"/>
      <c r="CS506" s="119"/>
      <c r="CT506" s="119"/>
      <c r="CU506" s="119"/>
      <c r="CV506" s="119"/>
      <c r="CW506" s="119"/>
      <c r="CX506" s="119"/>
      <c r="CY506" s="119"/>
      <c r="CZ506" s="119"/>
      <c r="DA506" s="119"/>
      <c r="DB506" s="119"/>
      <c r="DC506" s="119"/>
      <c r="DD506" s="119"/>
      <c r="DE506" s="119"/>
      <c r="DF506" s="119"/>
      <c r="DG506" s="119"/>
      <c r="DH506" s="119"/>
      <c r="DI506" s="119"/>
      <c r="DJ506" s="119"/>
      <c r="DK506" s="119"/>
      <c r="DL506" s="119"/>
      <c r="DM506" s="119"/>
      <c r="DN506" s="119"/>
      <c r="DO506" s="119"/>
      <c r="DP506" s="119"/>
      <c r="DQ506" s="119"/>
      <c r="DR506" s="119"/>
      <c r="DS506" s="119"/>
      <c r="DT506" s="119"/>
      <c r="DU506" s="119"/>
      <c r="DV506" s="119"/>
      <c r="DW506" s="119"/>
      <c r="DX506" s="119"/>
      <c r="DY506" s="119"/>
      <c r="DZ506" s="119"/>
      <c r="EA506" s="119"/>
      <c r="EB506" s="119"/>
      <c r="EC506" s="119"/>
      <c r="ED506" s="119"/>
      <c r="EE506" s="119"/>
      <c r="EF506" s="119"/>
      <c r="EG506" s="119"/>
      <c r="EH506" s="119"/>
      <c r="EI506" s="119"/>
      <c r="EJ506" s="119"/>
      <c r="EK506" s="119"/>
      <c r="EL506" s="119"/>
      <c r="EM506" s="119"/>
      <c r="EN506" s="119"/>
      <c r="EO506" s="119"/>
      <c r="EP506" s="119"/>
      <c r="EQ506" s="119"/>
      <c r="ER506" s="119"/>
      <c r="ES506" s="119"/>
      <c r="ET506" s="119"/>
      <c r="EU506" s="119"/>
      <c r="EV506" s="119"/>
      <c r="EW506" s="119"/>
      <c r="EX506" s="119"/>
      <c r="EY506" s="119"/>
      <c r="EZ506" s="119"/>
      <c r="FA506" s="119"/>
      <c r="FB506" s="119"/>
      <c r="FC506" s="119"/>
      <c r="FD506" s="119"/>
      <c r="FE506" s="119"/>
      <c r="FF506" s="119"/>
      <c r="FG506" s="119"/>
      <c r="FH506" s="119"/>
      <c r="FI506" s="119"/>
      <c r="FJ506" s="119"/>
      <c r="FK506" s="119"/>
      <c r="FL506" s="119"/>
      <c r="FM506" s="119"/>
      <c r="FN506" s="119"/>
      <c r="FO506" s="119"/>
      <c r="FP506" s="119"/>
      <c r="FQ506" s="119"/>
      <c r="FR506" s="119"/>
    </row>
    <row x14ac:dyDescent="0.25" r="507" customHeight="1" ht="15">
      <c r="A507" s="112"/>
      <c r="B507" s="112"/>
      <c r="C507" s="107"/>
      <c r="D507" s="107"/>
      <c r="E507" s="120"/>
      <c r="F507" s="120"/>
      <c r="G507" s="109">
        <f>IF((F507-E507)&lt;0,0,(F507-E507))</f>
      </c>
      <c r="H507" s="110"/>
      <c r="I507" s="111">
        <f>IFERROR(SUMPRODUCT($G507*VLOOKUP($C507,'Vehicle Master'!$D:$F,3,0)),"")</f>
      </c>
      <c r="J507" s="11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  <c r="AA507" s="119"/>
      <c r="AB507" s="119"/>
      <c r="AC507" s="119"/>
      <c r="AD507" s="119"/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/>
      <c r="AP507" s="119"/>
      <c r="AQ507" s="119"/>
      <c r="AR507" s="119"/>
      <c r="AS507" s="119"/>
      <c r="AT507" s="119"/>
      <c r="AU507" s="119"/>
      <c r="AV507" s="119"/>
      <c r="AW507" s="119"/>
      <c r="AX507" s="119"/>
      <c r="AY507" s="119"/>
      <c r="AZ507" s="119"/>
      <c r="BA507" s="119"/>
      <c r="BB507" s="119"/>
      <c r="BC507" s="119"/>
      <c r="BD507" s="119"/>
      <c r="BE507" s="119"/>
      <c r="BF507" s="119"/>
      <c r="BG507" s="119"/>
      <c r="BH507" s="119"/>
      <c r="BI507" s="119"/>
      <c r="BJ507" s="119"/>
      <c r="BK507" s="119"/>
      <c r="BL507" s="119"/>
      <c r="BM507" s="119"/>
      <c r="BN507" s="119"/>
      <c r="BO507" s="119"/>
      <c r="BP507" s="119"/>
      <c r="BQ507" s="119"/>
      <c r="BR507" s="119"/>
      <c r="BS507" s="119"/>
      <c r="BT507" s="119"/>
      <c r="BU507" s="119"/>
      <c r="BV507" s="119"/>
      <c r="BW507" s="119"/>
      <c r="BX507" s="119"/>
      <c r="BY507" s="119"/>
      <c r="BZ507" s="119"/>
      <c r="CA507" s="119"/>
      <c r="CB507" s="119"/>
      <c r="CC507" s="119"/>
      <c r="CD507" s="119"/>
      <c r="CE507" s="119"/>
      <c r="CF507" s="119"/>
      <c r="CG507" s="119"/>
      <c r="CH507" s="119"/>
      <c r="CI507" s="119"/>
      <c r="CJ507" s="119"/>
      <c r="CK507" s="119"/>
      <c r="CL507" s="119"/>
      <c r="CM507" s="119"/>
      <c r="CN507" s="119"/>
      <c r="CO507" s="119"/>
      <c r="CP507" s="119"/>
      <c r="CQ507" s="119"/>
      <c r="CR507" s="119"/>
      <c r="CS507" s="119"/>
      <c r="CT507" s="119"/>
      <c r="CU507" s="119"/>
      <c r="CV507" s="119"/>
      <c r="CW507" s="119"/>
      <c r="CX507" s="119"/>
      <c r="CY507" s="119"/>
      <c r="CZ507" s="119"/>
      <c r="DA507" s="119"/>
      <c r="DB507" s="119"/>
      <c r="DC507" s="119"/>
      <c r="DD507" s="119"/>
      <c r="DE507" s="119"/>
      <c r="DF507" s="119"/>
      <c r="DG507" s="119"/>
      <c r="DH507" s="119"/>
      <c r="DI507" s="119"/>
      <c r="DJ507" s="119"/>
      <c r="DK507" s="119"/>
      <c r="DL507" s="119"/>
      <c r="DM507" s="119"/>
      <c r="DN507" s="119"/>
      <c r="DO507" s="119"/>
      <c r="DP507" s="119"/>
      <c r="DQ507" s="119"/>
      <c r="DR507" s="119"/>
      <c r="DS507" s="119"/>
      <c r="DT507" s="119"/>
      <c r="DU507" s="119"/>
      <c r="DV507" s="119"/>
      <c r="DW507" s="119"/>
      <c r="DX507" s="119"/>
      <c r="DY507" s="119"/>
      <c r="DZ507" s="119"/>
      <c r="EA507" s="119"/>
      <c r="EB507" s="119"/>
      <c r="EC507" s="119"/>
      <c r="ED507" s="119"/>
      <c r="EE507" s="119"/>
      <c r="EF507" s="119"/>
      <c r="EG507" s="119"/>
      <c r="EH507" s="119"/>
      <c r="EI507" s="119"/>
      <c r="EJ507" s="119"/>
      <c r="EK507" s="119"/>
      <c r="EL507" s="119"/>
      <c r="EM507" s="119"/>
      <c r="EN507" s="119"/>
      <c r="EO507" s="119"/>
      <c r="EP507" s="119"/>
      <c r="EQ507" s="119"/>
      <c r="ER507" s="119"/>
      <c r="ES507" s="119"/>
      <c r="ET507" s="119"/>
      <c r="EU507" s="119"/>
      <c r="EV507" s="119"/>
      <c r="EW507" s="119"/>
      <c r="EX507" s="119"/>
      <c r="EY507" s="119"/>
      <c r="EZ507" s="119"/>
      <c r="FA507" s="119"/>
      <c r="FB507" s="119"/>
      <c r="FC507" s="119"/>
      <c r="FD507" s="119"/>
      <c r="FE507" s="119"/>
      <c r="FF507" s="119"/>
      <c r="FG507" s="119"/>
      <c r="FH507" s="119"/>
      <c r="FI507" s="119"/>
      <c r="FJ507" s="119"/>
      <c r="FK507" s="119"/>
      <c r="FL507" s="119"/>
      <c r="FM507" s="119"/>
      <c r="FN507" s="119"/>
      <c r="FO507" s="119"/>
      <c r="FP507" s="119"/>
      <c r="FQ507" s="119"/>
      <c r="FR507" s="119"/>
    </row>
    <row x14ac:dyDescent="0.25" r="508" customHeight="1" ht="15">
      <c r="A508" s="112"/>
      <c r="B508" s="112"/>
      <c r="C508" s="107"/>
      <c r="D508" s="107"/>
      <c r="E508" s="120"/>
      <c r="F508" s="120"/>
      <c r="G508" s="109">
        <f>IF((F508-E508)&lt;0,0,(F508-E508))</f>
      </c>
      <c r="H508" s="110"/>
      <c r="I508" s="111">
        <f>IFERROR(SUMPRODUCT($G508*VLOOKUP($C508,'Vehicle Master'!$D:$F,3,0)),"")</f>
      </c>
      <c r="J508" s="11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  <c r="AA508" s="119"/>
      <c r="AB508" s="119"/>
      <c r="AC508" s="119"/>
      <c r="AD508" s="119"/>
      <c r="AE508" s="119"/>
      <c r="AF508" s="119"/>
      <c r="AG508" s="119"/>
      <c r="AH508" s="119"/>
      <c r="AI508" s="119"/>
      <c r="AJ508" s="119"/>
      <c r="AK508" s="119"/>
      <c r="AL508" s="119"/>
      <c r="AM508" s="119"/>
      <c r="AN508" s="119"/>
      <c r="AO508" s="119"/>
      <c r="AP508" s="119"/>
      <c r="AQ508" s="119"/>
      <c r="AR508" s="119"/>
      <c r="AS508" s="119"/>
      <c r="AT508" s="119"/>
      <c r="AU508" s="119"/>
      <c r="AV508" s="119"/>
      <c r="AW508" s="119"/>
      <c r="AX508" s="119"/>
      <c r="AY508" s="119"/>
      <c r="AZ508" s="119"/>
      <c r="BA508" s="119"/>
      <c r="BB508" s="119"/>
      <c r="BC508" s="119"/>
      <c r="BD508" s="119"/>
      <c r="BE508" s="119"/>
      <c r="BF508" s="119"/>
      <c r="BG508" s="119"/>
      <c r="BH508" s="119"/>
      <c r="BI508" s="119"/>
      <c r="BJ508" s="119"/>
      <c r="BK508" s="119"/>
      <c r="BL508" s="119"/>
      <c r="BM508" s="119"/>
      <c r="BN508" s="119"/>
      <c r="BO508" s="119"/>
      <c r="BP508" s="119"/>
      <c r="BQ508" s="119"/>
      <c r="BR508" s="119"/>
      <c r="BS508" s="119"/>
      <c r="BT508" s="119"/>
      <c r="BU508" s="119"/>
      <c r="BV508" s="119"/>
      <c r="BW508" s="119"/>
      <c r="BX508" s="119"/>
      <c r="BY508" s="119"/>
      <c r="BZ508" s="119"/>
      <c r="CA508" s="119"/>
      <c r="CB508" s="119"/>
      <c r="CC508" s="119"/>
      <c r="CD508" s="119"/>
      <c r="CE508" s="119"/>
      <c r="CF508" s="119"/>
      <c r="CG508" s="119"/>
      <c r="CH508" s="119"/>
      <c r="CI508" s="119"/>
      <c r="CJ508" s="119"/>
      <c r="CK508" s="119"/>
      <c r="CL508" s="119"/>
      <c r="CM508" s="119"/>
      <c r="CN508" s="119"/>
      <c r="CO508" s="119"/>
      <c r="CP508" s="119"/>
      <c r="CQ508" s="119"/>
      <c r="CR508" s="119"/>
      <c r="CS508" s="119"/>
      <c r="CT508" s="119"/>
      <c r="CU508" s="119"/>
      <c r="CV508" s="119"/>
      <c r="CW508" s="119"/>
      <c r="CX508" s="119"/>
      <c r="CY508" s="119"/>
      <c r="CZ508" s="119"/>
      <c r="DA508" s="119"/>
      <c r="DB508" s="119"/>
      <c r="DC508" s="119"/>
      <c r="DD508" s="119"/>
      <c r="DE508" s="119"/>
      <c r="DF508" s="119"/>
      <c r="DG508" s="119"/>
      <c r="DH508" s="119"/>
      <c r="DI508" s="119"/>
      <c r="DJ508" s="119"/>
      <c r="DK508" s="119"/>
      <c r="DL508" s="119"/>
      <c r="DM508" s="119"/>
      <c r="DN508" s="119"/>
      <c r="DO508" s="119"/>
      <c r="DP508" s="119"/>
      <c r="DQ508" s="119"/>
      <c r="DR508" s="119"/>
      <c r="DS508" s="119"/>
      <c r="DT508" s="119"/>
      <c r="DU508" s="119"/>
      <c r="DV508" s="119"/>
      <c r="DW508" s="119"/>
      <c r="DX508" s="119"/>
      <c r="DY508" s="119"/>
      <c r="DZ508" s="119"/>
      <c r="EA508" s="119"/>
      <c r="EB508" s="119"/>
      <c r="EC508" s="119"/>
      <c r="ED508" s="119"/>
      <c r="EE508" s="119"/>
      <c r="EF508" s="119"/>
      <c r="EG508" s="119"/>
      <c r="EH508" s="119"/>
      <c r="EI508" s="119"/>
      <c r="EJ508" s="119"/>
      <c r="EK508" s="119"/>
      <c r="EL508" s="119"/>
      <c r="EM508" s="119"/>
      <c r="EN508" s="119"/>
      <c r="EO508" s="119"/>
      <c r="EP508" s="119"/>
      <c r="EQ508" s="119"/>
      <c r="ER508" s="119"/>
      <c r="ES508" s="119"/>
      <c r="ET508" s="119"/>
      <c r="EU508" s="119"/>
      <c r="EV508" s="119"/>
      <c r="EW508" s="119"/>
      <c r="EX508" s="119"/>
      <c r="EY508" s="119"/>
      <c r="EZ508" s="119"/>
      <c r="FA508" s="119"/>
      <c r="FB508" s="119"/>
      <c r="FC508" s="119"/>
      <c r="FD508" s="119"/>
      <c r="FE508" s="119"/>
      <c r="FF508" s="119"/>
      <c r="FG508" s="119"/>
      <c r="FH508" s="119"/>
      <c r="FI508" s="119"/>
      <c r="FJ508" s="119"/>
      <c r="FK508" s="119"/>
      <c r="FL508" s="119"/>
      <c r="FM508" s="119"/>
      <c r="FN508" s="119"/>
      <c r="FO508" s="119"/>
      <c r="FP508" s="119"/>
      <c r="FQ508" s="119"/>
      <c r="FR508" s="119"/>
    </row>
    <row x14ac:dyDescent="0.25" r="509" customHeight="1" ht="15">
      <c r="A509" s="112"/>
      <c r="B509" s="112"/>
      <c r="C509" s="107"/>
      <c r="D509" s="107"/>
      <c r="E509" s="120"/>
      <c r="F509" s="120"/>
      <c r="G509" s="109">
        <f>IF((F509-E509)&lt;0,0,(F509-E509))</f>
      </c>
      <c r="H509" s="110"/>
      <c r="I509" s="111">
        <f>IFERROR(SUMPRODUCT($G509*VLOOKUP($C509,'Vehicle Master'!$D:$F,3,0)),"")</f>
      </c>
      <c r="J509" s="11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  <c r="AA509" s="119"/>
      <c r="AB509" s="119"/>
      <c r="AC509" s="119"/>
      <c r="AD509" s="119"/>
      <c r="AE509" s="119"/>
      <c r="AF509" s="119"/>
      <c r="AG509" s="119"/>
      <c r="AH509" s="119"/>
      <c r="AI509" s="119"/>
      <c r="AJ509" s="119"/>
      <c r="AK509" s="119"/>
      <c r="AL509" s="119"/>
      <c r="AM509" s="119"/>
      <c r="AN509" s="119"/>
      <c r="AO509" s="119"/>
      <c r="AP509" s="119"/>
      <c r="AQ509" s="119"/>
      <c r="AR509" s="119"/>
      <c r="AS509" s="119"/>
      <c r="AT509" s="119"/>
      <c r="AU509" s="119"/>
      <c r="AV509" s="119"/>
      <c r="AW509" s="119"/>
      <c r="AX509" s="119"/>
      <c r="AY509" s="119"/>
      <c r="AZ509" s="119"/>
      <c r="BA509" s="119"/>
      <c r="BB509" s="119"/>
      <c r="BC509" s="119"/>
      <c r="BD509" s="119"/>
      <c r="BE509" s="119"/>
      <c r="BF509" s="119"/>
      <c r="BG509" s="119"/>
      <c r="BH509" s="119"/>
      <c r="BI509" s="119"/>
      <c r="BJ509" s="119"/>
      <c r="BK509" s="119"/>
      <c r="BL509" s="119"/>
      <c r="BM509" s="119"/>
      <c r="BN509" s="119"/>
      <c r="BO509" s="119"/>
      <c r="BP509" s="119"/>
      <c r="BQ509" s="119"/>
      <c r="BR509" s="119"/>
      <c r="BS509" s="119"/>
      <c r="BT509" s="119"/>
      <c r="BU509" s="119"/>
      <c r="BV509" s="119"/>
      <c r="BW509" s="119"/>
      <c r="BX509" s="119"/>
      <c r="BY509" s="119"/>
      <c r="BZ509" s="119"/>
      <c r="CA509" s="119"/>
      <c r="CB509" s="119"/>
      <c r="CC509" s="119"/>
      <c r="CD509" s="119"/>
      <c r="CE509" s="119"/>
      <c r="CF509" s="119"/>
      <c r="CG509" s="119"/>
      <c r="CH509" s="119"/>
      <c r="CI509" s="119"/>
      <c r="CJ509" s="119"/>
      <c r="CK509" s="119"/>
      <c r="CL509" s="119"/>
      <c r="CM509" s="119"/>
      <c r="CN509" s="119"/>
      <c r="CO509" s="119"/>
      <c r="CP509" s="119"/>
      <c r="CQ509" s="119"/>
      <c r="CR509" s="119"/>
      <c r="CS509" s="119"/>
      <c r="CT509" s="119"/>
      <c r="CU509" s="119"/>
      <c r="CV509" s="119"/>
      <c r="CW509" s="119"/>
      <c r="CX509" s="119"/>
      <c r="CY509" s="119"/>
      <c r="CZ509" s="119"/>
      <c r="DA509" s="119"/>
      <c r="DB509" s="119"/>
      <c r="DC509" s="119"/>
      <c r="DD509" s="119"/>
      <c r="DE509" s="119"/>
      <c r="DF509" s="119"/>
      <c r="DG509" s="119"/>
      <c r="DH509" s="119"/>
      <c r="DI509" s="119"/>
      <c r="DJ509" s="119"/>
      <c r="DK509" s="119"/>
      <c r="DL509" s="119"/>
      <c r="DM509" s="119"/>
      <c r="DN509" s="119"/>
      <c r="DO509" s="119"/>
      <c r="DP509" s="119"/>
      <c r="DQ509" s="119"/>
      <c r="DR509" s="119"/>
      <c r="DS509" s="119"/>
      <c r="DT509" s="119"/>
      <c r="DU509" s="119"/>
      <c r="DV509" s="119"/>
      <c r="DW509" s="119"/>
      <c r="DX509" s="119"/>
      <c r="DY509" s="119"/>
      <c r="DZ509" s="119"/>
      <c r="EA509" s="119"/>
      <c r="EB509" s="119"/>
      <c r="EC509" s="119"/>
      <c r="ED509" s="119"/>
      <c r="EE509" s="119"/>
      <c r="EF509" s="119"/>
      <c r="EG509" s="119"/>
      <c r="EH509" s="119"/>
      <c r="EI509" s="119"/>
      <c r="EJ509" s="119"/>
      <c r="EK509" s="119"/>
      <c r="EL509" s="119"/>
      <c r="EM509" s="119"/>
      <c r="EN509" s="119"/>
      <c r="EO509" s="119"/>
      <c r="EP509" s="119"/>
      <c r="EQ509" s="119"/>
      <c r="ER509" s="119"/>
      <c r="ES509" s="119"/>
      <c r="ET509" s="119"/>
      <c r="EU509" s="119"/>
      <c r="EV509" s="119"/>
      <c r="EW509" s="119"/>
      <c r="EX509" s="119"/>
      <c r="EY509" s="119"/>
      <c r="EZ509" s="119"/>
      <c r="FA509" s="119"/>
      <c r="FB509" s="119"/>
      <c r="FC509" s="119"/>
      <c r="FD509" s="119"/>
      <c r="FE509" s="119"/>
      <c r="FF509" s="119"/>
      <c r="FG509" s="119"/>
      <c r="FH509" s="119"/>
      <c r="FI509" s="119"/>
      <c r="FJ509" s="119"/>
      <c r="FK509" s="119"/>
      <c r="FL509" s="119"/>
      <c r="FM509" s="119"/>
      <c r="FN509" s="119"/>
      <c r="FO509" s="119"/>
      <c r="FP509" s="119"/>
      <c r="FQ509" s="119"/>
      <c r="FR509" s="119"/>
    </row>
    <row x14ac:dyDescent="0.25" r="510" customHeight="1" ht="15">
      <c r="A510" s="112"/>
      <c r="B510" s="112"/>
      <c r="C510" s="107"/>
      <c r="D510" s="107"/>
      <c r="E510" s="120"/>
      <c r="F510" s="120"/>
      <c r="G510" s="109">
        <f>IF((F510-E510)&lt;0,0,(F510-E510))</f>
      </c>
      <c r="H510" s="110"/>
      <c r="I510" s="111">
        <f>IFERROR(SUMPRODUCT($G510*VLOOKUP($C510,'Vehicle Master'!$D:$F,3,0)),"")</f>
      </c>
      <c r="J510" s="11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  <c r="AA510" s="119"/>
      <c r="AB510" s="119"/>
      <c r="AC510" s="119"/>
      <c r="AD510" s="119"/>
      <c r="AE510" s="119"/>
      <c r="AF510" s="119"/>
      <c r="AG510" s="119"/>
      <c r="AH510" s="119"/>
      <c r="AI510" s="119"/>
      <c r="AJ510" s="119"/>
      <c r="AK510" s="119"/>
      <c r="AL510" s="119"/>
      <c r="AM510" s="119"/>
      <c r="AN510" s="119"/>
      <c r="AO510" s="119"/>
      <c r="AP510" s="119"/>
      <c r="AQ510" s="119"/>
      <c r="AR510" s="119"/>
      <c r="AS510" s="119"/>
      <c r="AT510" s="119"/>
      <c r="AU510" s="119"/>
      <c r="AV510" s="119"/>
      <c r="AW510" s="119"/>
      <c r="AX510" s="119"/>
      <c r="AY510" s="119"/>
      <c r="AZ510" s="119"/>
      <c r="BA510" s="119"/>
      <c r="BB510" s="119"/>
      <c r="BC510" s="119"/>
      <c r="BD510" s="119"/>
      <c r="BE510" s="119"/>
      <c r="BF510" s="119"/>
      <c r="BG510" s="119"/>
      <c r="BH510" s="119"/>
      <c r="BI510" s="119"/>
      <c r="BJ510" s="119"/>
      <c r="BK510" s="119"/>
      <c r="BL510" s="119"/>
      <c r="BM510" s="119"/>
      <c r="BN510" s="119"/>
      <c r="BO510" s="119"/>
      <c r="BP510" s="119"/>
      <c r="BQ510" s="119"/>
      <c r="BR510" s="119"/>
      <c r="BS510" s="119"/>
      <c r="BT510" s="119"/>
      <c r="BU510" s="119"/>
      <c r="BV510" s="119"/>
      <c r="BW510" s="119"/>
      <c r="BX510" s="119"/>
      <c r="BY510" s="119"/>
      <c r="BZ510" s="119"/>
      <c r="CA510" s="119"/>
      <c r="CB510" s="119"/>
      <c r="CC510" s="119"/>
      <c r="CD510" s="119"/>
      <c r="CE510" s="119"/>
      <c r="CF510" s="119"/>
      <c r="CG510" s="119"/>
      <c r="CH510" s="119"/>
      <c r="CI510" s="119"/>
      <c r="CJ510" s="119"/>
      <c r="CK510" s="119"/>
      <c r="CL510" s="119"/>
      <c r="CM510" s="119"/>
      <c r="CN510" s="119"/>
      <c r="CO510" s="119"/>
      <c r="CP510" s="119"/>
      <c r="CQ510" s="119"/>
      <c r="CR510" s="119"/>
      <c r="CS510" s="119"/>
      <c r="CT510" s="119"/>
      <c r="CU510" s="119"/>
      <c r="CV510" s="119"/>
      <c r="CW510" s="119"/>
      <c r="CX510" s="119"/>
      <c r="CY510" s="119"/>
      <c r="CZ510" s="119"/>
      <c r="DA510" s="119"/>
      <c r="DB510" s="119"/>
      <c r="DC510" s="119"/>
      <c r="DD510" s="119"/>
      <c r="DE510" s="119"/>
      <c r="DF510" s="119"/>
      <c r="DG510" s="119"/>
      <c r="DH510" s="119"/>
      <c r="DI510" s="119"/>
      <c r="DJ510" s="119"/>
      <c r="DK510" s="119"/>
      <c r="DL510" s="119"/>
      <c r="DM510" s="119"/>
      <c r="DN510" s="119"/>
      <c r="DO510" s="119"/>
      <c r="DP510" s="119"/>
      <c r="DQ510" s="119"/>
      <c r="DR510" s="119"/>
      <c r="DS510" s="119"/>
      <c r="DT510" s="119"/>
      <c r="DU510" s="119"/>
      <c r="DV510" s="119"/>
      <c r="DW510" s="119"/>
      <c r="DX510" s="119"/>
      <c r="DY510" s="119"/>
      <c r="DZ510" s="119"/>
      <c r="EA510" s="119"/>
      <c r="EB510" s="119"/>
      <c r="EC510" s="119"/>
      <c r="ED510" s="119"/>
      <c r="EE510" s="119"/>
      <c r="EF510" s="119"/>
      <c r="EG510" s="119"/>
      <c r="EH510" s="119"/>
      <c r="EI510" s="119"/>
      <c r="EJ510" s="119"/>
      <c r="EK510" s="119"/>
      <c r="EL510" s="119"/>
      <c r="EM510" s="119"/>
      <c r="EN510" s="119"/>
      <c r="EO510" s="119"/>
      <c r="EP510" s="119"/>
      <c r="EQ510" s="119"/>
      <c r="ER510" s="119"/>
      <c r="ES510" s="119"/>
      <c r="ET510" s="119"/>
      <c r="EU510" s="119"/>
      <c r="EV510" s="119"/>
      <c r="EW510" s="119"/>
      <c r="EX510" s="119"/>
      <c r="EY510" s="119"/>
      <c r="EZ510" s="119"/>
      <c r="FA510" s="119"/>
      <c r="FB510" s="119"/>
      <c r="FC510" s="119"/>
      <c r="FD510" s="119"/>
      <c r="FE510" s="119"/>
      <c r="FF510" s="119"/>
      <c r="FG510" s="119"/>
      <c r="FH510" s="119"/>
      <c r="FI510" s="119"/>
      <c r="FJ510" s="119"/>
      <c r="FK510" s="119"/>
      <c r="FL510" s="119"/>
      <c r="FM510" s="119"/>
      <c r="FN510" s="119"/>
      <c r="FO510" s="119"/>
      <c r="FP510" s="119"/>
      <c r="FQ510" s="119"/>
      <c r="FR510" s="119"/>
    </row>
    <row x14ac:dyDescent="0.25" r="511" customHeight="1" ht="15">
      <c r="A511" s="112"/>
      <c r="B511" s="112"/>
      <c r="C511" s="107"/>
      <c r="D511" s="107"/>
      <c r="E511" s="120"/>
      <c r="F511" s="120"/>
      <c r="G511" s="109">
        <f>IF((F511-E511)&lt;0,0,(F511-E511))</f>
      </c>
      <c r="H511" s="110"/>
      <c r="I511" s="111">
        <f>IFERROR(SUMPRODUCT($G511*VLOOKUP($C511,'Vehicle Master'!$D:$F,3,0)),"")</f>
      </c>
      <c r="J511" s="11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  <c r="AA511" s="119"/>
      <c r="AB511" s="119"/>
      <c r="AC511" s="119"/>
      <c r="AD511" s="119"/>
      <c r="AE511" s="119"/>
      <c r="AF511" s="119"/>
      <c r="AG511" s="119"/>
      <c r="AH511" s="119"/>
      <c r="AI511" s="119"/>
      <c r="AJ511" s="119"/>
      <c r="AK511" s="119"/>
      <c r="AL511" s="119"/>
      <c r="AM511" s="119"/>
      <c r="AN511" s="119"/>
      <c r="AO511" s="119"/>
      <c r="AP511" s="119"/>
      <c r="AQ511" s="119"/>
      <c r="AR511" s="119"/>
      <c r="AS511" s="119"/>
      <c r="AT511" s="119"/>
      <c r="AU511" s="119"/>
      <c r="AV511" s="119"/>
      <c r="AW511" s="119"/>
      <c r="AX511" s="119"/>
      <c r="AY511" s="119"/>
      <c r="AZ511" s="119"/>
      <c r="BA511" s="119"/>
      <c r="BB511" s="119"/>
      <c r="BC511" s="119"/>
      <c r="BD511" s="119"/>
      <c r="BE511" s="119"/>
      <c r="BF511" s="119"/>
      <c r="BG511" s="119"/>
      <c r="BH511" s="119"/>
      <c r="BI511" s="119"/>
      <c r="BJ511" s="119"/>
      <c r="BK511" s="119"/>
      <c r="BL511" s="119"/>
      <c r="BM511" s="119"/>
      <c r="BN511" s="119"/>
      <c r="BO511" s="119"/>
      <c r="BP511" s="119"/>
      <c r="BQ511" s="119"/>
      <c r="BR511" s="119"/>
      <c r="BS511" s="119"/>
      <c r="BT511" s="119"/>
      <c r="BU511" s="119"/>
      <c r="BV511" s="119"/>
      <c r="BW511" s="119"/>
      <c r="BX511" s="119"/>
      <c r="BY511" s="119"/>
      <c r="BZ511" s="119"/>
      <c r="CA511" s="119"/>
      <c r="CB511" s="119"/>
      <c r="CC511" s="119"/>
      <c r="CD511" s="119"/>
      <c r="CE511" s="119"/>
      <c r="CF511" s="119"/>
      <c r="CG511" s="119"/>
      <c r="CH511" s="119"/>
      <c r="CI511" s="119"/>
      <c r="CJ511" s="119"/>
      <c r="CK511" s="119"/>
      <c r="CL511" s="119"/>
      <c r="CM511" s="119"/>
      <c r="CN511" s="119"/>
      <c r="CO511" s="119"/>
      <c r="CP511" s="119"/>
      <c r="CQ511" s="119"/>
      <c r="CR511" s="119"/>
      <c r="CS511" s="119"/>
      <c r="CT511" s="119"/>
      <c r="CU511" s="119"/>
      <c r="CV511" s="119"/>
      <c r="CW511" s="119"/>
      <c r="CX511" s="119"/>
      <c r="CY511" s="119"/>
      <c r="CZ511" s="119"/>
      <c r="DA511" s="119"/>
      <c r="DB511" s="119"/>
      <c r="DC511" s="119"/>
      <c r="DD511" s="119"/>
      <c r="DE511" s="119"/>
      <c r="DF511" s="119"/>
      <c r="DG511" s="119"/>
      <c r="DH511" s="119"/>
      <c r="DI511" s="119"/>
      <c r="DJ511" s="119"/>
      <c r="DK511" s="119"/>
      <c r="DL511" s="119"/>
      <c r="DM511" s="119"/>
      <c r="DN511" s="119"/>
      <c r="DO511" s="119"/>
      <c r="DP511" s="119"/>
      <c r="DQ511" s="119"/>
      <c r="DR511" s="119"/>
      <c r="DS511" s="119"/>
      <c r="DT511" s="119"/>
      <c r="DU511" s="119"/>
      <c r="DV511" s="119"/>
      <c r="DW511" s="119"/>
      <c r="DX511" s="119"/>
      <c r="DY511" s="119"/>
      <c r="DZ511" s="119"/>
      <c r="EA511" s="119"/>
      <c r="EB511" s="119"/>
      <c r="EC511" s="119"/>
      <c r="ED511" s="119"/>
      <c r="EE511" s="119"/>
      <c r="EF511" s="119"/>
      <c r="EG511" s="119"/>
      <c r="EH511" s="119"/>
      <c r="EI511" s="119"/>
      <c r="EJ511" s="119"/>
      <c r="EK511" s="119"/>
      <c r="EL511" s="119"/>
      <c r="EM511" s="119"/>
      <c r="EN511" s="119"/>
      <c r="EO511" s="119"/>
      <c r="EP511" s="119"/>
      <c r="EQ511" s="119"/>
      <c r="ER511" s="119"/>
      <c r="ES511" s="119"/>
      <c r="ET511" s="119"/>
      <c r="EU511" s="119"/>
      <c r="EV511" s="119"/>
      <c r="EW511" s="119"/>
      <c r="EX511" s="119"/>
      <c r="EY511" s="119"/>
      <c r="EZ511" s="119"/>
      <c r="FA511" s="119"/>
      <c r="FB511" s="119"/>
      <c r="FC511" s="119"/>
      <c r="FD511" s="119"/>
      <c r="FE511" s="119"/>
      <c r="FF511" s="119"/>
      <c r="FG511" s="119"/>
      <c r="FH511" s="119"/>
      <c r="FI511" s="119"/>
      <c r="FJ511" s="119"/>
      <c r="FK511" s="119"/>
      <c r="FL511" s="119"/>
      <c r="FM511" s="119"/>
      <c r="FN511" s="119"/>
      <c r="FO511" s="119"/>
      <c r="FP511" s="119"/>
      <c r="FQ511" s="119"/>
      <c r="FR511" s="119"/>
    </row>
    <row x14ac:dyDescent="0.25" r="512" customHeight="1" ht="15">
      <c r="A512" s="112"/>
      <c r="B512" s="112"/>
      <c r="C512" s="107"/>
      <c r="D512" s="107"/>
      <c r="E512" s="120"/>
      <c r="F512" s="120"/>
      <c r="G512" s="109">
        <f>IF((F512-E512)&lt;0,0,(F512-E512))</f>
      </c>
      <c r="H512" s="110"/>
      <c r="I512" s="111">
        <f>IFERROR(SUMPRODUCT($G512*VLOOKUP($C512,'Vehicle Master'!$D:$F,3,0)),"")</f>
      </c>
      <c r="J512" s="11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  <c r="AA512" s="119"/>
      <c r="AB512" s="119"/>
      <c r="AC512" s="119"/>
      <c r="AD512" s="119"/>
      <c r="AE512" s="119"/>
      <c r="AF512" s="119"/>
      <c r="AG512" s="119"/>
      <c r="AH512" s="119"/>
      <c r="AI512" s="119"/>
      <c r="AJ512" s="119"/>
      <c r="AK512" s="119"/>
      <c r="AL512" s="119"/>
      <c r="AM512" s="119"/>
      <c r="AN512" s="119"/>
      <c r="AO512" s="119"/>
      <c r="AP512" s="119"/>
      <c r="AQ512" s="119"/>
      <c r="AR512" s="119"/>
      <c r="AS512" s="119"/>
      <c r="AT512" s="119"/>
      <c r="AU512" s="119"/>
      <c r="AV512" s="119"/>
      <c r="AW512" s="119"/>
      <c r="AX512" s="119"/>
      <c r="AY512" s="119"/>
      <c r="AZ512" s="119"/>
      <c r="BA512" s="119"/>
      <c r="BB512" s="119"/>
      <c r="BC512" s="119"/>
      <c r="BD512" s="119"/>
      <c r="BE512" s="119"/>
      <c r="BF512" s="119"/>
      <c r="BG512" s="119"/>
      <c r="BH512" s="119"/>
      <c r="BI512" s="119"/>
      <c r="BJ512" s="119"/>
      <c r="BK512" s="119"/>
      <c r="BL512" s="119"/>
      <c r="BM512" s="119"/>
      <c r="BN512" s="119"/>
      <c r="BO512" s="119"/>
      <c r="BP512" s="119"/>
      <c r="BQ512" s="119"/>
      <c r="BR512" s="119"/>
      <c r="BS512" s="119"/>
      <c r="BT512" s="119"/>
      <c r="BU512" s="119"/>
      <c r="BV512" s="119"/>
      <c r="BW512" s="119"/>
      <c r="BX512" s="119"/>
      <c r="BY512" s="119"/>
      <c r="BZ512" s="119"/>
      <c r="CA512" s="119"/>
      <c r="CB512" s="119"/>
      <c r="CC512" s="119"/>
      <c r="CD512" s="119"/>
      <c r="CE512" s="119"/>
      <c r="CF512" s="119"/>
      <c r="CG512" s="119"/>
      <c r="CH512" s="119"/>
      <c r="CI512" s="119"/>
      <c r="CJ512" s="119"/>
      <c r="CK512" s="119"/>
      <c r="CL512" s="119"/>
      <c r="CM512" s="119"/>
      <c r="CN512" s="119"/>
      <c r="CO512" s="119"/>
      <c r="CP512" s="119"/>
      <c r="CQ512" s="119"/>
      <c r="CR512" s="119"/>
      <c r="CS512" s="119"/>
      <c r="CT512" s="119"/>
      <c r="CU512" s="119"/>
      <c r="CV512" s="119"/>
      <c r="CW512" s="119"/>
      <c r="CX512" s="119"/>
      <c r="CY512" s="119"/>
      <c r="CZ512" s="119"/>
      <c r="DA512" s="119"/>
      <c r="DB512" s="119"/>
      <c r="DC512" s="119"/>
      <c r="DD512" s="119"/>
      <c r="DE512" s="119"/>
      <c r="DF512" s="119"/>
      <c r="DG512" s="119"/>
      <c r="DH512" s="119"/>
      <c r="DI512" s="119"/>
      <c r="DJ512" s="119"/>
      <c r="DK512" s="119"/>
      <c r="DL512" s="119"/>
      <c r="DM512" s="119"/>
      <c r="DN512" s="119"/>
      <c r="DO512" s="119"/>
      <c r="DP512" s="119"/>
      <c r="DQ512" s="119"/>
      <c r="DR512" s="119"/>
      <c r="DS512" s="119"/>
      <c r="DT512" s="119"/>
      <c r="DU512" s="119"/>
      <c r="DV512" s="119"/>
      <c r="DW512" s="119"/>
      <c r="DX512" s="119"/>
      <c r="DY512" s="119"/>
      <c r="DZ512" s="119"/>
      <c r="EA512" s="119"/>
      <c r="EB512" s="119"/>
      <c r="EC512" s="119"/>
      <c r="ED512" s="119"/>
      <c r="EE512" s="119"/>
      <c r="EF512" s="119"/>
      <c r="EG512" s="119"/>
      <c r="EH512" s="119"/>
      <c r="EI512" s="119"/>
      <c r="EJ512" s="119"/>
      <c r="EK512" s="119"/>
      <c r="EL512" s="119"/>
      <c r="EM512" s="119"/>
      <c r="EN512" s="119"/>
      <c r="EO512" s="119"/>
      <c r="EP512" s="119"/>
      <c r="EQ512" s="119"/>
      <c r="ER512" s="119"/>
      <c r="ES512" s="119"/>
      <c r="ET512" s="119"/>
      <c r="EU512" s="119"/>
      <c r="EV512" s="119"/>
      <c r="EW512" s="119"/>
      <c r="EX512" s="119"/>
      <c r="EY512" s="119"/>
      <c r="EZ512" s="119"/>
      <c r="FA512" s="119"/>
      <c r="FB512" s="119"/>
      <c r="FC512" s="119"/>
      <c r="FD512" s="119"/>
      <c r="FE512" s="119"/>
      <c r="FF512" s="119"/>
      <c r="FG512" s="119"/>
      <c r="FH512" s="119"/>
      <c r="FI512" s="119"/>
      <c r="FJ512" s="119"/>
      <c r="FK512" s="119"/>
      <c r="FL512" s="119"/>
      <c r="FM512" s="119"/>
      <c r="FN512" s="119"/>
      <c r="FO512" s="119"/>
      <c r="FP512" s="119"/>
      <c r="FQ512" s="119"/>
      <c r="FR512" s="119"/>
    </row>
    <row x14ac:dyDescent="0.25" r="513" customHeight="1" ht="15">
      <c r="A513" s="112"/>
      <c r="B513" s="112"/>
      <c r="C513" s="107"/>
      <c r="D513" s="107"/>
      <c r="E513" s="120"/>
      <c r="F513" s="120"/>
      <c r="G513" s="109">
        <f>IF((F513-E513)&lt;0,0,(F513-E513))</f>
      </c>
      <c r="H513" s="110"/>
      <c r="I513" s="111">
        <f>IFERROR(SUMPRODUCT($G513*VLOOKUP($C513,'Vehicle Master'!$D:$F,3,0)),"")</f>
      </c>
      <c r="J513" s="11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  <c r="AA513" s="119"/>
      <c r="AB513" s="119"/>
      <c r="AC513" s="119"/>
      <c r="AD513" s="119"/>
      <c r="AE513" s="119"/>
      <c r="AF513" s="119"/>
      <c r="AG513" s="119"/>
      <c r="AH513" s="119"/>
      <c r="AI513" s="119"/>
      <c r="AJ513" s="119"/>
      <c r="AK513" s="119"/>
      <c r="AL513" s="119"/>
      <c r="AM513" s="119"/>
      <c r="AN513" s="119"/>
      <c r="AO513" s="119"/>
      <c r="AP513" s="119"/>
      <c r="AQ513" s="119"/>
      <c r="AR513" s="119"/>
      <c r="AS513" s="119"/>
      <c r="AT513" s="119"/>
      <c r="AU513" s="119"/>
      <c r="AV513" s="119"/>
      <c r="AW513" s="119"/>
      <c r="AX513" s="119"/>
      <c r="AY513" s="119"/>
      <c r="AZ513" s="119"/>
      <c r="BA513" s="119"/>
      <c r="BB513" s="119"/>
      <c r="BC513" s="119"/>
      <c r="BD513" s="119"/>
      <c r="BE513" s="119"/>
      <c r="BF513" s="119"/>
      <c r="BG513" s="119"/>
      <c r="BH513" s="119"/>
      <c r="BI513" s="119"/>
      <c r="BJ513" s="119"/>
      <c r="BK513" s="119"/>
      <c r="BL513" s="119"/>
      <c r="BM513" s="119"/>
      <c r="BN513" s="119"/>
      <c r="BO513" s="119"/>
      <c r="BP513" s="119"/>
      <c r="BQ513" s="119"/>
      <c r="BR513" s="119"/>
      <c r="BS513" s="119"/>
      <c r="BT513" s="119"/>
      <c r="BU513" s="119"/>
      <c r="BV513" s="119"/>
      <c r="BW513" s="119"/>
      <c r="BX513" s="119"/>
      <c r="BY513" s="119"/>
      <c r="BZ513" s="119"/>
      <c r="CA513" s="119"/>
      <c r="CB513" s="119"/>
      <c r="CC513" s="119"/>
      <c r="CD513" s="119"/>
      <c r="CE513" s="119"/>
      <c r="CF513" s="119"/>
      <c r="CG513" s="119"/>
      <c r="CH513" s="119"/>
      <c r="CI513" s="119"/>
      <c r="CJ513" s="119"/>
      <c r="CK513" s="119"/>
      <c r="CL513" s="119"/>
      <c r="CM513" s="119"/>
      <c r="CN513" s="119"/>
      <c r="CO513" s="119"/>
      <c r="CP513" s="119"/>
      <c r="CQ513" s="119"/>
      <c r="CR513" s="119"/>
      <c r="CS513" s="119"/>
      <c r="CT513" s="119"/>
      <c r="CU513" s="119"/>
      <c r="CV513" s="119"/>
      <c r="CW513" s="119"/>
      <c r="CX513" s="119"/>
      <c r="CY513" s="119"/>
      <c r="CZ513" s="119"/>
      <c r="DA513" s="119"/>
      <c r="DB513" s="119"/>
      <c r="DC513" s="119"/>
      <c r="DD513" s="119"/>
      <c r="DE513" s="119"/>
      <c r="DF513" s="119"/>
      <c r="DG513" s="119"/>
      <c r="DH513" s="119"/>
      <c r="DI513" s="119"/>
      <c r="DJ513" s="119"/>
      <c r="DK513" s="119"/>
      <c r="DL513" s="119"/>
      <c r="DM513" s="119"/>
      <c r="DN513" s="119"/>
      <c r="DO513" s="119"/>
      <c r="DP513" s="119"/>
      <c r="DQ513" s="119"/>
      <c r="DR513" s="119"/>
      <c r="DS513" s="119"/>
      <c r="DT513" s="119"/>
      <c r="DU513" s="119"/>
      <c r="DV513" s="119"/>
      <c r="DW513" s="119"/>
      <c r="DX513" s="119"/>
      <c r="DY513" s="119"/>
      <c r="DZ513" s="119"/>
      <c r="EA513" s="119"/>
      <c r="EB513" s="119"/>
      <c r="EC513" s="119"/>
      <c r="ED513" s="119"/>
      <c r="EE513" s="119"/>
      <c r="EF513" s="119"/>
      <c r="EG513" s="119"/>
      <c r="EH513" s="119"/>
      <c r="EI513" s="119"/>
      <c r="EJ513" s="119"/>
      <c r="EK513" s="119"/>
      <c r="EL513" s="119"/>
      <c r="EM513" s="119"/>
      <c r="EN513" s="119"/>
      <c r="EO513" s="119"/>
      <c r="EP513" s="119"/>
      <c r="EQ513" s="119"/>
      <c r="ER513" s="119"/>
      <c r="ES513" s="119"/>
      <c r="ET513" s="119"/>
      <c r="EU513" s="119"/>
      <c r="EV513" s="119"/>
      <c r="EW513" s="119"/>
      <c r="EX513" s="119"/>
      <c r="EY513" s="119"/>
      <c r="EZ513" s="119"/>
      <c r="FA513" s="119"/>
      <c r="FB513" s="119"/>
      <c r="FC513" s="119"/>
      <c r="FD513" s="119"/>
      <c r="FE513" s="119"/>
      <c r="FF513" s="119"/>
      <c r="FG513" s="119"/>
      <c r="FH513" s="119"/>
      <c r="FI513" s="119"/>
      <c r="FJ513" s="119"/>
      <c r="FK513" s="119"/>
      <c r="FL513" s="119"/>
      <c r="FM513" s="119"/>
      <c r="FN513" s="119"/>
      <c r="FO513" s="119"/>
      <c r="FP513" s="119"/>
      <c r="FQ513" s="119"/>
      <c r="FR513" s="119"/>
    </row>
    <row x14ac:dyDescent="0.25" r="514" customHeight="1" ht="15">
      <c r="A514" s="112"/>
      <c r="B514" s="112"/>
      <c r="C514" s="107"/>
      <c r="D514" s="107"/>
      <c r="E514" s="120"/>
      <c r="F514" s="120"/>
      <c r="G514" s="109">
        <f>IF((F514-E514)&lt;0,0,(F514-E514))</f>
      </c>
      <c r="H514" s="110"/>
      <c r="I514" s="111">
        <f>IFERROR(SUMPRODUCT($G514*VLOOKUP($C514,'Vehicle Master'!$D:$F,3,0)),"")</f>
      </c>
      <c r="J514" s="11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  <c r="AA514" s="119"/>
      <c r="AB514" s="119"/>
      <c r="AC514" s="119"/>
      <c r="AD514" s="119"/>
      <c r="AE514" s="119"/>
      <c r="AF514" s="119"/>
      <c r="AG514" s="119"/>
      <c r="AH514" s="119"/>
      <c r="AI514" s="119"/>
      <c r="AJ514" s="119"/>
      <c r="AK514" s="119"/>
      <c r="AL514" s="119"/>
      <c r="AM514" s="119"/>
      <c r="AN514" s="119"/>
      <c r="AO514" s="119"/>
      <c r="AP514" s="119"/>
      <c r="AQ514" s="119"/>
      <c r="AR514" s="119"/>
      <c r="AS514" s="119"/>
      <c r="AT514" s="119"/>
      <c r="AU514" s="119"/>
      <c r="AV514" s="119"/>
      <c r="AW514" s="119"/>
      <c r="AX514" s="119"/>
      <c r="AY514" s="119"/>
      <c r="AZ514" s="119"/>
      <c r="BA514" s="119"/>
      <c r="BB514" s="119"/>
      <c r="BC514" s="119"/>
      <c r="BD514" s="119"/>
      <c r="BE514" s="119"/>
      <c r="BF514" s="119"/>
      <c r="BG514" s="119"/>
      <c r="BH514" s="119"/>
      <c r="BI514" s="119"/>
      <c r="BJ514" s="119"/>
      <c r="BK514" s="119"/>
      <c r="BL514" s="119"/>
      <c r="BM514" s="119"/>
      <c r="BN514" s="119"/>
      <c r="BO514" s="119"/>
      <c r="BP514" s="119"/>
      <c r="BQ514" s="119"/>
      <c r="BR514" s="119"/>
      <c r="BS514" s="119"/>
      <c r="BT514" s="119"/>
      <c r="BU514" s="119"/>
      <c r="BV514" s="119"/>
      <c r="BW514" s="119"/>
      <c r="BX514" s="119"/>
      <c r="BY514" s="119"/>
      <c r="BZ514" s="119"/>
      <c r="CA514" s="119"/>
      <c r="CB514" s="119"/>
      <c r="CC514" s="119"/>
      <c r="CD514" s="119"/>
      <c r="CE514" s="119"/>
      <c r="CF514" s="119"/>
      <c r="CG514" s="119"/>
      <c r="CH514" s="119"/>
      <c r="CI514" s="119"/>
      <c r="CJ514" s="119"/>
      <c r="CK514" s="119"/>
      <c r="CL514" s="119"/>
      <c r="CM514" s="119"/>
      <c r="CN514" s="119"/>
      <c r="CO514" s="119"/>
      <c r="CP514" s="119"/>
      <c r="CQ514" s="119"/>
      <c r="CR514" s="119"/>
      <c r="CS514" s="119"/>
      <c r="CT514" s="119"/>
      <c r="CU514" s="119"/>
      <c r="CV514" s="119"/>
      <c r="CW514" s="119"/>
      <c r="CX514" s="119"/>
      <c r="CY514" s="119"/>
      <c r="CZ514" s="119"/>
      <c r="DA514" s="119"/>
      <c r="DB514" s="119"/>
      <c r="DC514" s="119"/>
      <c r="DD514" s="119"/>
      <c r="DE514" s="119"/>
      <c r="DF514" s="119"/>
      <c r="DG514" s="119"/>
      <c r="DH514" s="119"/>
      <c r="DI514" s="119"/>
      <c r="DJ514" s="119"/>
      <c r="DK514" s="119"/>
      <c r="DL514" s="119"/>
      <c r="DM514" s="119"/>
      <c r="DN514" s="119"/>
      <c r="DO514" s="119"/>
      <c r="DP514" s="119"/>
      <c r="DQ514" s="119"/>
      <c r="DR514" s="119"/>
      <c r="DS514" s="119"/>
      <c r="DT514" s="119"/>
      <c r="DU514" s="119"/>
      <c r="DV514" s="119"/>
      <c r="DW514" s="119"/>
      <c r="DX514" s="119"/>
      <c r="DY514" s="119"/>
      <c r="DZ514" s="119"/>
      <c r="EA514" s="119"/>
      <c r="EB514" s="119"/>
      <c r="EC514" s="119"/>
      <c r="ED514" s="119"/>
      <c r="EE514" s="119"/>
      <c r="EF514" s="119"/>
      <c r="EG514" s="119"/>
      <c r="EH514" s="119"/>
      <c r="EI514" s="119"/>
      <c r="EJ514" s="119"/>
      <c r="EK514" s="119"/>
      <c r="EL514" s="119"/>
      <c r="EM514" s="119"/>
      <c r="EN514" s="119"/>
      <c r="EO514" s="119"/>
      <c r="EP514" s="119"/>
      <c r="EQ514" s="119"/>
      <c r="ER514" s="119"/>
      <c r="ES514" s="119"/>
      <c r="ET514" s="119"/>
      <c r="EU514" s="119"/>
      <c r="EV514" s="119"/>
      <c r="EW514" s="119"/>
      <c r="EX514" s="119"/>
      <c r="EY514" s="119"/>
      <c r="EZ514" s="119"/>
      <c r="FA514" s="119"/>
      <c r="FB514" s="119"/>
      <c r="FC514" s="119"/>
      <c r="FD514" s="119"/>
      <c r="FE514" s="119"/>
      <c r="FF514" s="119"/>
      <c r="FG514" s="119"/>
      <c r="FH514" s="119"/>
      <c r="FI514" s="119"/>
      <c r="FJ514" s="119"/>
      <c r="FK514" s="119"/>
      <c r="FL514" s="119"/>
      <c r="FM514" s="119"/>
      <c r="FN514" s="119"/>
      <c r="FO514" s="119"/>
      <c r="FP514" s="119"/>
      <c r="FQ514" s="119"/>
      <c r="FR514" s="119"/>
    </row>
    <row x14ac:dyDescent="0.25" r="515" customHeight="1" ht="15">
      <c r="A515" s="112"/>
      <c r="B515" s="112"/>
      <c r="C515" s="107"/>
      <c r="D515" s="107"/>
      <c r="E515" s="120"/>
      <c r="F515" s="120"/>
      <c r="G515" s="109">
        <f>IF((F515-E515)&lt;0,0,(F515-E515))</f>
      </c>
      <c r="H515" s="110"/>
      <c r="I515" s="111">
        <f>IFERROR(SUMPRODUCT($G515*VLOOKUP($C515,'Vehicle Master'!$D:$F,3,0)),"")</f>
      </c>
      <c r="J515" s="11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  <c r="AA515" s="119"/>
      <c r="AB515" s="119"/>
      <c r="AC515" s="119"/>
      <c r="AD515" s="119"/>
      <c r="AE515" s="119"/>
      <c r="AF515" s="119"/>
      <c r="AG515" s="119"/>
      <c r="AH515" s="119"/>
      <c r="AI515" s="119"/>
      <c r="AJ515" s="119"/>
      <c r="AK515" s="119"/>
      <c r="AL515" s="119"/>
      <c r="AM515" s="119"/>
      <c r="AN515" s="119"/>
      <c r="AO515" s="119"/>
      <c r="AP515" s="119"/>
      <c r="AQ515" s="119"/>
      <c r="AR515" s="119"/>
      <c r="AS515" s="119"/>
      <c r="AT515" s="119"/>
      <c r="AU515" s="119"/>
      <c r="AV515" s="119"/>
      <c r="AW515" s="119"/>
      <c r="AX515" s="119"/>
      <c r="AY515" s="119"/>
      <c r="AZ515" s="119"/>
      <c r="BA515" s="119"/>
      <c r="BB515" s="119"/>
      <c r="BC515" s="119"/>
      <c r="BD515" s="119"/>
      <c r="BE515" s="119"/>
      <c r="BF515" s="119"/>
      <c r="BG515" s="119"/>
      <c r="BH515" s="119"/>
      <c r="BI515" s="119"/>
      <c r="BJ515" s="119"/>
      <c r="BK515" s="119"/>
      <c r="BL515" s="119"/>
      <c r="BM515" s="119"/>
      <c r="BN515" s="119"/>
      <c r="BO515" s="119"/>
      <c r="BP515" s="119"/>
      <c r="BQ515" s="119"/>
      <c r="BR515" s="119"/>
      <c r="BS515" s="119"/>
      <c r="BT515" s="119"/>
      <c r="BU515" s="119"/>
      <c r="BV515" s="119"/>
      <c r="BW515" s="119"/>
      <c r="BX515" s="119"/>
      <c r="BY515" s="119"/>
      <c r="BZ515" s="119"/>
      <c r="CA515" s="119"/>
      <c r="CB515" s="119"/>
      <c r="CC515" s="119"/>
      <c r="CD515" s="119"/>
      <c r="CE515" s="119"/>
      <c r="CF515" s="119"/>
      <c r="CG515" s="119"/>
      <c r="CH515" s="119"/>
      <c r="CI515" s="119"/>
      <c r="CJ515" s="119"/>
      <c r="CK515" s="119"/>
      <c r="CL515" s="119"/>
      <c r="CM515" s="119"/>
      <c r="CN515" s="119"/>
      <c r="CO515" s="119"/>
      <c r="CP515" s="119"/>
      <c r="CQ515" s="119"/>
      <c r="CR515" s="119"/>
      <c r="CS515" s="119"/>
      <c r="CT515" s="119"/>
      <c r="CU515" s="119"/>
      <c r="CV515" s="119"/>
      <c r="CW515" s="119"/>
      <c r="CX515" s="119"/>
      <c r="CY515" s="119"/>
      <c r="CZ515" s="119"/>
      <c r="DA515" s="119"/>
      <c r="DB515" s="119"/>
      <c r="DC515" s="119"/>
      <c r="DD515" s="119"/>
      <c r="DE515" s="119"/>
      <c r="DF515" s="119"/>
      <c r="DG515" s="119"/>
      <c r="DH515" s="119"/>
      <c r="DI515" s="119"/>
      <c r="DJ515" s="119"/>
      <c r="DK515" s="119"/>
      <c r="DL515" s="119"/>
      <c r="DM515" s="119"/>
      <c r="DN515" s="119"/>
      <c r="DO515" s="119"/>
      <c r="DP515" s="119"/>
      <c r="DQ515" s="119"/>
      <c r="DR515" s="119"/>
      <c r="DS515" s="119"/>
      <c r="DT515" s="119"/>
      <c r="DU515" s="119"/>
      <c r="DV515" s="119"/>
      <c r="DW515" s="119"/>
      <c r="DX515" s="119"/>
      <c r="DY515" s="119"/>
      <c r="DZ515" s="119"/>
      <c r="EA515" s="119"/>
      <c r="EB515" s="119"/>
      <c r="EC515" s="119"/>
      <c r="ED515" s="119"/>
      <c r="EE515" s="119"/>
      <c r="EF515" s="119"/>
      <c r="EG515" s="119"/>
      <c r="EH515" s="119"/>
      <c r="EI515" s="119"/>
      <c r="EJ515" s="119"/>
      <c r="EK515" s="119"/>
      <c r="EL515" s="119"/>
      <c r="EM515" s="119"/>
      <c r="EN515" s="119"/>
      <c r="EO515" s="119"/>
      <c r="EP515" s="119"/>
      <c r="EQ515" s="119"/>
      <c r="ER515" s="119"/>
      <c r="ES515" s="119"/>
      <c r="ET515" s="119"/>
      <c r="EU515" s="119"/>
      <c r="EV515" s="119"/>
      <c r="EW515" s="119"/>
      <c r="EX515" s="119"/>
      <c r="EY515" s="119"/>
      <c r="EZ515" s="119"/>
      <c r="FA515" s="119"/>
      <c r="FB515" s="119"/>
      <c r="FC515" s="119"/>
      <c r="FD515" s="119"/>
      <c r="FE515" s="119"/>
      <c r="FF515" s="119"/>
      <c r="FG515" s="119"/>
      <c r="FH515" s="119"/>
      <c r="FI515" s="119"/>
      <c r="FJ515" s="119"/>
      <c r="FK515" s="119"/>
      <c r="FL515" s="119"/>
      <c r="FM515" s="119"/>
      <c r="FN515" s="119"/>
      <c r="FO515" s="119"/>
      <c r="FP515" s="119"/>
      <c r="FQ515" s="119"/>
      <c r="FR515" s="119"/>
    </row>
    <row x14ac:dyDescent="0.25" r="516" customHeight="1" ht="15">
      <c r="A516" s="112"/>
      <c r="B516" s="112"/>
      <c r="C516" s="107"/>
      <c r="D516" s="107"/>
      <c r="E516" s="120"/>
      <c r="F516" s="120"/>
      <c r="G516" s="109">
        <f>IF((F516-E516)&lt;0,0,(F516-E516))</f>
      </c>
      <c r="H516" s="110"/>
      <c r="I516" s="111">
        <f>IFERROR(SUMPRODUCT($G516*VLOOKUP($C516,'Vehicle Master'!$D:$F,3,0)),"")</f>
      </c>
      <c r="J516" s="11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  <c r="AA516" s="119"/>
      <c r="AB516" s="119"/>
      <c r="AC516" s="119"/>
      <c r="AD516" s="119"/>
      <c r="AE516" s="119"/>
      <c r="AF516" s="119"/>
      <c r="AG516" s="119"/>
      <c r="AH516" s="119"/>
      <c r="AI516" s="119"/>
      <c r="AJ516" s="119"/>
      <c r="AK516" s="119"/>
      <c r="AL516" s="119"/>
      <c r="AM516" s="119"/>
      <c r="AN516" s="119"/>
      <c r="AO516" s="119"/>
      <c r="AP516" s="119"/>
      <c r="AQ516" s="119"/>
      <c r="AR516" s="119"/>
      <c r="AS516" s="119"/>
      <c r="AT516" s="119"/>
      <c r="AU516" s="119"/>
      <c r="AV516" s="119"/>
      <c r="AW516" s="119"/>
      <c r="AX516" s="119"/>
      <c r="AY516" s="119"/>
      <c r="AZ516" s="119"/>
      <c r="BA516" s="119"/>
      <c r="BB516" s="119"/>
      <c r="BC516" s="119"/>
      <c r="BD516" s="119"/>
      <c r="BE516" s="119"/>
      <c r="BF516" s="119"/>
      <c r="BG516" s="119"/>
      <c r="BH516" s="119"/>
      <c r="BI516" s="119"/>
      <c r="BJ516" s="119"/>
      <c r="BK516" s="119"/>
      <c r="BL516" s="119"/>
      <c r="BM516" s="119"/>
      <c r="BN516" s="119"/>
      <c r="BO516" s="119"/>
      <c r="BP516" s="119"/>
      <c r="BQ516" s="119"/>
      <c r="BR516" s="119"/>
      <c r="BS516" s="119"/>
      <c r="BT516" s="119"/>
      <c r="BU516" s="119"/>
      <c r="BV516" s="119"/>
      <c r="BW516" s="119"/>
      <c r="BX516" s="119"/>
      <c r="BY516" s="119"/>
      <c r="BZ516" s="119"/>
      <c r="CA516" s="119"/>
      <c r="CB516" s="119"/>
      <c r="CC516" s="119"/>
      <c r="CD516" s="119"/>
      <c r="CE516" s="119"/>
      <c r="CF516" s="119"/>
      <c r="CG516" s="119"/>
      <c r="CH516" s="119"/>
      <c r="CI516" s="119"/>
      <c r="CJ516" s="119"/>
      <c r="CK516" s="119"/>
      <c r="CL516" s="119"/>
      <c r="CM516" s="119"/>
      <c r="CN516" s="119"/>
      <c r="CO516" s="119"/>
      <c r="CP516" s="119"/>
      <c r="CQ516" s="119"/>
      <c r="CR516" s="119"/>
      <c r="CS516" s="119"/>
      <c r="CT516" s="119"/>
      <c r="CU516" s="119"/>
      <c r="CV516" s="119"/>
      <c r="CW516" s="119"/>
      <c r="CX516" s="119"/>
      <c r="CY516" s="119"/>
      <c r="CZ516" s="119"/>
      <c r="DA516" s="119"/>
      <c r="DB516" s="119"/>
      <c r="DC516" s="119"/>
      <c r="DD516" s="119"/>
      <c r="DE516" s="119"/>
      <c r="DF516" s="119"/>
      <c r="DG516" s="119"/>
      <c r="DH516" s="119"/>
      <c r="DI516" s="119"/>
      <c r="DJ516" s="119"/>
      <c r="DK516" s="119"/>
      <c r="DL516" s="119"/>
      <c r="DM516" s="119"/>
      <c r="DN516" s="119"/>
      <c r="DO516" s="119"/>
      <c r="DP516" s="119"/>
      <c r="DQ516" s="119"/>
      <c r="DR516" s="119"/>
      <c r="DS516" s="119"/>
      <c r="DT516" s="119"/>
      <c r="DU516" s="119"/>
      <c r="DV516" s="119"/>
      <c r="DW516" s="119"/>
      <c r="DX516" s="119"/>
      <c r="DY516" s="119"/>
      <c r="DZ516" s="119"/>
      <c r="EA516" s="119"/>
      <c r="EB516" s="119"/>
      <c r="EC516" s="119"/>
      <c r="ED516" s="119"/>
      <c r="EE516" s="119"/>
      <c r="EF516" s="119"/>
      <c r="EG516" s="119"/>
      <c r="EH516" s="119"/>
      <c r="EI516" s="119"/>
      <c r="EJ516" s="119"/>
      <c r="EK516" s="119"/>
      <c r="EL516" s="119"/>
      <c r="EM516" s="119"/>
      <c r="EN516" s="119"/>
      <c r="EO516" s="119"/>
      <c r="EP516" s="119"/>
      <c r="EQ516" s="119"/>
      <c r="ER516" s="119"/>
      <c r="ES516" s="119"/>
      <c r="ET516" s="119"/>
      <c r="EU516" s="119"/>
      <c r="EV516" s="119"/>
      <c r="EW516" s="119"/>
      <c r="EX516" s="119"/>
      <c r="EY516" s="119"/>
      <c r="EZ516" s="119"/>
      <c r="FA516" s="119"/>
      <c r="FB516" s="119"/>
      <c r="FC516" s="119"/>
      <c r="FD516" s="119"/>
      <c r="FE516" s="119"/>
      <c r="FF516" s="119"/>
      <c r="FG516" s="119"/>
      <c r="FH516" s="119"/>
      <c r="FI516" s="119"/>
      <c r="FJ516" s="119"/>
      <c r="FK516" s="119"/>
      <c r="FL516" s="119"/>
      <c r="FM516" s="119"/>
      <c r="FN516" s="119"/>
      <c r="FO516" s="119"/>
      <c r="FP516" s="119"/>
      <c r="FQ516" s="119"/>
      <c r="FR516" s="119"/>
    </row>
    <row x14ac:dyDescent="0.25" r="517" customHeight="1" ht="15">
      <c r="A517" s="112"/>
      <c r="B517" s="112"/>
      <c r="C517" s="107"/>
      <c r="D517" s="107"/>
      <c r="E517" s="120"/>
      <c r="F517" s="120"/>
      <c r="G517" s="109">
        <f>IF((F517-E517)&lt;0,0,(F517-E517))</f>
      </c>
      <c r="H517" s="110"/>
      <c r="I517" s="111">
        <f>IFERROR(SUMPRODUCT($G517*VLOOKUP($C517,'Vehicle Master'!$D:$F,3,0)),"")</f>
      </c>
      <c r="J517" s="11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  <c r="AA517" s="119"/>
      <c r="AB517" s="119"/>
      <c r="AC517" s="119"/>
      <c r="AD517" s="119"/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/>
      <c r="AP517" s="119"/>
      <c r="AQ517" s="119"/>
      <c r="AR517" s="119"/>
      <c r="AS517" s="119"/>
      <c r="AT517" s="119"/>
      <c r="AU517" s="119"/>
      <c r="AV517" s="119"/>
      <c r="AW517" s="119"/>
      <c r="AX517" s="119"/>
      <c r="AY517" s="119"/>
      <c r="AZ517" s="119"/>
      <c r="BA517" s="119"/>
      <c r="BB517" s="119"/>
      <c r="BC517" s="119"/>
      <c r="BD517" s="119"/>
      <c r="BE517" s="119"/>
      <c r="BF517" s="119"/>
      <c r="BG517" s="119"/>
      <c r="BH517" s="119"/>
      <c r="BI517" s="119"/>
      <c r="BJ517" s="119"/>
      <c r="BK517" s="119"/>
      <c r="BL517" s="119"/>
      <c r="BM517" s="119"/>
      <c r="BN517" s="119"/>
      <c r="BO517" s="119"/>
      <c r="BP517" s="119"/>
      <c r="BQ517" s="119"/>
      <c r="BR517" s="119"/>
      <c r="BS517" s="119"/>
      <c r="BT517" s="119"/>
      <c r="BU517" s="119"/>
      <c r="BV517" s="119"/>
      <c r="BW517" s="119"/>
      <c r="BX517" s="119"/>
      <c r="BY517" s="119"/>
      <c r="BZ517" s="119"/>
      <c r="CA517" s="119"/>
      <c r="CB517" s="119"/>
      <c r="CC517" s="119"/>
      <c r="CD517" s="119"/>
      <c r="CE517" s="119"/>
      <c r="CF517" s="119"/>
      <c r="CG517" s="119"/>
      <c r="CH517" s="119"/>
      <c r="CI517" s="119"/>
      <c r="CJ517" s="119"/>
      <c r="CK517" s="119"/>
      <c r="CL517" s="119"/>
      <c r="CM517" s="119"/>
      <c r="CN517" s="119"/>
      <c r="CO517" s="119"/>
      <c r="CP517" s="119"/>
      <c r="CQ517" s="119"/>
      <c r="CR517" s="119"/>
      <c r="CS517" s="119"/>
      <c r="CT517" s="119"/>
      <c r="CU517" s="119"/>
      <c r="CV517" s="119"/>
      <c r="CW517" s="119"/>
      <c r="CX517" s="119"/>
      <c r="CY517" s="119"/>
      <c r="CZ517" s="119"/>
      <c r="DA517" s="119"/>
      <c r="DB517" s="119"/>
      <c r="DC517" s="119"/>
      <c r="DD517" s="119"/>
      <c r="DE517" s="119"/>
      <c r="DF517" s="119"/>
      <c r="DG517" s="119"/>
      <c r="DH517" s="119"/>
      <c r="DI517" s="119"/>
      <c r="DJ517" s="119"/>
      <c r="DK517" s="119"/>
      <c r="DL517" s="119"/>
      <c r="DM517" s="119"/>
      <c r="DN517" s="119"/>
      <c r="DO517" s="119"/>
      <c r="DP517" s="119"/>
      <c r="DQ517" s="119"/>
      <c r="DR517" s="119"/>
      <c r="DS517" s="119"/>
      <c r="DT517" s="119"/>
      <c r="DU517" s="119"/>
      <c r="DV517" s="119"/>
      <c r="DW517" s="119"/>
      <c r="DX517" s="119"/>
      <c r="DY517" s="119"/>
      <c r="DZ517" s="119"/>
      <c r="EA517" s="119"/>
      <c r="EB517" s="119"/>
      <c r="EC517" s="119"/>
      <c r="ED517" s="119"/>
      <c r="EE517" s="119"/>
      <c r="EF517" s="119"/>
      <c r="EG517" s="119"/>
      <c r="EH517" s="119"/>
      <c r="EI517" s="119"/>
      <c r="EJ517" s="119"/>
      <c r="EK517" s="119"/>
      <c r="EL517" s="119"/>
      <c r="EM517" s="119"/>
      <c r="EN517" s="119"/>
      <c r="EO517" s="119"/>
      <c r="EP517" s="119"/>
      <c r="EQ517" s="119"/>
      <c r="ER517" s="119"/>
      <c r="ES517" s="119"/>
      <c r="ET517" s="119"/>
      <c r="EU517" s="119"/>
      <c r="EV517" s="119"/>
      <c r="EW517" s="119"/>
      <c r="EX517" s="119"/>
      <c r="EY517" s="119"/>
      <c r="EZ517" s="119"/>
      <c r="FA517" s="119"/>
      <c r="FB517" s="119"/>
      <c r="FC517" s="119"/>
      <c r="FD517" s="119"/>
      <c r="FE517" s="119"/>
      <c r="FF517" s="119"/>
      <c r="FG517" s="119"/>
      <c r="FH517" s="119"/>
      <c r="FI517" s="119"/>
      <c r="FJ517" s="119"/>
      <c r="FK517" s="119"/>
      <c r="FL517" s="119"/>
      <c r="FM517" s="119"/>
      <c r="FN517" s="119"/>
      <c r="FO517" s="119"/>
      <c r="FP517" s="119"/>
      <c r="FQ517" s="119"/>
      <c r="FR517" s="119"/>
    </row>
    <row x14ac:dyDescent="0.25" r="518" customHeight="1" ht="15">
      <c r="A518" s="112"/>
      <c r="B518" s="112"/>
      <c r="C518" s="107"/>
      <c r="D518" s="107"/>
      <c r="E518" s="120"/>
      <c r="F518" s="120"/>
      <c r="G518" s="109">
        <f>IF((F518-E518)&lt;0,0,(F518-E518))</f>
      </c>
      <c r="H518" s="110"/>
      <c r="I518" s="111">
        <f>IFERROR(SUMPRODUCT($G518*VLOOKUP($C518,'Vehicle Master'!$D:$F,3,0)),"")</f>
      </c>
      <c r="J518" s="11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  <c r="AA518" s="119"/>
      <c r="AB518" s="119"/>
      <c r="AC518" s="119"/>
      <c r="AD518" s="119"/>
      <c r="AE518" s="119"/>
      <c r="AF518" s="119"/>
      <c r="AG518" s="119"/>
      <c r="AH518" s="119"/>
      <c r="AI518" s="119"/>
      <c r="AJ518" s="119"/>
      <c r="AK518" s="119"/>
      <c r="AL518" s="119"/>
      <c r="AM518" s="119"/>
      <c r="AN518" s="119"/>
      <c r="AO518" s="119"/>
      <c r="AP518" s="119"/>
      <c r="AQ518" s="119"/>
      <c r="AR518" s="119"/>
      <c r="AS518" s="119"/>
      <c r="AT518" s="119"/>
      <c r="AU518" s="119"/>
      <c r="AV518" s="119"/>
      <c r="AW518" s="119"/>
      <c r="AX518" s="119"/>
      <c r="AY518" s="119"/>
      <c r="AZ518" s="119"/>
      <c r="BA518" s="119"/>
      <c r="BB518" s="119"/>
      <c r="BC518" s="119"/>
      <c r="BD518" s="119"/>
      <c r="BE518" s="119"/>
      <c r="BF518" s="119"/>
      <c r="BG518" s="119"/>
      <c r="BH518" s="119"/>
      <c r="BI518" s="119"/>
      <c r="BJ518" s="119"/>
      <c r="BK518" s="119"/>
      <c r="BL518" s="119"/>
      <c r="BM518" s="119"/>
      <c r="BN518" s="119"/>
      <c r="BO518" s="119"/>
      <c r="BP518" s="119"/>
      <c r="BQ518" s="119"/>
      <c r="BR518" s="119"/>
      <c r="BS518" s="119"/>
      <c r="BT518" s="119"/>
      <c r="BU518" s="119"/>
      <c r="BV518" s="119"/>
      <c r="BW518" s="119"/>
      <c r="BX518" s="119"/>
      <c r="BY518" s="119"/>
      <c r="BZ518" s="119"/>
      <c r="CA518" s="119"/>
      <c r="CB518" s="119"/>
      <c r="CC518" s="119"/>
      <c r="CD518" s="119"/>
      <c r="CE518" s="119"/>
      <c r="CF518" s="119"/>
      <c r="CG518" s="119"/>
      <c r="CH518" s="119"/>
      <c r="CI518" s="119"/>
      <c r="CJ518" s="119"/>
      <c r="CK518" s="119"/>
      <c r="CL518" s="119"/>
      <c r="CM518" s="119"/>
      <c r="CN518" s="119"/>
      <c r="CO518" s="119"/>
      <c r="CP518" s="119"/>
      <c r="CQ518" s="119"/>
      <c r="CR518" s="119"/>
      <c r="CS518" s="119"/>
      <c r="CT518" s="119"/>
      <c r="CU518" s="119"/>
      <c r="CV518" s="119"/>
      <c r="CW518" s="119"/>
      <c r="CX518" s="119"/>
      <c r="CY518" s="119"/>
      <c r="CZ518" s="119"/>
      <c r="DA518" s="119"/>
      <c r="DB518" s="119"/>
      <c r="DC518" s="119"/>
      <c r="DD518" s="119"/>
      <c r="DE518" s="119"/>
      <c r="DF518" s="119"/>
      <c r="DG518" s="119"/>
      <c r="DH518" s="119"/>
      <c r="DI518" s="119"/>
      <c r="DJ518" s="119"/>
      <c r="DK518" s="119"/>
      <c r="DL518" s="119"/>
      <c r="DM518" s="119"/>
      <c r="DN518" s="119"/>
      <c r="DO518" s="119"/>
      <c r="DP518" s="119"/>
      <c r="DQ518" s="119"/>
      <c r="DR518" s="119"/>
      <c r="DS518" s="119"/>
      <c r="DT518" s="119"/>
      <c r="DU518" s="119"/>
      <c r="DV518" s="119"/>
      <c r="DW518" s="119"/>
      <c r="DX518" s="119"/>
      <c r="DY518" s="119"/>
      <c r="DZ518" s="119"/>
      <c r="EA518" s="119"/>
      <c r="EB518" s="119"/>
      <c r="EC518" s="119"/>
      <c r="ED518" s="119"/>
      <c r="EE518" s="119"/>
      <c r="EF518" s="119"/>
      <c r="EG518" s="119"/>
      <c r="EH518" s="119"/>
      <c r="EI518" s="119"/>
      <c r="EJ518" s="119"/>
      <c r="EK518" s="119"/>
      <c r="EL518" s="119"/>
      <c r="EM518" s="119"/>
      <c r="EN518" s="119"/>
      <c r="EO518" s="119"/>
      <c r="EP518" s="119"/>
      <c r="EQ518" s="119"/>
      <c r="ER518" s="119"/>
      <c r="ES518" s="119"/>
      <c r="ET518" s="119"/>
      <c r="EU518" s="119"/>
      <c r="EV518" s="119"/>
      <c r="EW518" s="119"/>
      <c r="EX518" s="119"/>
      <c r="EY518" s="119"/>
      <c r="EZ518" s="119"/>
      <c r="FA518" s="119"/>
      <c r="FB518" s="119"/>
      <c r="FC518" s="119"/>
      <c r="FD518" s="119"/>
      <c r="FE518" s="119"/>
      <c r="FF518" s="119"/>
      <c r="FG518" s="119"/>
      <c r="FH518" s="119"/>
      <c r="FI518" s="119"/>
      <c r="FJ518" s="119"/>
      <c r="FK518" s="119"/>
      <c r="FL518" s="119"/>
      <c r="FM518" s="119"/>
      <c r="FN518" s="119"/>
      <c r="FO518" s="119"/>
      <c r="FP518" s="119"/>
      <c r="FQ518" s="119"/>
      <c r="FR518" s="119"/>
    </row>
    <row x14ac:dyDescent="0.25" r="519" customHeight="1" ht="15">
      <c r="A519" s="112"/>
      <c r="B519" s="112"/>
      <c r="C519" s="107"/>
      <c r="D519" s="107"/>
      <c r="E519" s="120"/>
      <c r="F519" s="120"/>
      <c r="G519" s="109">
        <f>IF((F519-E519)&lt;0,0,(F519-E519))</f>
      </c>
      <c r="H519" s="110"/>
      <c r="I519" s="111">
        <f>IFERROR(SUMPRODUCT($G519*VLOOKUP($C519,'Vehicle Master'!$D:$F,3,0)),"")</f>
      </c>
      <c r="J519" s="11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  <c r="AA519" s="119"/>
      <c r="AB519" s="119"/>
      <c r="AC519" s="119"/>
      <c r="AD519" s="119"/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/>
      <c r="AP519" s="119"/>
      <c r="AQ519" s="119"/>
      <c r="AR519" s="119"/>
      <c r="AS519" s="119"/>
      <c r="AT519" s="119"/>
      <c r="AU519" s="119"/>
      <c r="AV519" s="119"/>
      <c r="AW519" s="119"/>
      <c r="AX519" s="119"/>
      <c r="AY519" s="119"/>
      <c r="AZ519" s="119"/>
      <c r="BA519" s="119"/>
      <c r="BB519" s="119"/>
      <c r="BC519" s="119"/>
      <c r="BD519" s="119"/>
      <c r="BE519" s="119"/>
      <c r="BF519" s="119"/>
      <c r="BG519" s="119"/>
      <c r="BH519" s="119"/>
      <c r="BI519" s="119"/>
      <c r="BJ519" s="119"/>
      <c r="BK519" s="119"/>
      <c r="BL519" s="119"/>
      <c r="BM519" s="119"/>
      <c r="BN519" s="119"/>
      <c r="BO519" s="119"/>
      <c r="BP519" s="119"/>
      <c r="BQ519" s="119"/>
      <c r="BR519" s="119"/>
      <c r="BS519" s="119"/>
      <c r="BT519" s="119"/>
      <c r="BU519" s="119"/>
      <c r="BV519" s="119"/>
      <c r="BW519" s="119"/>
      <c r="BX519" s="119"/>
      <c r="BY519" s="119"/>
      <c r="BZ519" s="119"/>
      <c r="CA519" s="119"/>
      <c r="CB519" s="119"/>
      <c r="CC519" s="119"/>
      <c r="CD519" s="119"/>
      <c r="CE519" s="119"/>
      <c r="CF519" s="119"/>
      <c r="CG519" s="119"/>
      <c r="CH519" s="119"/>
      <c r="CI519" s="119"/>
      <c r="CJ519" s="119"/>
      <c r="CK519" s="119"/>
      <c r="CL519" s="119"/>
      <c r="CM519" s="119"/>
      <c r="CN519" s="119"/>
      <c r="CO519" s="119"/>
      <c r="CP519" s="119"/>
      <c r="CQ519" s="119"/>
      <c r="CR519" s="119"/>
      <c r="CS519" s="119"/>
      <c r="CT519" s="119"/>
      <c r="CU519" s="119"/>
      <c r="CV519" s="119"/>
      <c r="CW519" s="119"/>
      <c r="CX519" s="119"/>
      <c r="CY519" s="119"/>
      <c r="CZ519" s="119"/>
      <c r="DA519" s="119"/>
      <c r="DB519" s="119"/>
      <c r="DC519" s="119"/>
      <c r="DD519" s="119"/>
      <c r="DE519" s="119"/>
      <c r="DF519" s="119"/>
      <c r="DG519" s="119"/>
      <c r="DH519" s="119"/>
      <c r="DI519" s="119"/>
      <c r="DJ519" s="119"/>
      <c r="DK519" s="119"/>
      <c r="DL519" s="119"/>
      <c r="DM519" s="119"/>
      <c r="DN519" s="119"/>
      <c r="DO519" s="119"/>
      <c r="DP519" s="119"/>
      <c r="DQ519" s="119"/>
      <c r="DR519" s="119"/>
      <c r="DS519" s="119"/>
      <c r="DT519" s="119"/>
      <c r="DU519" s="119"/>
      <c r="DV519" s="119"/>
      <c r="DW519" s="119"/>
      <c r="DX519" s="119"/>
      <c r="DY519" s="119"/>
      <c r="DZ519" s="119"/>
      <c r="EA519" s="119"/>
      <c r="EB519" s="119"/>
      <c r="EC519" s="119"/>
      <c r="ED519" s="119"/>
      <c r="EE519" s="119"/>
      <c r="EF519" s="119"/>
      <c r="EG519" s="119"/>
      <c r="EH519" s="119"/>
      <c r="EI519" s="119"/>
      <c r="EJ519" s="119"/>
      <c r="EK519" s="119"/>
      <c r="EL519" s="119"/>
      <c r="EM519" s="119"/>
      <c r="EN519" s="119"/>
      <c r="EO519" s="119"/>
      <c r="EP519" s="119"/>
      <c r="EQ519" s="119"/>
      <c r="ER519" s="119"/>
      <c r="ES519" s="119"/>
      <c r="ET519" s="119"/>
      <c r="EU519" s="119"/>
      <c r="EV519" s="119"/>
      <c r="EW519" s="119"/>
      <c r="EX519" s="119"/>
      <c r="EY519" s="119"/>
      <c r="EZ519" s="119"/>
      <c r="FA519" s="119"/>
      <c r="FB519" s="119"/>
      <c r="FC519" s="119"/>
      <c r="FD519" s="119"/>
      <c r="FE519" s="119"/>
      <c r="FF519" s="119"/>
      <c r="FG519" s="119"/>
      <c r="FH519" s="119"/>
      <c r="FI519" s="119"/>
      <c r="FJ519" s="119"/>
      <c r="FK519" s="119"/>
      <c r="FL519" s="119"/>
      <c r="FM519" s="119"/>
      <c r="FN519" s="119"/>
      <c r="FO519" s="119"/>
      <c r="FP519" s="119"/>
      <c r="FQ519" s="119"/>
      <c r="FR519" s="119"/>
    </row>
    <row x14ac:dyDescent="0.25" r="520" customHeight="1" ht="15">
      <c r="A520" s="112"/>
      <c r="B520" s="112"/>
      <c r="C520" s="107"/>
      <c r="D520" s="107"/>
      <c r="E520" s="120"/>
      <c r="F520" s="120"/>
      <c r="G520" s="109">
        <f>IF((F520-E520)&lt;0,0,(F520-E520))</f>
      </c>
      <c r="H520" s="110"/>
      <c r="I520" s="111">
        <f>IFERROR(SUMPRODUCT($G520*VLOOKUP($C520,'Vehicle Master'!$D:$F,3,0)),"")</f>
      </c>
      <c r="J520" s="11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  <c r="AA520" s="119"/>
      <c r="AB520" s="119"/>
      <c r="AC520" s="119"/>
      <c r="AD520" s="119"/>
      <c r="AE520" s="119"/>
      <c r="AF520" s="119"/>
      <c r="AG520" s="119"/>
      <c r="AH520" s="119"/>
      <c r="AI520" s="119"/>
      <c r="AJ520" s="119"/>
      <c r="AK520" s="119"/>
      <c r="AL520" s="119"/>
      <c r="AM520" s="119"/>
      <c r="AN520" s="119"/>
      <c r="AO520" s="119"/>
      <c r="AP520" s="119"/>
      <c r="AQ520" s="119"/>
      <c r="AR520" s="119"/>
      <c r="AS520" s="119"/>
      <c r="AT520" s="119"/>
      <c r="AU520" s="119"/>
      <c r="AV520" s="119"/>
      <c r="AW520" s="119"/>
      <c r="AX520" s="119"/>
      <c r="AY520" s="119"/>
      <c r="AZ520" s="119"/>
      <c r="BA520" s="119"/>
      <c r="BB520" s="119"/>
      <c r="BC520" s="119"/>
      <c r="BD520" s="119"/>
      <c r="BE520" s="119"/>
      <c r="BF520" s="119"/>
      <c r="BG520" s="119"/>
      <c r="BH520" s="119"/>
      <c r="BI520" s="119"/>
      <c r="BJ520" s="119"/>
      <c r="BK520" s="119"/>
      <c r="BL520" s="119"/>
      <c r="BM520" s="119"/>
      <c r="BN520" s="119"/>
      <c r="BO520" s="119"/>
      <c r="BP520" s="119"/>
      <c r="BQ520" s="119"/>
      <c r="BR520" s="119"/>
      <c r="BS520" s="119"/>
      <c r="BT520" s="119"/>
      <c r="BU520" s="119"/>
      <c r="BV520" s="119"/>
      <c r="BW520" s="119"/>
      <c r="BX520" s="119"/>
      <c r="BY520" s="119"/>
      <c r="BZ520" s="119"/>
      <c r="CA520" s="119"/>
      <c r="CB520" s="119"/>
      <c r="CC520" s="119"/>
      <c r="CD520" s="119"/>
      <c r="CE520" s="119"/>
      <c r="CF520" s="119"/>
      <c r="CG520" s="119"/>
      <c r="CH520" s="119"/>
      <c r="CI520" s="119"/>
      <c r="CJ520" s="119"/>
      <c r="CK520" s="119"/>
      <c r="CL520" s="119"/>
      <c r="CM520" s="119"/>
      <c r="CN520" s="119"/>
      <c r="CO520" s="119"/>
      <c r="CP520" s="119"/>
      <c r="CQ520" s="119"/>
      <c r="CR520" s="119"/>
      <c r="CS520" s="119"/>
      <c r="CT520" s="119"/>
      <c r="CU520" s="119"/>
      <c r="CV520" s="119"/>
      <c r="CW520" s="119"/>
      <c r="CX520" s="119"/>
      <c r="CY520" s="119"/>
      <c r="CZ520" s="119"/>
      <c r="DA520" s="119"/>
      <c r="DB520" s="119"/>
      <c r="DC520" s="119"/>
      <c r="DD520" s="119"/>
      <c r="DE520" s="119"/>
      <c r="DF520" s="119"/>
      <c r="DG520" s="119"/>
      <c r="DH520" s="119"/>
      <c r="DI520" s="119"/>
      <c r="DJ520" s="119"/>
      <c r="DK520" s="119"/>
      <c r="DL520" s="119"/>
      <c r="DM520" s="119"/>
      <c r="DN520" s="119"/>
      <c r="DO520" s="119"/>
      <c r="DP520" s="119"/>
      <c r="DQ520" s="119"/>
      <c r="DR520" s="119"/>
      <c r="DS520" s="119"/>
      <c r="DT520" s="119"/>
      <c r="DU520" s="119"/>
      <c r="DV520" s="119"/>
      <c r="DW520" s="119"/>
      <c r="DX520" s="119"/>
      <c r="DY520" s="119"/>
      <c r="DZ520" s="119"/>
      <c r="EA520" s="119"/>
      <c r="EB520" s="119"/>
      <c r="EC520" s="119"/>
      <c r="ED520" s="119"/>
      <c r="EE520" s="119"/>
      <c r="EF520" s="119"/>
      <c r="EG520" s="119"/>
      <c r="EH520" s="119"/>
      <c r="EI520" s="119"/>
      <c r="EJ520" s="119"/>
      <c r="EK520" s="119"/>
      <c r="EL520" s="119"/>
      <c r="EM520" s="119"/>
      <c r="EN520" s="119"/>
      <c r="EO520" s="119"/>
      <c r="EP520" s="119"/>
      <c r="EQ520" s="119"/>
      <c r="ER520" s="119"/>
      <c r="ES520" s="119"/>
      <c r="ET520" s="119"/>
      <c r="EU520" s="119"/>
      <c r="EV520" s="119"/>
      <c r="EW520" s="119"/>
      <c r="EX520" s="119"/>
      <c r="EY520" s="119"/>
      <c r="EZ520" s="119"/>
      <c r="FA520" s="119"/>
      <c r="FB520" s="119"/>
      <c r="FC520" s="119"/>
      <c r="FD520" s="119"/>
      <c r="FE520" s="119"/>
      <c r="FF520" s="119"/>
      <c r="FG520" s="119"/>
      <c r="FH520" s="119"/>
      <c r="FI520" s="119"/>
      <c r="FJ520" s="119"/>
      <c r="FK520" s="119"/>
      <c r="FL520" s="119"/>
      <c r="FM520" s="119"/>
      <c r="FN520" s="119"/>
      <c r="FO520" s="119"/>
      <c r="FP520" s="119"/>
      <c r="FQ520" s="119"/>
      <c r="FR520" s="119"/>
    </row>
    <row x14ac:dyDescent="0.25" r="521" customHeight="1" ht="15">
      <c r="A521" s="112"/>
      <c r="B521" s="112"/>
      <c r="C521" s="107"/>
      <c r="D521" s="107"/>
      <c r="E521" s="120"/>
      <c r="F521" s="120"/>
      <c r="G521" s="109">
        <f>IF((F521-E521)&lt;0,0,(F521-E521))</f>
      </c>
      <c r="H521" s="110"/>
      <c r="I521" s="111">
        <f>IFERROR(SUMPRODUCT($G521*VLOOKUP($C521,'Vehicle Master'!$D:$F,3,0)),"")</f>
      </c>
      <c r="J521" s="11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  <c r="AA521" s="119"/>
      <c r="AB521" s="119"/>
      <c r="AC521" s="119"/>
      <c r="AD521" s="119"/>
      <c r="AE521" s="119"/>
      <c r="AF521" s="119"/>
      <c r="AG521" s="119"/>
      <c r="AH521" s="119"/>
      <c r="AI521" s="119"/>
      <c r="AJ521" s="119"/>
      <c r="AK521" s="119"/>
      <c r="AL521" s="119"/>
      <c r="AM521" s="119"/>
      <c r="AN521" s="119"/>
      <c r="AO521" s="119"/>
      <c r="AP521" s="119"/>
      <c r="AQ521" s="119"/>
      <c r="AR521" s="119"/>
      <c r="AS521" s="119"/>
      <c r="AT521" s="119"/>
      <c r="AU521" s="119"/>
      <c r="AV521" s="119"/>
      <c r="AW521" s="119"/>
      <c r="AX521" s="119"/>
      <c r="AY521" s="119"/>
      <c r="AZ521" s="119"/>
      <c r="BA521" s="119"/>
      <c r="BB521" s="119"/>
      <c r="BC521" s="119"/>
      <c r="BD521" s="119"/>
      <c r="BE521" s="119"/>
      <c r="BF521" s="119"/>
      <c r="BG521" s="119"/>
      <c r="BH521" s="119"/>
      <c r="BI521" s="119"/>
      <c r="BJ521" s="119"/>
      <c r="BK521" s="119"/>
      <c r="BL521" s="119"/>
      <c r="BM521" s="119"/>
      <c r="BN521" s="119"/>
      <c r="BO521" s="119"/>
      <c r="BP521" s="119"/>
      <c r="BQ521" s="119"/>
      <c r="BR521" s="119"/>
      <c r="BS521" s="119"/>
      <c r="BT521" s="119"/>
      <c r="BU521" s="119"/>
      <c r="BV521" s="119"/>
      <c r="BW521" s="119"/>
      <c r="BX521" s="119"/>
      <c r="BY521" s="119"/>
      <c r="BZ521" s="119"/>
      <c r="CA521" s="119"/>
      <c r="CB521" s="119"/>
      <c r="CC521" s="119"/>
      <c r="CD521" s="119"/>
      <c r="CE521" s="119"/>
      <c r="CF521" s="119"/>
      <c r="CG521" s="119"/>
      <c r="CH521" s="119"/>
      <c r="CI521" s="119"/>
      <c r="CJ521" s="119"/>
      <c r="CK521" s="119"/>
      <c r="CL521" s="119"/>
      <c r="CM521" s="119"/>
      <c r="CN521" s="119"/>
      <c r="CO521" s="119"/>
      <c r="CP521" s="119"/>
      <c r="CQ521" s="119"/>
      <c r="CR521" s="119"/>
      <c r="CS521" s="119"/>
      <c r="CT521" s="119"/>
      <c r="CU521" s="119"/>
      <c r="CV521" s="119"/>
      <c r="CW521" s="119"/>
      <c r="CX521" s="119"/>
      <c r="CY521" s="119"/>
      <c r="CZ521" s="119"/>
      <c r="DA521" s="119"/>
      <c r="DB521" s="119"/>
      <c r="DC521" s="119"/>
      <c r="DD521" s="119"/>
      <c r="DE521" s="119"/>
      <c r="DF521" s="119"/>
      <c r="DG521" s="119"/>
      <c r="DH521" s="119"/>
      <c r="DI521" s="119"/>
      <c r="DJ521" s="119"/>
      <c r="DK521" s="119"/>
      <c r="DL521" s="119"/>
      <c r="DM521" s="119"/>
      <c r="DN521" s="119"/>
      <c r="DO521" s="119"/>
      <c r="DP521" s="119"/>
      <c r="DQ521" s="119"/>
      <c r="DR521" s="119"/>
      <c r="DS521" s="119"/>
      <c r="DT521" s="119"/>
      <c r="DU521" s="119"/>
      <c r="DV521" s="119"/>
      <c r="DW521" s="119"/>
      <c r="DX521" s="119"/>
      <c r="DY521" s="119"/>
      <c r="DZ521" s="119"/>
      <c r="EA521" s="119"/>
      <c r="EB521" s="119"/>
      <c r="EC521" s="119"/>
      <c r="ED521" s="119"/>
      <c r="EE521" s="119"/>
      <c r="EF521" s="119"/>
      <c r="EG521" s="119"/>
      <c r="EH521" s="119"/>
      <c r="EI521" s="119"/>
      <c r="EJ521" s="119"/>
      <c r="EK521" s="119"/>
      <c r="EL521" s="119"/>
      <c r="EM521" s="119"/>
      <c r="EN521" s="119"/>
      <c r="EO521" s="119"/>
      <c r="EP521" s="119"/>
      <c r="EQ521" s="119"/>
      <c r="ER521" s="119"/>
      <c r="ES521" s="119"/>
      <c r="ET521" s="119"/>
      <c r="EU521" s="119"/>
      <c r="EV521" s="119"/>
      <c r="EW521" s="119"/>
      <c r="EX521" s="119"/>
      <c r="EY521" s="119"/>
      <c r="EZ521" s="119"/>
      <c r="FA521" s="119"/>
      <c r="FB521" s="119"/>
      <c r="FC521" s="119"/>
      <c r="FD521" s="119"/>
      <c r="FE521" s="119"/>
      <c r="FF521" s="119"/>
      <c r="FG521" s="119"/>
      <c r="FH521" s="119"/>
      <c r="FI521" s="119"/>
      <c r="FJ521" s="119"/>
      <c r="FK521" s="119"/>
      <c r="FL521" s="119"/>
      <c r="FM521" s="119"/>
      <c r="FN521" s="119"/>
      <c r="FO521" s="119"/>
      <c r="FP521" s="119"/>
      <c r="FQ521" s="119"/>
      <c r="FR521" s="119"/>
    </row>
    <row x14ac:dyDescent="0.25" r="522" customHeight="1" ht="15">
      <c r="A522" s="112"/>
      <c r="B522" s="112"/>
      <c r="C522" s="107"/>
      <c r="D522" s="107"/>
      <c r="E522" s="120"/>
      <c r="F522" s="120"/>
      <c r="G522" s="109">
        <f>IF((F522-E522)&lt;0,0,(F522-E522))</f>
      </c>
      <c r="H522" s="110"/>
      <c r="I522" s="111">
        <f>IFERROR(SUMPRODUCT($G522*VLOOKUP($C522,'Vehicle Master'!$D:$F,3,0)),"")</f>
      </c>
      <c r="J522" s="11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  <c r="AA522" s="119"/>
      <c r="AB522" s="119"/>
      <c r="AC522" s="119"/>
      <c r="AD522" s="119"/>
      <c r="AE522" s="119"/>
      <c r="AF522" s="119"/>
      <c r="AG522" s="119"/>
      <c r="AH522" s="119"/>
      <c r="AI522" s="119"/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19"/>
      <c r="BD522" s="119"/>
      <c r="BE522" s="119"/>
      <c r="BF522" s="119"/>
      <c r="BG522" s="119"/>
      <c r="BH522" s="119"/>
      <c r="BI522" s="119"/>
      <c r="BJ522" s="119"/>
      <c r="BK522" s="119"/>
      <c r="BL522" s="119"/>
      <c r="BM522" s="119"/>
      <c r="BN522" s="119"/>
      <c r="BO522" s="119"/>
      <c r="BP522" s="119"/>
      <c r="BQ522" s="119"/>
      <c r="BR522" s="119"/>
      <c r="BS522" s="119"/>
      <c r="BT522" s="119"/>
      <c r="BU522" s="119"/>
      <c r="BV522" s="119"/>
      <c r="BW522" s="119"/>
      <c r="BX522" s="119"/>
      <c r="BY522" s="119"/>
      <c r="BZ522" s="119"/>
      <c r="CA522" s="119"/>
      <c r="CB522" s="119"/>
      <c r="CC522" s="119"/>
      <c r="CD522" s="119"/>
      <c r="CE522" s="119"/>
      <c r="CF522" s="119"/>
      <c r="CG522" s="119"/>
      <c r="CH522" s="119"/>
      <c r="CI522" s="119"/>
      <c r="CJ522" s="119"/>
      <c r="CK522" s="119"/>
      <c r="CL522" s="119"/>
      <c r="CM522" s="119"/>
      <c r="CN522" s="119"/>
      <c r="CO522" s="119"/>
      <c r="CP522" s="119"/>
      <c r="CQ522" s="119"/>
      <c r="CR522" s="119"/>
      <c r="CS522" s="119"/>
      <c r="CT522" s="119"/>
      <c r="CU522" s="119"/>
      <c r="CV522" s="119"/>
      <c r="CW522" s="119"/>
      <c r="CX522" s="119"/>
      <c r="CY522" s="119"/>
      <c r="CZ522" s="119"/>
      <c r="DA522" s="119"/>
      <c r="DB522" s="119"/>
      <c r="DC522" s="119"/>
      <c r="DD522" s="119"/>
      <c r="DE522" s="119"/>
      <c r="DF522" s="119"/>
      <c r="DG522" s="119"/>
      <c r="DH522" s="119"/>
      <c r="DI522" s="119"/>
      <c r="DJ522" s="119"/>
      <c r="DK522" s="119"/>
      <c r="DL522" s="119"/>
      <c r="DM522" s="119"/>
      <c r="DN522" s="119"/>
      <c r="DO522" s="119"/>
      <c r="DP522" s="119"/>
      <c r="DQ522" s="119"/>
      <c r="DR522" s="119"/>
      <c r="DS522" s="119"/>
      <c r="DT522" s="119"/>
      <c r="DU522" s="119"/>
      <c r="DV522" s="119"/>
      <c r="DW522" s="119"/>
      <c r="DX522" s="119"/>
      <c r="DY522" s="119"/>
      <c r="DZ522" s="119"/>
      <c r="EA522" s="119"/>
      <c r="EB522" s="119"/>
      <c r="EC522" s="119"/>
      <c r="ED522" s="119"/>
      <c r="EE522" s="119"/>
      <c r="EF522" s="119"/>
      <c r="EG522" s="119"/>
      <c r="EH522" s="119"/>
      <c r="EI522" s="119"/>
      <c r="EJ522" s="119"/>
      <c r="EK522" s="119"/>
      <c r="EL522" s="119"/>
      <c r="EM522" s="119"/>
      <c r="EN522" s="119"/>
      <c r="EO522" s="119"/>
      <c r="EP522" s="119"/>
      <c r="EQ522" s="119"/>
      <c r="ER522" s="119"/>
      <c r="ES522" s="119"/>
      <c r="ET522" s="119"/>
      <c r="EU522" s="119"/>
      <c r="EV522" s="119"/>
      <c r="EW522" s="119"/>
      <c r="EX522" s="119"/>
      <c r="EY522" s="119"/>
      <c r="EZ522" s="119"/>
      <c r="FA522" s="119"/>
      <c r="FB522" s="119"/>
      <c r="FC522" s="119"/>
      <c r="FD522" s="119"/>
      <c r="FE522" s="119"/>
      <c r="FF522" s="119"/>
      <c r="FG522" s="119"/>
      <c r="FH522" s="119"/>
      <c r="FI522" s="119"/>
      <c r="FJ522" s="119"/>
      <c r="FK522" s="119"/>
      <c r="FL522" s="119"/>
      <c r="FM522" s="119"/>
      <c r="FN522" s="119"/>
      <c r="FO522" s="119"/>
      <c r="FP522" s="119"/>
      <c r="FQ522" s="119"/>
      <c r="FR522" s="119"/>
    </row>
    <row x14ac:dyDescent="0.25" r="523" customHeight="1" ht="15">
      <c r="A523" s="112"/>
      <c r="B523" s="112"/>
      <c r="C523" s="107"/>
      <c r="D523" s="107"/>
      <c r="E523" s="120"/>
      <c r="F523" s="120"/>
      <c r="G523" s="109">
        <f>IF((F523-E523)&lt;0,0,(F523-E523))</f>
      </c>
      <c r="H523" s="110"/>
      <c r="I523" s="111">
        <f>IFERROR(SUMPRODUCT($G523*VLOOKUP($C523,'Vehicle Master'!$D:$F,3,0)),"")</f>
      </c>
      <c r="J523" s="11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  <c r="AA523" s="119"/>
      <c r="AB523" s="119"/>
      <c r="AC523" s="119"/>
      <c r="AD523" s="119"/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/>
      <c r="AP523" s="119"/>
      <c r="AQ523" s="119"/>
      <c r="AR523" s="119"/>
      <c r="AS523" s="119"/>
      <c r="AT523" s="119"/>
      <c r="AU523" s="119"/>
      <c r="AV523" s="119"/>
      <c r="AW523" s="119"/>
      <c r="AX523" s="119"/>
      <c r="AY523" s="119"/>
      <c r="AZ523" s="119"/>
      <c r="BA523" s="119"/>
      <c r="BB523" s="119"/>
      <c r="BC523" s="119"/>
      <c r="BD523" s="119"/>
      <c r="BE523" s="119"/>
      <c r="BF523" s="119"/>
      <c r="BG523" s="119"/>
      <c r="BH523" s="119"/>
      <c r="BI523" s="119"/>
      <c r="BJ523" s="119"/>
      <c r="BK523" s="119"/>
      <c r="BL523" s="119"/>
      <c r="BM523" s="119"/>
      <c r="BN523" s="119"/>
      <c r="BO523" s="119"/>
      <c r="BP523" s="119"/>
      <c r="BQ523" s="119"/>
      <c r="BR523" s="119"/>
      <c r="BS523" s="119"/>
      <c r="BT523" s="119"/>
      <c r="BU523" s="119"/>
      <c r="BV523" s="119"/>
      <c r="BW523" s="119"/>
      <c r="BX523" s="119"/>
      <c r="BY523" s="119"/>
      <c r="BZ523" s="119"/>
      <c r="CA523" s="119"/>
      <c r="CB523" s="119"/>
      <c r="CC523" s="119"/>
      <c r="CD523" s="119"/>
      <c r="CE523" s="119"/>
      <c r="CF523" s="119"/>
      <c r="CG523" s="119"/>
      <c r="CH523" s="119"/>
      <c r="CI523" s="119"/>
      <c r="CJ523" s="119"/>
      <c r="CK523" s="119"/>
      <c r="CL523" s="119"/>
      <c r="CM523" s="119"/>
      <c r="CN523" s="119"/>
      <c r="CO523" s="119"/>
      <c r="CP523" s="119"/>
      <c r="CQ523" s="119"/>
      <c r="CR523" s="119"/>
      <c r="CS523" s="119"/>
      <c r="CT523" s="119"/>
      <c r="CU523" s="119"/>
      <c r="CV523" s="119"/>
      <c r="CW523" s="119"/>
      <c r="CX523" s="119"/>
      <c r="CY523" s="119"/>
      <c r="CZ523" s="119"/>
      <c r="DA523" s="119"/>
      <c r="DB523" s="119"/>
      <c r="DC523" s="119"/>
      <c r="DD523" s="119"/>
      <c r="DE523" s="119"/>
      <c r="DF523" s="119"/>
      <c r="DG523" s="119"/>
      <c r="DH523" s="119"/>
      <c r="DI523" s="119"/>
      <c r="DJ523" s="119"/>
      <c r="DK523" s="119"/>
      <c r="DL523" s="119"/>
      <c r="DM523" s="119"/>
      <c r="DN523" s="119"/>
      <c r="DO523" s="119"/>
      <c r="DP523" s="119"/>
      <c r="DQ523" s="119"/>
      <c r="DR523" s="119"/>
      <c r="DS523" s="119"/>
      <c r="DT523" s="119"/>
      <c r="DU523" s="119"/>
      <c r="DV523" s="119"/>
      <c r="DW523" s="119"/>
      <c r="DX523" s="119"/>
      <c r="DY523" s="119"/>
      <c r="DZ523" s="119"/>
      <c r="EA523" s="119"/>
      <c r="EB523" s="119"/>
      <c r="EC523" s="119"/>
      <c r="ED523" s="119"/>
      <c r="EE523" s="119"/>
      <c r="EF523" s="119"/>
      <c r="EG523" s="119"/>
      <c r="EH523" s="119"/>
      <c r="EI523" s="119"/>
      <c r="EJ523" s="119"/>
      <c r="EK523" s="119"/>
      <c r="EL523" s="119"/>
      <c r="EM523" s="119"/>
      <c r="EN523" s="119"/>
      <c r="EO523" s="119"/>
      <c r="EP523" s="119"/>
      <c r="EQ523" s="119"/>
      <c r="ER523" s="119"/>
      <c r="ES523" s="119"/>
      <c r="ET523" s="119"/>
      <c r="EU523" s="119"/>
      <c r="EV523" s="119"/>
      <c r="EW523" s="119"/>
      <c r="EX523" s="119"/>
      <c r="EY523" s="119"/>
      <c r="EZ523" s="119"/>
      <c r="FA523" s="119"/>
      <c r="FB523" s="119"/>
      <c r="FC523" s="119"/>
      <c r="FD523" s="119"/>
      <c r="FE523" s="119"/>
      <c r="FF523" s="119"/>
      <c r="FG523" s="119"/>
      <c r="FH523" s="119"/>
      <c r="FI523" s="119"/>
      <c r="FJ523" s="119"/>
      <c r="FK523" s="119"/>
      <c r="FL523" s="119"/>
      <c r="FM523" s="119"/>
      <c r="FN523" s="119"/>
      <c r="FO523" s="119"/>
      <c r="FP523" s="119"/>
      <c r="FQ523" s="119"/>
      <c r="FR523" s="119"/>
    </row>
    <row x14ac:dyDescent="0.25" r="524" customHeight="1" ht="15">
      <c r="A524" s="112"/>
      <c r="B524" s="112"/>
      <c r="C524" s="107"/>
      <c r="D524" s="107"/>
      <c r="E524" s="120"/>
      <c r="F524" s="120"/>
      <c r="G524" s="109">
        <f>IF((F524-E524)&lt;0,0,(F524-E524))</f>
      </c>
      <c r="H524" s="110"/>
      <c r="I524" s="111">
        <f>IFERROR(SUMPRODUCT($G524*VLOOKUP($C524,'Vehicle Master'!$D:$F,3,0)),"")</f>
      </c>
      <c r="J524" s="11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  <c r="AA524" s="119"/>
      <c r="AB524" s="119"/>
      <c r="AC524" s="119"/>
      <c r="AD524" s="119"/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/>
      <c r="AP524" s="119"/>
      <c r="AQ524" s="119"/>
      <c r="AR524" s="119"/>
      <c r="AS524" s="119"/>
      <c r="AT524" s="119"/>
      <c r="AU524" s="119"/>
      <c r="AV524" s="119"/>
      <c r="AW524" s="119"/>
      <c r="AX524" s="119"/>
      <c r="AY524" s="119"/>
      <c r="AZ524" s="119"/>
      <c r="BA524" s="119"/>
      <c r="BB524" s="119"/>
      <c r="BC524" s="119"/>
      <c r="BD524" s="119"/>
      <c r="BE524" s="119"/>
      <c r="BF524" s="119"/>
      <c r="BG524" s="119"/>
      <c r="BH524" s="119"/>
      <c r="BI524" s="119"/>
      <c r="BJ524" s="119"/>
      <c r="BK524" s="119"/>
      <c r="BL524" s="119"/>
      <c r="BM524" s="119"/>
      <c r="BN524" s="119"/>
      <c r="BO524" s="119"/>
      <c r="BP524" s="119"/>
      <c r="BQ524" s="119"/>
      <c r="BR524" s="119"/>
      <c r="BS524" s="119"/>
      <c r="BT524" s="119"/>
      <c r="BU524" s="119"/>
      <c r="BV524" s="119"/>
      <c r="BW524" s="119"/>
      <c r="BX524" s="119"/>
      <c r="BY524" s="119"/>
      <c r="BZ524" s="119"/>
      <c r="CA524" s="119"/>
      <c r="CB524" s="119"/>
      <c r="CC524" s="119"/>
      <c r="CD524" s="119"/>
      <c r="CE524" s="119"/>
      <c r="CF524" s="119"/>
      <c r="CG524" s="119"/>
      <c r="CH524" s="119"/>
      <c r="CI524" s="119"/>
      <c r="CJ524" s="119"/>
      <c r="CK524" s="119"/>
      <c r="CL524" s="119"/>
      <c r="CM524" s="119"/>
      <c r="CN524" s="119"/>
      <c r="CO524" s="119"/>
      <c r="CP524" s="119"/>
      <c r="CQ524" s="119"/>
      <c r="CR524" s="119"/>
      <c r="CS524" s="119"/>
      <c r="CT524" s="119"/>
      <c r="CU524" s="119"/>
      <c r="CV524" s="119"/>
      <c r="CW524" s="119"/>
      <c r="CX524" s="119"/>
      <c r="CY524" s="119"/>
      <c r="CZ524" s="119"/>
      <c r="DA524" s="119"/>
      <c r="DB524" s="119"/>
      <c r="DC524" s="119"/>
      <c r="DD524" s="119"/>
      <c r="DE524" s="119"/>
      <c r="DF524" s="119"/>
      <c r="DG524" s="119"/>
      <c r="DH524" s="119"/>
      <c r="DI524" s="119"/>
      <c r="DJ524" s="119"/>
      <c r="DK524" s="119"/>
      <c r="DL524" s="119"/>
      <c r="DM524" s="119"/>
      <c r="DN524" s="119"/>
      <c r="DO524" s="119"/>
      <c r="DP524" s="119"/>
      <c r="DQ524" s="119"/>
      <c r="DR524" s="119"/>
      <c r="DS524" s="119"/>
      <c r="DT524" s="119"/>
      <c r="DU524" s="119"/>
      <c r="DV524" s="119"/>
      <c r="DW524" s="119"/>
      <c r="DX524" s="119"/>
      <c r="DY524" s="119"/>
      <c r="DZ524" s="119"/>
      <c r="EA524" s="119"/>
      <c r="EB524" s="119"/>
      <c r="EC524" s="119"/>
      <c r="ED524" s="119"/>
      <c r="EE524" s="119"/>
      <c r="EF524" s="119"/>
      <c r="EG524" s="119"/>
      <c r="EH524" s="119"/>
      <c r="EI524" s="119"/>
      <c r="EJ524" s="119"/>
      <c r="EK524" s="119"/>
      <c r="EL524" s="119"/>
      <c r="EM524" s="119"/>
      <c r="EN524" s="119"/>
      <c r="EO524" s="119"/>
      <c r="EP524" s="119"/>
      <c r="EQ524" s="119"/>
      <c r="ER524" s="119"/>
      <c r="ES524" s="119"/>
      <c r="ET524" s="119"/>
      <c r="EU524" s="119"/>
      <c r="EV524" s="119"/>
      <c r="EW524" s="119"/>
      <c r="EX524" s="119"/>
      <c r="EY524" s="119"/>
      <c r="EZ524" s="119"/>
      <c r="FA524" s="119"/>
      <c r="FB524" s="119"/>
      <c r="FC524" s="119"/>
      <c r="FD524" s="119"/>
      <c r="FE524" s="119"/>
      <c r="FF524" s="119"/>
      <c r="FG524" s="119"/>
      <c r="FH524" s="119"/>
      <c r="FI524" s="119"/>
      <c r="FJ524" s="119"/>
      <c r="FK524" s="119"/>
      <c r="FL524" s="119"/>
      <c r="FM524" s="119"/>
      <c r="FN524" s="119"/>
      <c r="FO524" s="119"/>
      <c r="FP524" s="119"/>
      <c r="FQ524" s="119"/>
      <c r="FR524" s="119"/>
    </row>
    <row x14ac:dyDescent="0.25" r="525" customHeight="1" ht="15">
      <c r="A525" s="112"/>
      <c r="B525" s="112"/>
      <c r="C525" s="107"/>
      <c r="D525" s="107"/>
      <c r="E525" s="120"/>
      <c r="F525" s="120"/>
      <c r="G525" s="109">
        <f>IF((F525-E525)&lt;0,0,(F525-E525))</f>
      </c>
      <c r="H525" s="110"/>
      <c r="I525" s="111">
        <f>IFERROR(SUMPRODUCT($G525*VLOOKUP($C525,'Vehicle Master'!$D:$F,3,0)),"")</f>
      </c>
      <c r="J525" s="11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  <c r="AA525" s="119"/>
      <c r="AB525" s="119"/>
      <c r="AC525" s="119"/>
      <c r="AD525" s="119"/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/>
      <c r="AP525" s="119"/>
      <c r="AQ525" s="119"/>
      <c r="AR525" s="119"/>
      <c r="AS525" s="119"/>
      <c r="AT525" s="119"/>
      <c r="AU525" s="119"/>
      <c r="AV525" s="119"/>
      <c r="AW525" s="119"/>
      <c r="AX525" s="119"/>
      <c r="AY525" s="119"/>
      <c r="AZ525" s="119"/>
      <c r="BA525" s="119"/>
      <c r="BB525" s="119"/>
      <c r="BC525" s="119"/>
      <c r="BD525" s="119"/>
      <c r="BE525" s="119"/>
      <c r="BF525" s="119"/>
      <c r="BG525" s="119"/>
      <c r="BH525" s="119"/>
      <c r="BI525" s="119"/>
      <c r="BJ525" s="119"/>
      <c r="BK525" s="119"/>
      <c r="BL525" s="119"/>
      <c r="BM525" s="119"/>
      <c r="BN525" s="119"/>
      <c r="BO525" s="119"/>
      <c r="BP525" s="119"/>
      <c r="BQ525" s="119"/>
      <c r="BR525" s="119"/>
      <c r="BS525" s="119"/>
      <c r="BT525" s="119"/>
      <c r="BU525" s="119"/>
      <c r="BV525" s="119"/>
      <c r="BW525" s="119"/>
      <c r="BX525" s="119"/>
      <c r="BY525" s="119"/>
      <c r="BZ525" s="119"/>
      <c r="CA525" s="119"/>
      <c r="CB525" s="119"/>
      <c r="CC525" s="119"/>
      <c r="CD525" s="119"/>
      <c r="CE525" s="119"/>
      <c r="CF525" s="119"/>
      <c r="CG525" s="119"/>
      <c r="CH525" s="119"/>
      <c r="CI525" s="119"/>
      <c r="CJ525" s="119"/>
      <c r="CK525" s="119"/>
      <c r="CL525" s="119"/>
      <c r="CM525" s="119"/>
      <c r="CN525" s="119"/>
      <c r="CO525" s="119"/>
      <c r="CP525" s="119"/>
      <c r="CQ525" s="119"/>
      <c r="CR525" s="119"/>
      <c r="CS525" s="119"/>
      <c r="CT525" s="119"/>
      <c r="CU525" s="119"/>
      <c r="CV525" s="119"/>
      <c r="CW525" s="119"/>
      <c r="CX525" s="119"/>
      <c r="CY525" s="119"/>
      <c r="CZ525" s="119"/>
      <c r="DA525" s="119"/>
      <c r="DB525" s="119"/>
      <c r="DC525" s="119"/>
      <c r="DD525" s="119"/>
      <c r="DE525" s="119"/>
      <c r="DF525" s="119"/>
      <c r="DG525" s="119"/>
      <c r="DH525" s="119"/>
      <c r="DI525" s="119"/>
      <c r="DJ525" s="119"/>
      <c r="DK525" s="119"/>
      <c r="DL525" s="119"/>
      <c r="DM525" s="119"/>
      <c r="DN525" s="119"/>
      <c r="DO525" s="119"/>
      <c r="DP525" s="119"/>
      <c r="DQ525" s="119"/>
      <c r="DR525" s="119"/>
      <c r="DS525" s="119"/>
      <c r="DT525" s="119"/>
      <c r="DU525" s="119"/>
      <c r="DV525" s="119"/>
      <c r="DW525" s="119"/>
      <c r="DX525" s="119"/>
      <c r="DY525" s="119"/>
      <c r="DZ525" s="119"/>
      <c r="EA525" s="119"/>
      <c r="EB525" s="119"/>
      <c r="EC525" s="119"/>
      <c r="ED525" s="119"/>
      <c r="EE525" s="119"/>
      <c r="EF525" s="119"/>
      <c r="EG525" s="119"/>
      <c r="EH525" s="119"/>
      <c r="EI525" s="119"/>
      <c r="EJ525" s="119"/>
      <c r="EK525" s="119"/>
      <c r="EL525" s="119"/>
      <c r="EM525" s="119"/>
      <c r="EN525" s="119"/>
      <c r="EO525" s="119"/>
      <c r="EP525" s="119"/>
      <c r="EQ525" s="119"/>
      <c r="ER525" s="119"/>
      <c r="ES525" s="119"/>
      <c r="ET525" s="119"/>
      <c r="EU525" s="119"/>
      <c r="EV525" s="119"/>
      <c r="EW525" s="119"/>
      <c r="EX525" s="119"/>
      <c r="EY525" s="119"/>
      <c r="EZ525" s="119"/>
      <c r="FA525" s="119"/>
      <c r="FB525" s="119"/>
      <c r="FC525" s="119"/>
      <c r="FD525" s="119"/>
      <c r="FE525" s="119"/>
      <c r="FF525" s="119"/>
      <c r="FG525" s="119"/>
      <c r="FH525" s="119"/>
      <c r="FI525" s="119"/>
      <c r="FJ525" s="119"/>
      <c r="FK525" s="119"/>
      <c r="FL525" s="119"/>
      <c r="FM525" s="119"/>
      <c r="FN525" s="119"/>
      <c r="FO525" s="119"/>
      <c r="FP525" s="119"/>
      <c r="FQ525" s="119"/>
      <c r="FR525" s="119"/>
    </row>
    <row x14ac:dyDescent="0.25" r="526" customHeight="1" ht="15">
      <c r="A526" s="112"/>
      <c r="B526" s="112"/>
      <c r="C526" s="107"/>
      <c r="D526" s="107"/>
      <c r="E526" s="120"/>
      <c r="F526" s="120"/>
      <c r="G526" s="109">
        <f>IF((F526-E526)&lt;0,0,(F526-E526))</f>
      </c>
      <c r="H526" s="110"/>
      <c r="I526" s="111">
        <f>IFERROR(SUMPRODUCT($G526*VLOOKUP($C526,'Vehicle Master'!$D:$F,3,0)),"")</f>
      </c>
      <c r="J526" s="11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  <c r="AA526" s="119"/>
      <c r="AB526" s="119"/>
      <c r="AC526" s="119"/>
      <c r="AD526" s="119"/>
      <c r="AE526" s="119"/>
      <c r="AF526" s="119"/>
      <c r="AG526" s="119"/>
      <c r="AH526" s="119"/>
      <c r="AI526" s="119"/>
      <c r="AJ526" s="119"/>
      <c r="AK526" s="119"/>
      <c r="AL526" s="119"/>
      <c r="AM526" s="119"/>
      <c r="AN526" s="119"/>
      <c r="AO526" s="119"/>
      <c r="AP526" s="119"/>
      <c r="AQ526" s="119"/>
      <c r="AR526" s="119"/>
      <c r="AS526" s="119"/>
      <c r="AT526" s="119"/>
      <c r="AU526" s="119"/>
      <c r="AV526" s="119"/>
      <c r="AW526" s="119"/>
      <c r="AX526" s="119"/>
      <c r="AY526" s="119"/>
      <c r="AZ526" s="119"/>
      <c r="BA526" s="119"/>
      <c r="BB526" s="119"/>
      <c r="BC526" s="119"/>
      <c r="BD526" s="119"/>
      <c r="BE526" s="119"/>
      <c r="BF526" s="119"/>
      <c r="BG526" s="119"/>
      <c r="BH526" s="119"/>
      <c r="BI526" s="119"/>
      <c r="BJ526" s="119"/>
      <c r="BK526" s="119"/>
      <c r="BL526" s="119"/>
      <c r="BM526" s="119"/>
      <c r="BN526" s="119"/>
      <c r="BO526" s="119"/>
      <c r="BP526" s="119"/>
      <c r="BQ526" s="119"/>
      <c r="BR526" s="119"/>
      <c r="BS526" s="119"/>
      <c r="BT526" s="119"/>
      <c r="BU526" s="119"/>
      <c r="BV526" s="119"/>
      <c r="BW526" s="119"/>
      <c r="BX526" s="119"/>
      <c r="BY526" s="119"/>
      <c r="BZ526" s="119"/>
      <c r="CA526" s="119"/>
      <c r="CB526" s="119"/>
      <c r="CC526" s="119"/>
      <c r="CD526" s="119"/>
      <c r="CE526" s="119"/>
      <c r="CF526" s="119"/>
      <c r="CG526" s="119"/>
      <c r="CH526" s="119"/>
      <c r="CI526" s="119"/>
      <c r="CJ526" s="119"/>
      <c r="CK526" s="119"/>
      <c r="CL526" s="119"/>
      <c r="CM526" s="119"/>
      <c r="CN526" s="119"/>
      <c r="CO526" s="119"/>
      <c r="CP526" s="119"/>
      <c r="CQ526" s="119"/>
      <c r="CR526" s="119"/>
      <c r="CS526" s="119"/>
      <c r="CT526" s="119"/>
      <c r="CU526" s="119"/>
      <c r="CV526" s="119"/>
      <c r="CW526" s="119"/>
      <c r="CX526" s="119"/>
      <c r="CY526" s="119"/>
      <c r="CZ526" s="119"/>
      <c r="DA526" s="119"/>
      <c r="DB526" s="119"/>
      <c r="DC526" s="119"/>
      <c r="DD526" s="119"/>
      <c r="DE526" s="119"/>
      <c r="DF526" s="119"/>
      <c r="DG526" s="119"/>
      <c r="DH526" s="119"/>
      <c r="DI526" s="119"/>
      <c r="DJ526" s="119"/>
      <c r="DK526" s="119"/>
      <c r="DL526" s="119"/>
      <c r="DM526" s="119"/>
      <c r="DN526" s="119"/>
      <c r="DO526" s="119"/>
      <c r="DP526" s="119"/>
      <c r="DQ526" s="119"/>
      <c r="DR526" s="119"/>
      <c r="DS526" s="119"/>
      <c r="DT526" s="119"/>
      <c r="DU526" s="119"/>
      <c r="DV526" s="119"/>
      <c r="DW526" s="119"/>
      <c r="DX526" s="119"/>
      <c r="DY526" s="119"/>
      <c r="DZ526" s="119"/>
      <c r="EA526" s="119"/>
      <c r="EB526" s="119"/>
      <c r="EC526" s="119"/>
      <c r="ED526" s="119"/>
      <c r="EE526" s="119"/>
      <c r="EF526" s="119"/>
      <c r="EG526" s="119"/>
      <c r="EH526" s="119"/>
      <c r="EI526" s="119"/>
      <c r="EJ526" s="119"/>
      <c r="EK526" s="119"/>
      <c r="EL526" s="119"/>
      <c r="EM526" s="119"/>
      <c r="EN526" s="119"/>
      <c r="EO526" s="119"/>
      <c r="EP526" s="119"/>
      <c r="EQ526" s="119"/>
      <c r="ER526" s="119"/>
      <c r="ES526" s="119"/>
      <c r="ET526" s="119"/>
      <c r="EU526" s="119"/>
      <c r="EV526" s="119"/>
      <c r="EW526" s="119"/>
      <c r="EX526" s="119"/>
      <c r="EY526" s="119"/>
      <c r="EZ526" s="119"/>
      <c r="FA526" s="119"/>
      <c r="FB526" s="119"/>
      <c r="FC526" s="119"/>
      <c r="FD526" s="119"/>
      <c r="FE526" s="119"/>
      <c r="FF526" s="119"/>
      <c r="FG526" s="119"/>
      <c r="FH526" s="119"/>
      <c r="FI526" s="119"/>
      <c r="FJ526" s="119"/>
      <c r="FK526" s="119"/>
      <c r="FL526" s="119"/>
      <c r="FM526" s="119"/>
      <c r="FN526" s="119"/>
      <c r="FO526" s="119"/>
      <c r="FP526" s="119"/>
      <c r="FQ526" s="119"/>
      <c r="FR526" s="119"/>
    </row>
    <row x14ac:dyDescent="0.25" r="527" customHeight="1" ht="15">
      <c r="A527" s="112"/>
      <c r="B527" s="112"/>
      <c r="C527" s="107"/>
      <c r="D527" s="107"/>
      <c r="E527" s="120"/>
      <c r="F527" s="120"/>
      <c r="G527" s="109">
        <f>IF((F527-E527)&lt;0,0,(F527-E527))</f>
      </c>
      <c r="H527" s="110"/>
      <c r="I527" s="111">
        <f>IFERROR(SUMPRODUCT($G527*VLOOKUP($C527,'Vehicle Master'!$D:$F,3,0)),"")</f>
      </c>
      <c r="J527" s="11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  <c r="AA527" s="119"/>
      <c r="AB527" s="119"/>
      <c r="AC527" s="119"/>
      <c r="AD527" s="119"/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/>
      <c r="AP527" s="119"/>
      <c r="AQ527" s="119"/>
      <c r="AR527" s="119"/>
      <c r="AS527" s="119"/>
      <c r="AT527" s="119"/>
      <c r="AU527" s="119"/>
      <c r="AV527" s="119"/>
      <c r="AW527" s="119"/>
      <c r="AX527" s="119"/>
      <c r="AY527" s="119"/>
      <c r="AZ527" s="119"/>
      <c r="BA527" s="119"/>
      <c r="BB527" s="119"/>
      <c r="BC527" s="119"/>
      <c r="BD527" s="119"/>
      <c r="BE527" s="119"/>
      <c r="BF527" s="119"/>
      <c r="BG527" s="119"/>
      <c r="BH527" s="119"/>
      <c r="BI527" s="119"/>
      <c r="BJ527" s="119"/>
      <c r="BK527" s="119"/>
      <c r="BL527" s="119"/>
      <c r="BM527" s="119"/>
      <c r="BN527" s="119"/>
      <c r="BO527" s="119"/>
      <c r="BP527" s="119"/>
      <c r="BQ527" s="119"/>
      <c r="BR527" s="119"/>
      <c r="BS527" s="119"/>
      <c r="BT527" s="119"/>
      <c r="BU527" s="119"/>
      <c r="BV527" s="119"/>
      <c r="BW527" s="119"/>
      <c r="BX527" s="119"/>
      <c r="BY527" s="119"/>
      <c r="BZ527" s="119"/>
      <c r="CA527" s="119"/>
      <c r="CB527" s="119"/>
      <c r="CC527" s="119"/>
      <c r="CD527" s="119"/>
      <c r="CE527" s="119"/>
      <c r="CF527" s="119"/>
      <c r="CG527" s="119"/>
      <c r="CH527" s="119"/>
      <c r="CI527" s="119"/>
      <c r="CJ527" s="119"/>
      <c r="CK527" s="119"/>
      <c r="CL527" s="119"/>
      <c r="CM527" s="119"/>
      <c r="CN527" s="119"/>
      <c r="CO527" s="119"/>
      <c r="CP527" s="119"/>
      <c r="CQ527" s="119"/>
      <c r="CR527" s="119"/>
      <c r="CS527" s="119"/>
      <c r="CT527" s="119"/>
      <c r="CU527" s="119"/>
      <c r="CV527" s="119"/>
      <c r="CW527" s="119"/>
      <c r="CX527" s="119"/>
      <c r="CY527" s="119"/>
      <c r="CZ527" s="119"/>
      <c r="DA527" s="119"/>
      <c r="DB527" s="119"/>
      <c r="DC527" s="119"/>
      <c r="DD527" s="119"/>
      <c r="DE527" s="119"/>
      <c r="DF527" s="119"/>
      <c r="DG527" s="119"/>
      <c r="DH527" s="119"/>
      <c r="DI527" s="119"/>
      <c r="DJ527" s="119"/>
      <c r="DK527" s="119"/>
      <c r="DL527" s="119"/>
      <c r="DM527" s="119"/>
      <c r="DN527" s="119"/>
      <c r="DO527" s="119"/>
      <c r="DP527" s="119"/>
      <c r="DQ527" s="119"/>
      <c r="DR527" s="119"/>
      <c r="DS527" s="119"/>
      <c r="DT527" s="119"/>
      <c r="DU527" s="119"/>
      <c r="DV527" s="119"/>
      <c r="DW527" s="119"/>
      <c r="DX527" s="119"/>
      <c r="DY527" s="119"/>
      <c r="DZ527" s="119"/>
      <c r="EA527" s="119"/>
      <c r="EB527" s="119"/>
      <c r="EC527" s="119"/>
      <c r="ED527" s="119"/>
      <c r="EE527" s="119"/>
      <c r="EF527" s="119"/>
      <c r="EG527" s="119"/>
      <c r="EH527" s="119"/>
      <c r="EI527" s="119"/>
      <c r="EJ527" s="119"/>
      <c r="EK527" s="119"/>
      <c r="EL527" s="119"/>
      <c r="EM527" s="119"/>
      <c r="EN527" s="119"/>
      <c r="EO527" s="119"/>
      <c r="EP527" s="119"/>
      <c r="EQ527" s="119"/>
      <c r="ER527" s="119"/>
      <c r="ES527" s="119"/>
      <c r="ET527" s="119"/>
      <c r="EU527" s="119"/>
      <c r="EV527" s="119"/>
      <c r="EW527" s="119"/>
      <c r="EX527" s="119"/>
      <c r="EY527" s="119"/>
      <c r="EZ527" s="119"/>
      <c r="FA527" s="119"/>
      <c r="FB527" s="119"/>
      <c r="FC527" s="119"/>
      <c r="FD527" s="119"/>
      <c r="FE527" s="119"/>
      <c r="FF527" s="119"/>
      <c r="FG527" s="119"/>
      <c r="FH527" s="119"/>
      <c r="FI527" s="119"/>
      <c r="FJ527" s="119"/>
      <c r="FK527" s="119"/>
      <c r="FL527" s="119"/>
      <c r="FM527" s="119"/>
      <c r="FN527" s="119"/>
      <c r="FO527" s="119"/>
      <c r="FP527" s="119"/>
      <c r="FQ527" s="119"/>
      <c r="FR527" s="119"/>
    </row>
    <row x14ac:dyDescent="0.25" r="528" customHeight="1" ht="15">
      <c r="A528" s="112"/>
      <c r="B528" s="112"/>
      <c r="C528" s="107"/>
      <c r="D528" s="107"/>
      <c r="E528" s="120"/>
      <c r="F528" s="120"/>
      <c r="G528" s="109">
        <f>IF((F528-E528)&lt;0,0,(F528-E528))</f>
      </c>
      <c r="H528" s="110"/>
      <c r="I528" s="111">
        <f>IFERROR(SUMPRODUCT($G528*VLOOKUP($C528,'Vehicle Master'!$D:$F,3,0)),"")</f>
      </c>
      <c r="J528" s="11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  <c r="AA528" s="119"/>
      <c r="AB528" s="119"/>
      <c r="AC528" s="119"/>
      <c r="AD528" s="119"/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/>
      <c r="AP528" s="119"/>
      <c r="AQ528" s="119"/>
      <c r="AR528" s="119"/>
      <c r="AS528" s="119"/>
      <c r="AT528" s="119"/>
      <c r="AU528" s="119"/>
      <c r="AV528" s="119"/>
      <c r="AW528" s="119"/>
      <c r="AX528" s="119"/>
      <c r="AY528" s="119"/>
      <c r="AZ528" s="119"/>
      <c r="BA528" s="119"/>
      <c r="BB528" s="119"/>
      <c r="BC528" s="119"/>
      <c r="BD528" s="119"/>
      <c r="BE528" s="119"/>
      <c r="BF528" s="119"/>
      <c r="BG528" s="119"/>
      <c r="BH528" s="119"/>
      <c r="BI528" s="119"/>
      <c r="BJ528" s="119"/>
      <c r="BK528" s="119"/>
      <c r="BL528" s="119"/>
      <c r="BM528" s="119"/>
      <c r="BN528" s="119"/>
      <c r="BO528" s="119"/>
      <c r="BP528" s="119"/>
      <c r="BQ528" s="119"/>
      <c r="BR528" s="119"/>
      <c r="BS528" s="119"/>
      <c r="BT528" s="119"/>
      <c r="BU528" s="119"/>
      <c r="BV528" s="119"/>
      <c r="BW528" s="119"/>
      <c r="BX528" s="119"/>
      <c r="BY528" s="119"/>
      <c r="BZ528" s="119"/>
      <c r="CA528" s="119"/>
      <c r="CB528" s="119"/>
      <c r="CC528" s="119"/>
      <c r="CD528" s="119"/>
      <c r="CE528" s="119"/>
      <c r="CF528" s="119"/>
      <c r="CG528" s="119"/>
      <c r="CH528" s="119"/>
      <c r="CI528" s="119"/>
      <c r="CJ528" s="119"/>
      <c r="CK528" s="119"/>
      <c r="CL528" s="119"/>
      <c r="CM528" s="119"/>
      <c r="CN528" s="119"/>
      <c r="CO528" s="119"/>
      <c r="CP528" s="119"/>
      <c r="CQ528" s="119"/>
      <c r="CR528" s="119"/>
      <c r="CS528" s="119"/>
      <c r="CT528" s="119"/>
      <c r="CU528" s="119"/>
      <c r="CV528" s="119"/>
      <c r="CW528" s="119"/>
      <c r="CX528" s="119"/>
      <c r="CY528" s="119"/>
      <c r="CZ528" s="119"/>
      <c r="DA528" s="119"/>
      <c r="DB528" s="119"/>
      <c r="DC528" s="119"/>
      <c r="DD528" s="119"/>
      <c r="DE528" s="119"/>
      <c r="DF528" s="119"/>
      <c r="DG528" s="119"/>
      <c r="DH528" s="119"/>
      <c r="DI528" s="119"/>
      <c r="DJ528" s="119"/>
      <c r="DK528" s="119"/>
      <c r="DL528" s="119"/>
      <c r="DM528" s="119"/>
      <c r="DN528" s="119"/>
      <c r="DO528" s="119"/>
      <c r="DP528" s="119"/>
      <c r="DQ528" s="119"/>
      <c r="DR528" s="119"/>
      <c r="DS528" s="119"/>
      <c r="DT528" s="119"/>
      <c r="DU528" s="119"/>
      <c r="DV528" s="119"/>
      <c r="DW528" s="119"/>
      <c r="DX528" s="119"/>
      <c r="DY528" s="119"/>
      <c r="DZ528" s="119"/>
      <c r="EA528" s="119"/>
      <c r="EB528" s="119"/>
      <c r="EC528" s="119"/>
      <c r="ED528" s="119"/>
      <c r="EE528" s="119"/>
      <c r="EF528" s="119"/>
      <c r="EG528" s="119"/>
      <c r="EH528" s="119"/>
      <c r="EI528" s="119"/>
      <c r="EJ528" s="119"/>
      <c r="EK528" s="119"/>
      <c r="EL528" s="119"/>
      <c r="EM528" s="119"/>
      <c r="EN528" s="119"/>
      <c r="EO528" s="119"/>
      <c r="EP528" s="119"/>
      <c r="EQ528" s="119"/>
      <c r="ER528" s="119"/>
      <c r="ES528" s="119"/>
      <c r="ET528" s="119"/>
      <c r="EU528" s="119"/>
      <c r="EV528" s="119"/>
      <c r="EW528" s="119"/>
      <c r="EX528" s="119"/>
      <c r="EY528" s="119"/>
      <c r="EZ528" s="119"/>
      <c r="FA528" s="119"/>
      <c r="FB528" s="119"/>
      <c r="FC528" s="119"/>
      <c r="FD528" s="119"/>
      <c r="FE528" s="119"/>
      <c r="FF528" s="119"/>
      <c r="FG528" s="119"/>
      <c r="FH528" s="119"/>
      <c r="FI528" s="119"/>
      <c r="FJ528" s="119"/>
      <c r="FK528" s="119"/>
      <c r="FL528" s="119"/>
      <c r="FM528" s="119"/>
      <c r="FN528" s="119"/>
      <c r="FO528" s="119"/>
      <c r="FP528" s="119"/>
      <c r="FQ528" s="119"/>
      <c r="FR528" s="119"/>
    </row>
    <row x14ac:dyDescent="0.25" r="529" customHeight="1" ht="15">
      <c r="A529" s="112"/>
      <c r="B529" s="112"/>
      <c r="C529" s="107"/>
      <c r="D529" s="107"/>
      <c r="E529" s="120"/>
      <c r="F529" s="120"/>
      <c r="G529" s="109">
        <f>IF((F529-E529)&lt;0,0,(F529-E529))</f>
      </c>
      <c r="H529" s="110"/>
      <c r="I529" s="111">
        <f>IFERROR(SUMPRODUCT($G529*VLOOKUP($C529,'Vehicle Master'!$D:$F,3,0)),"")</f>
      </c>
      <c r="J529" s="11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  <c r="AB529" s="119"/>
      <c r="AC529" s="119"/>
      <c r="AD529" s="119"/>
      <c r="AE529" s="119"/>
      <c r="AF529" s="119"/>
      <c r="AG529" s="119"/>
      <c r="AH529" s="119"/>
      <c r="AI529" s="119"/>
      <c r="AJ529" s="119"/>
      <c r="AK529" s="119"/>
      <c r="AL529" s="119"/>
      <c r="AM529" s="119"/>
      <c r="AN529" s="119"/>
      <c r="AO529" s="119"/>
      <c r="AP529" s="119"/>
      <c r="AQ529" s="119"/>
      <c r="AR529" s="119"/>
      <c r="AS529" s="119"/>
      <c r="AT529" s="119"/>
      <c r="AU529" s="119"/>
      <c r="AV529" s="119"/>
      <c r="AW529" s="119"/>
      <c r="AX529" s="119"/>
      <c r="AY529" s="119"/>
      <c r="AZ529" s="119"/>
      <c r="BA529" s="119"/>
      <c r="BB529" s="119"/>
      <c r="BC529" s="119"/>
      <c r="BD529" s="119"/>
      <c r="BE529" s="119"/>
      <c r="BF529" s="119"/>
      <c r="BG529" s="119"/>
      <c r="BH529" s="119"/>
      <c r="BI529" s="119"/>
      <c r="BJ529" s="119"/>
      <c r="BK529" s="119"/>
      <c r="BL529" s="119"/>
      <c r="BM529" s="119"/>
      <c r="BN529" s="119"/>
      <c r="BO529" s="119"/>
      <c r="BP529" s="119"/>
      <c r="BQ529" s="119"/>
      <c r="BR529" s="119"/>
      <c r="BS529" s="119"/>
      <c r="BT529" s="119"/>
      <c r="BU529" s="119"/>
      <c r="BV529" s="119"/>
      <c r="BW529" s="119"/>
      <c r="BX529" s="119"/>
      <c r="BY529" s="119"/>
      <c r="BZ529" s="119"/>
      <c r="CA529" s="119"/>
      <c r="CB529" s="119"/>
      <c r="CC529" s="119"/>
      <c r="CD529" s="119"/>
      <c r="CE529" s="119"/>
      <c r="CF529" s="119"/>
      <c r="CG529" s="119"/>
      <c r="CH529" s="119"/>
      <c r="CI529" s="119"/>
      <c r="CJ529" s="119"/>
      <c r="CK529" s="119"/>
      <c r="CL529" s="119"/>
      <c r="CM529" s="119"/>
      <c r="CN529" s="119"/>
      <c r="CO529" s="119"/>
      <c r="CP529" s="119"/>
      <c r="CQ529" s="119"/>
      <c r="CR529" s="119"/>
      <c r="CS529" s="119"/>
      <c r="CT529" s="119"/>
      <c r="CU529" s="119"/>
      <c r="CV529" s="119"/>
      <c r="CW529" s="119"/>
      <c r="CX529" s="119"/>
      <c r="CY529" s="119"/>
      <c r="CZ529" s="119"/>
      <c r="DA529" s="119"/>
      <c r="DB529" s="119"/>
      <c r="DC529" s="119"/>
      <c r="DD529" s="119"/>
      <c r="DE529" s="119"/>
      <c r="DF529" s="119"/>
      <c r="DG529" s="119"/>
      <c r="DH529" s="119"/>
      <c r="DI529" s="119"/>
      <c r="DJ529" s="119"/>
      <c r="DK529" s="119"/>
      <c r="DL529" s="119"/>
      <c r="DM529" s="119"/>
      <c r="DN529" s="119"/>
      <c r="DO529" s="119"/>
      <c r="DP529" s="119"/>
      <c r="DQ529" s="119"/>
      <c r="DR529" s="119"/>
      <c r="DS529" s="119"/>
      <c r="DT529" s="119"/>
      <c r="DU529" s="119"/>
      <c r="DV529" s="119"/>
      <c r="DW529" s="119"/>
      <c r="DX529" s="119"/>
      <c r="DY529" s="119"/>
      <c r="DZ529" s="119"/>
      <c r="EA529" s="119"/>
      <c r="EB529" s="119"/>
      <c r="EC529" s="119"/>
      <c r="ED529" s="119"/>
      <c r="EE529" s="119"/>
      <c r="EF529" s="119"/>
      <c r="EG529" s="119"/>
      <c r="EH529" s="119"/>
      <c r="EI529" s="119"/>
      <c r="EJ529" s="119"/>
      <c r="EK529" s="119"/>
      <c r="EL529" s="119"/>
      <c r="EM529" s="119"/>
      <c r="EN529" s="119"/>
      <c r="EO529" s="119"/>
      <c r="EP529" s="119"/>
      <c r="EQ529" s="119"/>
      <c r="ER529" s="119"/>
      <c r="ES529" s="119"/>
      <c r="ET529" s="119"/>
      <c r="EU529" s="119"/>
      <c r="EV529" s="119"/>
      <c r="EW529" s="119"/>
      <c r="EX529" s="119"/>
      <c r="EY529" s="119"/>
      <c r="EZ529" s="119"/>
      <c r="FA529" s="119"/>
      <c r="FB529" s="119"/>
      <c r="FC529" s="119"/>
      <c r="FD529" s="119"/>
      <c r="FE529" s="119"/>
      <c r="FF529" s="119"/>
      <c r="FG529" s="119"/>
      <c r="FH529" s="119"/>
      <c r="FI529" s="119"/>
      <c r="FJ529" s="119"/>
      <c r="FK529" s="119"/>
      <c r="FL529" s="119"/>
      <c r="FM529" s="119"/>
      <c r="FN529" s="119"/>
      <c r="FO529" s="119"/>
      <c r="FP529" s="119"/>
      <c r="FQ529" s="119"/>
      <c r="FR529" s="119"/>
    </row>
    <row x14ac:dyDescent="0.25" r="530" customHeight="1" ht="15">
      <c r="A530" s="112"/>
      <c r="B530" s="112"/>
      <c r="C530" s="107"/>
      <c r="D530" s="107"/>
      <c r="E530" s="120"/>
      <c r="F530" s="120"/>
      <c r="G530" s="109">
        <f>IF((F530-E530)&lt;0,0,(F530-E530))</f>
      </c>
      <c r="H530" s="110"/>
      <c r="I530" s="111">
        <f>IFERROR(SUMPRODUCT($G530*VLOOKUP($C530,'Vehicle Master'!$D:$F,3,0)),"")</f>
      </c>
      <c r="J530" s="11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  <c r="AA530" s="119"/>
      <c r="AB530" s="119"/>
      <c r="AC530" s="119"/>
      <c r="AD530" s="119"/>
      <c r="AE530" s="119"/>
      <c r="AF530" s="119"/>
      <c r="AG530" s="119"/>
      <c r="AH530" s="119"/>
      <c r="AI530" s="119"/>
      <c r="AJ530" s="119"/>
      <c r="AK530" s="119"/>
      <c r="AL530" s="119"/>
      <c r="AM530" s="119"/>
      <c r="AN530" s="119"/>
      <c r="AO530" s="119"/>
      <c r="AP530" s="119"/>
      <c r="AQ530" s="119"/>
      <c r="AR530" s="119"/>
      <c r="AS530" s="119"/>
      <c r="AT530" s="119"/>
      <c r="AU530" s="119"/>
      <c r="AV530" s="119"/>
      <c r="AW530" s="119"/>
      <c r="AX530" s="119"/>
      <c r="AY530" s="119"/>
      <c r="AZ530" s="119"/>
      <c r="BA530" s="119"/>
      <c r="BB530" s="119"/>
      <c r="BC530" s="119"/>
      <c r="BD530" s="119"/>
      <c r="BE530" s="119"/>
      <c r="BF530" s="119"/>
      <c r="BG530" s="119"/>
      <c r="BH530" s="119"/>
      <c r="BI530" s="119"/>
      <c r="BJ530" s="119"/>
      <c r="BK530" s="119"/>
      <c r="BL530" s="119"/>
      <c r="BM530" s="119"/>
      <c r="BN530" s="119"/>
      <c r="BO530" s="119"/>
      <c r="BP530" s="119"/>
      <c r="BQ530" s="119"/>
      <c r="BR530" s="119"/>
      <c r="BS530" s="119"/>
      <c r="BT530" s="119"/>
      <c r="BU530" s="119"/>
      <c r="BV530" s="119"/>
      <c r="BW530" s="119"/>
      <c r="BX530" s="119"/>
      <c r="BY530" s="119"/>
      <c r="BZ530" s="119"/>
      <c r="CA530" s="119"/>
      <c r="CB530" s="119"/>
      <c r="CC530" s="119"/>
      <c r="CD530" s="119"/>
      <c r="CE530" s="119"/>
      <c r="CF530" s="119"/>
      <c r="CG530" s="119"/>
      <c r="CH530" s="119"/>
      <c r="CI530" s="119"/>
      <c r="CJ530" s="119"/>
      <c r="CK530" s="119"/>
      <c r="CL530" s="119"/>
      <c r="CM530" s="119"/>
      <c r="CN530" s="119"/>
      <c r="CO530" s="119"/>
      <c r="CP530" s="119"/>
      <c r="CQ530" s="119"/>
      <c r="CR530" s="119"/>
      <c r="CS530" s="119"/>
      <c r="CT530" s="119"/>
      <c r="CU530" s="119"/>
      <c r="CV530" s="119"/>
      <c r="CW530" s="119"/>
      <c r="CX530" s="119"/>
      <c r="CY530" s="119"/>
      <c r="CZ530" s="119"/>
      <c r="DA530" s="119"/>
      <c r="DB530" s="119"/>
      <c r="DC530" s="119"/>
      <c r="DD530" s="119"/>
      <c r="DE530" s="119"/>
      <c r="DF530" s="119"/>
      <c r="DG530" s="119"/>
      <c r="DH530" s="119"/>
      <c r="DI530" s="119"/>
      <c r="DJ530" s="119"/>
      <c r="DK530" s="119"/>
      <c r="DL530" s="119"/>
      <c r="DM530" s="119"/>
      <c r="DN530" s="119"/>
      <c r="DO530" s="119"/>
      <c r="DP530" s="119"/>
      <c r="DQ530" s="119"/>
      <c r="DR530" s="119"/>
      <c r="DS530" s="119"/>
      <c r="DT530" s="119"/>
      <c r="DU530" s="119"/>
      <c r="DV530" s="119"/>
      <c r="DW530" s="119"/>
      <c r="DX530" s="119"/>
      <c r="DY530" s="119"/>
      <c r="DZ530" s="119"/>
      <c r="EA530" s="119"/>
      <c r="EB530" s="119"/>
      <c r="EC530" s="119"/>
      <c r="ED530" s="119"/>
      <c r="EE530" s="119"/>
      <c r="EF530" s="119"/>
      <c r="EG530" s="119"/>
      <c r="EH530" s="119"/>
      <c r="EI530" s="119"/>
      <c r="EJ530" s="119"/>
      <c r="EK530" s="119"/>
      <c r="EL530" s="119"/>
      <c r="EM530" s="119"/>
      <c r="EN530" s="119"/>
      <c r="EO530" s="119"/>
      <c r="EP530" s="119"/>
      <c r="EQ530" s="119"/>
      <c r="ER530" s="119"/>
      <c r="ES530" s="119"/>
      <c r="ET530" s="119"/>
      <c r="EU530" s="119"/>
      <c r="EV530" s="119"/>
      <c r="EW530" s="119"/>
      <c r="EX530" s="119"/>
      <c r="EY530" s="119"/>
      <c r="EZ530" s="119"/>
      <c r="FA530" s="119"/>
      <c r="FB530" s="119"/>
      <c r="FC530" s="119"/>
      <c r="FD530" s="119"/>
      <c r="FE530" s="119"/>
      <c r="FF530" s="119"/>
      <c r="FG530" s="119"/>
      <c r="FH530" s="119"/>
      <c r="FI530" s="119"/>
      <c r="FJ530" s="119"/>
      <c r="FK530" s="119"/>
      <c r="FL530" s="119"/>
      <c r="FM530" s="119"/>
      <c r="FN530" s="119"/>
      <c r="FO530" s="119"/>
      <c r="FP530" s="119"/>
      <c r="FQ530" s="119"/>
      <c r="FR530" s="119"/>
    </row>
    <row x14ac:dyDescent="0.25" r="531" customHeight="1" ht="15">
      <c r="A531" s="112"/>
      <c r="B531" s="112"/>
      <c r="C531" s="107"/>
      <c r="D531" s="107"/>
      <c r="E531" s="120"/>
      <c r="F531" s="120"/>
      <c r="G531" s="109">
        <f>IF((F531-E531)&lt;0,0,(F531-E531))</f>
      </c>
      <c r="H531" s="110"/>
      <c r="I531" s="111">
        <f>IFERROR(SUMPRODUCT($G531*VLOOKUP($C531,'Vehicle Master'!$D:$F,3,0)),"")</f>
      </c>
      <c r="J531" s="11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  <c r="AA531" s="119"/>
      <c r="AB531" s="119"/>
      <c r="AC531" s="119"/>
      <c r="AD531" s="119"/>
      <c r="AE531" s="119"/>
      <c r="AF531" s="119"/>
      <c r="AG531" s="119"/>
      <c r="AH531" s="119"/>
      <c r="AI531" s="119"/>
      <c r="AJ531" s="119"/>
      <c r="AK531" s="119"/>
      <c r="AL531" s="119"/>
      <c r="AM531" s="119"/>
      <c r="AN531" s="119"/>
      <c r="AO531" s="119"/>
      <c r="AP531" s="119"/>
      <c r="AQ531" s="119"/>
      <c r="AR531" s="119"/>
      <c r="AS531" s="119"/>
      <c r="AT531" s="119"/>
      <c r="AU531" s="119"/>
      <c r="AV531" s="119"/>
      <c r="AW531" s="119"/>
      <c r="AX531" s="119"/>
      <c r="AY531" s="119"/>
      <c r="AZ531" s="119"/>
      <c r="BA531" s="119"/>
      <c r="BB531" s="119"/>
      <c r="BC531" s="119"/>
      <c r="BD531" s="119"/>
      <c r="BE531" s="119"/>
      <c r="BF531" s="119"/>
      <c r="BG531" s="119"/>
      <c r="BH531" s="119"/>
      <c r="BI531" s="119"/>
      <c r="BJ531" s="119"/>
      <c r="BK531" s="119"/>
      <c r="BL531" s="119"/>
      <c r="BM531" s="119"/>
      <c r="BN531" s="119"/>
      <c r="BO531" s="119"/>
      <c r="BP531" s="119"/>
      <c r="BQ531" s="119"/>
      <c r="BR531" s="119"/>
      <c r="BS531" s="119"/>
      <c r="BT531" s="119"/>
      <c r="BU531" s="119"/>
      <c r="BV531" s="119"/>
      <c r="BW531" s="119"/>
      <c r="BX531" s="119"/>
      <c r="BY531" s="119"/>
      <c r="BZ531" s="119"/>
      <c r="CA531" s="119"/>
      <c r="CB531" s="119"/>
      <c r="CC531" s="119"/>
      <c r="CD531" s="119"/>
      <c r="CE531" s="119"/>
      <c r="CF531" s="119"/>
      <c r="CG531" s="119"/>
      <c r="CH531" s="119"/>
      <c r="CI531" s="119"/>
      <c r="CJ531" s="119"/>
      <c r="CK531" s="119"/>
      <c r="CL531" s="119"/>
      <c r="CM531" s="119"/>
      <c r="CN531" s="119"/>
      <c r="CO531" s="119"/>
      <c r="CP531" s="119"/>
      <c r="CQ531" s="119"/>
      <c r="CR531" s="119"/>
      <c r="CS531" s="119"/>
      <c r="CT531" s="119"/>
      <c r="CU531" s="119"/>
      <c r="CV531" s="119"/>
      <c r="CW531" s="119"/>
      <c r="CX531" s="119"/>
      <c r="CY531" s="119"/>
      <c r="CZ531" s="119"/>
      <c r="DA531" s="119"/>
      <c r="DB531" s="119"/>
      <c r="DC531" s="119"/>
      <c r="DD531" s="119"/>
      <c r="DE531" s="119"/>
      <c r="DF531" s="119"/>
      <c r="DG531" s="119"/>
      <c r="DH531" s="119"/>
      <c r="DI531" s="119"/>
      <c r="DJ531" s="119"/>
      <c r="DK531" s="119"/>
      <c r="DL531" s="119"/>
      <c r="DM531" s="119"/>
      <c r="DN531" s="119"/>
      <c r="DO531" s="119"/>
      <c r="DP531" s="119"/>
      <c r="DQ531" s="119"/>
      <c r="DR531" s="119"/>
      <c r="DS531" s="119"/>
      <c r="DT531" s="119"/>
      <c r="DU531" s="119"/>
      <c r="DV531" s="119"/>
      <c r="DW531" s="119"/>
      <c r="DX531" s="119"/>
      <c r="DY531" s="119"/>
      <c r="DZ531" s="119"/>
      <c r="EA531" s="119"/>
      <c r="EB531" s="119"/>
      <c r="EC531" s="119"/>
      <c r="ED531" s="119"/>
      <c r="EE531" s="119"/>
      <c r="EF531" s="119"/>
      <c r="EG531" s="119"/>
      <c r="EH531" s="119"/>
      <c r="EI531" s="119"/>
      <c r="EJ531" s="119"/>
      <c r="EK531" s="119"/>
      <c r="EL531" s="119"/>
      <c r="EM531" s="119"/>
      <c r="EN531" s="119"/>
      <c r="EO531" s="119"/>
      <c r="EP531" s="119"/>
      <c r="EQ531" s="119"/>
      <c r="ER531" s="119"/>
      <c r="ES531" s="119"/>
      <c r="ET531" s="119"/>
      <c r="EU531" s="119"/>
      <c r="EV531" s="119"/>
      <c r="EW531" s="119"/>
      <c r="EX531" s="119"/>
      <c r="EY531" s="119"/>
      <c r="EZ531" s="119"/>
      <c r="FA531" s="119"/>
      <c r="FB531" s="119"/>
      <c r="FC531" s="119"/>
      <c r="FD531" s="119"/>
      <c r="FE531" s="119"/>
      <c r="FF531" s="119"/>
      <c r="FG531" s="119"/>
      <c r="FH531" s="119"/>
      <c r="FI531" s="119"/>
      <c r="FJ531" s="119"/>
      <c r="FK531" s="119"/>
      <c r="FL531" s="119"/>
      <c r="FM531" s="119"/>
      <c r="FN531" s="119"/>
      <c r="FO531" s="119"/>
      <c r="FP531" s="119"/>
      <c r="FQ531" s="119"/>
      <c r="FR531" s="119"/>
    </row>
    <row x14ac:dyDescent="0.25" r="532" customHeight="1" ht="15">
      <c r="A532" s="112"/>
      <c r="B532" s="112"/>
      <c r="C532" s="107"/>
      <c r="D532" s="107"/>
      <c r="E532" s="120"/>
      <c r="F532" s="120"/>
      <c r="G532" s="109">
        <f>IF((F532-E532)&lt;0,0,(F532-E532))</f>
      </c>
      <c r="H532" s="110"/>
      <c r="I532" s="111">
        <f>IFERROR(SUMPRODUCT($G532*VLOOKUP($C532,'Vehicle Master'!$D:$F,3,0)),"")</f>
      </c>
      <c r="J532" s="11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  <c r="AA532" s="119"/>
      <c r="AB532" s="119"/>
      <c r="AC532" s="119"/>
      <c r="AD532" s="119"/>
      <c r="AE532" s="119"/>
      <c r="AF532" s="119"/>
      <c r="AG532" s="119"/>
      <c r="AH532" s="119"/>
      <c r="AI532" s="119"/>
      <c r="AJ532" s="119"/>
      <c r="AK532" s="119"/>
      <c r="AL532" s="119"/>
      <c r="AM532" s="119"/>
      <c r="AN532" s="119"/>
      <c r="AO532" s="119"/>
      <c r="AP532" s="119"/>
      <c r="AQ532" s="119"/>
      <c r="AR532" s="119"/>
      <c r="AS532" s="119"/>
      <c r="AT532" s="119"/>
      <c r="AU532" s="119"/>
      <c r="AV532" s="119"/>
      <c r="AW532" s="119"/>
      <c r="AX532" s="119"/>
      <c r="AY532" s="119"/>
      <c r="AZ532" s="119"/>
      <c r="BA532" s="119"/>
      <c r="BB532" s="119"/>
      <c r="BC532" s="119"/>
      <c r="BD532" s="119"/>
      <c r="BE532" s="119"/>
      <c r="BF532" s="119"/>
      <c r="BG532" s="119"/>
      <c r="BH532" s="119"/>
      <c r="BI532" s="119"/>
      <c r="BJ532" s="119"/>
      <c r="BK532" s="119"/>
      <c r="BL532" s="119"/>
      <c r="BM532" s="119"/>
      <c r="BN532" s="119"/>
      <c r="BO532" s="119"/>
      <c r="BP532" s="119"/>
      <c r="BQ532" s="119"/>
      <c r="BR532" s="119"/>
      <c r="BS532" s="119"/>
      <c r="BT532" s="119"/>
      <c r="BU532" s="119"/>
      <c r="BV532" s="119"/>
      <c r="BW532" s="119"/>
      <c r="BX532" s="119"/>
      <c r="BY532" s="119"/>
      <c r="BZ532" s="119"/>
      <c r="CA532" s="119"/>
      <c r="CB532" s="119"/>
      <c r="CC532" s="119"/>
      <c r="CD532" s="119"/>
      <c r="CE532" s="119"/>
      <c r="CF532" s="119"/>
      <c r="CG532" s="119"/>
      <c r="CH532" s="119"/>
      <c r="CI532" s="119"/>
      <c r="CJ532" s="119"/>
      <c r="CK532" s="119"/>
      <c r="CL532" s="119"/>
      <c r="CM532" s="119"/>
      <c r="CN532" s="119"/>
      <c r="CO532" s="119"/>
      <c r="CP532" s="119"/>
      <c r="CQ532" s="119"/>
      <c r="CR532" s="119"/>
      <c r="CS532" s="119"/>
      <c r="CT532" s="119"/>
      <c r="CU532" s="119"/>
      <c r="CV532" s="119"/>
      <c r="CW532" s="119"/>
      <c r="CX532" s="119"/>
      <c r="CY532" s="119"/>
      <c r="CZ532" s="119"/>
      <c r="DA532" s="119"/>
      <c r="DB532" s="119"/>
      <c r="DC532" s="119"/>
      <c r="DD532" s="119"/>
      <c r="DE532" s="119"/>
      <c r="DF532" s="119"/>
      <c r="DG532" s="119"/>
      <c r="DH532" s="119"/>
      <c r="DI532" s="119"/>
      <c r="DJ532" s="119"/>
      <c r="DK532" s="119"/>
      <c r="DL532" s="119"/>
      <c r="DM532" s="119"/>
      <c r="DN532" s="119"/>
      <c r="DO532" s="119"/>
      <c r="DP532" s="119"/>
      <c r="DQ532" s="119"/>
      <c r="DR532" s="119"/>
      <c r="DS532" s="119"/>
      <c r="DT532" s="119"/>
      <c r="DU532" s="119"/>
      <c r="DV532" s="119"/>
      <c r="DW532" s="119"/>
      <c r="DX532" s="119"/>
      <c r="DY532" s="119"/>
      <c r="DZ532" s="119"/>
      <c r="EA532" s="119"/>
      <c r="EB532" s="119"/>
      <c r="EC532" s="119"/>
      <c r="ED532" s="119"/>
      <c r="EE532" s="119"/>
      <c r="EF532" s="119"/>
      <c r="EG532" s="119"/>
      <c r="EH532" s="119"/>
      <c r="EI532" s="119"/>
      <c r="EJ532" s="119"/>
      <c r="EK532" s="119"/>
      <c r="EL532" s="119"/>
      <c r="EM532" s="119"/>
      <c r="EN532" s="119"/>
      <c r="EO532" s="119"/>
      <c r="EP532" s="119"/>
      <c r="EQ532" s="119"/>
      <c r="ER532" s="119"/>
      <c r="ES532" s="119"/>
      <c r="ET532" s="119"/>
      <c r="EU532" s="119"/>
      <c r="EV532" s="119"/>
      <c r="EW532" s="119"/>
      <c r="EX532" s="119"/>
      <c r="EY532" s="119"/>
      <c r="EZ532" s="119"/>
      <c r="FA532" s="119"/>
      <c r="FB532" s="119"/>
      <c r="FC532" s="119"/>
      <c r="FD532" s="119"/>
      <c r="FE532" s="119"/>
      <c r="FF532" s="119"/>
      <c r="FG532" s="119"/>
      <c r="FH532" s="119"/>
      <c r="FI532" s="119"/>
      <c r="FJ532" s="119"/>
      <c r="FK532" s="119"/>
      <c r="FL532" s="119"/>
      <c r="FM532" s="119"/>
      <c r="FN532" s="119"/>
      <c r="FO532" s="119"/>
      <c r="FP532" s="119"/>
      <c r="FQ532" s="119"/>
      <c r="FR532" s="119"/>
    </row>
    <row x14ac:dyDescent="0.25" r="533" customHeight="1" ht="15">
      <c r="A533" s="112"/>
      <c r="B533" s="112"/>
      <c r="C533" s="107"/>
      <c r="D533" s="107"/>
      <c r="E533" s="120"/>
      <c r="F533" s="120"/>
      <c r="G533" s="109">
        <f>IF((F533-E533)&lt;0,0,(F533-E533))</f>
      </c>
      <c r="H533" s="110"/>
      <c r="I533" s="111">
        <f>IFERROR(SUMPRODUCT($G533*VLOOKUP($C533,'Vehicle Master'!$D:$F,3,0)),"")</f>
      </c>
      <c r="J533" s="11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  <c r="AA533" s="119"/>
      <c r="AB533" s="119"/>
      <c r="AC533" s="119"/>
      <c r="AD533" s="119"/>
      <c r="AE533" s="119"/>
      <c r="AF533" s="119"/>
      <c r="AG533" s="119"/>
      <c r="AH533" s="119"/>
      <c r="AI533" s="119"/>
      <c r="AJ533" s="119"/>
      <c r="AK533" s="119"/>
      <c r="AL533" s="119"/>
      <c r="AM533" s="119"/>
      <c r="AN533" s="119"/>
      <c r="AO533" s="119"/>
      <c r="AP533" s="119"/>
      <c r="AQ533" s="119"/>
      <c r="AR533" s="119"/>
      <c r="AS533" s="119"/>
      <c r="AT533" s="119"/>
      <c r="AU533" s="119"/>
      <c r="AV533" s="119"/>
      <c r="AW533" s="119"/>
      <c r="AX533" s="119"/>
      <c r="AY533" s="119"/>
      <c r="AZ533" s="119"/>
      <c r="BA533" s="119"/>
      <c r="BB533" s="119"/>
      <c r="BC533" s="119"/>
      <c r="BD533" s="119"/>
      <c r="BE533" s="119"/>
      <c r="BF533" s="119"/>
      <c r="BG533" s="119"/>
      <c r="BH533" s="119"/>
      <c r="BI533" s="119"/>
      <c r="BJ533" s="119"/>
      <c r="BK533" s="119"/>
      <c r="BL533" s="119"/>
      <c r="BM533" s="119"/>
      <c r="BN533" s="119"/>
      <c r="BO533" s="119"/>
      <c r="BP533" s="119"/>
      <c r="BQ533" s="119"/>
      <c r="BR533" s="119"/>
      <c r="BS533" s="119"/>
      <c r="BT533" s="119"/>
      <c r="BU533" s="119"/>
      <c r="BV533" s="119"/>
      <c r="BW533" s="119"/>
      <c r="BX533" s="119"/>
      <c r="BY533" s="119"/>
      <c r="BZ533" s="119"/>
      <c r="CA533" s="119"/>
      <c r="CB533" s="119"/>
      <c r="CC533" s="119"/>
      <c r="CD533" s="119"/>
      <c r="CE533" s="119"/>
      <c r="CF533" s="119"/>
      <c r="CG533" s="119"/>
      <c r="CH533" s="119"/>
      <c r="CI533" s="119"/>
      <c r="CJ533" s="119"/>
      <c r="CK533" s="119"/>
      <c r="CL533" s="119"/>
      <c r="CM533" s="119"/>
      <c r="CN533" s="119"/>
      <c r="CO533" s="119"/>
      <c r="CP533" s="119"/>
      <c r="CQ533" s="119"/>
      <c r="CR533" s="119"/>
      <c r="CS533" s="119"/>
      <c r="CT533" s="119"/>
      <c r="CU533" s="119"/>
      <c r="CV533" s="119"/>
      <c r="CW533" s="119"/>
      <c r="CX533" s="119"/>
      <c r="CY533" s="119"/>
      <c r="CZ533" s="119"/>
      <c r="DA533" s="119"/>
      <c r="DB533" s="119"/>
      <c r="DC533" s="119"/>
      <c r="DD533" s="119"/>
      <c r="DE533" s="119"/>
      <c r="DF533" s="119"/>
      <c r="DG533" s="119"/>
      <c r="DH533" s="119"/>
      <c r="DI533" s="119"/>
      <c r="DJ533" s="119"/>
      <c r="DK533" s="119"/>
      <c r="DL533" s="119"/>
      <c r="DM533" s="119"/>
      <c r="DN533" s="119"/>
      <c r="DO533" s="119"/>
      <c r="DP533" s="119"/>
      <c r="DQ533" s="119"/>
      <c r="DR533" s="119"/>
      <c r="DS533" s="119"/>
      <c r="DT533" s="119"/>
      <c r="DU533" s="119"/>
      <c r="DV533" s="119"/>
      <c r="DW533" s="119"/>
      <c r="DX533" s="119"/>
      <c r="DY533" s="119"/>
      <c r="DZ533" s="119"/>
      <c r="EA533" s="119"/>
      <c r="EB533" s="119"/>
      <c r="EC533" s="119"/>
      <c r="ED533" s="119"/>
      <c r="EE533" s="119"/>
      <c r="EF533" s="119"/>
      <c r="EG533" s="119"/>
      <c r="EH533" s="119"/>
      <c r="EI533" s="119"/>
      <c r="EJ533" s="119"/>
      <c r="EK533" s="119"/>
      <c r="EL533" s="119"/>
      <c r="EM533" s="119"/>
      <c r="EN533" s="119"/>
      <c r="EO533" s="119"/>
      <c r="EP533" s="119"/>
      <c r="EQ533" s="119"/>
      <c r="ER533" s="119"/>
      <c r="ES533" s="119"/>
      <c r="ET533" s="119"/>
      <c r="EU533" s="119"/>
      <c r="EV533" s="119"/>
      <c r="EW533" s="119"/>
      <c r="EX533" s="119"/>
      <c r="EY533" s="119"/>
      <c r="EZ533" s="119"/>
      <c r="FA533" s="119"/>
      <c r="FB533" s="119"/>
      <c r="FC533" s="119"/>
      <c r="FD533" s="119"/>
      <c r="FE533" s="119"/>
      <c r="FF533" s="119"/>
      <c r="FG533" s="119"/>
      <c r="FH533" s="119"/>
      <c r="FI533" s="119"/>
      <c r="FJ533" s="119"/>
      <c r="FK533" s="119"/>
      <c r="FL533" s="119"/>
      <c r="FM533" s="119"/>
      <c r="FN533" s="119"/>
      <c r="FO533" s="119"/>
      <c r="FP533" s="119"/>
      <c r="FQ533" s="119"/>
      <c r="FR533" s="119"/>
    </row>
    <row x14ac:dyDescent="0.25" r="534" customHeight="1" ht="15">
      <c r="A534" s="112"/>
      <c r="B534" s="112"/>
      <c r="C534" s="107"/>
      <c r="D534" s="107"/>
      <c r="E534" s="120"/>
      <c r="F534" s="120"/>
      <c r="G534" s="109">
        <f>IF((F534-E534)&lt;0,0,(F534-E534))</f>
      </c>
      <c r="H534" s="110"/>
      <c r="I534" s="111">
        <f>IFERROR(SUMPRODUCT($G534*VLOOKUP($C534,'Vehicle Master'!$D:$F,3,0)),"")</f>
      </c>
      <c r="J534" s="11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  <c r="AA534" s="119"/>
      <c r="AB534" s="119"/>
      <c r="AC534" s="119"/>
      <c r="AD534" s="119"/>
      <c r="AE534" s="119"/>
      <c r="AF534" s="119"/>
      <c r="AG534" s="119"/>
      <c r="AH534" s="119"/>
      <c r="AI534" s="119"/>
      <c r="AJ534" s="119"/>
      <c r="AK534" s="119"/>
      <c r="AL534" s="119"/>
      <c r="AM534" s="119"/>
      <c r="AN534" s="119"/>
      <c r="AO534" s="119"/>
      <c r="AP534" s="119"/>
      <c r="AQ534" s="119"/>
      <c r="AR534" s="119"/>
      <c r="AS534" s="119"/>
      <c r="AT534" s="119"/>
      <c r="AU534" s="119"/>
      <c r="AV534" s="119"/>
      <c r="AW534" s="119"/>
      <c r="AX534" s="119"/>
      <c r="AY534" s="119"/>
      <c r="AZ534" s="119"/>
      <c r="BA534" s="119"/>
      <c r="BB534" s="119"/>
      <c r="BC534" s="119"/>
      <c r="BD534" s="119"/>
      <c r="BE534" s="119"/>
      <c r="BF534" s="119"/>
      <c r="BG534" s="119"/>
      <c r="BH534" s="119"/>
      <c r="BI534" s="119"/>
      <c r="BJ534" s="119"/>
      <c r="BK534" s="119"/>
      <c r="BL534" s="119"/>
      <c r="BM534" s="119"/>
      <c r="BN534" s="119"/>
      <c r="BO534" s="119"/>
      <c r="BP534" s="119"/>
      <c r="BQ534" s="119"/>
      <c r="BR534" s="119"/>
      <c r="BS534" s="119"/>
      <c r="BT534" s="119"/>
      <c r="BU534" s="119"/>
      <c r="BV534" s="119"/>
      <c r="BW534" s="119"/>
      <c r="BX534" s="119"/>
      <c r="BY534" s="119"/>
      <c r="BZ534" s="119"/>
      <c r="CA534" s="119"/>
      <c r="CB534" s="119"/>
      <c r="CC534" s="119"/>
      <c r="CD534" s="119"/>
      <c r="CE534" s="119"/>
      <c r="CF534" s="119"/>
      <c r="CG534" s="119"/>
      <c r="CH534" s="119"/>
      <c r="CI534" s="119"/>
      <c r="CJ534" s="119"/>
      <c r="CK534" s="119"/>
      <c r="CL534" s="119"/>
      <c r="CM534" s="119"/>
      <c r="CN534" s="119"/>
      <c r="CO534" s="119"/>
      <c r="CP534" s="119"/>
      <c r="CQ534" s="119"/>
      <c r="CR534" s="119"/>
      <c r="CS534" s="119"/>
      <c r="CT534" s="119"/>
      <c r="CU534" s="119"/>
      <c r="CV534" s="119"/>
      <c r="CW534" s="119"/>
      <c r="CX534" s="119"/>
      <c r="CY534" s="119"/>
      <c r="CZ534" s="119"/>
      <c r="DA534" s="119"/>
      <c r="DB534" s="119"/>
      <c r="DC534" s="119"/>
      <c r="DD534" s="119"/>
      <c r="DE534" s="119"/>
      <c r="DF534" s="119"/>
      <c r="DG534" s="119"/>
      <c r="DH534" s="119"/>
      <c r="DI534" s="119"/>
      <c r="DJ534" s="119"/>
      <c r="DK534" s="119"/>
      <c r="DL534" s="119"/>
      <c r="DM534" s="119"/>
      <c r="DN534" s="119"/>
      <c r="DO534" s="119"/>
      <c r="DP534" s="119"/>
      <c r="DQ534" s="119"/>
      <c r="DR534" s="119"/>
      <c r="DS534" s="119"/>
      <c r="DT534" s="119"/>
      <c r="DU534" s="119"/>
      <c r="DV534" s="119"/>
      <c r="DW534" s="119"/>
      <c r="DX534" s="119"/>
      <c r="DY534" s="119"/>
      <c r="DZ534" s="119"/>
      <c r="EA534" s="119"/>
      <c r="EB534" s="119"/>
      <c r="EC534" s="119"/>
      <c r="ED534" s="119"/>
      <c r="EE534" s="119"/>
      <c r="EF534" s="119"/>
      <c r="EG534" s="119"/>
      <c r="EH534" s="119"/>
      <c r="EI534" s="119"/>
      <c r="EJ534" s="119"/>
      <c r="EK534" s="119"/>
      <c r="EL534" s="119"/>
      <c r="EM534" s="119"/>
      <c r="EN534" s="119"/>
      <c r="EO534" s="119"/>
      <c r="EP534" s="119"/>
      <c r="EQ534" s="119"/>
      <c r="ER534" s="119"/>
      <c r="ES534" s="119"/>
      <c r="ET534" s="119"/>
      <c r="EU534" s="119"/>
      <c r="EV534" s="119"/>
      <c r="EW534" s="119"/>
      <c r="EX534" s="119"/>
      <c r="EY534" s="119"/>
      <c r="EZ534" s="119"/>
      <c r="FA534" s="119"/>
      <c r="FB534" s="119"/>
      <c r="FC534" s="119"/>
      <c r="FD534" s="119"/>
      <c r="FE534" s="119"/>
      <c r="FF534" s="119"/>
      <c r="FG534" s="119"/>
      <c r="FH534" s="119"/>
      <c r="FI534" s="119"/>
      <c r="FJ534" s="119"/>
      <c r="FK534" s="119"/>
      <c r="FL534" s="119"/>
      <c r="FM534" s="119"/>
      <c r="FN534" s="119"/>
      <c r="FO534" s="119"/>
      <c r="FP534" s="119"/>
      <c r="FQ534" s="119"/>
      <c r="FR534" s="119"/>
    </row>
    <row x14ac:dyDescent="0.25" r="535" customHeight="1" ht="15">
      <c r="A535" s="121"/>
      <c r="B535" s="121"/>
      <c r="C535" s="122"/>
      <c r="D535" s="122"/>
      <c r="E535" s="123"/>
      <c r="F535" s="123"/>
      <c r="G535" s="124"/>
      <c r="H535" s="125"/>
      <c r="I535" s="126"/>
      <c r="J535" s="127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  <c r="AA535" s="119"/>
      <c r="AB535" s="119"/>
      <c r="AC535" s="119"/>
      <c r="AD535" s="119"/>
      <c r="AE535" s="119"/>
      <c r="AF535" s="119"/>
      <c r="AG535" s="119"/>
      <c r="AH535" s="119"/>
      <c r="AI535" s="119"/>
      <c r="AJ535" s="119"/>
      <c r="AK535" s="119"/>
      <c r="AL535" s="119"/>
      <c r="AM535" s="119"/>
      <c r="AN535" s="119"/>
      <c r="AO535" s="119"/>
      <c r="AP535" s="119"/>
      <c r="AQ535" s="119"/>
      <c r="AR535" s="119"/>
      <c r="AS535" s="119"/>
      <c r="AT535" s="119"/>
      <c r="AU535" s="119"/>
      <c r="AV535" s="119"/>
      <c r="AW535" s="119"/>
      <c r="AX535" s="119"/>
      <c r="AY535" s="119"/>
      <c r="AZ535" s="119"/>
      <c r="BA535" s="119"/>
      <c r="BB535" s="119"/>
      <c r="BC535" s="119"/>
      <c r="BD535" s="119"/>
      <c r="BE535" s="119"/>
      <c r="BF535" s="119"/>
      <c r="BG535" s="119"/>
      <c r="BH535" s="119"/>
      <c r="BI535" s="119"/>
      <c r="BJ535" s="119"/>
      <c r="BK535" s="119"/>
      <c r="BL535" s="119"/>
      <c r="BM535" s="119"/>
      <c r="BN535" s="119"/>
      <c r="BO535" s="119"/>
      <c r="BP535" s="119"/>
      <c r="BQ535" s="119"/>
      <c r="BR535" s="119"/>
      <c r="BS535" s="119"/>
      <c r="BT535" s="119"/>
      <c r="BU535" s="119"/>
      <c r="BV535" s="119"/>
      <c r="BW535" s="119"/>
      <c r="BX535" s="119"/>
      <c r="BY535" s="119"/>
      <c r="BZ535" s="119"/>
      <c r="CA535" s="119"/>
      <c r="CB535" s="119"/>
      <c r="CC535" s="119"/>
      <c r="CD535" s="119"/>
      <c r="CE535" s="119"/>
      <c r="CF535" s="119"/>
      <c r="CG535" s="119"/>
      <c r="CH535" s="119"/>
      <c r="CI535" s="119"/>
      <c r="CJ535" s="119"/>
      <c r="CK535" s="119"/>
      <c r="CL535" s="119"/>
      <c r="CM535" s="119"/>
      <c r="CN535" s="119"/>
      <c r="CO535" s="119"/>
      <c r="CP535" s="119"/>
      <c r="CQ535" s="119"/>
      <c r="CR535" s="119"/>
      <c r="CS535" s="119"/>
      <c r="CT535" s="119"/>
      <c r="CU535" s="119"/>
      <c r="CV535" s="119"/>
      <c r="CW535" s="119"/>
      <c r="CX535" s="119"/>
      <c r="CY535" s="119"/>
      <c r="CZ535" s="119"/>
      <c r="DA535" s="119"/>
      <c r="DB535" s="119"/>
      <c r="DC535" s="119"/>
      <c r="DD535" s="119"/>
      <c r="DE535" s="119"/>
      <c r="DF535" s="119"/>
      <c r="DG535" s="119"/>
      <c r="DH535" s="119"/>
      <c r="DI535" s="119"/>
      <c r="DJ535" s="119"/>
      <c r="DK535" s="119"/>
      <c r="DL535" s="119"/>
      <c r="DM535" s="119"/>
      <c r="DN535" s="119"/>
      <c r="DO535" s="119"/>
      <c r="DP535" s="119"/>
      <c r="DQ535" s="119"/>
      <c r="DR535" s="119"/>
      <c r="DS535" s="119"/>
      <c r="DT535" s="119"/>
      <c r="DU535" s="119"/>
      <c r="DV535" s="119"/>
      <c r="DW535" s="119"/>
      <c r="DX535" s="119"/>
      <c r="DY535" s="119"/>
      <c r="DZ535" s="119"/>
      <c r="EA535" s="119"/>
      <c r="EB535" s="119"/>
      <c r="EC535" s="119"/>
      <c r="ED535" s="119"/>
      <c r="EE535" s="119"/>
      <c r="EF535" s="119"/>
      <c r="EG535" s="119"/>
      <c r="EH535" s="119"/>
      <c r="EI535" s="119"/>
      <c r="EJ535" s="119"/>
      <c r="EK535" s="119"/>
      <c r="EL535" s="119"/>
      <c r="EM535" s="119"/>
      <c r="EN535" s="119"/>
      <c r="EO535" s="119"/>
      <c r="EP535" s="119"/>
      <c r="EQ535" s="119"/>
      <c r="ER535" s="119"/>
      <c r="ES535" s="119"/>
      <c r="ET535" s="119"/>
      <c r="EU535" s="119"/>
      <c r="EV535" s="119"/>
      <c r="EW535" s="119"/>
      <c r="EX535" s="119"/>
      <c r="EY535" s="119"/>
      <c r="EZ535" s="119"/>
      <c r="FA535" s="119"/>
      <c r="FB535" s="119"/>
      <c r="FC535" s="119"/>
      <c r="FD535" s="119"/>
      <c r="FE535" s="119"/>
      <c r="FF535" s="119"/>
      <c r="FG535" s="119"/>
      <c r="FH535" s="119"/>
      <c r="FI535" s="119"/>
      <c r="FJ535" s="119"/>
      <c r="FK535" s="119"/>
      <c r="FL535" s="119"/>
      <c r="FM535" s="119"/>
      <c r="FN535" s="119"/>
      <c r="FO535" s="119"/>
      <c r="FP535" s="119"/>
      <c r="FQ535" s="119"/>
      <c r="FR535" s="119"/>
    </row>
    <row x14ac:dyDescent="0.25" r="536" customHeight="1" ht="15">
      <c r="A536" s="121"/>
      <c r="B536" s="121"/>
      <c r="C536" s="122"/>
      <c r="D536" s="122"/>
      <c r="E536" s="123"/>
      <c r="F536" s="123"/>
      <c r="G536" s="124"/>
      <c r="H536" s="125"/>
      <c r="I536" s="126"/>
      <c r="J536" s="127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  <c r="AA536" s="119"/>
      <c r="AB536" s="119"/>
      <c r="AC536" s="119"/>
      <c r="AD536" s="119"/>
      <c r="AE536" s="119"/>
      <c r="AF536" s="119"/>
      <c r="AG536" s="119"/>
      <c r="AH536" s="119"/>
      <c r="AI536" s="119"/>
      <c r="AJ536" s="119"/>
      <c r="AK536" s="119"/>
      <c r="AL536" s="119"/>
      <c r="AM536" s="119"/>
      <c r="AN536" s="119"/>
      <c r="AO536" s="119"/>
      <c r="AP536" s="119"/>
      <c r="AQ536" s="119"/>
      <c r="AR536" s="119"/>
      <c r="AS536" s="119"/>
      <c r="AT536" s="119"/>
      <c r="AU536" s="119"/>
      <c r="AV536" s="119"/>
      <c r="AW536" s="119"/>
      <c r="AX536" s="119"/>
      <c r="AY536" s="119"/>
      <c r="AZ536" s="119"/>
      <c r="BA536" s="119"/>
      <c r="BB536" s="119"/>
      <c r="BC536" s="119"/>
      <c r="BD536" s="119"/>
      <c r="BE536" s="119"/>
      <c r="BF536" s="119"/>
      <c r="BG536" s="119"/>
      <c r="BH536" s="119"/>
      <c r="BI536" s="119"/>
      <c r="BJ536" s="119"/>
      <c r="BK536" s="119"/>
      <c r="BL536" s="119"/>
      <c r="BM536" s="119"/>
      <c r="BN536" s="119"/>
      <c r="BO536" s="119"/>
      <c r="BP536" s="119"/>
      <c r="BQ536" s="119"/>
      <c r="BR536" s="119"/>
      <c r="BS536" s="119"/>
      <c r="BT536" s="119"/>
      <c r="BU536" s="119"/>
      <c r="BV536" s="119"/>
      <c r="BW536" s="119"/>
      <c r="BX536" s="119"/>
      <c r="BY536" s="119"/>
      <c r="BZ536" s="119"/>
      <c r="CA536" s="119"/>
      <c r="CB536" s="119"/>
      <c r="CC536" s="119"/>
      <c r="CD536" s="119"/>
      <c r="CE536" s="119"/>
      <c r="CF536" s="119"/>
      <c r="CG536" s="119"/>
      <c r="CH536" s="119"/>
      <c r="CI536" s="119"/>
      <c r="CJ536" s="119"/>
      <c r="CK536" s="119"/>
      <c r="CL536" s="119"/>
      <c r="CM536" s="119"/>
      <c r="CN536" s="119"/>
      <c r="CO536" s="119"/>
      <c r="CP536" s="119"/>
      <c r="CQ536" s="119"/>
      <c r="CR536" s="119"/>
      <c r="CS536" s="119"/>
      <c r="CT536" s="119"/>
      <c r="CU536" s="119"/>
      <c r="CV536" s="119"/>
      <c r="CW536" s="119"/>
      <c r="CX536" s="119"/>
      <c r="CY536" s="119"/>
      <c r="CZ536" s="119"/>
      <c r="DA536" s="119"/>
      <c r="DB536" s="119"/>
      <c r="DC536" s="119"/>
      <c r="DD536" s="119"/>
      <c r="DE536" s="119"/>
      <c r="DF536" s="119"/>
      <c r="DG536" s="119"/>
      <c r="DH536" s="119"/>
      <c r="DI536" s="119"/>
      <c r="DJ536" s="119"/>
      <c r="DK536" s="119"/>
      <c r="DL536" s="119"/>
      <c r="DM536" s="119"/>
      <c r="DN536" s="119"/>
      <c r="DO536" s="119"/>
      <c r="DP536" s="119"/>
      <c r="DQ536" s="119"/>
      <c r="DR536" s="119"/>
      <c r="DS536" s="119"/>
      <c r="DT536" s="119"/>
      <c r="DU536" s="119"/>
      <c r="DV536" s="119"/>
      <c r="DW536" s="119"/>
      <c r="DX536" s="119"/>
      <c r="DY536" s="119"/>
      <c r="DZ536" s="119"/>
      <c r="EA536" s="119"/>
      <c r="EB536" s="119"/>
      <c r="EC536" s="119"/>
      <c r="ED536" s="119"/>
      <c r="EE536" s="119"/>
      <c r="EF536" s="119"/>
      <c r="EG536" s="119"/>
      <c r="EH536" s="119"/>
      <c r="EI536" s="119"/>
      <c r="EJ536" s="119"/>
      <c r="EK536" s="119"/>
      <c r="EL536" s="119"/>
      <c r="EM536" s="119"/>
      <c r="EN536" s="119"/>
      <c r="EO536" s="119"/>
      <c r="EP536" s="119"/>
      <c r="EQ536" s="119"/>
      <c r="ER536" s="119"/>
      <c r="ES536" s="119"/>
      <c r="ET536" s="119"/>
      <c r="EU536" s="119"/>
      <c r="EV536" s="119"/>
      <c r="EW536" s="119"/>
      <c r="EX536" s="119"/>
      <c r="EY536" s="119"/>
      <c r="EZ536" s="119"/>
      <c r="FA536" s="119"/>
      <c r="FB536" s="119"/>
      <c r="FC536" s="119"/>
      <c r="FD536" s="119"/>
      <c r="FE536" s="119"/>
      <c r="FF536" s="119"/>
      <c r="FG536" s="119"/>
      <c r="FH536" s="119"/>
      <c r="FI536" s="119"/>
      <c r="FJ536" s="119"/>
      <c r="FK536" s="119"/>
      <c r="FL536" s="119"/>
      <c r="FM536" s="119"/>
      <c r="FN536" s="119"/>
      <c r="FO536" s="119"/>
      <c r="FP536" s="119"/>
      <c r="FQ536" s="119"/>
      <c r="FR536" s="119"/>
    </row>
    <row x14ac:dyDescent="0.25" r="537" customHeight="1" ht="15">
      <c r="A537" s="121"/>
      <c r="B537" s="121"/>
      <c r="C537" s="122"/>
      <c r="D537" s="122"/>
      <c r="E537" s="123"/>
      <c r="F537" s="123"/>
      <c r="G537" s="124"/>
      <c r="H537" s="125"/>
      <c r="I537" s="126"/>
      <c r="J537" s="127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  <c r="AB537" s="119"/>
      <c r="AC537" s="119"/>
      <c r="AD537" s="119"/>
      <c r="AE537" s="119"/>
      <c r="AF537" s="119"/>
      <c r="AG537" s="119"/>
      <c r="AH537" s="119"/>
      <c r="AI537" s="119"/>
      <c r="AJ537" s="119"/>
      <c r="AK537" s="119"/>
      <c r="AL537" s="119"/>
      <c r="AM537" s="119"/>
      <c r="AN537" s="119"/>
      <c r="AO537" s="119"/>
      <c r="AP537" s="119"/>
      <c r="AQ537" s="119"/>
      <c r="AR537" s="119"/>
      <c r="AS537" s="119"/>
      <c r="AT537" s="119"/>
      <c r="AU537" s="119"/>
      <c r="AV537" s="119"/>
      <c r="AW537" s="119"/>
      <c r="AX537" s="119"/>
      <c r="AY537" s="119"/>
      <c r="AZ537" s="119"/>
      <c r="BA537" s="119"/>
      <c r="BB537" s="119"/>
      <c r="BC537" s="119"/>
      <c r="BD537" s="119"/>
      <c r="BE537" s="119"/>
      <c r="BF537" s="119"/>
      <c r="BG537" s="119"/>
      <c r="BH537" s="119"/>
      <c r="BI537" s="119"/>
      <c r="BJ537" s="119"/>
      <c r="BK537" s="119"/>
      <c r="BL537" s="119"/>
      <c r="BM537" s="119"/>
      <c r="BN537" s="119"/>
      <c r="BO537" s="119"/>
      <c r="BP537" s="119"/>
      <c r="BQ537" s="119"/>
      <c r="BR537" s="119"/>
      <c r="BS537" s="119"/>
      <c r="BT537" s="119"/>
      <c r="BU537" s="119"/>
      <c r="BV537" s="119"/>
      <c r="BW537" s="119"/>
      <c r="BX537" s="119"/>
      <c r="BY537" s="119"/>
      <c r="BZ537" s="119"/>
      <c r="CA537" s="119"/>
      <c r="CB537" s="119"/>
      <c r="CC537" s="119"/>
      <c r="CD537" s="119"/>
      <c r="CE537" s="119"/>
      <c r="CF537" s="119"/>
      <c r="CG537" s="119"/>
      <c r="CH537" s="119"/>
      <c r="CI537" s="119"/>
      <c r="CJ537" s="119"/>
      <c r="CK537" s="119"/>
      <c r="CL537" s="119"/>
      <c r="CM537" s="119"/>
      <c r="CN537" s="119"/>
      <c r="CO537" s="119"/>
      <c r="CP537" s="119"/>
      <c r="CQ537" s="119"/>
      <c r="CR537" s="119"/>
      <c r="CS537" s="119"/>
      <c r="CT537" s="119"/>
      <c r="CU537" s="119"/>
      <c r="CV537" s="119"/>
      <c r="CW537" s="119"/>
      <c r="CX537" s="119"/>
      <c r="CY537" s="119"/>
      <c r="CZ537" s="119"/>
      <c r="DA537" s="119"/>
      <c r="DB537" s="119"/>
      <c r="DC537" s="119"/>
      <c r="DD537" s="119"/>
      <c r="DE537" s="119"/>
      <c r="DF537" s="119"/>
      <c r="DG537" s="119"/>
      <c r="DH537" s="119"/>
      <c r="DI537" s="119"/>
      <c r="DJ537" s="119"/>
      <c r="DK537" s="119"/>
      <c r="DL537" s="119"/>
      <c r="DM537" s="119"/>
      <c r="DN537" s="119"/>
      <c r="DO537" s="119"/>
      <c r="DP537" s="119"/>
      <c r="DQ537" s="119"/>
      <c r="DR537" s="119"/>
      <c r="DS537" s="119"/>
      <c r="DT537" s="119"/>
      <c r="DU537" s="119"/>
      <c r="DV537" s="119"/>
      <c r="DW537" s="119"/>
      <c r="DX537" s="119"/>
      <c r="DY537" s="119"/>
      <c r="DZ537" s="119"/>
      <c r="EA537" s="119"/>
      <c r="EB537" s="119"/>
      <c r="EC537" s="119"/>
      <c r="ED537" s="119"/>
      <c r="EE537" s="119"/>
      <c r="EF537" s="119"/>
      <c r="EG537" s="119"/>
      <c r="EH537" s="119"/>
      <c r="EI537" s="119"/>
      <c r="EJ537" s="119"/>
      <c r="EK537" s="119"/>
      <c r="EL537" s="119"/>
      <c r="EM537" s="119"/>
      <c r="EN537" s="119"/>
      <c r="EO537" s="119"/>
      <c r="EP537" s="119"/>
      <c r="EQ537" s="119"/>
      <c r="ER537" s="119"/>
      <c r="ES537" s="119"/>
      <c r="ET537" s="119"/>
      <c r="EU537" s="119"/>
      <c r="EV537" s="119"/>
      <c r="EW537" s="119"/>
      <c r="EX537" s="119"/>
      <c r="EY537" s="119"/>
      <c r="EZ537" s="119"/>
      <c r="FA537" s="119"/>
      <c r="FB537" s="119"/>
      <c r="FC537" s="119"/>
      <c r="FD537" s="119"/>
      <c r="FE537" s="119"/>
      <c r="FF537" s="119"/>
      <c r="FG537" s="119"/>
      <c r="FH537" s="119"/>
      <c r="FI537" s="119"/>
      <c r="FJ537" s="119"/>
      <c r="FK537" s="119"/>
      <c r="FL537" s="119"/>
      <c r="FM537" s="119"/>
      <c r="FN537" s="119"/>
      <c r="FO537" s="119"/>
      <c r="FP537" s="119"/>
      <c r="FQ537" s="119"/>
      <c r="FR537" s="119"/>
    </row>
    <row x14ac:dyDescent="0.25" r="538" customHeight="1" ht="15">
      <c r="A538" s="121"/>
      <c r="B538" s="121"/>
      <c r="C538" s="122"/>
      <c r="D538" s="122"/>
      <c r="E538" s="123"/>
      <c r="F538" s="123"/>
      <c r="G538" s="124"/>
      <c r="H538" s="125"/>
      <c r="I538" s="126"/>
      <c r="J538" s="127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  <c r="AA538" s="119"/>
      <c r="AB538" s="119"/>
      <c r="AC538" s="119"/>
      <c r="AD538" s="119"/>
      <c r="AE538" s="119"/>
      <c r="AF538" s="119"/>
      <c r="AG538" s="119"/>
      <c r="AH538" s="119"/>
      <c r="AI538" s="119"/>
      <c r="AJ538" s="119"/>
      <c r="AK538" s="119"/>
      <c r="AL538" s="119"/>
      <c r="AM538" s="119"/>
      <c r="AN538" s="119"/>
      <c r="AO538" s="119"/>
      <c r="AP538" s="119"/>
      <c r="AQ538" s="119"/>
      <c r="AR538" s="119"/>
      <c r="AS538" s="119"/>
      <c r="AT538" s="119"/>
      <c r="AU538" s="119"/>
      <c r="AV538" s="119"/>
      <c r="AW538" s="119"/>
      <c r="AX538" s="119"/>
      <c r="AY538" s="119"/>
      <c r="AZ538" s="119"/>
      <c r="BA538" s="119"/>
      <c r="BB538" s="119"/>
      <c r="BC538" s="119"/>
      <c r="BD538" s="119"/>
      <c r="BE538" s="119"/>
      <c r="BF538" s="119"/>
      <c r="BG538" s="119"/>
      <c r="BH538" s="119"/>
      <c r="BI538" s="119"/>
      <c r="BJ538" s="119"/>
      <c r="BK538" s="119"/>
      <c r="BL538" s="119"/>
      <c r="BM538" s="119"/>
      <c r="BN538" s="119"/>
      <c r="BO538" s="119"/>
      <c r="BP538" s="119"/>
      <c r="BQ538" s="119"/>
      <c r="BR538" s="119"/>
      <c r="BS538" s="119"/>
      <c r="BT538" s="119"/>
      <c r="BU538" s="119"/>
      <c r="BV538" s="119"/>
      <c r="BW538" s="119"/>
      <c r="BX538" s="119"/>
      <c r="BY538" s="119"/>
      <c r="BZ538" s="119"/>
      <c r="CA538" s="119"/>
      <c r="CB538" s="119"/>
      <c r="CC538" s="119"/>
      <c r="CD538" s="119"/>
      <c r="CE538" s="119"/>
      <c r="CF538" s="119"/>
      <c r="CG538" s="119"/>
      <c r="CH538" s="119"/>
      <c r="CI538" s="119"/>
      <c r="CJ538" s="119"/>
      <c r="CK538" s="119"/>
      <c r="CL538" s="119"/>
      <c r="CM538" s="119"/>
      <c r="CN538" s="119"/>
      <c r="CO538" s="119"/>
      <c r="CP538" s="119"/>
      <c r="CQ538" s="119"/>
      <c r="CR538" s="119"/>
      <c r="CS538" s="119"/>
      <c r="CT538" s="119"/>
      <c r="CU538" s="119"/>
      <c r="CV538" s="119"/>
      <c r="CW538" s="119"/>
      <c r="CX538" s="119"/>
      <c r="CY538" s="119"/>
      <c r="CZ538" s="119"/>
      <c r="DA538" s="119"/>
      <c r="DB538" s="119"/>
      <c r="DC538" s="119"/>
      <c r="DD538" s="119"/>
      <c r="DE538" s="119"/>
      <c r="DF538" s="119"/>
      <c r="DG538" s="119"/>
      <c r="DH538" s="119"/>
      <c r="DI538" s="119"/>
      <c r="DJ538" s="119"/>
      <c r="DK538" s="119"/>
      <c r="DL538" s="119"/>
      <c r="DM538" s="119"/>
      <c r="DN538" s="119"/>
      <c r="DO538" s="119"/>
      <c r="DP538" s="119"/>
      <c r="DQ538" s="119"/>
      <c r="DR538" s="119"/>
      <c r="DS538" s="119"/>
      <c r="DT538" s="119"/>
      <c r="DU538" s="119"/>
      <c r="DV538" s="119"/>
      <c r="DW538" s="119"/>
      <c r="DX538" s="119"/>
      <c r="DY538" s="119"/>
      <c r="DZ538" s="119"/>
      <c r="EA538" s="119"/>
      <c r="EB538" s="119"/>
      <c r="EC538" s="119"/>
      <c r="ED538" s="119"/>
      <c r="EE538" s="119"/>
      <c r="EF538" s="119"/>
      <c r="EG538" s="119"/>
      <c r="EH538" s="119"/>
      <c r="EI538" s="119"/>
      <c r="EJ538" s="119"/>
      <c r="EK538" s="119"/>
      <c r="EL538" s="119"/>
      <c r="EM538" s="119"/>
      <c r="EN538" s="119"/>
      <c r="EO538" s="119"/>
      <c r="EP538" s="119"/>
      <c r="EQ538" s="119"/>
      <c r="ER538" s="119"/>
      <c r="ES538" s="119"/>
      <c r="ET538" s="119"/>
      <c r="EU538" s="119"/>
      <c r="EV538" s="119"/>
      <c r="EW538" s="119"/>
      <c r="EX538" s="119"/>
      <c r="EY538" s="119"/>
      <c r="EZ538" s="119"/>
      <c r="FA538" s="119"/>
      <c r="FB538" s="119"/>
      <c r="FC538" s="119"/>
      <c r="FD538" s="119"/>
      <c r="FE538" s="119"/>
      <c r="FF538" s="119"/>
      <c r="FG538" s="119"/>
      <c r="FH538" s="119"/>
      <c r="FI538" s="119"/>
      <c r="FJ538" s="119"/>
      <c r="FK538" s="119"/>
      <c r="FL538" s="119"/>
      <c r="FM538" s="119"/>
      <c r="FN538" s="119"/>
      <c r="FO538" s="119"/>
      <c r="FP538" s="119"/>
      <c r="FQ538" s="119"/>
      <c r="FR538" s="119"/>
    </row>
    <row x14ac:dyDescent="0.25" r="539" customHeight="1" ht="15">
      <c r="A539" s="121"/>
      <c r="B539" s="121"/>
      <c r="C539" s="122"/>
      <c r="D539" s="122"/>
      <c r="E539" s="123"/>
      <c r="F539" s="123"/>
      <c r="G539" s="124"/>
      <c r="H539" s="125"/>
      <c r="I539" s="126"/>
      <c r="J539" s="127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  <c r="AA539" s="119"/>
      <c r="AB539" s="119"/>
      <c r="AC539" s="119"/>
      <c r="AD539" s="119"/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/>
      <c r="AP539" s="119"/>
      <c r="AQ539" s="119"/>
      <c r="AR539" s="119"/>
      <c r="AS539" s="119"/>
      <c r="AT539" s="119"/>
      <c r="AU539" s="119"/>
      <c r="AV539" s="119"/>
      <c r="AW539" s="119"/>
      <c r="AX539" s="119"/>
      <c r="AY539" s="119"/>
      <c r="AZ539" s="119"/>
      <c r="BA539" s="119"/>
      <c r="BB539" s="119"/>
      <c r="BC539" s="119"/>
      <c r="BD539" s="119"/>
      <c r="BE539" s="119"/>
      <c r="BF539" s="119"/>
      <c r="BG539" s="119"/>
      <c r="BH539" s="119"/>
      <c r="BI539" s="119"/>
      <c r="BJ539" s="119"/>
      <c r="BK539" s="119"/>
      <c r="BL539" s="119"/>
      <c r="BM539" s="119"/>
      <c r="BN539" s="119"/>
      <c r="BO539" s="119"/>
      <c r="BP539" s="119"/>
      <c r="BQ539" s="119"/>
      <c r="BR539" s="119"/>
      <c r="BS539" s="119"/>
      <c r="BT539" s="119"/>
      <c r="BU539" s="119"/>
      <c r="BV539" s="119"/>
      <c r="BW539" s="119"/>
      <c r="BX539" s="119"/>
      <c r="BY539" s="119"/>
      <c r="BZ539" s="119"/>
      <c r="CA539" s="119"/>
      <c r="CB539" s="119"/>
      <c r="CC539" s="119"/>
      <c r="CD539" s="119"/>
      <c r="CE539" s="119"/>
      <c r="CF539" s="119"/>
      <c r="CG539" s="119"/>
      <c r="CH539" s="119"/>
      <c r="CI539" s="119"/>
      <c r="CJ539" s="119"/>
      <c r="CK539" s="119"/>
      <c r="CL539" s="119"/>
      <c r="CM539" s="119"/>
      <c r="CN539" s="119"/>
      <c r="CO539" s="119"/>
      <c r="CP539" s="119"/>
      <c r="CQ539" s="119"/>
      <c r="CR539" s="119"/>
      <c r="CS539" s="119"/>
      <c r="CT539" s="119"/>
      <c r="CU539" s="119"/>
      <c r="CV539" s="119"/>
      <c r="CW539" s="119"/>
      <c r="CX539" s="119"/>
      <c r="CY539" s="119"/>
      <c r="CZ539" s="119"/>
      <c r="DA539" s="119"/>
      <c r="DB539" s="119"/>
      <c r="DC539" s="119"/>
      <c r="DD539" s="119"/>
      <c r="DE539" s="119"/>
      <c r="DF539" s="119"/>
      <c r="DG539" s="119"/>
      <c r="DH539" s="119"/>
      <c r="DI539" s="119"/>
      <c r="DJ539" s="119"/>
      <c r="DK539" s="119"/>
      <c r="DL539" s="119"/>
      <c r="DM539" s="119"/>
      <c r="DN539" s="119"/>
      <c r="DO539" s="119"/>
      <c r="DP539" s="119"/>
      <c r="DQ539" s="119"/>
      <c r="DR539" s="119"/>
      <c r="DS539" s="119"/>
      <c r="DT539" s="119"/>
      <c r="DU539" s="119"/>
      <c r="DV539" s="119"/>
      <c r="DW539" s="119"/>
      <c r="DX539" s="119"/>
      <c r="DY539" s="119"/>
      <c r="DZ539" s="119"/>
      <c r="EA539" s="119"/>
      <c r="EB539" s="119"/>
      <c r="EC539" s="119"/>
      <c r="ED539" s="119"/>
      <c r="EE539" s="119"/>
      <c r="EF539" s="119"/>
      <c r="EG539" s="119"/>
      <c r="EH539" s="119"/>
      <c r="EI539" s="119"/>
      <c r="EJ539" s="119"/>
      <c r="EK539" s="119"/>
      <c r="EL539" s="119"/>
      <c r="EM539" s="119"/>
      <c r="EN539" s="119"/>
      <c r="EO539" s="119"/>
      <c r="EP539" s="119"/>
      <c r="EQ539" s="119"/>
      <c r="ER539" s="119"/>
      <c r="ES539" s="119"/>
      <c r="ET539" s="119"/>
      <c r="EU539" s="119"/>
      <c r="EV539" s="119"/>
      <c r="EW539" s="119"/>
      <c r="EX539" s="119"/>
      <c r="EY539" s="119"/>
      <c r="EZ539" s="119"/>
      <c r="FA539" s="119"/>
      <c r="FB539" s="119"/>
      <c r="FC539" s="119"/>
      <c r="FD539" s="119"/>
      <c r="FE539" s="119"/>
      <c r="FF539" s="119"/>
      <c r="FG539" s="119"/>
      <c r="FH539" s="119"/>
      <c r="FI539" s="119"/>
      <c r="FJ539" s="119"/>
      <c r="FK539" s="119"/>
      <c r="FL539" s="119"/>
      <c r="FM539" s="119"/>
      <c r="FN539" s="119"/>
      <c r="FO539" s="119"/>
      <c r="FP539" s="119"/>
      <c r="FQ539" s="119"/>
      <c r="FR539" s="119"/>
    </row>
    <row x14ac:dyDescent="0.25" r="540" customHeight="1" ht="15">
      <c r="A540" s="121"/>
      <c r="B540" s="121"/>
      <c r="C540" s="122"/>
      <c r="D540" s="122"/>
      <c r="E540" s="123"/>
      <c r="F540" s="123"/>
      <c r="G540" s="124"/>
      <c r="H540" s="125"/>
      <c r="I540" s="126"/>
      <c r="J540" s="127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  <c r="AA540" s="119"/>
      <c r="AB540" s="119"/>
      <c r="AC540" s="119"/>
      <c r="AD540" s="119"/>
      <c r="AE540" s="119"/>
      <c r="AF540" s="119"/>
      <c r="AG540" s="119"/>
      <c r="AH540" s="119"/>
      <c r="AI540" s="119"/>
      <c r="AJ540" s="119"/>
      <c r="AK540" s="119"/>
      <c r="AL540" s="119"/>
      <c r="AM540" s="119"/>
      <c r="AN540" s="119"/>
      <c r="AO540" s="119"/>
      <c r="AP540" s="119"/>
      <c r="AQ540" s="119"/>
      <c r="AR540" s="119"/>
      <c r="AS540" s="119"/>
      <c r="AT540" s="119"/>
      <c r="AU540" s="119"/>
      <c r="AV540" s="119"/>
      <c r="AW540" s="119"/>
      <c r="AX540" s="119"/>
      <c r="AY540" s="119"/>
      <c r="AZ540" s="119"/>
      <c r="BA540" s="119"/>
      <c r="BB540" s="119"/>
      <c r="BC540" s="119"/>
      <c r="BD540" s="119"/>
      <c r="BE540" s="119"/>
      <c r="BF540" s="119"/>
      <c r="BG540" s="119"/>
      <c r="BH540" s="119"/>
      <c r="BI540" s="119"/>
      <c r="BJ540" s="119"/>
      <c r="BK540" s="119"/>
      <c r="BL540" s="119"/>
      <c r="BM540" s="119"/>
      <c r="BN540" s="119"/>
      <c r="BO540" s="119"/>
      <c r="BP540" s="119"/>
      <c r="BQ540" s="119"/>
      <c r="BR540" s="119"/>
      <c r="BS540" s="119"/>
      <c r="BT540" s="119"/>
      <c r="BU540" s="119"/>
      <c r="BV540" s="119"/>
      <c r="BW540" s="119"/>
      <c r="BX540" s="119"/>
      <c r="BY540" s="119"/>
      <c r="BZ540" s="119"/>
      <c r="CA540" s="119"/>
      <c r="CB540" s="119"/>
      <c r="CC540" s="119"/>
      <c r="CD540" s="119"/>
      <c r="CE540" s="119"/>
      <c r="CF540" s="119"/>
      <c r="CG540" s="119"/>
      <c r="CH540" s="119"/>
      <c r="CI540" s="119"/>
      <c r="CJ540" s="119"/>
      <c r="CK540" s="119"/>
      <c r="CL540" s="119"/>
      <c r="CM540" s="119"/>
      <c r="CN540" s="119"/>
      <c r="CO540" s="119"/>
      <c r="CP540" s="119"/>
      <c r="CQ540" s="119"/>
      <c r="CR540" s="119"/>
      <c r="CS540" s="119"/>
      <c r="CT540" s="119"/>
      <c r="CU540" s="119"/>
      <c r="CV540" s="119"/>
      <c r="CW540" s="119"/>
      <c r="CX540" s="119"/>
      <c r="CY540" s="119"/>
      <c r="CZ540" s="119"/>
      <c r="DA540" s="119"/>
      <c r="DB540" s="119"/>
      <c r="DC540" s="119"/>
      <c r="DD540" s="119"/>
      <c r="DE540" s="119"/>
      <c r="DF540" s="119"/>
      <c r="DG540" s="119"/>
      <c r="DH540" s="119"/>
      <c r="DI540" s="119"/>
      <c r="DJ540" s="119"/>
      <c r="DK540" s="119"/>
      <c r="DL540" s="119"/>
      <c r="DM540" s="119"/>
      <c r="DN540" s="119"/>
      <c r="DO540" s="119"/>
      <c r="DP540" s="119"/>
      <c r="DQ540" s="119"/>
      <c r="DR540" s="119"/>
      <c r="DS540" s="119"/>
      <c r="DT540" s="119"/>
      <c r="DU540" s="119"/>
      <c r="DV540" s="119"/>
      <c r="DW540" s="119"/>
      <c r="DX540" s="119"/>
      <c r="DY540" s="119"/>
      <c r="DZ540" s="119"/>
      <c r="EA540" s="119"/>
      <c r="EB540" s="119"/>
      <c r="EC540" s="119"/>
      <c r="ED540" s="119"/>
      <c r="EE540" s="119"/>
      <c r="EF540" s="119"/>
      <c r="EG540" s="119"/>
      <c r="EH540" s="119"/>
      <c r="EI540" s="119"/>
      <c r="EJ540" s="119"/>
      <c r="EK540" s="119"/>
      <c r="EL540" s="119"/>
      <c r="EM540" s="119"/>
      <c r="EN540" s="119"/>
      <c r="EO540" s="119"/>
      <c r="EP540" s="119"/>
      <c r="EQ540" s="119"/>
      <c r="ER540" s="119"/>
      <c r="ES540" s="119"/>
      <c r="ET540" s="119"/>
      <c r="EU540" s="119"/>
      <c r="EV540" s="119"/>
      <c r="EW540" s="119"/>
      <c r="EX540" s="119"/>
      <c r="EY540" s="119"/>
      <c r="EZ540" s="119"/>
      <c r="FA540" s="119"/>
      <c r="FB540" s="119"/>
      <c r="FC540" s="119"/>
      <c r="FD540" s="119"/>
      <c r="FE540" s="119"/>
      <c r="FF540" s="119"/>
      <c r="FG540" s="119"/>
      <c r="FH540" s="119"/>
      <c r="FI540" s="119"/>
      <c r="FJ540" s="119"/>
      <c r="FK540" s="119"/>
      <c r="FL540" s="119"/>
      <c r="FM540" s="119"/>
      <c r="FN540" s="119"/>
      <c r="FO540" s="119"/>
      <c r="FP540" s="119"/>
      <c r="FQ540" s="119"/>
      <c r="FR540" s="119"/>
    </row>
    <row x14ac:dyDescent="0.25" r="541" customHeight="1" ht="15">
      <c r="A541" s="121"/>
      <c r="B541" s="121"/>
      <c r="C541" s="122"/>
      <c r="D541" s="122"/>
      <c r="E541" s="123"/>
      <c r="F541" s="123"/>
      <c r="G541" s="124"/>
      <c r="H541" s="125"/>
      <c r="I541" s="126"/>
      <c r="J541" s="127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  <c r="AA541" s="119"/>
      <c r="AB541" s="119"/>
      <c r="AC541" s="119"/>
      <c r="AD541" s="119"/>
      <c r="AE541" s="119"/>
      <c r="AF541" s="119"/>
      <c r="AG541" s="119"/>
      <c r="AH541" s="119"/>
      <c r="AI541" s="119"/>
      <c r="AJ541" s="119"/>
      <c r="AK541" s="119"/>
      <c r="AL541" s="119"/>
      <c r="AM541" s="119"/>
      <c r="AN541" s="119"/>
      <c r="AO541" s="119"/>
      <c r="AP541" s="119"/>
      <c r="AQ541" s="119"/>
      <c r="AR541" s="119"/>
      <c r="AS541" s="119"/>
      <c r="AT541" s="119"/>
      <c r="AU541" s="119"/>
      <c r="AV541" s="119"/>
      <c r="AW541" s="119"/>
      <c r="AX541" s="119"/>
      <c r="AY541" s="119"/>
      <c r="AZ541" s="119"/>
      <c r="BA541" s="119"/>
      <c r="BB541" s="119"/>
      <c r="BC541" s="119"/>
      <c r="BD541" s="119"/>
      <c r="BE541" s="119"/>
      <c r="BF541" s="119"/>
      <c r="BG541" s="119"/>
      <c r="BH541" s="119"/>
      <c r="BI541" s="119"/>
      <c r="BJ541" s="119"/>
      <c r="BK541" s="119"/>
      <c r="BL541" s="119"/>
      <c r="BM541" s="119"/>
      <c r="BN541" s="119"/>
      <c r="BO541" s="119"/>
      <c r="BP541" s="119"/>
      <c r="BQ541" s="119"/>
      <c r="BR541" s="119"/>
      <c r="BS541" s="119"/>
      <c r="BT541" s="119"/>
      <c r="BU541" s="119"/>
      <c r="BV541" s="119"/>
      <c r="BW541" s="119"/>
      <c r="BX541" s="119"/>
      <c r="BY541" s="119"/>
      <c r="BZ541" s="119"/>
      <c r="CA541" s="119"/>
      <c r="CB541" s="119"/>
      <c r="CC541" s="119"/>
      <c r="CD541" s="119"/>
      <c r="CE541" s="119"/>
      <c r="CF541" s="119"/>
      <c r="CG541" s="119"/>
      <c r="CH541" s="119"/>
      <c r="CI541" s="119"/>
      <c r="CJ541" s="119"/>
      <c r="CK541" s="119"/>
      <c r="CL541" s="119"/>
      <c r="CM541" s="119"/>
      <c r="CN541" s="119"/>
      <c r="CO541" s="119"/>
      <c r="CP541" s="119"/>
      <c r="CQ541" s="119"/>
      <c r="CR541" s="119"/>
      <c r="CS541" s="119"/>
      <c r="CT541" s="119"/>
      <c r="CU541" s="119"/>
      <c r="CV541" s="119"/>
      <c r="CW541" s="119"/>
      <c r="CX541" s="119"/>
      <c r="CY541" s="119"/>
      <c r="CZ541" s="119"/>
      <c r="DA541" s="119"/>
      <c r="DB541" s="119"/>
      <c r="DC541" s="119"/>
      <c r="DD541" s="119"/>
      <c r="DE541" s="119"/>
      <c r="DF541" s="119"/>
      <c r="DG541" s="119"/>
      <c r="DH541" s="119"/>
      <c r="DI541" s="119"/>
      <c r="DJ541" s="119"/>
      <c r="DK541" s="119"/>
      <c r="DL541" s="119"/>
      <c r="DM541" s="119"/>
      <c r="DN541" s="119"/>
      <c r="DO541" s="119"/>
      <c r="DP541" s="119"/>
      <c r="DQ541" s="119"/>
      <c r="DR541" s="119"/>
      <c r="DS541" s="119"/>
      <c r="DT541" s="119"/>
      <c r="DU541" s="119"/>
      <c r="DV541" s="119"/>
      <c r="DW541" s="119"/>
      <c r="DX541" s="119"/>
      <c r="DY541" s="119"/>
      <c r="DZ541" s="119"/>
      <c r="EA541" s="119"/>
      <c r="EB541" s="119"/>
      <c r="EC541" s="119"/>
      <c r="ED541" s="119"/>
      <c r="EE541" s="119"/>
      <c r="EF541" s="119"/>
      <c r="EG541" s="119"/>
      <c r="EH541" s="119"/>
      <c r="EI541" s="119"/>
      <c r="EJ541" s="119"/>
      <c r="EK541" s="119"/>
      <c r="EL541" s="119"/>
      <c r="EM541" s="119"/>
      <c r="EN541" s="119"/>
      <c r="EO541" s="119"/>
      <c r="EP541" s="119"/>
      <c r="EQ541" s="119"/>
      <c r="ER541" s="119"/>
      <c r="ES541" s="119"/>
      <c r="ET541" s="119"/>
      <c r="EU541" s="119"/>
      <c r="EV541" s="119"/>
      <c r="EW541" s="119"/>
      <c r="EX541" s="119"/>
      <c r="EY541" s="119"/>
      <c r="EZ541" s="119"/>
      <c r="FA541" s="119"/>
      <c r="FB541" s="119"/>
      <c r="FC541" s="119"/>
      <c r="FD541" s="119"/>
      <c r="FE541" s="119"/>
      <c r="FF541" s="119"/>
      <c r="FG541" s="119"/>
      <c r="FH541" s="119"/>
      <c r="FI541" s="119"/>
      <c r="FJ541" s="119"/>
      <c r="FK541" s="119"/>
      <c r="FL541" s="119"/>
      <c r="FM541" s="119"/>
      <c r="FN541" s="119"/>
      <c r="FO541" s="119"/>
      <c r="FP541" s="119"/>
      <c r="FQ541" s="119"/>
      <c r="FR541" s="119"/>
    </row>
    <row x14ac:dyDescent="0.25" r="542" customHeight="1" ht="15">
      <c r="A542" s="121"/>
      <c r="B542" s="121"/>
      <c r="C542" s="122"/>
      <c r="D542" s="122"/>
      <c r="E542" s="123"/>
      <c r="F542" s="123"/>
      <c r="G542" s="124"/>
      <c r="H542" s="125"/>
      <c r="I542" s="126"/>
      <c r="J542" s="127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  <c r="AA542" s="119"/>
      <c r="AB542" s="119"/>
      <c r="AC542" s="119"/>
      <c r="AD542" s="119"/>
      <c r="AE542" s="119"/>
      <c r="AF542" s="119"/>
      <c r="AG542" s="119"/>
      <c r="AH542" s="119"/>
      <c r="AI542" s="119"/>
      <c r="AJ542" s="119"/>
      <c r="AK542" s="119"/>
      <c r="AL542" s="119"/>
      <c r="AM542" s="119"/>
      <c r="AN542" s="119"/>
      <c r="AO542" s="119"/>
      <c r="AP542" s="119"/>
      <c r="AQ542" s="119"/>
      <c r="AR542" s="119"/>
      <c r="AS542" s="119"/>
      <c r="AT542" s="119"/>
      <c r="AU542" s="119"/>
      <c r="AV542" s="119"/>
      <c r="AW542" s="119"/>
      <c r="AX542" s="119"/>
      <c r="AY542" s="119"/>
      <c r="AZ542" s="119"/>
      <c r="BA542" s="119"/>
      <c r="BB542" s="119"/>
      <c r="BC542" s="119"/>
      <c r="BD542" s="119"/>
      <c r="BE542" s="119"/>
      <c r="BF542" s="119"/>
      <c r="BG542" s="119"/>
      <c r="BH542" s="119"/>
      <c r="BI542" s="119"/>
      <c r="BJ542" s="119"/>
      <c r="BK542" s="119"/>
      <c r="BL542" s="119"/>
      <c r="BM542" s="119"/>
      <c r="BN542" s="119"/>
      <c r="BO542" s="119"/>
      <c r="BP542" s="119"/>
      <c r="BQ542" s="119"/>
      <c r="BR542" s="119"/>
      <c r="BS542" s="119"/>
      <c r="BT542" s="119"/>
      <c r="BU542" s="119"/>
      <c r="BV542" s="119"/>
      <c r="BW542" s="119"/>
      <c r="BX542" s="119"/>
      <c r="BY542" s="119"/>
      <c r="BZ542" s="119"/>
      <c r="CA542" s="119"/>
      <c r="CB542" s="119"/>
      <c r="CC542" s="119"/>
      <c r="CD542" s="119"/>
      <c r="CE542" s="119"/>
      <c r="CF542" s="119"/>
      <c r="CG542" s="119"/>
      <c r="CH542" s="119"/>
      <c r="CI542" s="119"/>
      <c r="CJ542" s="119"/>
      <c r="CK542" s="119"/>
      <c r="CL542" s="119"/>
      <c r="CM542" s="119"/>
      <c r="CN542" s="119"/>
      <c r="CO542" s="119"/>
      <c r="CP542" s="119"/>
      <c r="CQ542" s="119"/>
      <c r="CR542" s="119"/>
      <c r="CS542" s="119"/>
      <c r="CT542" s="119"/>
      <c r="CU542" s="119"/>
      <c r="CV542" s="119"/>
      <c r="CW542" s="119"/>
      <c r="CX542" s="119"/>
      <c r="CY542" s="119"/>
      <c r="CZ542" s="119"/>
      <c r="DA542" s="119"/>
      <c r="DB542" s="119"/>
      <c r="DC542" s="119"/>
      <c r="DD542" s="119"/>
      <c r="DE542" s="119"/>
      <c r="DF542" s="119"/>
      <c r="DG542" s="119"/>
      <c r="DH542" s="119"/>
      <c r="DI542" s="119"/>
      <c r="DJ542" s="119"/>
      <c r="DK542" s="119"/>
      <c r="DL542" s="119"/>
      <c r="DM542" s="119"/>
      <c r="DN542" s="119"/>
      <c r="DO542" s="119"/>
      <c r="DP542" s="119"/>
      <c r="DQ542" s="119"/>
      <c r="DR542" s="119"/>
      <c r="DS542" s="119"/>
      <c r="DT542" s="119"/>
      <c r="DU542" s="119"/>
      <c r="DV542" s="119"/>
      <c r="DW542" s="119"/>
      <c r="DX542" s="119"/>
      <c r="DY542" s="119"/>
      <c r="DZ542" s="119"/>
      <c r="EA542" s="119"/>
      <c r="EB542" s="119"/>
      <c r="EC542" s="119"/>
      <c r="ED542" s="119"/>
      <c r="EE542" s="119"/>
      <c r="EF542" s="119"/>
      <c r="EG542" s="119"/>
      <c r="EH542" s="119"/>
      <c r="EI542" s="119"/>
      <c r="EJ542" s="119"/>
      <c r="EK542" s="119"/>
      <c r="EL542" s="119"/>
      <c r="EM542" s="119"/>
      <c r="EN542" s="119"/>
      <c r="EO542" s="119"/>
      <c r="EP542" s="119"/>
      <c r="EQ542" s="119"/>
      <c r="ER542" s="119"/>
      <c r="ES542" s="119"/>
      <c r="ET542" s="119"/>
      <c r="EU542" s="119"/>
      <c r="EV542" s="119"/>
      <c r="EW542" s="119"/>
      <c r="EX542" s="119"/>
      <c r="EY542" s="119"/>
      <c r="EZ542" s="119"/>
      <c r="FA542" s="119"/>
      <c r="FB542" s="119"/>
      <c r="FC542" s="119"/>
      <c r="FD542" s="119"/>
      <c r="FE542" s="119"/>
      <c r="FF542" s="119"/>
      <c r="FG542" s="119"/>
      <c r="FH542" s="119"/>
      <c r="FI542" s="119"/>
      <c r="FJ542" s="119"/>
      <c r="FK542" s="119"/>
      <c r="FL542" s="119"/>
      <c r="FM542" s="119"/>
      <c r="FN542" s="119"/>
      <c r="FO542" s="119"/>
      <c r="FP542" s="119"/>
      <c r="FQ542" s="119"/>
      <c r="FR542" s="119"/>
    </row>
    <row x14ac:dyDescent="0.25" r="543" customHeight="1" ht="15">
      <c r="A543" s="121"/>
      <c r="B543" s="121"/>
      <c r="C543" s="122"/>
      <c r="D543" s="122"/>
      <c r="E543" s="123"/>
      <c r="F543" s="123"/>
      <c r="G543" s="124"/>
      <c r="H543" s="125"/>
      <c r="I543" s="126"/>
      <c r="J543" s="127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  <c r="AA543" s="119"/>
      <c r="AB543" s="119"/>
      <c r="AC543" s="119"/>
      <c r="AD543" s="119"/>
      <c r="AE543" s="119"/>
      <c r="AF543" s="119"/>
      <c r="AG543" s="119"/>
      <c r="AH543" s="119"/>
      <c r="AI543" s="119"/>
      <c r="AJ543" s="119"/>
      <c r="AK543" s="119"/>
      <c r="AL543" s="119"/>
      <c r="AM543" s="119"/>
      <c r="AN543" s="119"/>
      <c r="AO543" s="119"/>
      <c r="AP543" s="119"/>
      <c r="AQ543" s="119"/>
      <c r="AR543" s="119"/>
      <c r="AS543" s="119"/>
      <c r="AT543" s="119"/>
      <c r="AU543" s="119"/>
      <c r="AV543" s="119"/>
      <c r="AW543" s="119"/>
      <c r="AX543" s="119"/>
      <c r="AY543" s="119"/>
      <c r="AZ543" s="119"/>
      <c r="BA543" s="119"/>
      <c r="BB543" s="119"/>
      <c r="BC543" s="119"/>
      <c r="BD543" s="119"/>
      <c r="BE543" s="119"/>
      <c r="BF543" s="119"/>
      <c r="BG543" s="119"/>
      <c r="BH543" s="119"/>
      <c r="BI543" s="119"/>
      <c r="BJ543" s="119"/>
      <c r="BK543" s="119"/>
      <c r="BL543" s="119"/>
      <c r="BM543" s="119"/>
      <c r="BN543" s="119"/>
      <c r="BO543" s="119"/>
      <c r="BP543" s="119"/>
      <c r="BQ543" s="119"/>
      <c r="BR543" s="119"/>
      <c r="BS543" s="119"/>
      <c r="BT543" s="119"/>
      <c r="BU543" s="119"/>
      <c r="BV543" s="119"/>
      <c r="BW543" s="119"/>
      <c r="BX543" s="119"/>
      <c r="BY543" s="119"/>
      <c r="BZ543" s="119"/>
      <c r="CA543" s="119"/>
      <c r="CB543" s="119"/>
      <c r="CC543" s="119"/>
      <c r="CD543" s="119"/>
      <c r="CE543" s="119"/>
      <c r="CF543" s="119"/>
      <c r="CG543" s="119"/>
      <c r="CH543" s="119"/>
      <c r="CI543" s="119"/>
      <c r="CJ543" s="119"/>
      <c r="CK543" s="119"/>
      <c r="CL543" s="119"/>
      <c r="CM543" s="119"/>
      <c r="CN543" s="119"/>
      <c r="CO543" s="119"/>
      <c r="CP543" s="119"/>
      <c r="CQ543" s="119"/>
      <c r="CR543" s="119"/>
      <c r="CS543" s="119"/>
      <c r="CT543" s="119"/>
      <c r="CU543" s="119"/>
      <c r="CV543" s="119"/>
      <c r="CW543" s="119"/>
      <c r="CX543" s="119"/>
      <c r="CY543" s="119"/>
      <c r="CZ543" s="119"/>
      <c r="DA543" s="119"/>
      <c r="DB543" s="119"/>
      <c r="DC543" s="119"/>
      <c r="DD543" s="119"/>
      <c r="DE543" s="119"/>
      <c r="DF543" s="119"/>
      <c r="DG543" s="119"/>
      <c r="DH543" s="119"/>
      <c r="DI543" s="119"/>
      <c r="DJ543" s="119"/>
      <c r="DK543" s="119"/>
      <c r="DL543" s="119"/>
      <c r="DM543" s="119"/>
      <c r="DN543" s="119"/>
      <c r="DO543" s="119"/>
      <c r="DP543" s="119"/>
      <c r="DQ543" s="119"/>
      <c r="DR543" s="119"/>
      <c r="DS543" s="119"/>
      <c r="DT543" s="119"/>
      <c r="DU543" s="119"/>
      <c r="DV543" s="119"/>
      <c r="DW543" s="119"/>
      <c r="DX543" s="119"/>
      <c r="DY543" s="119"/>
      <c r="DZ543" s="119"/>
      <c r="EA543" s="119"/>
      <c r="EB543" s="119"/>
      <c r="EC543" s="119"/>
      <c r="ED543" s="119"/>
      <c r="EE543" s="119"/>
      <c r="EF543" s="119"/>
      <c r="EG543" s="119"/>
      <c r="EH543" s="119"/>
      <c r="EI543" s="119"/>
      <c r="EJ543" s="119"/>
      <c r="EK543" s="119"/>
      <c r="EL543" s="119"/>
      <c r="EM543" s="119"/>
      <c r="EN543" s="119"/>
      <c r="EO543" s="119"/>
      <c r="EP543" s="119"/>
      <c r="EQ543" s="119"/>
      <c r="ER543" s="119"/>
      <c r="ES543" s="119"/>
      <c r="ET543" s="119"/>
      <c r="EU543" s="119"/>
      <c r="EV543" s="119"/>
      <c r="EW543" s="119"/>
      <c r="EX543" s="119"/>
      <c r="EY543" s="119"/>
      <c r="EZ543" s="119"/>
      <c r="FA543" s="119"/>
      <c r="FB543" s="119"/>
      <c r="FC543" s="119"/>
      <c r="FD543" s="119"/>
      <c r="FE543" s="119"/>
      <c r="FF543" s="119"/>
      <c r="FG543" s="119"/>
      <c r="FH543" s="119"/>
      <c r="FI543" s="119"/>
      <c r="FJ543" s="119"/>
      <c r="FK543" s="119"/>
      <c r="FL543" s="119"/>
      <c r="FM543" s="119"/>
      <c r="FN543" s="119"/>
      <c r="FO543" s="119"/>
      <c r="FP543" s="119"/>
      <c r="FQ543" s="119"/>
      <c r="FR543" s="119"/>
    </row>
    <row x14ac:dyDescent="0.25" r="544" customHeight="1" ht="15">
      <c r="A544" s="121"/>
      <c r="B544" s="121"/>
      <c r="C544" s="122"/>
      <c r="D544" s="122"/>
      <c r="E544" s="123"/>
      <c r="F544" s="123"/>
      <c r="G544" s="124"/>
      <c r="H544" s="125"/>
      <c r="I544" s="126"/>
      <c r="J544" s="127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  <c r="AA544" s="119"/>
      <c r="AB544" s="119"/>
      <c r="AC544" s="119"/>
      <c r="AD544" s="119"/>
      <c r="AE544" s="119"/>
      <c r="AF544" s="119"/>
      <c r="AG544" s="119"/>
      <c r="AH544" s="119"/>
      <c r="AI544" s="119"/>
      <c r="AJ544" s="119"/>
      <c r="AK544" s="119"/>
      <c r="AL544" s="119"/>
      <c r="AM544" s="119"/>
      <c r="AN544" s="119"/>
      <c r="AO544" s="119"/>
      <c r="AP544" s="119"/>
      <c r="AQ544" s="119"/>
      <c r="AR544" s="119"/>
      <c r="AS544" s="119"/>
      <c r="AT544" s="119"/>
      <c r="AU544" s="119"/>
      <c r="AV544" s="119"/>
      <c r="AW544" s="119"/>
      <c r="AX544" s="119"/>
      <c r="AY544" s="119"/>
      <c r="AZ544" s="119"/>
      <c r="BA544" s="119"/>
      <c r="BB544" s="119"/>
      <c r="BC544" s="119"/>
      <c r="BD544" s="119"/>
      <c r="BE544" s="119"/>
      <c r="BF544" s="119"/>
      <c r="BG544" s="119"/>
      <c r="BH544" s="119"/>
      <c r="BI544" s="119"/>
      <c r="BJ544" s="119"/>
      <c r="BK544" s="119"/>
      <c r="BL544" s="119"/>
      <c r="BM544" s="119"/>
      <c r="BN544" s="119"/>
      <c r="BO544" s="119"/>
      <c r="BP544" s="119"/>
      <c r="BQ544" s="119"/>
      <c r="BR544" s="119"/>
      <c r="BS544" s="119"/>
      <c r="BT544" s="119"/>
      <c r="BU544" s="119"/>
      <c r="BV544" s="119"/>
      <c r="BW544" s="119"/>
      <c r="BX544" s="119"/>
      <c r="BY544" s="119"/>
      <c r="BZ544" s="119"/>
      <c r="CA544" s="119"/>
      <c r="CB544" s="119"/>
      <c r="CC544" s="119"/>
      <c r="CD544" s="119"/>
      <c r="CE544" s="119"/>
      <c r="CF544" s="119"/>
      <c r="CG544" s="119"/>
      <c r="CH544" s="119"/>
      <c r="CI544" s="119"/>
      <c r="CJ544" s="119"/>
      <c r="CK544" s="119"/>
      <c r="CL544" s="119"/>
      <c r="CM544" s="119"/>
      <c r="CN544" s="119"/>
      <c r="CO544" s="119"/>
      <c r="CP544" s="119"/>
      <c r="CQ544" s="119"/>
      <c r="CR544" s="119"/>
      <c r="CS544" s="119"/>
      <c r="CT544" s="119"/>
      <c r="CU544" s="119"/>
      <c r="CV544" s="119"/>
      <c r="CW544" s="119"/>
      <c r="CX544" s="119"/>
      <c r="CY544" s="119"/>
      <c r="CZ544" s="119"/>
      <c r="DA544" s="119"/>
      <c r="DB544" s="119"/>
      <c r="DC544" s="119"/>
      <c r="DD544" s="119"/>
      <c r="DE544" s="119"/>
      <c r="DF544" s="119"/>
      <c r="DG544" s="119"/>
      <c r="DH544" s="119"/>
      <c r="DI544" s="119"/>
      <c r="DJ544" s="119"/>
      <c r="DK544" s="119"/>
      <c r="DL544" s="119"/>
      <c r="DM544" s="119"/>
      <c r="DN544" s="119"/>
      <c r="DO544" s="119"/>
      <c r="DP544" s="119"/>
      <c r="DQ544" s="119"/>
      <c r="DR544" s="119"/>
      <c r="DS544" s="119"/>
      <c r="DT544" s="119"/>
      <c r="DU544" s="119"/>
      <c r="DV544" s="119"/>
      <c r="DW544" s="119"/>
      <c r="DX544" s="119"/>
      <c r="DY544" s="119"/>
      <c r="DZ544" s="119"/>
      <c r="EA544" s="119"/>
      <c r="EB544" s="119"/>
      <c r="EC544" s="119"/>
      <c r="ED544" s="119"/>
      <c r="EE544" s="119"/>
      <c r="EF544" s="119"/>
      <c r="EG544" s="119"/>
      <c r="EH544" s="119"/>
      <c r="EI544" s="119"/>
      <c r="EJ544" s="119"/>
      <c r="EK544" s="119"/>
      <c r="EL544" s="119"/>
      <c r="EM544" s="119"/>
      <c r="EN544" s="119"/>
      <c r="EO544" s="119"/>
      <c r="EP544" s="119"/>
      <c r="EQ544" s="119"/>
      <c r="ER544" s="119"/>
      <c r="ES544" s="119"/>
      <c r="ET544" s="119"/>
      <c r="EU544" s="119"/>
      <c r="EV544" s="119"/>
      <c r="EW544" s="119"/>
      <c r="EX544" s="119"/>
      <c r="EY544" s="119"/>
      <c r="EZ544" s="119"/>
      <c r="FA544" s="119"/>
      <c r="FB544" s="119"/>
      <c r="FC544" s="119"/>
      <c r="FD544" s="119"/>
      <c r="FE544" s="119"/>
      <c r="FF544" s="119"/>
      <c r="FG544" s="119"/>
      <c r="FH544" s="119"/>
      <c r="FI544" s="119"/>
      <c r="FJ544" s="119"/>
      <c r="FK544" s="119"/>
      <c r="FL544" s="119"/>
      <c r="FM544" s="119"/>
      <c r="FN544" s="119"/>
      <c r="FO544" s="119"/>
      <c r="FP544" s="119"/>
      <c r="FQ544" s="119"/>
      <c r="FR544" s="119"/>
    </row>
    <row x14ac:dyDescent="0.25" r="545" customHeight="1" ht="15">
      <c r="A545" s="121"/>
      <c r="B545" s="121"/>
      <c r="C545" s="122"/>
      <c r="D545" s="122"/>
      <c r="E545" s="123"/>
      <c r="F545" s="123"/>
      <c r="G545" s="124"/>
      <c r="H545" s="125"/>
      <c r="I545" s="126"/>
      <c r="J545" s="127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  <c r="AA545" s="119"/>
      <c r="AB545" s="119"/>
      <c r="AC545" s="119"/>
      <c r="AD545" s="119"/>
      <c r="AE545" s="119"/>
      <c r="AF545" s="119"/>
      <c r="AG545" s="119"/>
      <c r="AH545" s="119"/>
      <c r="AI545" s="119"/>
      <c r="AJ545" s="119"/>
      <c r="AK545" s="119"/>
      <c r="AL545" s="119"/>
      <c r="AM545" s="119"/>
      <c r="AN545" s="119"/>
      <c r="AO545" s="119"/>
      <c r="AP545" s="119"/>
      <c r="AQ545" s="119"/>
      <c r="AR545" s="119"/>
      <c r="AS545" s="119"/>
      <c r="AT545" s="119"/>
      <c r="AU545" s="119"/>
      <c r="AV545" s="119"/>
      <c r="AW545" s="119"/>
      <c r="AX545" s="119"/>
      <c r="AY545" s="119"/>
      <c r="AZ545" s="119"/>
      <c r="BA545" s="119"/>
      <c r="BB545" s="119"/>
      <c r="BC545" s="119"/>
      <c r="BD545" s="119"/>
      <c r="BE545" s="119"/>
      <c r="BF545" s="119"/>
      <c r="BG545" s="119"/>
      <c r="BH545" s="119"/>
      <c r="BI545" s="119"/>
      <c r="BJ545" s="119"/>
      <c r="BK545" s="119"/>
      <c r="BL545" s="119"/>
      <c r="BM545" s="119"/>
      <c r="BN545" s="119"/>
      <c r="BO545" s="119"/>
      <c r="BP545" s="119"/>
      <c r="BQ545" s="119"/>
      <c r="BR545" s="119"/>
      <c r="BS545" s="119"/>
      <c r="BT545" s="119"/>
      <c r="BU545" s="119"/>
      <c r="BV545" s="119"/>
      <c r="BW545" s="119"/>
      <c r="BX545" s="119"/>
      <c r="BY545" s="119"/>
      <c r="BZ545" s="119"/>
      <c r="CA545" s="119"/>
      <c r="CB545" s="119"/>
      <c r="CC545" s="119"/>
      <c r="CD545" s="119"/>
      <c r="CE545" s="119"/>
      <c r="CF545" s="119"/>
      <c r="CG545" s="119"/>
      <c r="CH545" s="119"/>
      <c r="CI545" s="119"/>
      <c r="CJ545" s="119"/>
      <c r="CK545" s="119"/>
      <c r="CL545" s="119"/>
      <c r="CM545" s="119"/>
      <c r="CN545" s="119"/>
      <c r="CO545" s="119"/>
      <c r="CP545" s="119"/>
      <c r="CQ545" s="119"/>
      <c r="CR545" s="119"/>
      <c r="CS545" s="119"/>
      <c r="CT545" s="119"/>
      <c r="CU545" s="119"/>
      <c r="CV545" s="119"/>
      <c r="CW545" s="119"/>
      <c r="CX545" s="119"/>
      <c r="CY545" s="119"/>
      <c r="CZ545" s="119"/>
      <c r="DA545" s="119"/>
      <c r="DB545" s="119"/>
      <c r="DC545" s="119"/>
      <c r="DD545" s="119"/>
      <c r="DE545" s="119"/>
      <c r="DF545" s="119"/>
      <c r="DG545" s="119"/>
      <c r="DH545" s="119"/>
      <c r="DI545" s="119"/>
      <c r="DJ545" s="119"/>
      <c r="DK545" s="119"/>
      <c r="DL545" s="119"/>
      <c r="DM545" s="119"/>
      <c r="DN545" s="119"/>
      <c r="DO545" s="119"/>
      <c r="DP545" s="119"/>
      <c r="DQ545" s="119"/>
      <c r="DR545" s="119"/>
      <c r="DS545" s="119"/>
      <c r="DT545" s="119"/>
      <c r="DU545" s="119"/>
      <c r="DV545" s="119"/>
      <c r="DW545" s="119"/>
      <c r="DX545" s="119"/>
      <c r="DY545" s="119"/>
      <c r="DZ545" s="119"/>
      <c r="EA545" s="119"/>
      <c r="EB545" s="119"/>
      <c r="EC545" s="119"/>
      <c r="ED545" s="119"/>
      <c r="EE545" s="119"/>
      <c r="EF545" s="119"/>
      <c r="EG545" s="119"/>
      <c r="EH545" s="119"/>
      <c r="EI545" s="119"/>
      <c r="EJ545" s="119"/>
      <c r="EK545" s="119"/>
      <c r="EL545" s="119"/>
      <c r="EM545" s="119"/>
      <c r="EN545" s="119"/>
      <c r="EO545" s="119"/>
      <c r="EP545" s="119"/>
      <c r="EQ545" s="119"/>
      <c r="ER545" s="119"/>
      <c r="ES545" s="119"/>
      <c r="ET545" s="119"/>
      <c r="EU545" s="119"/>
      <c r="EV545" s="119"/>
      <c r="EW545" s="119"/>
      <c r="EX545" s="119"/>
      <c r="EY545" s="119"/>
      <c r="EZ545" s="119"/>
      <c r="FA545" s="119"/>
      <c r="FB545" s="119"/>
      <c r="FC545" s="119"/>
      <c r="FD545" s="119"/>
      <c r="FE545" s="119"/>
      <c r="FF545" s="119"/>
      <c r="FG545" s="119"/>
      <c r="FH545" s="119"/>
      <c r="FI545" s="119"/>
      <c r="FJ545" s="119"/>
      <c r="FK545" s="119"/>
      <c r="FL545" s="119"/>
      <c r="FM545" s="119"/>
      <c r="FN545" s="119"/>
      <c r="FO545" s="119"/>
      <c r="FP545" s="119"/>
      <c r="FQ545" s="119"/>
      <c r="FR545" s="119"/>
    </row>
    <row x14ac:dyDescent="0.25" r="546" customHeight="1" ht="15">
      <c r="A546" s="121"/>
      <c r="B546" s="121"/>
      <c r="C546" s="122"/>
      <c r="D546" s="122"/>
      <c r="E546" s="123"/>
      <c r="F546" s="123"/>
      <c r="G546" s="124"/>
      <c r="H546" s="125"/>
      <c r="I546" s="126"/>
      <c r="J546" s="127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  <c r="AA546" s="119"/>
      <c r="AB546" s="119"/>
      <c r="AC546" s="119"/>
      <c r="AD546" s="119"/>
      <c r="AE546" s="119"/>
      <c r="AF546" s="119"/>
      <c r="AG546" s="119"/>
      <c r="AH546" s="119"/>
      <c r="AI546" s="119"/>
      <c r="AJ546" s="119"/>
      <c r="AK546" s="119"/>
      <c r="AL546" s="119"/>
      <c r="AM546" s="119"/>
      <c r="AN546" s="119"/>
      <c r="AO546" s="119"/>
      <c r="AP546" s="119"/>
      <c r="AQ546" s="119"/>
      <c r="AR546" s="119"/>
      <c r="AS546" s="119"/>
      <c r="AT546" s="119"/>
      <c r="AU546" s="119"/>
      <c r="AV546" s="119"/>
      <c r="AW546" s="119"/>
      <c r="AX546" s="119"/>
      <c r="AY546" s="119"/>
      <c r="AZ546" s="119"/>
      <c r="BA546" s="119"/>
      <c r="BB546" s="119"/>
      <c r="BC546" s="119"/>
      <c r="BD546" s="119"/>
      <c r="BE546" s="119"/>
      <c r="BF546" s="119"/>
      <c r="BG546" s="119"/>
      <c r="BH546" s="119"/>
      <c r="BI546" s="119"/>
      <c r="BJ546" s="119"/>
      <c r="BK546" s="119"/>
      <c r="BL546" s="119"/>
      <c r="BM546" s="119"/>
      <c r="BN546" s="119"/>
      <c r="BO546" s="119"/>
      <c r="BP546" s="119"/>
      <c r="BQ546" s="119"/>
      <c r="BR546" s="119"/>
      <c r="BS546" s="119"/>
      <c r="BT546" s="119"/>
      <c r="BU546" s="119"/>
      <c r="BV546" s="119"/>
      <c r="BW546" s="119"/>
      <c r="BX546" s="119"/>
      <c r="BY546" s="119"/>
      <c r="BZ546" s="119"/>
      <c r="CA546" s="119"/>
      <c r="CB546" s="119"/>
      <c r="CC546" s="119"/>
      <c r="CD546" s="119"/>
      <c r="CE546" s="119"/>
      <c r="CF546" s="119"/>
      <c r="CG546" s="119"/>
      <c r="CH546" s="119"/>
      <c r="CI546" s="119"/>
      <c r="CJ546" s="119"/>
      <c r="CK546" s="119"/>
      <c r="CL546" s="119"/>
      <c r="CM546" s="119"/>
      <c r="CN546" s="119"/>
      <c r="CO546" s="119"/>
      <c r="CP546" s="119"/>
      <c r="CQ546" s="119"/>
      <c r="CR546" s="119"/>
      <c r="CS546" s="119"/>
      <c r="CT546" s="119"/>
      <c r="CU546" s="119"/>
      <c r="CV546" s="119"/>
      <c r="CW546" s="119"/>
      <c r="CX546" s="119"/>
      <c r="CY546" s="119"/>
      <c r="CZ546" s="119"/>
      <c r="DA546" s="119"/>
      <c r="DB546" s="119"/>
      <c r="DC546" s="119"/>
      <c r="DD546" s="119"/>
      <c r="DE546" s="119"/>
      <c r="DF546" s="119"/>
      <c r="DG546" s="119"/>
      <c r="DH546" s="119"/>
      <c r="DI546" s="119"/>
      <c r="DJ546" s="119"/>
      <c r="DK546" s="119"/>
      <c r="DL546" s="119"/>
      <c r="DM546" s="119"/>
      <c r="DN546" s="119"/>
      <c r="DO546" s="119"/>
      <c r="DP546" s="119"/>
      <c r="DQ546" s="119"/>
      <c r="DR546" s="119"/>
      <c r="DS546" s="119"/>
      <c r="DT546" s="119"/>
      <c r="DU546" s="119"/>
      <c r="DV546" s="119"/>
      <c r="DW546" s="119"/>
      <c r="DX546" s="119"/>
      <c r="DY546" s="119"/>
      <c r="DZ546" s="119"/>
      <c r="EA546" s="119"/>
      <c r="EB546" s="119"/>
      <c r="EC546" s="119"/>
      <c r="ED546" s="119"/>
      <c r="EE546" s="119"/>
      <c r="EF546" s="119"/>
      <c r="EG546" s="119"/>
      <c r="EH546" s="119"/>
      <c r="EI546" s="119"/>
      <c r="EJ546" s="119"/>
      <c r="EK546" s="119"/>
      <c r="EL546" s="119"/>
      <c r="EM546" s="119"/>
      <c r="EN546" s="119"/>
      <c r="EO546" s="119"/>
      <c r="EP546" s="119"/>
      <c r="EQ546" s="119"/>
      <c r="ER546" s="119"/>
      <c r="ES546" s="119"/>
      <c r="ET546" s="119"/>
      <c r="EU546" s="119"/>
      <c r="EV546" s="119"/>
      <c r="EW546" s="119"/>
      <c r="EX546" s="119"/>
      <c r="EY546" s="119"/>
      <c r="EZ546" s="119"/>
      <c r="FA546" s="119"/>
      <c r="FB546" s="119"/>
      <c r="FC546" s="119"/>
      <c r="FD546" s="119"/>
      <c r="FE546" s="119"/>
      <c r="FF546" s="119"/>
      <c r="FG546" s="119"/>
      <c r="FH546" s="119"/>
      <c r="FI546" s="119"/>
      <c r="FJ546" s="119"/>
      <c r="FK546" s="119"/>
      <c r="FL546" s="119"/>
      <c r="FM546" s="119"/>
      <c r="FN546" s="119"/>
      <c r="FO546" s="119"/>
      <c r="FP546" s="119"/>
      <c r="FQ546" s="119"/>
      <c r="FR546" s="119"/>
    </row>
    <row x14ac:dyDescent="0.25" r="547" customHeight="1" ht="15">
      <c r="A547" s="121"/>
      <c r="B547" s="121"/>
      <c r="C547" s="122"/>
      <c r="D547" s="122"/>
      <c r="E547" s="123"/>
      <c r="F547" s="123"/>
      <c r="G547" s="124"/>
      <c r="H547" s="125"/>
      <c r="I547" s="126"/>
      <c r="J547" s="127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  <c r="AA547" s="119"/>
      <c r="AB547" s="119"/>
      <c r="AC547" s="119"/>
      <c r="AD547" s="119"/>
      <c r="AE547" s="119"/>
      <c r="AF547" s="119"/>
      <c r="AG547" s="119"/>
      <c r="AH547" s="119"/>
      <c r="AI547" s="119"/>
      <c r="AJ547" s="119"/>
      <c r="AK547" s="119"/>
      <c r="AL547" s="119"/>
      <c r="AM547" s="119"/>
      <c r="AN547" s="119"/>
      <c r="AO547" s="119"/>
      <c r="AP547" s="119"/>
      <c r="AQ547" s="119"/>
      <c r="AR547" s="119"/>
      <c r="AS547" s="119"/>
      <c r="AT547" s="119"/>
      <c r="AU547" s="119"/>
      <c r="AV547" s="119"/>
      <c r="AW547" s="119"/>
      <c r="AX547" s="119"/>
      <c r="AY547" s="119"/>
      <c r="AZ547" s="119"/>
      <c r="BA547" s="119"/>
      <c r="BB547" s="119"/>
      <c r="BC547" s="119"/>
      <c r="BD547" s="119"/>
      <c r="BE547" s="119"/>
      <c r="BF547" s="119"/>
      <c r="BG547" s="119"/>
      <c r="BH547" s="119"/>
      <c r="BI547" s="119"/>
      <c r="BJ547" s="119"/>
      <c r="BK547" s="119"/>
      <c r="BL547" s="119"/>
      <c r="BM547" s="119"/>
      <c r="BN547" s="119"/>
      <c r="BO547" s="119"/>
      <c r="BP547" s="119"/>
      <c r="BQ547" s="119"/>
      <c r="BR547" s="119"/>
      <c r="BS547" s="119"/>
      <c r="BT547" s="119"/>
      <c r="BU547" s="119"/>
      <c r="BV547" s="119"/>
      <c r="BW547" s="119"/>
      <c r="BX547" s="119"/>
      <c r="BY547" s="119"/>
      <c r="BZ547" s="119"/>
      <c r="CA547" s="119"/>
      <c r="CB547" s="119"/>
      <c r="CC547" s="119"/>
      <c r="CD547" s="119"/>
      <c r="CE547" s="119"/>
      <c r="CF547" s="119"/>
      <c r="CG547" s="119"/>
      <c r="CH547" s="119"/>
      <c r="CI547" s="119"/>
      <c r="CJ547" s="119"/>
      <c r="CK547" s="119"/>
      <c r="CL547" s="119"/>
      <c r="CM547" s="119"/>
      <c r="CN547" s="119"/>
      <c r="CO547" s="119"/>
      <c r="CP547" s="119"/>
      <c r="CQ547" s="119"/>
      <c r="CR547" s="119"/>
      <c r="CS547" s="119"/>
      <c r="CT547" s="119"/>
      <c r="CU547" s="119"/>
      <c r="CV547" s="119"/>
      <c r="CW547" s="119"/>
      <c r="CX547" s="119"/>
      <c r="CY547" s="119"/>
      <c r="CZ547" s="119"/>
      <c r="DA547" s="119"/>
      <c r="DB547" s="119"/>
      <c r="DC547" s="119"/>
      <c r="DD547" s="119"/>
      <c r="DE547" s="119"/>
      <c r="DF547" s="119"/>
      <c r="DG547" s="119"/>
      <c r="DH547" s="119"/>
      <c r="DI547" s="119"/>
      <c r="DJ547" s="119"/>
      <c r="DK547" s="119"/>
      <c r="DL547" s="119"/>
      <c r="DM547" s="119"/>
      <c r="DN547" s="119"/>
      <c r="DO547" s="119"/>
      <c r="DP547" s="119"/>
      <c r="DQ547" s="119"/>
      <c r="DR547" s="119"/>
      <c r="DS547" s="119"/>
      <c r="DT547" s="119"/>
      <c r="DU547" s="119"/>
      <c r="DV547" s="119"/>
      <c r="DW547" s="119"/>
      <c r="DX547" s="119"/>
      <c r="DY547" s="119"/>
      <c r="DZ547" s="119"/>
      <c r="EA547" s="119"/>
      <c r="EB547" s="119"/>
      <c r="EC547" s="119"/>
      <c r="ED547" s="119"/>
      <c r="EE547" s="119"/>
      <c r="EF547" s="119"/>
      <c r="EG547" s="119"/>
      <c r="EH547" s="119"/>
      <c r="EI547" s="119"/>
      <c r="EJ547" s="119"/>
      <c r="EK547" s="119"/>
      <c r="EL547" s="119"/>
      <c r="EM547" s="119"/>
      <c r="EN547" s="119"/>
      <c r="EO547" s="119"/>
      <c r="EP547" s="119"/>
      <c r="EQ547" s="119"/>
      <c r="ER547" s="119"/>
      <c r="ES547" s="119"/>
      <c r="ET547" s="119"/>
      <c r="EU547" s="119"/>
      <c r="EV547" s="119"/>
      <c r="EW547" s="119"/>
      <c r="EX547" s="119"/>
      <c r="EY547" s="119"/>
      <c r="EZ547" s="119"/>
      <c r="FA547" s="119"/>
      <c r="FB547" s="119"/>
      <c r="FC547" s="119"/>
      <c r="FD547" s="119"/>
      <c r="FE547" s="119"/>
      <c r="FF547" s="119"/>
      <c r="FG547" s="119"/>
      <c r="FH547" s="119"/>
      <c r="FI547" s="119"/>
      <c r="FJ547" s="119"/>
      <c r="FK547" s="119"/>
      <c r="FL547" s="119"/>
      <c r="FM547" s="119"/>
      <c r="FN547" s="119"/>
      <c r="FO547" s="119"/>
      <c r="FP547" s="119"/>
      <c r="FQ547" s="119"/>
      <c r="FR547" s="119"/>
    </row>
    <row x14ac:dyDescent="0.25" r="548" customHeight="1" ht="15">
      <c r="A548" s="121"/>
      <c r="B548" s="121"/>
      <c r="C548" s="122"/>
      <c r="D548" s="122"/>
      <c r="E548" s="123"/>
      <c r="F548" s="123"/>
      <c r="G548" s="124"/>
      <c r="H548" s="125"/>
      <c r="I548" s="126"/>
      <c r="J548" s="127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  <c r="AA548" s="119"/>
      <c r="AB548" s="119"/>
      <c r="AC548" s="119"/>
      <c r="AD548" s="119"/>
      <c r="AE548" s="119"/>
      <c r="AF548" s="119"/>
      <c r="AG548" s="119"/>
      <c r="AH548" s="119"/>
      <c r="AI548" s="119"/>
      <c r="AJ548" s="119"/>
      <c r="AK548" s="119"/>
      <c r="AL548" s="119"/>
      <c r="AM548" s="119"/>
      <c r="AN548" s="119"/>
      <c r="AO548" s="119"/>
      <c r="AP548" s="119"/>
      <c r="AQ548" s="119"/>
      <c r="AR548" s="119"/>
      <c r="AS548" s="119"/>
      <c r="AT548" s="119"/>
      <c r="AU548" s="119"/>
      <c r="AV548" s="119"/>
      <c r="AW548" s="119"/>
      <c r="AX548" s="119"/>
      <c r="AY548" s="119"/>
      <c r="AZ548" s="119"/>
      <c r="BA548" s="119"/>
      <c r="BB548" s="119"/>
      <c r="BC548" s="119"/>
      <c r="BD548" s="119"/>
      <c r="BE548" s="119"/>
      <c r="BF548" s="119"/>
      <c r="BG548" s="119"/>
      <c r="BH548" s="119"/>
      <c r="BI548" s="119"/>
      <c r="BJ548" s="119"/>
      <c r="BK548" s="119"/>
      <c r="BL548" s="119"/>
      <c r="BM548" s="119"/>
      <c r="BN548" s="119"/>
      <c r="BO548" s="119"/>
      <c r="BP548" s="119"/>
      <c r="BQ548" s="119"/>
      <c r="BR548" s="119"/>
      <c r="BS548" s="119"/>
      <c r="BT548" s="119"/>
      <c r="BU548" s="119"/>
      <c r="BV548" s="119"/>
      <c r="BW548" s="119"/>
      <c r="BX548" s="119"/>
      <c r="BY548" s="119"/>
      <c r="BZ548" s="119"/>
      <c r="CA548" s="119"/>
      <c r="CB548" s="119"/>
      <c r="CC548" s="119"/>
      <c r="CD548" s="119"/>
      <c r="CE548" s="119"/>
      <c r="CF548" s="119"/>
      <c r="CG548" s="119"/>
      <c r="CH548" s="119"/>
      <c r="CI548" s="119"/>
      <c r="CJ548" s="119"/>
      <c r="CK548" s="119"/>
      <c r="CL548" s="119"/>
      <c r="CM548" s="119"/>
      <c r="CN548" s="119"/>
      <c r="CO548" s="119"/>
      <c r="CP548" s="119"/>
      <c r="CQ548" s="119"/>
      <c r="CR548" s="119"/>
      <c r="CS548" s="119"/>
      <c r="CT548" s="119"/>
      <c r="CU548" s="119"/>
      <c r="CV548" s="119"/>
      <c r="CW548" s="119"/>
      <c r="CX548" s="119"/>
      <c r="CY548" s="119"/>
      <c r="CZ548" s="119"/>
      <c r="DA548" s="119"/>
      <c r="DB548" s="119"/>
      <c r="DC548" s="119"/>
      <c r="DD548" s="119"/>
      <c r="DE548" s="119"/>
      <c r="DF548" s="119"/>
      <c r="DG548" s="119"/>
      <c r="DH548" s="119"/>
      <c r="DI548" s="119"/>
      <c r="DJ548" s="119"/>
      <c r="DK548" s="119"/>
      <c r="DL548" s="119"/>
      <c r="DM548" s="119"/>
      <c r="DN548" s="119"/>
      <c r="DO548" s="119"/>
      <c r="DP548" s="119"/>
      <c r="DQ548" s="119"/>
      <c r="DR548" s="119"/>
      <c r="DS548" s="119"/>
      <c r="DT548" s="119"/>
      <c r="DU548" s="119"/>
      <c r="DV548" s="119"/>
      <c r="DW548" s="119"/>
      <c r="DX548" s="119"/>
      <c r="DY548" s="119"/>
      <c r="DZ548" s="119"/>
      <c r="EA548" s="119"/>
      <c r="EB548" s="119"/>
      <c r="EC548" s="119"/>
      <c r="ED548" s="119"/>
      <c r="EE548" s="119"/>
      <c r="EF548" s="119"/>
      <c r="EG548" s="119"/>
      <c r="EH548" s="119"/>
      <c r="EI548" s="119"/>
      <c r="EJ548" s="119"/>
      <c r="EK548" s="119"/>
      <c r="EL548" s="119"/>
      <c r="EM548" s="119"/>
      <c r="EN548" s="119"/>
      <c r="EO548" s="119"/>
      <c r="EP548" s="119"/>
      <c r="EQ548" s="119"/>
      <c r="ER548" s="119"/>
      <c r="ES548" s="119"/>
      <c r="ET548" s="119"/>
      <c r="EU548" s="119"/>
      <c r="EV548" s="119"/>
      <c r="EW548" s="119"/>
      <c r="EX548" s="119"/>
      <c r="EY548" s="119"/>
      <c r="EZ548" s="119"/>
      <c r="FA548" s="119"/>
      <c r="FB548" s="119"/>
      <c r="FC548" s="119"/>
      <c r="FD548" s="119"/>
      <c r="FE548" s="119"/>
      <c r="FF548" s="119"/>
      <c r="FG548" s="119"/>
      <c r="FH548" s="119"/>
      <c r="FI548" s="119"/>
      <c r="FJ548" s="119"/>
      <c r="FK548" s="119"/>
      <c r="FL548" s="119"/>
      <c r="FM548" s="119"/>
      <c r="FN548" s="119"/>
      <c r="FO548" s="119"/>
      <c r="FP548" s="119"/>
      <c r="FQ548" s="119"/>
      <c r="FR548" s="119"/>
    </row>
    <row x14ac:dyDescent="0.25" r="549" customHeight="1" ht="15">
      <c r="A549" s="121"/>
      <c r="B549" s="121"/>
      <c r="C549" s="122"/>
      <c r="D549" s="122"/>
      <c r="E549" s="123"/>
      <c r="F549" s="123"/>
      <c r="G549" s="124"/>
      <c r="H549" s="125"/>
      <c r="I549" s="126"/>
      <c r="J549" s="127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  <c r="AA549" s="119"/>
      <c r="AB549" s="119"/>
      <c r="AC549" s="119"/>
      <c r="AD549" s="119"/>
      <c r="AE549" s="119"/>
      <c r="AF549" s="119"/>
      <c r="AG549" s="119"/>
      <c r="AH549" s="119"/>
      <c r="AI549" s="119"/>
      <c r="AJ549" s="119"/>
      <c r="AK549" s="119"/>
      <c r="AL549" s="119"/>
      <c r="AM549" s="119"/>
      <c r="AN549" s="119"/>
      <c r="AO549" s="119"/>
      <c r="AP549" s="119"/>
      <c r="AQ549" s="119"/>
      <c r="AR549" s="119"/>
      <c r="AS549" s="119"/>
      <c r="AT549" s="119"/>
      <c r="AU549" s="119"/>
      <c r="AV549" s="119"/>
      <c r="AW549" s="119"/>
      <c r="AX549" s="119"/>
      <c r="AY549" s="119"/>
      <c r="AZ549" s="119"/>
      <c r="BA549" s="119"/>
      <c r="BB549" s="119"/>
      <c r="BC549" s="119"/>
      <c r="BD549" s="119"/>
      <c r="BE549" s="119"/>
      <c r="BF549" s="119"/>
      <c r="BG549" s="119"/>
      <c r="BH549" s="119"/>
      <c r="BI549" s="119"/>
      <c r="BJ549" s="119"/>
      <c r="BK549" s="119"/>
      <c r="BL549" s="119"/>
      <c r="BM549" s="119"/>
      <c r="BN549" s="119"/>
      <c r="BO549" s="119"/>
      <c r="BP549" s="119"/>
      <c r="BQ549" s="119"/>
      <c r="BR549" s="119"/>
      <c r="BS549" s="119"/>
      <c r="BT549" s="119"/>
      <c r="BU549" s="119"/>
      <c r="BV549" s="119"/>
      <c r="BW549" s="119"/>
      <c r="BX549" s="119"/>
      <c r="BY549" s="119"/>
      <c r="BZ549" s="119"/>
      <c r="CA549" s="119"/>
      <c r="CB549" s="119"/>
      <c r="CC549" s="119"/>
      <c r="CD549" s="119"/>
      <c r="CE549" s="119"/>
      <c r="CF549" s="119"/>
      <c r="CG549" s="119"/>
      <c r="CH549" s="119"/>
      <c r="CI549" s="119"/>
      <c r="CJ549" s="119"/>
      <c r="CK549" s="119"/>
      <c r="CL549" s="119"/>
      <c r="CM549" s="119"/>
      <c r="CN549" s="119"/>
      <c r="CO549" s="119"/>
      <c r="CP549" s="119"/>
      <c r="CQ549" s="119"/>
      <c r="CR549" s="119"/>
      <c r="CS549" s="119"/>
      <c r="CT549" s="119"/>
      <c r="CU549" s="119"/>
      <c r="CV549" s="119"/>
      <c r="CW549" s="119"/>
      <c r="CX549" s="119"/>
      <c r="CY549" s="119"/>
      <c r="CZ549" s="119"/>
      <c r="DA549" s="119"/>
      <c r="DB549" s="119"/>
      <c r="DC549" s="119"/>
      <c r="DD549" s="119"/>
      <c r="DE549" s="119"/>
      <c r="DF549" s="119"/>
      <c r="DG549" s="119"/>
      <c r="DH549" s="119"/>
      <c r="DI549" s="119"/>
      <c r="DJ549" s="119"/>
      <c r="DK549" s="119"/>
      <c r="DL549" s="119"/>
      <c r="DM549" s="119"/>
      <c r="DN549" s="119"/>
      <c r="DO549" s="119"/>
      <c r="DP549" s="119"/>
      <c r="DQ549" s="119"/>
      <c r="DR549" s="119"/>
      <c r="DS549" s="119"/>
      <c r="DT549" s="119"/>
      <c r="DU549" s="119"/>
      <c r="DV549" s="119"/>
      <c r="DW549" s="119"/>
      <c r="DX549" s="119"/>
      <c r="DY549" s="119"/>
      <c r="DZ549" s="119"/>
      <c r="EA549" s="119"/>
      <c r="EB549" s="119"/>
      <c r="EC549" s="119"/>
      <c r="ED549" s="119"/>
      <c r="EE549" s="119"/>
      <c r="EF549" s="119"/>
      <c r="EG549" s="119"/>
      <c r="EH549" s="119"/>
      <c r="EI549" s="119"/>
      <c r="EJ549" s="119"/>
      <c r="EK549" s="119"/>
      <c r="EL549" s="119"/>
      <c r="EM549" s="119"/>
      <c r="EN549" s="119"/>
      <c r="EO549" s="119"/>
      <c r="EP549" s="119"/>
      <c r="EQ549" s="119"/>
      <c r="ER549" s="119"/>
      <c r="ES549" s="119"/>
      <c r="ET549" s="119"/>
      <c r="EU549" s="119"/>
      <c r="EV549" s="119"/>
      <c r="EW549" s="119"/>
      <c r="EX549" s="119"/>
      <c r="EY549" s="119"/>
      <c r="EZ549" s="119"/>
      <c r="FA549" s="119"/>
      <c r="FB549" s="119"/>
      <c r="FC549" s="119"/>
      <c r="FD549" s="119"/>
      <c r="FE549" s="119"/>
      <c r="FF549" s="119"/>
      <c r="FG549" s="119"/>
      <c r="FH549" s="119"/>
      <c r="FI549" s="119"/>
      <c r="FJ549" s="119"/>
      <c r="FK549" s="119"/>
      <c r="FL549" s="119"/>
      <c r="FM549" s="119"/>
      <c r="FN549" s="119"/>
      <c r="FO549" s="119"/>
      <c r="FP549" s="119"/>
      <c r="FQ549" s="119"/>
      <c r="FR549" s="119"/>
    </row>
    <row x14ac:dyDescent="0.25" r="550" customHeight="1" ht="15">
      <c r="A550" s="121"/>
      <c r="B550" s="121"/>
      <c r="C550" s="122"/>
      <c r="D550" s="122"/>
      <c r="E550" s="123"/>
      <c r="F550" s="123"/>
      <c r="G550" s="124"/>
      <c r="H550" s="125"/>
      <c r="I550" s="126"/>
      <c r="J550" s="127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  <c r="AA550" s="119"/>
      <c r="AB550" s="119"/>
      <c r="AC550" s="119"/>
      <c r="AD550" s="119"/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/>
      <c r="AP550" s="119"/>
      <c r="AQ550" s="119"/>
      <c r="AR550" s="119"/>
      <c r="AS550" s="119"/>
      <c r="AT550" s="119"/>
      <c r="AU550" s="119"/>
      <c r="AV550" s="119"/>
      <c r="AW550" s="119"/>
      <c r="AX550" s="119"/>
      <c r="AY550" s="119"/>
      <c r="AZ550" s="119"/>
      <c r="BA550" s="119"/>
      <c r="BB550" s="119"/>
      <c r="BC550" s="119"/>
      <c r="BD550" s="119"/>
      <c r="BE550" s="119"/>
      <c r="BF550" s="119"/>
      <c r="BG550" s="119"/>
      <c r="BH550" s="119"/>
      <c r="BI550" s="119"/>
      <c r="BJ550" s="119"/>
      <c r="BK550" s="119"/>
      <c r="BL550" s="119"/>
      <c r="BM550" s="119"/>
      <c r="BN550" s="119"/>
      <c r="BO550" s="119"/>
      <c r="BP550" s="119"/>
      <c r="BQ550" s="119"/>
      <c r="BR550" s="119"/>
      <c r="BS550" s="119"/>
      <c r="BT550" s="119"/>
      <c r="BU550" s="119"/>
      <c r="BV550" s="119"/>
      <c r="BW550" s="119"/>
      <c r="BX550" s="119"/>
      <c r="BY550" s="119"/>
      <c r="BZ550" s="119"/>
      <c r="CA550" s="119"/>
      <c r="CB550" s="119"/>
      <c r="CC550" s="119"/>
      <c r="CD550" s="119"/>
      <c r="CE550" s="119"/>
      <c r="CF550" s="119"/>
      <c r="CG550" s="119"/>
      <c r="CH550" s="119"/>
      <c r="CI550" s="119"/>
      <c r="CJ550" s="119"/>
      <c r="CK550" s="119"/>
      <c r="CL550" s="119"/>
      <c r="CM550" s="119"/>
      <c r="CN550" s="119"/>
      <c r="CO550" s="119"/>
      <c r="CP550" s="119"/>
      <c r="CQ550" s="119"/>
      <c r="CR550" s="119"/>
      <c r="CS550" s="119"/>
      <c r="CT550" s="119"/>
      <c r="CU550" s="119"/>
      <c r="CV550" s="119"/>
      <c r="CW550" s="119"/>
      <c r="CX550" s="119"/>
      <c r="CY550" s="119"/>
      <c r="CZ550" s="119"/>
      <c r="DA550" s="119"/>
      <c r="DB550" s="119"/>
      <c r="DC550" s="119"/>
      <c r="DD550" s="119"/>
      <c r="DE550" s="119"/>
      <c r="DF550" s="119"/>
      <c r="DG550" s="119"/>
      <c r="DH550" s="119"/>
      <c r="DI550" s="119"/>
      <c r="DJ550" s="119"/>
      <c r="DK550" s="119"/>
      <c r="DL550" s="119"/>
      <c r="DM550" s="119"/>
      <c r="DN550" s="119"/>
      <c r="DO550" s="119"/>
      <c r="DP550" s="119"/>
      <c r="DQ550" s="119"/>
      <c r="DR550" s="119"/>
      <c r="DS550" s="119"/>
      <c r="DT550" s="119"/>
      <c r="DU550" s="119"/>
      <c r="DV550" s="119"/>
      <c r="DW550" s="119"/>
      <c r="DX550" s="119"/>
      <c r="DY550" s="119"/>
      <c r="DZ550" s="119"/>
      <c r="EA550" s="119"/>
      <c r="EB550" s="119"/>
      <c r="EC550" s="119"/>
      <c r="ED550" s="119"/>
      <c r="EE550" s="119"/>
      <c r="EF550" s="119"/>
      <c r="EG550" s="119"/>
      <c r="EH550" s="119"/>
      <c r="EI550" s="119"/>
      <c r="EJ550" s="119"/>
      <c r="EK550" s="119"/>
      <c r="EL550" s="119"/>
      <c r="EM550" s="119"/>
      <c r="EN550" s="119"/>
      <c r="EO550" s="119"/>
      <c r="EP550" s="119"/>
      <c r="EQ550" s="119"/>
      <c r="ER550" s="119"/>
      <c r="ES550" s="119"/>
      <c r="ET550" s="119"/>
      <c r="EU550" s="119"/>
      <c r="EV550" s="119"/>
      <c r="EW550" s="119"/>
      <c r="EX550" s="119"/>
      <c r="EY550" s="119"/>
      <c r="EZ550" s="119"/>
      <c r="FA550" s="119"/>
      <c r="FB550" s="119"/>
      <c r="FC550" s="119"/>
      <c r="FD550" s="119"/>
      <c r="FE550" s="119"/>
      <c r="FF550" s="119"/>
      <c r="FG550" s="119"/>
      <c r="FH550" s="119"/>
      <c r="FI550" s="119"/>
      <c r="FJ550" s="119"/>
      <c r="FK550" s="119"/>
      <c r="FL550" s="119"/>
      <c r="FM550" s="119"/>
      <c r="FN550" s="119"/>
      <c r="FO550" s="119"/>
      <c r="FP550" s="119"/>
      <c r="FQ550" s="119"/>
      <c r="FR550" s="119"/>
    </row>
    <row x14ac:dyDescent="0.25" r="551" customHeight="1" ht="15">
      <c r="A551" s="121"/>
      <c r="B551" s="121"/>
      <c r="C551" s="122"/>
      <c r="D551" s="122"/>
      <c r="E551" s="123"/>
      <c r="F551" s="123"/>
      <c r="G551" s="124"/>
      <c r="H551" s="125"/>
      <c r="I551" s="126"/>
      <c r="J551" s="127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  <c r="AA551" s="119"/>
      <c r="AB551" s="119"/>
      <c r="AC551" s="119"/>
      <c r="AD551" s="119"/>
      <c r="AE551" s="119"/>
      <c r="AF551" s="119"/>
      <c r="AG551" s="119"/>
      <c r="AH551" s="119"/>
      <c r="AI551" s="119"/>
      <c r="AJ551" s="119"/>
      <c r="AK551" s="119"/>
      <c r="AL551" s="119"/>
      <c r="AM551" s="119"/>
      <c r="AN551" s="119"/>
      <c r="AO551" s="119"/>
      <c r="AP551" s="119"/>
      <c r="AQ551" s="119"/>
      <c r="AR551" s="119"/>
      <c r="AS551" s="119"/>
      <c r="AT551" s="119"/>
      <c r="AU551" s="119"/>
      <c r="AV551" s="119"/>
      <c r="AW551" s="119"/>
      <c r="AX551" s="119"/>
      <c r="AY551" s="119"/>
      <c r="AZ551" s="119"/>
      <c r="BA551" s="119"/>
      <c r="BB551" s="119"/>
      <c r="BC551" s="119"/>
      <c r="BD551" s="119"/>
      <c r="BE551" s="119"/>
      <c r="BF551" s="119"/>
      <c r="BG551" s="119"/>
      <c r="BH551" s="119"/>
      <c r="BI551" s="119"/>
      <c r="BJ551" s="119"/>
      <c r="BK551" s="119"/>
      <c r="BL551" s="119"/>
      <c r="BM551" s="119"/>
      <c r="BN551" s="119"/>
      <c r="BO551" s="119"/>
      <c r="BP551" s="119"/>
      <c r="BQ551" s="119"/>
      <c r="BR551" s="119"/>
      <c r="BS551" s="119"/>
      <c r="BT551" s="119"/>
      <c r="BU551" s="119"/>
      <c r="BV551" s="119"/>
      <c r="BW551" s="119"/>
      <c r="BX551" s="119"/>
      <c r="BY551" s="119"/>
      <c r="BZ551" s="119"/>
      <c r="CA551" s="119"/>
      <c r="CB551" s="119"/>
      <c r="CC551" s="119"/>
      <c r="CD551" s="119"/>
      <c r="CE551" s="119"/>
      <c r="CF551" s="119"/>
      <c r="CG551" s="119"/>
      <c r="CH551" s="119"/>
      <c r="CI551" s="119"/>
      <c r="CJ551" s="119"/>
      <c r="CK551" s="119"/>
      <c r="CL551" s="119"/>
      <c r="CM551" s="119"/>
      <c r="CN551" s="119"/>
      <c r="CO551" s="119"/>
      <c r="CP551" s="119"/>
      <c r="CQ551" s="119"/>
      <c r="CR551" s="119"/>
      <c r="CS551" s="119"/>
      <c r="CT551" s="119"/>
      <c r="CU551" s="119"/>
      <c r="CV551" s="119"/>
      <c r="CW551" s="119"/>
      <c r="CX551" s="119"/>
      <c r="CY551" s="119"/>
      <c r="CZ551" s="119"/>
      <c r="DA551" s="119"/>
      <c r="DB551" s="119"/>
      <c r="DC551" s="119"/>
      <c r="DD551" s="119"/>
      <c r="DE551" s="119"/>
      <c r="DF551" s="119"/>
      <c r="DG551" s="119"/>
      <c r="DH551" s="119"/>
      <c r="DI551" s="119"/>
      <c r="DJ551" s="119"/>
      <c r="DK551" s="119"/>
      <c r="DL551" s="119"/>
      <c r="DM551" s="119"/>
      <c r="DN551" s="119"/>
      <c r="DO551" s="119"/>
      <c r="DP551" s="119"/>
      <c r="DQ551" s="119"/>
      <c r="DR551" s="119"/>
      <c r="DS551" s="119"/>
      <c r="DT551" s="119"/>
      <c r="DU551" s="119"/>
      <c r="DV551" s="119"/>
      <c r="DW551" s="119"/>
      <c r="DX551" s="119"/>
      <c r="DY551" s="119"/>
      <c r="DZ551" s="119"/>
      <c r="EA551" s="119"/>
      <c r="EB551" s="119"/>
      <c r="EC551" s="119"/>
      <c r="ED551" s="119"/>
      <c r="EE551" s="119"/>
      <c r="EF551" s="119"/>
      <c r="EG551" s="119"/>
      <c r="EH551" s="119"/>
      <c r="EI551" s="119"/>
      <c r="EJ551" s="119"/>
      <c r="EK551" s="119"/>
      <c r="EL551" s="119"/>
      <c r="EM551" s="119"/>
      <c r="EN551" s="119"/>
      <c r="EO551" s="119"/>
      <c r="EP551" s="119"/>
      <c r="EQ551" s="119"/>
      <c r="ER551" s="119"/>
      <c r="ES551" s="119"/>
      <c r="ET551" s="119"/>
      <c r="EU551" s="119"/>
      <c r="EV551" s="119"/>
      <c r="EW551" s="119"/>
      <c r="EX551" s="119"/>
      <c r="EY551" s="119"/>
      <c r="EZ551" s="119"/>
      <c r="FA551" s="119"/>
      <c r="FB551" s="119"/>
      <c r="FC551" s="119"/>
      <c r="FD551" s="119"/>
      <c r="FE551" s="119"/>
      <c r="FF551" s="119"/>
      <c r="FG551" s="119"/>
      <c r="FH551" s="119"/>
      <c r="FI551" s="119"/>
      <c r="FJ551" s="119"/>
      <c r="FK551" s="119"/>
      <c r="FL551" s="119"/>
      <c r="FM551" s="119"/>
      <c r="FN551" s="119"/>
      <c r="FO551" s="119"/>
      <c r="FP551" s="119"/>
      <c r="FQ551" s="119"/>
      <c r="FR551" s="119"/>
    </row>
    <row x14ac:dyDescent="0.25" r="552" customHeight="1" ht="15">
      <c r="A552" s="121"/>
      <c r="B552" s="121"/>
      <c r="C552" s="122"/>
      <c r="D552" s="122"/>
      <c r="E552" s="123"/>
      <c r="F552" s="123"/>
      <c r="G552" s="124"/>
      <c r="H552" s="125"/>
      <c r="I552" s="126"/>
      <c r="J552" s="127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  <c r="AA552" s="119"/>
      <c r="AB552" s="119"/>
      <c r="AC552" s="119"/>
      <c r="AD552" s="119"/>
      <c r="AE552" s="119"/>
      <c r="AF552" s="119"/>
      <c r="AG552" s="119"/>
      <c r="AH552" s="119"/>
      <c r="AI552" s="119"/>
      <c r="AJ552" s="119"/>
      <c r="AK552" s="119"/>
      <c r="AL552" s="119"/>
      <c r="AM552" s="119"/>
      <c r="AN552" s="119"/>
      <c r="AO552" s="119"/>
      <c r="AP552" s="119"/>
      <c r="AQ552" s="119"/>
      <c r="AR552" s="119"/>
      <c r="AS552" s="119"/>
      <c r="AT552" s="119"/>
      <c r="AU552" s="119"/>
      <c r="AV552" s="119"/>
      <c r="AW552" s="119"/>
      <c r="AX552" s="119"/>
      <c r="AY552" s="119"/>
      <c r="AZ552" s="119"/>
      <c r="BA552" s="119"/>
      <c r="BB552" s="119"/>
      <c r="BC552" s="119"/>
      <c r="BD552" s="119"/>
      <c r="BE552" s="119"/>
      <c r="BF552" s="119"/>
      <c r="BG552" s="119"/>
      <c r="BH552" s="119"/>
      <c r="BI552" s="119"/>
      <c r="BJ552" s="119"/>
      <c r="BK552" s="119"/>
      <c r="BL552" s="119"/>
      <c r="BM552" s="119"/>
      <c r="BN552" s="119"/>
      <c r="BO552" s="119"/>
      <c r="BP552" s="119"/>
      <c r="BQ552" s="119"/>
      <c r="BR552" s="119"/>
      <c r="BS552" s="119"/>
      <c r="BT552" s="119"/>
      <c r="BU552" s="119"/>
      <c r="BV552" s="119"/>
      <c r="BW552" s="119"/>
      <c r="BX552" s="119"/>
      <c r="BY552" s="119"/>
      <c r="BZ552" s="119"/>
      <c r="CA552" s="119"/>
      <c r="CB552" s="119"/>
      <c r="CC552" s="119"/>
      <c r="CD552" s="119"/>
      <c r="CE552" s="119"/>
      <c r="CF552" s="119"/>
      <c r="CG552" s="119"/>
      <c r="CH552" s="119"/>
      <c r="CI552" s="119"/>
      <c r="CJ552" s="119"/>
      <c r="CK552" s="119"/>
      <c r="CL552" s="119"/>
      <c r="CM552" s="119"/>
      <c r="CN552" s="119"/>
      <c r="CO552" s="119"/>
      <c r="CP552" s="119"/>
      <c r="CQ552" s="119"/>
      <c r="CR552" s="119"/>
      <c r="CS552" s="119"/>
      <c r="CT552" s="119"/>
      <c r="CU552" s="119"/>
      <c r="CV552" s="119"/>
      <c r="CW552" s="119"/>
      <c r="CX552" s="119"/>
      <c r="CY552" s="119"/>
      <c r="CZ552" s="119"/>
      <c r="DA552" s="119"/>
      <c r="DB552" s="119"/>
      <c r="DC552" s="119"/>
      <c r="DD552" s="119"/>
      <c r="DE552" s="119"/>
      <c r="DF552" s="119"/>
      <c r="DG552" s="119"/>
      <c r="DH552" s="119"/>
      <c r="DI552" s="119"/>
      <c r="DJ552" s="119"/>
      <c r="DK552" s="119"/>
      <c r="DL552" s="119"/>
      <c r="DM552" s="119"/>
      <c r="DN552" s="119"/>
      <c r="DO552" s="119"/>
      <c r="DP552" s="119"/>
      <c r="DQ552" s="119"/>
      <c r="DR552" s="119"/>
      <c r="DS552" s="119"/>
      <c r="DT552" s="119"/>
      <c r="DU552" s="119"/>
      <c r="DV552" s="119"/>
      <c r="DW552" s="119"/>
      <c r="DX552" s="119"/>
      <c r="DY552" s="119"/>
      <c r="DZ552" s="119"/>
      <c r="EA552" s="119"/>
      <c r="EB552" s="119"/>
      <c r="EC552" s="119"/>
      <c r="ED552" s="119"/>
      <c r="EE552" s="119"/>
      <c r="EF552" s="119"/>
      <c r="EG552" s="119"/>
      <c r="EH552" s="119"/>
      <c r="EI552" s="119"/>
      <c r="EJ552" s="119"/>
      <c r="EK552" s="119"/>
      <c r="EL552" s="119"/>
      <c r="EM552" s="119"/>
      <c r="EN552" s="119"/>
      <c r="EO552" s="119"/>
      <c r="EP552" s="119"/>
      <c r="EQ552" s="119"/>
      <c r="ER552" s="119"/>
      <c r="ES552" s="119"/>
      <c r="ET552" s="119"/>
      <c r="EU552" s="119"/>
      <c r="EV552" s="119"/>
      <c r="EW552" s="119"/>
      <c r="EX552" s="119"/>
      <c r="EY552" s="119"/>
      <c r="EZ552" s="119"/>
      <c r="FA552" s="119"/>
      <c r="FB552" s="119"/>
      <c r="FC552" s="119"/>
      <c r="FD552" s="119"/>
      <c r="FE552" s="119"/>
      <c r="FF552" s="119"/>
      <c r="FG552" s="119"/>
      <c r="FH552" s="119"/>
      <c r="FI552" s="119"/>
      <c r="FJ552" s="119"/>
      <c r="FK552" s="119"/>
      <c r="FL552" s="119"/>
      <c r="FM552" s="119"/>
      <c r="FN552" s="119"/>
      <c r="FO552" s="119"/>
      <c r="FP552" s="119"/>
      <c r="FQ552" s="119"/>
      <c r="FR552" s="119"/>
    </row>
    <row x14ac:dyDescent="0.25" r="553" customHeight="1" ht="15">
      <c r="A553" s="121"/>
      <c r="B553" s="121"/>
      <c r="C553" s="122"/>
      <c r="D553" s="122"/>
      <c r="E553" s="123"/>
      <c r="F553" s="123"/>
      <c r="G553" s="124"/>
      <c r="H553" s="125"/>
      <c r="I553" s="126"/>
      <c r="J553" s="127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  <c r="AA553" s="119"/>
      <c r="AB553" s="119"/>
      <c r="AC553" s="119"/>
      <c r="AD553" s="119"/>
      <c r="AE553" s="119"/>
      <c r="AF553" s="119"/>
      <c r="AG553" s="119"/>
      <c r="AH553" s="119"/>
      <c r="AI553" s="119"/>
      <c r="AJ553" s="119"/>
      <c r="AK553" s="119"/>
      <c r="AL553" s="119"/>
      <c r="AM553" s="119"/>
      <c r="AN553" s="119"/>
      <c r="AO553" s="119"/>
      <c r="AP553" s="119"/>
      <c r="AQ553" s="119"/>
      <c r="AR553" s="119"/>
      <c r="AS553" s="119"/>
      <c r="AT553" s="119"/>
      <c r="AU553" s="119"/>
      <c r="AV553" s="119"/>
      <c r="AW553" s="119"/>
      <c r="AX553" s="119"/>
      <c r="AY553" s="119"/>
      <c r="AZ553" s="119"/>
      <c r="BA553" s="119"/>
      <c r="BB553" s="119"/>
      <c r="BC553" s="119"/>
      <c r="BD553" s="119"/>
      <c r="BE553" s="119"/>
      <c r="BF553" s="119"/>
      <c r="BG553" s="119"/>
      <c r="BH553" s="119"/>
      <c r="BI553" s="119"/>
      <c r="BJ553" s="119"/>
      <c r="BK553" s="119"/>
      <c r="BL553" s="119"/>
      <c r="BM553" s="119"/>
      <c r="BN553" s="119"/>
      <c r="BO553" s="119"/>
      <c r="BP553" s="119"/>
      <c r="BQ553" s="119"/>
      <c r="BR553" s="119"/>
      <c r="BS553" s="119"/>
      <c r="BT553" s="119"/>
      <c r="BU553" s="119"/>
      <c r="BV553" s="119"/>
      <c r="BW553" s="119"/>
      <c r="BX553" s="119"/>
      <c r="BY553" s="119"/>
      <c r="BZ553" s="119"/>
      <c r="CA553" s="119"/>
      <c r="CB553" s="119"/>
      <c r="CC553" s="119"/>
      <c r="CD553" s="119"/>
      <c r="CE553" s="119"/>
      <c r="CF553" s="119"/>
      <c r="CG553" s="119"/>
      <c r="CH553" s="119"/>
      <c r="CI553" s="119"/>
      <c r="CJ553" s="119"/>
      <c r="CK553" s="119"/>
      <c r="CL553" s="119"/>
      <c r="CM553" s="119"/>
      <c r="CN553" s="119"/>
      <c r="CO553" s="119"/>
      <c r="CP553" s="119"/>
      <c r="CQ553" s="119"/>
      <c r="CR553" s="119"/>
      <c r="CS553" s="119"/>
      <c r="CT553" s="119"/>
      <c r="CU553" s="119"/>
      <c r="CV553" s="119"/>
      <c r="CW553" s="119"/>
      <c r="CX553" s="119"/>
      <c r="CY553" s="119"/>
      <c r="CZ553" s="119"/>
      <c r="DA553" s="119"/>
      <c r="DB553" s="119"/>
      <c r="DC553" s="119"/>
      <c r="DD553" s="119"/>
      <c r="DE553" s="119"/>
      <c r="DF553" s="119"/>
      <c r="DG553" s="119"/>
      <c r="DH553" s="119"/>
      <c r="DI553" s="119"/>
      <c r="DJ553" s="119"/>
      <c r="DK553" s="119"/>
      <c r="DL553" s="119"/>
      <c r="DM553" s="119"/>
      <c r="DN553" s="119"/>
      <c r="DO553" s="119"/>
      <c r="DP553" s="119"/>
      <c r="DQ553" s="119"/>
      <c r="DR553" s="119"/>
      <c r="DS553" s="119"/>
      <c r="DT553" s="119"/>
      <c r="DU553" s="119"/>
      <c r="DV553" s="119"/>
      <c r="DW553" s="119"/>
      <c r="DX553" s="119"/>
      <c r="DY553" s="119"/>
      <c r="DZ553" s="119"/>
      <c r="EA553" s="119"/>
      <c r="EB553" s="119"/>
      <c r="EC553" s="119"/>
      <c r="ED553" s="119"/>
      <c r="EE553" s="119"/>
      <c r="EF553" s="119"/>
      <c r="EG553" s="119"/>
      <c r="EH553" s="119"/>
      <c r="EI553" s="119"/>
      <c r="EJ553" s="119"/>
      <c r="EK553" s="119"/>
      <c r="EL553" s="119"/>
      <c r="EM553" s="119"/>
      <c r="EN553" s="119"/>
      <c r="EO553" s="119"/>
      <c r="EP553" s="119"/>
      <c r="EQ553" s="119"/>
      <c r="ER553" s="119"/>
      <c r="ES553" s="119"/>
      <c r="ET553" s="119"/>
      <c r="EU553" s="119"/>
      <c r="EV553" s="119"/>
      <c r="EW553" s="119"/>
      <c r="EX553" s="119"/>
      <c r="EY553" s="119"/>
      <c r="EZ553" s="119"/>
      <c r="FA553" s="119"/>
      <c r="FB553" s="119"/>
      <c r="FC553" s="119"/>
      <c r="FD553" s="119"/>
      <c r="FE553" s="119"/>
      <c r="FF553" s="119"/>
      <c r="FG553" s="119"/>
      <c r="FH553" s="119"/>
      <c r="FI553" s="119"/>
      <c r="FJ553" s="119"/>
      <c r="FK553" s="119"/>
      <c r="FL553" s="119"/>
      <c r="FM553" s="119"/>
      <c r="FN553" s="119"/>
      <c r="FO553" s="119"/>
      <c r="FP553" s="119"/>
      <c r="FQ553" s="119"/>
      <c r="FR553" s="119"/>
    </row>
    <row x14ac:dyDescent="0.25" r="554" customHeight="1" ht="15">
      <c r="A554" s="121"/>
      <c r="B554" s="121"/>
      <c r="C554" s="122"/>
      <c r="D554" s="122"/>
      <c r="E554" s="123"/>
      <c r="F554" s="123"/>
      <c r="G554" s="124"/>
      <c r="H554" s="125"/>
      <c r="I554" s="126"/>
      <c r="J554" s="127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  <c r="AA554" s="119"/>
      <c r="AB554" s="119"/>
      <c r="AC554" s="119"/>
      <c r="AD554" s="119"/>
      <c r="AE554" s="119"/>
      <c r="AF554" s="119"/>
      <c r="AG554" s="119"/>
      <c r="AH554" s="119"/>
      <c r="AI554" s="119"/>
      <c r="AJ554" s="119"/>
      <c r="AK554" s="119"/>
      <c r="AL554" s="119"/>
      <c r="AM554" s="119"/>
      <c r="AN554" s="119"/>
      <c r="AO554" s="119"/>
      <c r="AP554" s="119"/>
      <c r="AQ554" s="119"/>
      <c r="AR554" s="119"/>
      <c r="AS554" s="119"/>
      <c r="AT554" s="119"/>
      <c r="AU554" s="119"/>
      <c r="AV554" s="119"/>
      <c r="AW554" s="119"/>
      <c r="AX554" s="119"/>
      <c r="AY554" s="119"/>
      <c r="AZ554" s="119"/>
      <c r="BA554" s="119"/>
      <c r="BB554" s="119"/>
      <c r="BC554" s="119"/>
      <c r="BD554" s="119"/>
      <c r="BE554" s="119"/>
      <c r="BF554" s="119"/>
      <c r="BG554" s="119"/>
      <c r="BH554" s="119"/>
      <c r="BI554" s="119"/>
      <c r="BJ554" s="119"/>
      <c r="BK554" s="119"/>
      <c r="BL554" s="119"/>
      <c r="BM554" s="119"/>
      <c r="BN554" s="119"/>
      <c r="BO554" s="119"/>
      <c r="BP554" s="119"/>
      <c r="BQ554" s="119"/>
      <c r="BR554" s="119"/>
      <c r="BS554" s="119"/>
      <c r="BT554" s="119"/>
      <c r="BU554" s="119"/>
      <c r="BV554" s="119"/>
      <c r="BW554" s="119"/>
      <c r="BX554" s="119"/>
      <c r="BY554" s="119"/>
      <c r="BZ554" s="119"/>
      <c r="CA554" s="119"/>
      <c r="CB554" s="119"/>
      <c r="CC554" s="119"/>
      <c r="CD554" s="119"/>
      <c r="CE554" s="119"/>
      <c r="CF554" s="119"/>
      <c r="CG554" s="119"/>
      <c r="CH554" s="119"/>
      <c r="CI554" s="119"/>
      <c r="CJ554" s="119"/>
      <c r="CK554" s="119"/>
      <c r="CL554" s="119"/>
      <c r="CM554" s="119"/>
      <c r="CN554" s="119"/>
      <c r="CO554" s="119"/>
      <c r="CP554" s="119"/>
      <c r="CQ554" s="119"/>
      <c r="CR554" s="119"/>
      <c r="CS554" s="119"/>
      <c r="CT554" s="119"/>
      <c r="CU554" s="119"/>
      <c r="CV554" s="119"/>
      <c r="CW554" s="119"/>
      <c r="CX554" s="119"/>
      <c r="CY554" s="119"/>
      <c r="CZ554" s="119"/>
      <c r="DA554" s="119"/>
      <c r="DB554" s="119"/>
      <c r="DC554" s="119"/>
      <c r="DD554" s="119"/>
      <c r="DE554" s="119"/>
      <c r="DF554" s="119"/>
      <c r="DG554" s="119"/>
      <c r="DH554" s="119"/>
      <c r="DI554" s="119"/>
      <c r="DJ554" s="119"/>
      <c r="DK554" s="119"/>
      <c r="DL554" s="119"/>
      <c r="DM554" s="119"/>
      <c r="DN554" s="119"/>
      <c r="DO554" s="119"/>
      <c r="DP554" s="119"/>
      <c r="DQ554" s="119"/>
      <c r="DR554" s="119"/>
      <c r="DS554" s="119"/>
      <c r="DT554" s="119"/>
      <c r="DU554" s="119"/>
      <c r="DV554" s="119"/>
      <c r="DW554" s="119"/>
      <c r="DX554" s="119"/>
      <c r="DY554" s="119"/>
      <c r="DZ554" s="119"/>
      <c r="EA554" s="119"/>
      <c r="EB554" s="119"/>
      <c r="EC554" s="119"/>
      <c r="ED554" s="119"/>
      <c r="EE554" s="119"/>
      <c r="EF554" s="119"/>
      <c r="EG554" s="119"/>
      <c r="EH554" s="119"/>
      <c r="EI554" s="119"/>
      <c r="EJ554" s="119"/>
      <c r="EK554" s="119"/>
      <c r="EL554" s="119"/>
      <c r="EM554" s="119"/>
      <c r="EN554" s="119"/>
      <c r="EO554" s="119"/>
      <c r="EP554" s="119"/>
      <c r="EQ554" s="119"/>
      <c r="ER554" s="119"/>
      <c r="ES554" s="119"/>
      <c r="ET554" s="119"/>
      <c r="EU554" s="119"/>
      <c r="EV554" s="119"/>
      <c r="EW554" s="119"/>
      <c r="EX554" s="119"/>
      <c r="EY554" s="119"/>
      <c r="EZ554" s="119"/>
      <c r="FA554" s="119"/>
      <c r="FB554" s="119"/>
      <c r="FC554" s="119"/>
      <c r="FD554" s="119"/>
      <c r="FE554" s="119"/>
      <c r="FF554" s="119"/>
      <c r="FG554" s="119"/>
      <c r="FH554" s="119"/>
      <c r="FI554" s="119"/>
      <c r="FJ554" s="119"/>
      <c r="FK554" s="119"/>
      <c r="FL554" s="119"/>
      <c r="FM554" s="119"/>
      <c r="FN554" s="119"/>
      <c r="FO554" s="119"/>
      <c r="FP554" s="119"/>
      <c r="FQ554" s="119"/>
      <c r="FR554" s="119"/>
    </row>
    <row x14ac:dyDescent="0.25" r="555" customHeight="1" ht="15">
      <c r="A555" s="121"/>
      <c r="B555" s="121"/>
      <c r="C555" s="122"/>
      <c r="D555" s="122"/>
      <c r="E555" s="123"/>
      <c r="F555" s="123"/>
      <c r="G555" s="124"/>
      <c r="H555" s="125"/>
      <c r="I555" s="126"/>
      <c r="J555" s="127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  <c r="AA555" s="119"/>
      <c r="AB555" s="119"/>
      <c r="AC555" s="119"/>
      <c r="AD555" s="119"/>
      <c r="AE555" s="119"/>
      <c r="AF555" s="119"/>
      <c r="AG555" s="119"/>
      <c r="AH555" s="119"/>
      <c r="AI555" s="119"/>
      <c r="AJ555" s="119"/>
      <c r="AK555" s="119"/>
      <c r="AL555" s="119"/>
      <c r="AM555" s="119"/>
      <c r="AN555" s="119"/>
      <c r="AO555" s="119"/>
      <c r="AP555" s="119"/>
      <c r="AQ555" s="119"/>
      <c r="AR555" s="119"/>
      <c r="AS555" s="119"/>
      <c r="AT555" s="119"/>
      <c r="AU555" s="119"/>
      <c r="AV555" s="119"/>
      <c r="AW555" s="119"/>
      <c r="AX555" s="119"/>
      <c r="AY555" s="119"/>
      <c r="AZ555" s="119"/>
      <c r="BA555" s="119"/>
      <c r="BB555" s="119"/>
      <c r="BC555" s="119"/>
      <c r="BD555" s="119"/>
      <c r="BE555" s="119"/>
      <c r="BF555" s="119"/>
      <c r="BG555" s="119"/>
      <c r="BH555" s="119"/>
      <c r="BI555" s="119"/>
      <c r="BJ555" s="119"/>
      <c r="BK555" s="119"/>
      <c r="BL555" s="119"/>
      <c r="BM555" s="119"/>
      <c r="BN555" s="119"/>
      <c r="BO555" s="119"/>
      <c r="BP555" s="119"/>
      <c r="BQ555" s="119"/>
      <c r="BR555" s="119"/>
      <c r="BS555" s="119"/>
      <c r="BT555" s="119"/>
      <c r="BU555" s="119"/>
      <c r="BV555" s="119"/>
      <c r="BW555" s="119"/>
      <c r="BX555" s="119"/>
      <c r="BY555" s="119"/>
      <c r="BZ555" s="119"/>
      <c r="CA555" s="119"/>
      <c r="CB555" s="119"/>
      <c r="CC555" s="119"/>
      <c r="CD555" s="119"/>
      <c r="CE555" s="119"/>
      <c r="CF555" s="119"/>
      <c r="CG555" s="119"/>
      <c r="CH555" s="119"/>
      <c r="CI555" s="119"/>
      <c r="CJ555" s="119"/>
      <c r="CK555" s="119"/>
      <c r="CL555" s="119"/>
      <c r="CM555" s="119"/>
      <c r="CN555" s="119"/>
      <c r="CO555" s="119"/>
      <c r="CP555" s="119"/>
      <c r="CQ555" s="119"/>
      <c r="CR555" s="119"/>
      <c r="CS555" s="119"/>
      <c r="CT555" s="119"/>
      <c r="CU555" s="119"/>
      <c r="CV555" s="119"/>
      <c r="CW555" s="119"/>
      <c r="CX555" s="119"/>
      <c r="CY555" s="119"/>
      <c r="CZ555" s="119"/>
      <c r="DA555" s="119"/>
      <c r="DB555" s="119"/>
      <c r="DC555" s="119"/>
      <c r="DD555" s="119"/>
      <c r="DE555" s="119"/>
      <c r="DF555" s="119"/>
      <c r="DG555" s="119"/>
      <c r="DH555" s="119"/>
      <c r="DI555" s="119"/>
      <c r="DJ555" s="119"/>
      <c r="DK555" s="119"/>
      <c r="DL555" s="119"/>
      <c r="DM555" s="119"/>
      <c r="DN555" s="119"/>
      <c r="DO555" s="119"/>
      <c r="DP555" s="119"/>
      <c r="DQ555" s="119"/>
      <c r="DR555" s="119"/>
      <c r="DS555" s="119"/>
      <c r="DT555" s="119"/>
      <c r="DU555" s="119"/>
      <c r="DV555" s="119"/>
      <c r="DW555" s="119"/>
      <c r="DX555" s="119"/>
      <c r="DY555" s="119"/>
      <c r="DZ555" s="119"/>
      <c r="EA555" s="119"/>
      <c r="EB555" s="119"/>
      <c r="EC555" s="119"/>
      <c r="ED555" s="119"/>
      <c r="EE555" s="119"/>
      <c r="EF555" s="119"/>
      <c r="EG555" s="119"/>
      <c r="EH555" s="119"/>
      <c r="EI555" s="119"/>
      <c r="EJ555" s="119"/>
      <c r="EK555" s="119"/>
      <c r="EL555" s="119"/>
      <c r="EM555" s="119"/>
      <c r="EN555" s="119"/>
      <c r="EO555" s="119"/>
      <c r="EP555" s="119"/>
      <c r="EQ555" s="119"/>
      <c r="ER555" s="119"/>
      <c r="ES555" s="119"/>
      <c r="ET555" s="119"/>
      <c r="EU555" s="119"/>
      <c r="EV555" s="119"/>
      <c r="EW555" s="119"/>
      <c r="EX555" s="119"/>
      <c r="EY555" s="119"/>
      <c r="EZ555" s="119"/>
      <c r="FA555" s="119"/>
      <c r="FB555" s="119"/>
      <c r="FC555" s="119"/>
      <c r="FD555" s="119"/>
      <c r="FE555" s="119"/>
      <c r="FF555" s="119"/>
      <c r="FG555" s="119"/>
      <c r="FH555" s="119"/>
      <c r="FI555" s="119"/>
      <c r="FJ555" s="119"/>
      <c r="FK555" s="119"/>
      <c r="FL555" s="119"/>
      <c r="FM555" s="119"/>
      <c r="FN555" s="119"/>
      <c r="FO555" s="119"/>
      <c r="FP555" s="119"/>
      <c r="FQ555" s="119"/>
      <c r="FR555" s="119"/>
    </row>
    <row x14ac:dyDescent="0.25" r="556" customHeight="1" ht="15">
      <c r="A556" s="121"/>
      <c r="B556" s="121"/>
      <c r="C556" s="122"/>
      <c r="D556" s="122"/>
      <c r="E556" s="123"/>
      <c r="F556" s="123"/>
      <c r="G556" s="124"/>
      <c r="H556" s="125"/>
      <c r="I556" s="126"/>
      <c r="J556" s="127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  <c r="AA556" s="119"/>
      <c r="AB556" s="119"/>
      <c r="AC556" s="119"/>
      <c r="AD556" s="119"/>
      <c r="AE556" s="119"/>
      <c r="AF556" s="119"/>
      <c r="AG556" s="119"/>
      <c r="AH556" s="119"/>
      <c r="AI556" s="119"/>
      <c r="AJ556" s="119"/>
      <c r="AK556" s="119"/>
      <c r="AL556" s="119"/>
      <c r="AM556" s="119"/>
      <c r="AN556" s="119"/>
      <c r="AO556" s="119"/>
      <c r="AP556" s="119"/>
      <c r="AQ556" s="119"/>
      <c r="AR556" s="119"/>
      <c r="AS556" s="119"/>
      <c r="AT556" s="119"/>
      <c r="AU556" s="119"/>
      <c r="AV556" s="119"/>
      <c r="AW556" s="119"/>
      <c r="AX556" s="119"/>
      <c r="AY556" s="119"/>
      <c r="AZ556" s="119"/>
      <c r="BA556" s="119"/>
      <c r="BB556" s="119"/>
      <c r="BC556" s="119"/>
      <c r="BD556" s="119"/>
      <c r="BE556" s="119"/>
      <c r="BF556" s="119"/>
      <c r="BG556" s="119"/>
      <c r="BH556" s="119"/>
      <c r="BI556" s="119"/>
      <c r="BJ556" s="119"/>
      <c r="BK556" s="119"/>
      <c r="BL556" s="119"/>
      <c r="BM556" s="119"/>
      <c r="BN556" s="119"/>
      <c r="BO556" s="119"/>
      <c r="BP556" s="119"/>
      <c r="BQ556" s="119"/>
      <c r="BR556" s="119"/>
      <c r="BS556" s="119"/>
      <c r="BT556" s="119"/>
      <c r="BU556" s="119"/>
      <c r="BV556" s="119"/>
      <c r="BW556" s="119"/>
      <c r="BX556" s="119"/>
      <c r="BY556" s="119"/>
      <c r="BZ556" s="119"/>
      <c r="CA556" s="119"/>
      <c r="CB556" s="119"/>
      <c r="CC556" s="119"/>
      <c r="CD556" s="119"/>
      <c r="CE556" s="119"/>
      <c r="CF556" s="119"/>
      <c r="CG556" s="119"/>
      <c r="CH556" s="119"/>
      <c r="CI556" s="119"/>
      <c r="CJ556" s="119"/>
      <c r="CK556" s="119"/>
      <c r="CL556" s="119"/>
      <c r="CM556" s="119"/>
      <c r="CN556" s="119"/>
      <c r="CO556" s="119"/>
      <c r="CP556" s="119"/>
      <c r="CQ556" s="119"/>
      <c r="CR556" s="119"/>
      <c r="CS556" s="119"/>
      <c r="CT556" s="119"/>
      <c r="CU556" s="119"/>
      <c r="CV556" s="119"/>
      <c r="CW556" s="119"/>
      <c r="CX556" s="119"/>
      <c r="CY556" s="119"/>
      <c r="CZ556" s="119"/>
      <c r="DA556" s="119"/>
      <c r="DB556" s="119"/>
      <c r="DC556" s="119"/>
      <c r="DD556" s="119"/>
      <c r="DE556" s="119"/>
      <c r="DF556" s="119"/>
      <c r="DG556" s="119"/>
      <c r="DH556" s="119"/>
      <c r="DI556" s="119"/>
      <c r="DJ556" s="119"/>
      <c r="DK556" s="119"/>
      <c r="DL556" s="119"/>
      <c r="DM556" s="119"/>
      <c r="DN556" s="119"/>
      <c r="DO556" s="119"/>
      <c r="DP556" s="119"/>
      <c r="DQ556" s="119"/>
      <c r="DR556" s="119"/>
      <c r="DS556" s="119"/>
      <c r="DT556" s="119"/>
      <c r="DU556" s="119"/>
      <c r="DV556" s="119"/>
      <c r="DW556" s="119"/>
      <c r="DX556" s="119"/>
      <c r="DY556" s="119"/>
      <c r="DZ556" s="119"/>
      <c r="EA556" s="119"/>
      <c r="EB556" s="119"/>
      <c r="EC556" s="119"/>
      <c r="ED556" s="119"/>
      <c r="EE556" s="119"/>
      <c r="EF556" s="119"/>
      <c r="EG556" s="119"/>
      <c r="EH556" s="119"/>
      <c r="EI556" s="119"/>
      <c r="EJ556" s="119"/>
      <c r="EK556" s="119"/>
      <c r="EL556" s="119"/>
      <c r="EM556" s="119"/>
      <c r="EN556" s="119"/>
      <c r="EO556" s="119"/>
      <c r="EP556" s="119"/>
      <c r="EQ556" s="119"/>
      <c r="ER556" s="119"/>
      <c r="ES556" s="119"/>
      <c r="ET556" s="119"/>
      <c r="EU556" s="119"/>
      <c r="EV556" s="119"/>
      <c r="EW556" s="119"/>
      <c r="EX556" s="119"/>
      <c r="EY556" s="119"/>
      <c r="EZ556" s="119"/>
      <c r="FA556" s="119"/>
      <c r="FB556" s="119"/>
      <c r="FC556" s="119"/>
      <c r="FD556" s="119"/>
      <c r="FE556" s="119"/>
      <c r="FF556" s="119"/>
      <c r="FG556" s="119"/>
      <c r="FH556" s="119"/>
      <c r="FI556" s="119"/>
      <c r="FJ556" s="119"/>
      <c r="FK556" s="119"/>
      <c r="FL556" s="119"/>
      <c r="FM556" s="119"/>
      <c r="FN556" s="119"/>
      <c r="FO556" s="119"/>
      <c r="FP556" s="119"/>
      <c r="FQ556" s="119"/>
      <c r="FR556" s="119"/>
    </row>
    <row x14ac:dyDescent="0.25" r="557" customHeight="1" ht="15">
      <c r="A557" s="121"/>
      <c r="B557" s="121"/>
      <c r="C557" s="122"/>
      <c r="D557" s="122"/>
      <c r="E557" s="123"/>
      <c r="F557" s="123"/>
      <c r="G557" s="124"/>
      <c r="H557" s="125"/>
      <c r="I557" s="126"/>
      <c r="J557" s="127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  <c r="AA557" s="119"/>
      <c r="AB557" s="119"/>
      <c r="AC557" s="119"/>
      <c r="AD557" s="119"/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/>
      <c r="AP557" s="119"/>
      <c r="AQ557" s="119"/>
      <c r="AR557" s="119"/>
      <c r="AS557" s="119"/>
      <c r="AT557" s="119"/>
      <c r="AU557" s="119"/>
      <c r="AV557" s="119"/>
      <c r="AW557" s="119"/>
      <c r="AX557" s="119"/>
      <c r="AY557" s="119"/>
      <c r="AZ557" s="119"/>
      <c r="BA557" s="119"/>
      <c r="BB557" s="119"/>
      <c r="BC557" s="119"/>
      <c r="BD557" s="119"/>
      <c r="BE557" s="119"/>
      <c r="BF557" s="119"/>
      <c r="BG557" s="119"/>
      <c r="BH557" s="119"/>
      <c r="BI557" s="119"/>
      <c r="BJ557" s="119"/>
      <c r="BK557" s="119"/>
      <c r="BL557" s="119"/>
      <c r="BM557" s="119"/>
      <c r="BN557" s="119"/>
      <c r="BO557" s="119"/>
      <c r="BP557" s="119"/>
      <c r="BQ557" s="119"/>
      <c r="BR557" s="119"/>
      <c r="BS557" s="119"/>
      <c r="BT557" s="119"/>
      <c r="BU557" s="119"/>
      <c r="BV557" s="119"/>
      <c r="BW557" s="119"/>
      <c r="BX557" s="119"/>
      <c r="BY557" s="119"/>
      <c r="BZ557" s="119"/>
      <c r="CA557" s="119"/>
      <c r="CB557" s="119"/>
      <c r="CC557" s="119"/>
      <c r="CD557" s="119"/>
      <c r="CE557" s="119"/>
      <c r="CF557" s="119"/>
      <c r="CG557" s="119"/>
      <c r="CH557" s="119"/>
      <c r="CI557" s="119"/>
      <c r="CJ557" s="119"/>
      <c r="CK557" s="119"/>
      <c r="CL557" s="119"/>
      <c r="CM557" s="119"/>
      <c r="CN557" s="119"/>
      <c r="CO557" s="119"/>
      <c r="CP557" s="119"/>
      <c r="CQ557" s="119"/>
      <c r="CR557" s="119"/>
      <c r="CS557" s="119"/>
      <c r="CT557" s="119"/>
      <c r="CU557" s="119"/>
      <c r="CV557" s="119"/>
      <c r="CW557" s="119"/>
      <c r="CX557" s="119"/>
      <c r="CY557" s="119"/>
      <c r="CZ557" s="119"/>
      <c r="DA557" s="119"/>
      <c r="DB557" s="119"/>
      <c r="DC557" s="119"/>
      <c r="DD557" s="119"/>
      <c r="DE557" s="119"/>
      <c r="DF557" s="119"/>
      <c r="DG557" s="119"/>
      <c r="DH557" s="119"/>
      <c r="DI557" s="119"/>
      <c r="DJ557" s="119"/>
      <c r="DK557" s="119"/>
      <c r="DL557" s="119"/>
      <c r="DM557" s="119"/>
      <c r="DN557" s="119"/>
      <c r="DO557" s="119"/>
      <c r="DP557" s="119"/>
      <c r="DQ557" s="119"/>
      <c r="DR557" s="119"/>
      <c r="DS557" s="119"/>
      <c r="DT557" s="119"/>
      <c r="DU557" s="119"/>
      <c r="DV557" s="119"/>
      <c r="DW557" s="119"/>
      <c r="DX557" s="119"/>
      <c r="DY557" s="119"/>
      <c r="DZ557" s="119"/>
      <c r="EA557" s="119"/>
      <c r="EB557" s="119"/>
      <c r="EC557" s="119"/>
      <c r="ED557" s="119"/>
      <c r="EE557" s="119"/>
      <c r="EF557" s="119"/>
      <c r="EG557" s="119"/>
      <c r="EH557" s="119"/>
      <c r="EI557" s="119"/>
      <c r="EJ557" s="119"/>
      <c r="EK557" s="119"/>
      <c r="EL557" s="119"/>
      <c r="EM557" s="119"/>
      <c r="EN557" s="119"/>
      <c r="EO557" s="119"/>
      <c r="EP557" s="119"/>
      <c r="EQ557" s="119"/>
      <c r="ER557" s="119"/>
      <c r="ES557" s="119"/>
      <c r="ET557" s="119"/>
      <c r="EU557" s="119"/>
      <c r="EV557" s="119"/>
      <c r="EW557" s="119"/>
      <c r="EX557" s="119"/>
      <c r="EY557" s="119"/>
      <c r="EZ557" s="119"/>
      <c r="FA557" s="119"/>
      <c r="FB557" s="119"/>
      <c r="FC557" s="119"/>
      <c r="FD557" s="119"/>
      <c r="FE557" s="119"/>
      <c r="FF557" s="119"/>
      <c r="FG557" s="119"/>
      <c r="FH557" s="119"/>
      <c r="FI557" s="119"/>
      <c r="FJ557" s="119"/>
      <c r="FK557" s="119"/>
      <c r="FL557" s="119"/>
      <c r="FM557" s="119"/>
      <c r="FN557" s="119"/>
      <c r="FO557" s="119"/>
      <c r="FP557" s="119"/>
      <c r="FQ557" s="119"/>
      <c r="FR557" s="119"/>
    </row>
    <row x14ac:dyDescent="0.25" r="558" customHeight="1" ht="15">
      <c r="A558" s="121"/>
      <c r="B558" s="121"/>
      <c r="C558" s="122"/>
      <c r="D558" s="122"/>
      <c r="E558" s="123"/>
      <c r="F558" s="123"/>
      <c r="G558" s="124"/>
      <c r="H558" s="125"/>
      <c r="I558" s="126"/>
      <c r="J558" s="127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  <c r="AA558" s="119"/>
      <c r="AB558" s="119"/>
      <c r="AC558" s="119"/>
      <c r="AD558" s="119"/>
      <c r="AE558" s="119"/>
      <c r="AF558" s="119"/>
      <c r="AG558" s="119"/>
      <c r="AH558" s="119"/>
      <c r="AI558" s="119"/>
      <c r="AJ558" s="119"/>
      <c r="AK558" s="119"/>
      <c r="AL558" s="119"/>
      <c r="AM558" s="119"/>
      <c r="AN558" s="119"/>
      <c r="AO558" s="119"/>
      <c r="AP558" s="119"/>
      <c r="AQ558" s="119"/>
      <c r="AR558" s="119"/>
      <c r="AS558" s="119"/>
      <c r="AT558" s="119"/>
      <c r="AU558" s="119"/>
      <c r="AV558" s="119"/>
      <c r="AW558" s="119"/>
      <c r="AX558" s="119"/>
      <c r="AY558" s="119"/>
      <c r="AZ558" s="119"/>
      <c r="BA558" s="119"/>
      <c r="BB558" s="119"/>
      <c r="BC558" s="119"/>
      <c r="BD558" s="119"/>
      <c r="BE558" s="119"/>
      <c r="BF558" s="119"/>
      <c r="BG558" s="119"/>
      <c r="BH558" s="119"/>
      <c r="BI558" s="119"/>
      <c r="BJ558" s="119"/>
      <c r="BK558" s="119"/>
      <c r="BL558" s="119"/>
      <c r="BM558" s="119"/>
      <c r="BN558" s="119"/>
      <c r="BO558" s="119"/>
      <c r="BP558" s="119"/>
      <c r="BQ558" s="119"/>
      <c r="BR558" s="119"/>
      <c r="BS558" s="119"/>
      <c r="BT558" s="119"/>
      <c r="BU558" s="119"/>
      <c r="BV558" s="119"/>
      <c r="BW558" s="119"/>
      <c r="BX558" s="119"/>
      <c r="BY558" s="119"/>
      <c r="BZ558" s="119"/>
      <c r="CA558" s="119"/>
      <c r="CB558" s="119"/>
      <c r="CC558" s="119"/>
      <c r="CD558" s="119"/>
      <c r="CE558" s="119"/>
      <c r="CF558" s="119"/>
      <c r="CG558" s="119"/>
      <c r="CH558" s="119"/>
      <c r="CI558" s="119"/>
      <c r="CJ558" s="119"/>
      <c r="CK558" s="119"/>
      <c r="CL558" s="119"/>
      <c r="CM558" s="119"/>
      <c r="CN558" s="119"/>
      <c r="CO558" s="119"/>
      <c r="CP558" s="119"/>
      <c r="CQ558" s="119"/>
      <c r="CR558" s="119"/>
      <c r="CS558" s="119"/>
      <c r="CT558" s="119"/>
      <c r="CU558" s="119"/>
      <c r="CV558" s="119"/>
      <c r="CW558" s="119"/>
      <c r="CX558" s="119"/>
      <c r="CY558" s="119"/>
      <c r="CZ558" s="119"/>
      <c r="DA558" s="119"/>
      <c r="DB558" s="119"/>
      <c r="DC558" s="119"/>
      <c r="DD558" s="119"/>
      <c r="DE558" s="119"/>
      <c r="DF558" s="119"/>
      <c r="DG558" s="119"/>
      <c r="DH558" s="119"/>
      <c r="DI558" s="119"/>
      <c r="DJ558" s="119"/>
      <c r="DK558" s="119"/>
      <c r="DL558" s="119"/>
      <c r="DM558" s="119"/>
      <c r="DN558" s="119"/>
      <c r="DO558" s="119"/>
      <c r="DP558" s="119"/>
      <c r="DQ558" s="119"/>
      <c r="DR558" s="119"/>
      <c r="DS558" s="119"/>
      <c r="DT558" s="119"/>
      <c r="DU558" s="119"/>
      <c r="DV558" s="119"/>
      <c r="DW558" s="119"/>
      <c r="DX558" s="119"/>
      <c r="DY558" s="119"/>
      <c r="DZ558" s="119"/>
      <c r="EA558" s="119"/>
      <c r="EB558" s="119"/>
      <c r="EC558" s="119"/>
      <c r="ED558" s="119"/>
      <c r="EE558" s="119"/>
      <c r="EF558" s="119"/>
      <c r="EG558" s="119"/>
      <c r="EH558" s="119"/>
      <c r="EI558" s="119"/>
      <c r="EJ558" s="119"/>
      <c r="EK558" s="119"/>
      <c r="EL558" s="119"/>
      <c r="EM558" s="119"/>
      <c r="EN558" s="119"/>
      <c r="EO558" s="119"/>
      <c r="EP558" s="119"/>
      <c r="EQ558" s="119"/>
      <c r="ER558" s="119"/>
      <c r="ES558" s="119"/>
      <c r="ET558" s="119"/>
      <c r="EU558" s="119"/>
      <c r="EV558" s="119"/>
      <c r="EW558" s="119"/>
      <c r="EX558" s="119"/>
      <c r="EY558" s="119"/>
      <c r="EZ558" s="119"/>
      <c r="FA558" s="119"/>
      <c r="FB558" s="119"/>
      <c r="FC558" s="119"/>
      <c r="FD558" s="119"/>
      <c r="FE558" s="119"/>
      <c r="FF558" s="119"/>
      <c r="FG558" s="119"/>
      <c r="FH558" s="119"/>
      <c r="FI558" s="119"/>
      <c r="FJ558" s="119"/>
      <c r="FK558" s="119"/>
      <c r="FL558" s="119"/>
      <c r="FM558" s="119"/>
      <c r="FN558" s="119"/>
      <c r="FO558" s="119"/>
      <c r="FP558" s="119"/>
      <c r="FQ558" s="119"/>
      <c r="FR558" s="119"/>
    </row>
    <row x14ac:dyDescent="0.25" r="559" customHeight="1" ht="15">
      <c r="A559" s="121"/>
      <c r="B559" s="121"/>
      <c r="C559" s="122"/>
      <c r="D559" s="122"/>
      <c r="E559" s="123"/>
      <c r="F559" s="123"/>
      <c r="G559" s="124"/>
      <c r="H559" s="125"/>
      <c r="I559" s="126"/>
      <c r="J559" s="127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19"/>
      <c r="BA559" s="119"/>
      <c r="BB559" s="119"/>
      <c r="BC559" s="119"/>
      <c r="BD559" s="119"/>
      <c r="BE559" s="119"/>
      <c r="BF559" s="119"/>
      <c r="BG559" s="119"/>
      <c r="BH559" s="119"/>
      <c r="BI559" s="119"/>
      <c r="BJ559" s="119"/>
      <c r="BK559" s="119"/>
      <c r="BL559" s="119"/>
      <c r="BM559" s="119"/>
      <c r="BN559" s="119"/>
      <c r="BO559" s="119"/>
      <c r="BP559" s="119"/>
      <c r="BQ559" s="119"/>
      <c r="BR559" s="119"/>
      <c r="BS559" s="119"/>
      <c r="BT559" s="119"/>
      <c r="BU559" s="119"/>
      <c r="BV559" s="119"/>
      <c r="BW559" s="119"/>
      <c r="BX559" s="119"/>
      <c r="BY559" s="119"/>
      <c r="BZ559" s="119"/>
      <c r="CA559" s="119"/>
      <c r="CB559" s="119"/>
      <c r="CC559" s="119"/>
      <c r="CD559" s="119"/>
      <c r="CE559" s="119"/>
      <c r="CF559" s="119"/>
      <c r="CG559" s="119"/>
      <c r="CH559" s="119"/>
      <c r="CI559" s="119"/>
      <c r="CJ559" s="119"/>
      <c r="CK559" s="119"/>
      <c r="CL559" s="119"/>
      <c r="CM559" s="119"/>
      <c r="CN559" s="119"/>
      <c r="CO559" s="119"/>
      <c r="CP559" s="119"/>
      <c r="CQ559" s="119"/>
      <c r="CR559" s="119"/>
      <c r="CS559" s="119"/>
      <c r="CT559" s="119"/>
      <c r="CU559" s="119"/>
      <c r="CV559" s="119"/>
      <c r="CW559" s="119"/>
      <c r="CX559" s="119"/>
      <c r="CY559" s="119"/>
      <c r="CZ559" s="119"/>
      <c r="DA559" s="119"/>
      <c r="DB559" s="119"/>
      <c r="DC559" s="119"/>
      <c r="DD559" s="119"/>
      <c r="DE559" s="119"/>
      <c r="DF559" s="119"/>
      <c r="DG559" s="119"/>
      <c r="DH559" s="119"/>
      <c r="DI559" s="119"/>
      <c r="DJ559" s="119"/>
      <c r="DK559" s="119"/>
      <c r="DL559" s="119"/>
      <c r="DM559" s="119"/>
      <c r="DN559" s="119"/>
      <c r="DO559" s="119"/>
      <c r="DP559" s="119"/>
      <c r="DQ559" s="119"/>
      <c r="DR559" s="119"/>
      <c r="DS559" s="119"/>
      <c r="DT559" s="119"/>
      <c r="DU559" s="119"/>
      <c r="DV559" s="119"/>
      <c r="DW559" s="119"/>
      <c r="DX559" s="119"/>
      <c r="DY559" s="119"/>
      <c r="DZ559" s="119"/>
      <c r="EA559" s="119"/>
      <c r="EB559" s="119"/>
      <c r="EC559" s="119"/>
      <c r="ED559" s="119"/>
      <c r="EE559" s="119"/>
      <c r="EF559" s="119"/>
      <c r="EG559" s="119"/>
      <c r="EH559" s="119"/>
      <c r="EI559" s="119"/>
      <c r="EJ559" s="119"/>
      <c r="EK559" s="119"/>
      <c r="EL559" s="119"/>
      <c r="EM559" s="119"/>
      <c r="EN559" s="119"/>
      <c r="EO559" s="119"/>
      <c r="EP559" s="119"/>
      <c r="EQ559" s="119"/>
      <c r="ER559" s="119"/>
      <c r="ES559" s="119"/>
      <c r="ET559" s="119"/>
      <c r="EU559" s="119"/>
      <c r="EV559" s="119"/>
      <c r="EW559" s="119"/>
      <c r="EX559" s="119"/>
      <c r="EY559" s="119"/>
      <c r="EZ559" s="119"/>
      <c r="FA559" s="119"/>
      <c r="FB559" s="119"/>
      <c r="FC559" s="119"/>
      <c r="FD559" s="119"/>
      <c r="FE559" s="119"/>
      <c r="FF559" s="119"/>
      <c r="FG559" s="119"/>
      <c r="FH559" s="119"/>
      <c r="FI559" s="119"/>
      <c r="FJ559" s="119"/>
      <c r="FK559" s="119"/>
      <c r="FL559" s="119"/>
      <c r="FM559" s="119"/>
      <c r="FN559" s="119"/>
      <c r="FO559" s="119"/>
      <c r="FP559" s="119"/>
      <c r="FQ559" s="119"/>
      <c r="FR559" s="119"/>
    </row>
    <row x14ac:dyDescent="0.25" r="560" customHeight="1" ht="15">
      <c r="A560" s="121"/>
      <c r="B560" s="121"/>
      <c r="C560" s="122"/>
      <c r="D560" s="122"/>
      <c r="E560" s="123"/>
      <c r="F560" s="123"/>
      <c r="G560" s="124"/>
      <c r="H560" s="125"/>
      <c r="I560" s="126"/>
      <c r="J560" s="127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19"/>
      <c r="BA560" s="119"/>
      <c r="BB560" s="119"/>
      <c r="BC560" s="119"/>
      <c r="BD560" s="119"/>
      <c r="BE560" s="119"/>
      <c r="BF560" s="119"/>
      <c r="BG560" s="119"/>
      <c r="BH560" s="119"/>
      <c r="BI560" s="119"/>
      <c r="BJ560" s="119"/>
      <c r="BK560" s="119"/>
      <c r="BL560" s="119"/>
      <c r="BM560" s="119"/>
      <c r="BN560" s="119"/>
      <c r="BO560" s="119"/>
      <c r="BP560" s="119"/>
      <c r="BQ560" s="119"/>
      <c r="BR560" s="119"/>
      <c r="BS560" s="119"/>
      <c r="BT560" s="119"/>
      <c r="BU560" s="119"/>
      <c r="BV560" s="119"/>
      <c r="BW560" s="119"/>
      <c r="BX560" s="119"/>
      <c r="BY560" s="119"/>
      <c r="BZ560" s="119"/>
      <c r="CA560" s="119"/>
      <c r="CB560" s="119"/>
      <c r="CC560" s="119"/>
      <c r="CD560" s="119"/>
      <c r="CE560" s="119"/>
      <c r="CF560" s="119"/>
      <c r="CG560" s="119"/>
      <c r="CH560" s="119"/>
      <c r="CI560" s="119"/>
      <c r="CJ560" s="119"/>
      <c r="CK560" s="119"/>
      <c r="CL560" s="119"/>
      <c r="CM560" s="119"/>
      <c r="CN560" s="119"/>
      <c r="CO560" s="119"/>
      <c r="CP560" s="119"/>
      <c r="CQ560" s="119"/>
      <c r="CR560" s="119"/>
      <c r="CS560" s="119"/>
      <c r="CT560" s="119"/>
      <c r="CU560" s="119"/>
      <c r="CV560" s="119"/>
      <c r="CW560" s="119"/>
      <c r="CX560" s="119"/>
      <c r="CY560" s="119"/>
      <c r="CZ560" s="119"/>
      <c r="DA560" s="119"/>
      <c r="DB560" s="119"/>
      <c r="DC560" s="119"/>
      <c r="DD560" s="119"/>
      <c r="DE560" s="119"/>
      <c r="DF560" s="119"/>
      <c r="DG560" s="119"/>
      <c r="DH560" s="119"/>
      <c r="DI560" s="119"/>
      <c r="DJ560" s="119"/>
      <c r="DK560" s="119"/>
      <c r="DL560" s="119"/>
      <c r="DM560" s="119"/>
      <c r="DN560" s="119"/>
      <c r="DO560" s="119"/>
      <c r="DP560" s="119"/>
      <c r="DQ560" s="119"/>
      <c r="DR560" s="119"/>
      <c r="DS560" s="119"/>
      <c r="DT560" s="119"/>
      <c r="DU560" s="119"/>
      <c r="DV560" s="119"/>
      <c r="DW560" s="119"/>
      <c r="DX560" s="119"/>
      <c r="DY560" s="119"/>
      <c r="DZ560" s="119"/>
      <c r="EA560" s="119"/>
      <c r="EB560" s="119"/>
      <c r="EC560" s="119"/>
      <c r="ED560" s="119"/>
      <c r="EE560" s="119"/>
      <c r="EF560" s="119"/>
      <c r="EG560" s="119"/>
      <c r="EH560" s="119"/>
      <c r="EI560" s="119"/>
      <c r="EJ560" s="119"/>
      <c r="EK560" s="119"/>
      <c r="EL560" s="119"/>
      <c r="EM560" s="119"/>
      <c r="EN560" s="119"/>
      <c r="EO560" s="119"/>
      <c r="EP560" s="119"/>
      <c r="EQ560" s="119"/>
      <c r="ER560" s="119"/>
      <c r="ES560" s="119"/>
      <c r="ET560" s="119"/>
      <c r="EU560" s="119"/>
      <c r="EV560" s="119"/>
      <c r="EW560" s="119"/>
      <c r="EX560" s="119"/>
      <c r="EY560" s="119"/>
      <c r="EZ560" s="119"/>
      <c r="FA560" s="119"/>
      <c r="FB560" s="119"/>
      <c r="FC560" s="119"/>
      <c r="FD560" s="119"/>
      <c r="FE560" s="119"/>
      <c r="FF560" s="119"/>
      <c r="FG560" s="119"/>
      <c r="FH560" s="119"/>
      <c r="FI560" s="119"/>
      <c r="FJ560" s="119"/>
      <c r="FK560" s="119"/>
      <c r="FL560" s="119"/>
      <c r="FM560" s="119"/>
      <c r="FN560" s="119"/>
      <c r="FO560" s="119"/>
      <c r="FP560" s="119"/>
      <c r="FQ560" s="119"/>
      <c r="FR560" s="119"/>
    </row>
    <row x14ac:dyDescent="0.25" r="561" customHeight="1" ht="15">
      <c r="A561" s="121"/>
      <c r="B561" s="121"/>
      <c r="C561" s="122"/>
      <c r="D561" s="122"/>
      <c r="E561" s="123"/>
      <c r="F561" s="123"/>
      <c r="G561" s="124"/>
      <c r="H561" s="125"/>
      <c r="I561" s="126"/>
      <c r="J561" s="127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19"/>
      <c r="BA561" s="119"/>
      <c r="BB561" s="119"/>
      <c r="BC561" s="119"/>
      <c r="BD561" s="119"/>
      <c r="BE561" s="119"/>
      <c r="BF561" s="119"/>
      <c r="BG561" s="119"/>
      <c r="BH561" s="119"/>
      <c r="BI561" s="119"/>
      <c r="BJ561" s="119"/>
      <c r="BK561" s="119"/>
      <c r="BL561" s="119"/>
      <c r="BM561" s="119"/>
      <c r="BN561" s="119"/>
      <c r="BO561" s="119"/>
      <c r="BP561" s="119"/>
      <c r="BQ561" s="119"/>
      <c r="BR561" s="119"/>
      <c r="BS561" s="119"/>
      <c r="BT561" s="119"/>
      <c r="BU561" s="119"/>
      <c r="BV561" s="119"/>
      <c r="BW561" s="119"/>
      <c r="BX561" s="119"/>
      <c r="BY561" s="119"/>
      <c r="BZ561" s="119"/>
      <c r="CA561" s="119"/>
      <c r="CB561" s="119"/>
      <c r="CC561" s="119"/>
      <c r="CD561" s="119"/>
      <c r="CE561" s="119"/>
      <c r="CF561" s="119"/>
      <c r="CG561" s="119"/>
      <c r="CH561" s="119"/>
      <c r="CI561" s="119"/>
      <c r="CJ561" s="119"/>
      <c r="CK561" s="119"/>
      <c r="CL561" s="119"/>
      <c r="CM561" s="119"/>
      <c r="CN561" s="119"/>
      <c r="CO561" s="119"/>
      <c r="CP561" s="119"/>
      <c r="CQ561" s="119"/>
      <c r="CR561" s="119"/>
      <c r="CS561" s="119"/>
      <c r="CT561" s="119"/>
      <c r="CU561" s="119"/>
      <c r="CV561" s="119"/>
      <c r="CW561" s="119"/>
      <c r="CX561" s="119"/>
      <c r="CY561" s="119"/>
      <c r="CZ561" s="119"/>
      <c r="DA561" s="119"/>
      <c r="DB561" s="119"/>
      <c r="DC561" s="119"/>
      <c r="DD561" s="119"/>
      <c r="DE561" s="119"/>
      <c r="DF561" s="119"/>
      <c r="DG561" s="119"/>
      <c r="DH561" s="119"/>
      <c r="DI561" s="119"/>
      <c r="DJ561" s="119"/>
      <c r="DK561" s="119"/>
      <c r="DL561" s="119"/>
      <c r="DM561" s="119"/>
      <c r="DN561" s="119"/>
      <c r="DO561" s="119"/>
      <c r="DP561" s="119"/>
      <c r="DQ561" s="119"/>
      <c r="DR561" s="119"/>
      <c r="DS561" s="119"/>
      <c r="DT561" s="119"/>
      <c r="DU561" s="119"/>
      <c r="DV561" s="119"/>
      <c r="DW561" s="119"/>
      <c r="DX561" s="119"/>
      <c r="DY561" s="119"/>
      <c r="DZ561" s="119"/>
      <c r="EA561" s="119"/>
      <c r="EB561" s="119"/>
      <c r="EC561" s="119"/>
      <c r="ED561" s="119"/>
      <c r="EE561" s="119"/>
      <c r="EF561" s="119"/>
      <c r="EG561" s="119"/>
      <c r="EH561" s="119"/>
      <c r="EI561" s="119"/>
      <c r="EJ561" s="119"/>
      <c r="EK561" s="119"/>
      <c r="EL561" s="119"/>
      <c r="EM561" s="119"/>
      <c r="EN561" s="119"/>
      <c r="EO561" s="119"/>
      <c r="EP561" s="119"/>
      <c r="EQ561" s="119"/>
      <c r="ER561" s="119"/>
      <c r="ES561" s="119"/>
      <c r="ET561" s="119"/>
      <c r="EU561" s="119"/>
      <c r="EV561" s="119"/>
      <c r="EW561" s="119"/>
      <c r="EX561" s="119"/>
      <c r="EY561" s="119"/>
      <c r="EZ561" s="119"/>
      <c r="FA561" s="119"/>
      <c r="FB561" s="119"/>
      <c r="FC561" s="119"/>
      <c r="FD561" s="119"/>
      <c r="FE561" s="119"/>
      <c r="FF561" s="119"/>
      <c r="FG561" s="119"/>
      <c r="FH561" s="119"/>
      <c r="FI561" s="119"/>
      <c r="FJ561" s="119"/>
      <c r="FK561" s="119"/>
      <c r="FL561" s="119"/>
      <c r="FM561" s="119"/>
      <c r="FN561" s="119"/>
      <c r="FO561" s="119"/>
      <c r="FP561" s="119"/>
      <c r="FQ561" s="119"/>
      <c r="FR561" s="119"/>
    </row>
    <row x14ac:dyDescent="0.25" r="562" customHeight="1" ht="15">
      <c r="A562" s="121"/>
      <c r="B562" s="121"/>
      <c r="C562" s="122"/>
      <c r="D562" s="122"/>
      <c r="E562" s="123"/>
      <c r="F562" s="123"/>
      <c r="G562" s="124"/>
      <c r="H562" s="125"/>
      <c r="I562" s="126"/>
      <c r="J562" s="127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19"/>
      <c r="BA562" s="119"/>
      <c r="BB562" s="119"/>
      <c r="BC562" s="119"/>
      <c r="BD562" s="119"/>
      <c r="BE562" s="119"/>
      <c r="BF562" s="119"/>
      <c r="BG562" s="119"/>
      <c r="BH562" s="119"/>
      <c r="BI562" s="119"/>
      <c r="BJ562" s="119"/>
      <c r="BK562" s="119"/>
      <c r="BL562" s="119"/>
      <c r="BM562" s="119"/>
      <c r="BN562" s="119"/>
      <c r="BO562" s="119"/>
      <c r="BP562" s="119"/>
      <c r="BQ562" s="119"/>
      <c r="BR562" s="119"/>
      <c r="BS562" s="119"/>
      <c r="BT562" s="119"/>
      <c r="BU562" s="119"/>
      <c r="BV562" s="119"/>
      <c r="BW562" s="119"/>
      <c r="BX562" s="119"/>
      <c r="BY562" s="119"/>
      <c r="BZ562" s="119"/>
      <c r="CA562" s="119"/>
      <c r="CB562" s="119"/>
      <c r="CC562" s="119"/>
      <c r="CD562" s="119"/>
      <c r="CE562" s="119"/>
      <c r="CF562" s="119"/>
      <c r="CG562" s="119"/>
      <c r="CH562" s="119"/>
      <c r="CI562" s="119"/>
      <c r="CJ562" s="119"/>
      <c r="CK562" s="119"/>
      <c r="CL562" s="119"/>
      <c r="CM562" s="119"/>
      <c r="CN562" s="119"/>
      <c r="CO562" s="119"/>
      <c r="CP562" s="119"/>
      <c r="CQ562" s="119"/>
      <c r="CR562" s="119"/>
      <c r="CS562" s="119"/>
      <c r="CT562" s="119"/>
      <c r="CU562" s="119"/>
      <c r="CV562" s="119"/>
      <c r="CW562" s="119"/>
      <c r="CX562" s="119"/>
      <c r="CY562" s="119"/>
      <c r="CZ562" s="119"/>
      <c r="DA562" s="119"/>
      <c r="DB562" s="119"/>
      <c r="DC562" s="119"/>
      <c r="DD562" s="119"/>
      <c r="DE562" s="119"/>
      <c r="DF562" s="119"/>
      <c r="DG562" s="119"/>
      <c r="DH562" s="119"/>
      <c r="DI562" s="119"/>
      <c r="DJ562" s="119"/>
      <c r="DK562" s="119"/>
      <c r="DL562" s="119"/>
      <c r="DM562" s="119"/>
      <c r="DN562" s="119"/>
      <c r="DO562" s="119"/>
      <c r="DP562" s="119"/>
      <c r="DQ562" s="119"/>
      <c r="DR562" s="119"/>
      <c r="DS562" s="119"/>
      <c r="DT562" s="119"/>
      <c r="DU562" s="119"/>
      <c r="DV562" s="119"/>
      <c r="DW562" s="119"/>
      <c r="DX562" s="119"/>
      <c r="DY562" s="119"/>
      <c r="DZ562" s="119"/>
      <c r="EA562" s="119"/>
      <c r="EB562" s="119"/>
      <c r="EC562" s="119"/>
      <c r="ED562" s="119"/>
      <c r="EE562" s="119"/>
      <c r="EF562" s="119"/>
      <c r="EG562" s="119"/>
      <c r="EH562" s="119"/>
      <c r="EI562" s="119"/>
      <c r="EJ562" s="119"/>
      <c r="EK562" s="119"/>
      <c r="EL562" s="119"/>
      <c r="EM562" s="119"/>
      <c r="EN562" s="119"/>
      <c r="EO562" s="119"/>
      <c r="EP562" s="119"/>
      <c r="EQ562" s="119"/>
      <c r="ER562" s="119"/>
      <c r="ES562" s="119"/>
      <c r="ET562" s="119"/>
      <c r="EU562" s="119"/>
      <c r="EV562" s="119"/>
      <c r="EW562" s="119"/>
      <c r="EX562" s="119"/>
      <c r="EY562" s="119"/>
      <c r="EZ562" s="119"/>
      <c r="FA562" s="119"/>
      <c r="FB562" s="119"/>
      <c r="FC562" s="119"/>
      <c r="FD562" s="119"/>
      <c r="FE562" s="119"/>
      <c r="FF562" s="119"/>
      <c r="FG562" s="119"/>
      <c r="FH562" s="119"/>
      <c r="FI562" s="119"/>
      <c r="FJ562" s="119"/>
      <c r="FK562" s="119"/>
      <c r="FL562" s="119"/>
      <c r="FM562" s="119"/>
      <c r="FN562" s="119"/>
      <c r="FO562" s="119"/>
      <c r="FP562" s="119"/>
      <c r="FQ562" s="119"/>
      <c r="FR562" s="119"/>
    </row>
    <row x14ac:dyDescent="0.25" r="563" customHeight="1" ht="15">
      <c r="A563" s="121"/>
      <c r="B563" s="121"/>
      <c r="C563" s="122"/>
      <c r="D563" s="122"/>
      <c r="E563" s="123"/>
      <c r="F563" s="123"/>
      <c r="G563" s="124"/>
      <c r="H563" s="125"/>
      <c r="I563" s="126"/>
      <c r="J563" s="127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19"/>
      <c r="BA563" s="119"/>
      <c r="BB563" s="119"/>
      <c r="BC563" s="119"/>
      <c r="BD563" s="119"/>
      <c r="BE563" s="119"/>
      <c r="BF563" s="119"/>
      <c r="BG563" s="119"/>
      <c r="BH563" s="119"/>
      <c r="BI563" s="119"/>
      <c r="BJ563" s="119"/>
      <c r="BK563" s="119"/>
      <c r="BL563" s="119"/>
      <c r="BM563" s="119"/>
      <c r="BN563" s="119"/>
      <c r="BO563" s="119"/>
      <c r="BP563" s="119"/>
      <c r="BQ563" s="119"/>
      <c r="BR563" s="119"/>
      <c r="BS563" s="119"/>
      <c r="BT563" s="119"/>
      <c r="BU563" s="119"/>
      <c r="BV563" s="119"/>
      <c r="BW563" s="119"/>
      <c r="BX563" s="119"/>
      <c r="BY563" s="119"/>
      <c r="BZ563" s="119"/>
      <c r="CA563" s="119"/>
      <c r="CB563" s="119"/>
      <c r="CC563" s="119"/>
      <c r="CD563" s="119"/>
      <c r="CE563" s="119"/>
      <c r="CF563" s="119"/>
      <c r="CG563" s="119"/>
      <c r="CH563" s="119"/>
      <c r="CI563" s="119"/>
      <c r="CJ563" s="119"/>
      <c r="CK563" s="119"/>
      <c r="CL563" s="119"/>
      <c r="CM563" s="119"/>
      <c r="CN563" s="119"/>
      <c r="CO563" s="119"/>
      <c r="CP563" s="119"/>
      <c r="CQ563" s="119"/>
      <c r="CR563" s="119"/>
      <c r="CS563" s="119"/>
      <c r="CT563" s="119"/>
      <c r="CU563" s="119"/>
      <c r="CV563" s="119"/>
      <c r="CW563" s="119"/>
      <c r="CX563" s="119"/>
      <c r="CY563" s="119"/>
      <c r="CZ563" s="119"/>
      <c r="DA563" s="119"/>
      <c r="DB563" s="119"/>
      <c r="DC563" s="119"/>
      <c r="DD563" s="119"/>
      <c r="DE563" s="119"/>
      <c r="DF563" s="119"/>
      <c r="DG563" s="119"/>
      <c r="DH563" s="119"/>
      <c r="DI563" s="119"/>
      <c r="DJ563" s="119"/>
      <c r="DK563" s="119"/>
      <c r="DL563" s="119"/>
      <c r="DM563" s="119"/>
      <c r="DN563" s="119"/>
      <c r="DO563" s="119"/>
      <c r="DP563" s="119"/>
      <c r="DQ563" s="119"/>
      <c r="DR563" s="119"/>
      <c r="DS563" s="119"/>
      <c r="DT563" s="119"/>
      <c r="DU563" s="119"/>
      <c r="DV563" s="119"/>
      <c r="DW563" s="119"/>
      <c r="DX563" s="119"/>
      <c r="DY563" s="119"/>
      <c r="DZ563" s="119"/>
      <c r="EA563" s="119"/>
      <c r="EB563" s="119"/>
      <c r="EC563" s="119"/>
      <c r="ED563" s="119"/>
      <c r="EE563" s="119"/>
      <c r="EF563" s="119"/>
      <c r="EG563" s="119"/>
      <c r="EH563" s="119"/>
      <c r="EI563" s="119"/>
      <c r="EJ563" s="119"/>
      <c r="EK563" s="119"/>
      <c r="EL563" s="119"/>
      <c r="EM563" s="119"/>
      <c r="EN563" s="119"/>
      <c r="EO563" s="119"/>
      <c r="EP563" s="119"/>
      <c r="EQ563" s="119"/>
      <c r="ER563" s="119"/>
      <c r="ES563" s="119"/>
      <c r="ET563" s="119"/>
      <c r="EU563" s="119"/>
      <c r="EV563" s="119"/>
      <c r="EW563" s="119"/>
      <c r="EX563" s="119"/>
      <c r="EY563" s="119"/>
      <c r="EZ563" s="119"/>
      <c r="FA563" s="119"/>
      <c r="FB563" s="119"/>
      <c r="FC563" s="119"/>
      <c r="FD563" s="119"/>
      <c r="FE563" s="119"/>
      <c r="FF563" s="119"/>
      <c r="FG563" s="119"/>
      <c r="FH563" s="119"/>
      <c r="FI563" s="119"/>
      <c r="FJ563" s="119"/>
      <c r="FK563" s="119"/>
      <c r="FL563" s="119"/>
      <c r="FM563" s="119"/>
      <c r="FN563" s="119"/>
      <c r="FO563" s="119"/>
      <c r="FP563" s="119"/>
      <c r="FQ563" s="119"/>
      <c r="FR563" s="119"/>
    </row>
    <row x14ac:dyDescent="0.25" r="564" customHeight="1" ht="15">
      <c r="A564" s="121"/>
      <c r="B564" s="121"/>
      <c r="C564" s="122"/>
      <c r="D564" s="122"/>
      <c r="E564" s="123"/>
      <c r="F564" s="123"/>
      <c r="G564" s="124"/>
      <c r="H564" s="125"/>
      <c r="I564" s="126"/>
      <c r="J564" s="127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19"/>
      <c r="BA564" s="119"/>
      <c r="BB564" s="119"/>
      <c r="BC564" s="119"/>
      <c r="BD564" s="119"/>
      <c r="BE564" s="119"/>
      <c r="BF564" s="119"/>
      <c r="BG564" s="119"/>
      <c r="BH564" s="119"/>
      <c r="BI564" s="119"/>
      <c r="BJ564" s="119"/>
      <c r="BK564" s="119"/>
      <c r="BL564" s="119"/>
      <c r="BM564" s="119"/>
      <c r="BN564" s="119"/>
      <c r="BO564" s="119"/>
      <c r="BP564" s="119"/>
      <c r="BQ564" s="119"/>
      <c r="BR564" s="119"/>
      <c r="BS564" s="119"/>
      <c r="BT564" s="119"/>
      <c r="BU564" s="119"/>
      <c r="BV564" s="119"/>
      <c r="BW564" s="119"/>
      <c r="BX564" s="119"/>
      <c r="BY564" s="119"/>
      <c r="BZ564" s="119"/>
      <c r="CA564" s="119"/>
      <c r="CB564" s="119"/>
      <c r="CC564" s="119"/>
      <c r="CD564" s="119"/>
      <c r="CE564" s="119"/>
      <c r="CF564" s="119"/>
      <c r="CG564" s="119"/>
      <c r="CH564" s="119"/>
      <c r="CI564" s="119"/>
      <c r="CJ564" s="119"/>
      <c r="CK564" s="119"/>
      <c r="CL564" s="119"/>
      <c r="CM564" s="119"/>
      <c r="CN564" s="119"/>
      <c r="CO564" s="119"/>
      <c r="CP564" s="119"/>
      <c r="CQ564" s="119"/>
      <c r="CR564" s="119"/>
      <c r="CS564" s="119"/>
      <c r="CT564" s="119"/>
      <c r="CU564" s="119"/>
      <c r="CV564" s="119"/>
      <c r="CW564" s="119"/>
      <c r="CX564" s="119"/>
      <c r="CY564" s="119"/>
      <c r="CZ564" s="119"/>
      <c r="DA564" s="119"/>
      <c r="DB564" s="119"/>
      <c r="DC564" s="119"/>
      <c r="DD564" s="119"/>
      <c r="DE564" s="119"/>
      <c r="DF564" s="119"/>
      <c r="DG564" s="119"/>
      <c r="DH564" s="119"/>
      <c r="DI564" s="119"/>
      <c r="DJ564" s="119"/>
      <c r="DK564" s="119"/>
      <c r="DL564" s="119"/>
      <c r="DM564" s="119"/>
      <c r="DN564" s="119"/>
      <c r="DO564" s="119"/>
      <c r="DP564" s="119"/>
      <c r="DQ564" s="119"/>
      <c r="DR564" s="119"/>
      <c r="DS564" s="119"/>
      <c r="DT564" s="119"/>
      <c r="DU564" s="119"/>
      <c r="DV564" s="119"/>
      <c r="DW564" s="119"/>
      <c r="DX564" s="119"/>
      <c r="DY564" s="119"/>
      <c r="DZ564" s="119"/>
      <c r="EA564" s="119"/>
      <c r="EB564" s="119"/>
      <c r="EC564" s="119"/>
      <c r="ED564" s="119"/>
      <c r="EE564" s="119"/>
      <c r="EF564" s="119"/>
      <c r="EG564" s="119"/>
      <c r="EH564" s="119"/>
      <c r="EI564" s="119"/>
      <c r="EJ564" s="119"/>
      <c r="EK564" s="119"/>
      <c r="EL564" s="119"/>
      <c r="EM564" s="119"/>
      <c r="EN564" s="119"/>
      <c r="EO564" s="119"/>
      <c r="EP564" s="119"/>
      <c r="EQ564" s="119"/>
      <c r="ER564" s="119"/>
      <c r="ES564" s="119"/>
      <c r="ET564" s="119"/>
      <c r="EU564" s="119"/>
      <c r="EV564" s="119"/>
      <c r="EW564" s="119"/>
      <c r="EX564" s="119"/>
      <c r="EY564" s="119"/>
      <c r="EZ564" s="119"/>
      <c r="FA564" s="119"/>
      <c r="FB564" s="119"/>
      <c r="FC564" s="119"/>
      <c r="FD564" s="119"/>
      <c r="FE564" s="119"/>
      <c r="FF564" s="119"/>
      <c r="FG564" s="119"/>
      <c r="FH564" s="119"/>
      <c r="FI564" s="119"/>
      <c r="FJ564" s="119"/>
      <c r="FK564" s="119"/>
      <c r="FL564" s="119"/>
      <c r="FM564" s="119"/>
      <c r="FN564" s="119"/>
      <c r="FO564" s="119"/>
      <c r="FP564" s="119"/>
      <c r="FQ564" s="119"/>
      <c r="FR564" s="119"/>
    </row>
    <row x14ac:dyDescent="0.25" r="565" customHeight="1" ht="15">
      <c r="A565" s="121"/>
      <c r="B565" s="121"/>
      <c r="C565" s="122"/>
      <c r="D565" s="122"/>
      <c r="E565" s="123"/>
      <c r="F565" s="123"/>
      <c r="G565" s="124"/>
      <c r="H565" s="125"/>
      <c r="I565" s="126"/>
      <c r="J565" s="127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19"/>
      <c r="BA565" s="119"/>
      <c r="BB565" s="119"/>
      <c r="BC565" s="119"/>
      <c r="BD565" s="119"/>
      <c r="BE565" s="119"/>
      <c r="BF565" s="119"/>
      <c r="BG565" s="119"/>
      <c r="BH565" s="119"/>
      <c r="BI565" s="119"/>
      <c r="BJ565" s="119"/>
      <c r="BK565" s="119"/>
      <c r="BL565" s="119"/>
      <c r="BM565" s="119"/>
      <c r="BN565" s="119"/>
      <c r="BO565" s="119"/>
      <c r="BP565" s="119"/>
      <c r="BQ565" s="119"/>
      <c r="BR565" s="119"/>
      <c r="BS565" s="119"/>
      <c r="BT565" s="119"/>
      <c r="BU565" s="119"/>
      <c r="BV565" s="119"/>
      <c r="BW565" s="119"/>
      <c r="BX565" s="119"/>
      <c r="BY565" s="119"/>
      <c r="BZ565" s="119"/>
      <c r="CA565" s="119"/>
      <c r="CB565" s="119"/>
      <c r="CC565" s="119"/>
      <c r="CD565" s="119"/>
      <c r="CE565" s="119"/>
      <c r="CF565" s="119"/>
      <c r="CG565" s="119"/>
      <c r="CH565" s="119"/>
      <c r="CI565" s="119"/>
      <c r="CJ565" s="119"/>
      <c r="CK565" s="119"/>
      <c r="CL565" s="119"/>
      <c r="CM565" s="119"/>
      <c r="CN565" s="119"/>
      <c r="CO565" s="119"/>
      <c r="CP565" s="119"/>
      <c r="CQ565" s="119"/>
      <c r="CR565" s="119"/>
      <c r="CS565" s="119"/>
      <c r="CT565" s="119"/>
      <c r="CU565" s="119"/>
      <c r="CV565" s="119"/>
      <c r="CW565" s="119"/>
      <c r="CX565" s="119"/>
      <c r="CY565" s="119"/>
      <c r="CZ565" s="119"/>
      <c r="DA565" s="119"/>
      <c r="DB565" s="119"/>
      <c r="DC565" s="119"/>
      <c r="DD565" s="119"/>
      <c r="DE565" s="119"/>
      <c r="DF565" s="119"/>
      <c r="DG565" s="119"/>
      <c r="DH565" s="119"/>
      <c r="DI565" s="119"/>
      <c r="DJ565" s="119"/>
      <c r="DK565" s="119"/>
      <c r="DL565" s="119"/>
      <c r="DM565" s="119"/>
      <c r="DN565" s="119"/>
      <c r="DO565" s="119"/>
      <c r="DP565" s="119"/>
      <c r="DQ565" s="119"/>
      <c r="DR565" s="119"/>
      <c r="DS565" s="119"/>
      <c r="DT565" s="119"/>
      <c r="DU565" s="119"/>
      <c r="DV565" s="119"/>
      <c r="DW565" s="119"/>
      <c r="DX565" s="119"/>
      <c r="DY565" s="119"/>
      <c r="DZ565" s="119"/>
      <c r="EA565" s="119"/>
      <c r="EB565" s="119"/>
      <c r="EC565" s="119"/>
      <c r="ED565" s="119"/>
      <c r="EE565" s="119"/>
      <c r="EF565" s="119"/>
      <c r="EG565" s="119"/>
      <c r="EH565" s="119"/>
      <c r="EI565" s="119"/>
      <c r="EJ565" s="119"/>
      <c r="EK565" s="119"/>
      <c r="EL565" s="119"/>
      <c r="EM565" s="119"/>
      <c r="EN565" s="119"/>
      <c r="EO565" s="119"/>
      <c r="EP565" s="119"/>
      <c r="EQ565" s="119"/>
      <c r="ER565" s="119"/>
      <c r="ES565" s="119"/>
      <c r="ET565" s="119"/>
      <c r="EU565" s="119"/>
      <c r="EV565" s="119"/>
      <c r="EW565" s="119"/>
      <c r="EX565" s="119"/>
      <c r="EY565" s="119"/>
      <c r="EZ565" s="119"/>
      <c r="FA565" s="119"/>
      <c r="FB565" s="119"/>
      <c r="FC565" s="119"/>
      <c r="FD565" s="119"/>
      <c r="FE565" s="119"/>
      <c r="FF565" s="119"/>
      <c r="FG565" s="119"/>
      <c r="FH565" s="119"/>
      <c r="FI565" s="119"/>
      <c r="FJ565" s="119"/>
      <c r="FK565" s="119"/>
      <c r="FL565" s="119"/>
      <c r="FM565" s="119"/>
      <c r="FN565" s="119"/>
      <c r="FO565" s="119"/>
      <c r="FP565" s="119"/>
      <c r="FQ565" s="119"/>
      <c r="FR565" s="119"/>
    </row>
    <row x14ac:dyDescent="0.25" r="566" customHeight="1" ht="15">
      <c r="A566" s="121"/>
      <c r="B566" s="121"/>
      <c r="C566" s="122"/>
      <c r="D566" s="122"/>
      <c r="E566" s="123"/>
      <c r="F566" s="123"/>
      <c r="G566" s="124"/>
      <c r="H566" s="125"/>
      <c r="I566" s="126"/>
      <c r="J566" s="127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19"/>
      <c r="BA566" s="119"/>
      <c r="BB566" s="119"/>
      <c r="BC566" s="119"/>
      <c r="BD566" s="119"/>
      <c r="BE566" s="119"/>
      <c r="BF566" s="119"/>
      <c r="BG566" s="119"/>
      <c r="BH566" s="119"/>
      <c r="BI566" s="119"/>
      <c r="BJ566" s="119"/>
      <c r="BK566" s="119"/>
      <c r="BL566" s="119"/>
      <c r="BM566" s="119"/>
      <c r="BN566" s="119"/>
      <c r="BO566" s="119"/>
      <c r="BP566" s="119"/>
      <c r="BQ566" s="119"/>
      <c r="BR566" s="119"/>
      <c r="BS566" s="119"/>
      <c r="BT566" s="119"/>
      <c r="BU566" s="119"/>
      <c r="BV566" s="119"/>
      <c r="BW566" s="119"/>
      <c r="BX566" s="119"/>
      <c r="BY566" s="119"/>
      <c r="BZ566" s="119"/>
      <c r="CA566" s="119"/>
      <c r="CB566" s="119"/>
      <c r="CC566" s="119"/>
      <c r="CD566" s="119"/>
      <c r="CE566" s="119"/>
      <c r="CF566" s="119"/>
      <c r="CG566" s="119"/>
      <c r="CH566" s="119"/>
      <c r="CI566" s="119"/>
      <c r="CJ566" s="119"/>
      <c r="CK566" s="119"/>
      <c r="CL566" s="119"/>
      <c r="CM566" s="119"/>
      <c r="CN566" s="119"/>
      <c r="CO566" s="119"/>
      <c r="CP566" s="119"/>
      <c r="CQ566" s="119"/>
      <c r="CR566" s="119"/>
      <c r="CS566" s="119"/>
      <c r="CT566" s="119"/>
      <c r="CU566" s="119"/>
      <c r="CV566" s="119"/>
      <c r="CW566" s="119"/>
      <c r="CX566" s="119"/>
      <c r="CY566" s="119"/>
      <c r="CZ566" s="119"/>
      <c r="DA566" s="119"/>
      <c r="DB566" s="119"/>
      <c r="DC566" s="119"/>
      <c r="DD566" s="119"/>
      <c r="DE566" s="119"/>
      <c r="DF566" s="119"/>
      <c r="DG566" s="119"/>
      <c r="DH566" s="119"/>
      <c r="DI566" s="119"/>
      <c r="DJ566" s="119"/>
      <c r="DK566" s="119"/>
      <c r="DL566" s="119"/>
      <c r="DM566" s="119"/>
      <c r="DN566" s="119"/>
      <c r="DO566" s="119"/>
      <c r="DP566" s="119"/>
      <c r="DQ566" s="119"/>
      <c r="DR566" s="119"/>
      <c r="DS566" s="119"/>
      <c r="DT566" s="119"/>
      <c r="DU566" s="119"/>
      <c r="DV566" s="119"/>
      <c r="DW566" s="119"/>
      <c r="DX566" s="119"/>
      <c r="DY566" s="119"/>
      <c r="DZ566" s="119"/>
      <c r="EA566" s="119"/>
      <c r="EB566" s="119"/>
      <c r="EC566" s="119"/>
      <c r="ED566" s="119"/>
      <c r="EE566" s="119"/>
      <c r="EF566" s="119"/>
      <c r="EG566" s="119"/>
      <c r="EH566" s="119"/>
      <c r="EI566" s="119"/>
      <c r="EJ566" s="119"/>
      <c r="EK566" s="119"/>
      <c r="EL566" s="119"/>
      <c r="EM566" s="119"/>
      <c r="EN566" s="119"/>
      <c r="EO566" s="119"/>
      <c r="EP566" s="119"/>
      <c r="EQ566" s="119"/>
      <c r="ER566" s="119"/>
      <c r="ES566" s="119"/>
      <c r="ET566" s="119"/>
      <c r="EU566" s="119"/>
      <c r="EV566" s="119"/>
      <c r="EW566" s="119"/>
      <c r="EX566" s="119"/>
      <c r="EY566" s="119"/>
      <c r="EZ566" s="119"/>
      <c r="FA566" s="119"/>
      <c r="FB566" s="119"/>
      <c r="FC566" s="119"/>
      <c r="FD566" s="119"/>
      <c r="FE566" s="119"/>
      <c r="FF566" s="119"/>
      <c r="FG566" s="119"/>
      <c r="FH566" s="119"/>
      <c r="FI566" s="119"/>
      <c r="FJ566" s="119"/>
      <c r="FK566" s="119"/>
      <c r="FL566" s="119"/>
      <c r="FM566" s="119"/>
      <c r="FN566" s="119"/>
      <c r="FO566" s="119"/>
      <c r="FP566" s="119"/>
      <c r="FQ566" s="119"/>
      <c r="FR566" s="119"/>
    </row>
    <row x14ac:dyDescent="0.25" r="567" customHeight="1" ht="15">
      <c r="A567" s="121"/>
      <c r="B567" s="121"/>
      <c r="C567" s="122"/>
      <c r="D567" s="122"/>
      <c r="E567" s="123"/>
      <c r="F567" s="123"/>
      <c r="G567" s="124"/>
      <c r="H567" s="125"/>
      <c r="I567" s="126"/>
      <c r="J567" s="127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19"/>
      <c r="BA567" s="119"/>
      <c r="BB567" s="119"/>
      <c r="BC567" s="119"/>
      <c r="BD567" s="119"/>
      <c r="BE567" s="119"/>
      <c r="BF567" s="119"/>
      <c r="BG567" s="119"/>
      <c r="BH567" s="119"/>
      <c r="BI567" s="119"/>
      <c r="BJ567" s="119"/>
      <c r="BK567" s="119"/>
      <c r="BL567" s="119"/>
      <c r="BM567" s="119"/>
      <c r="BN567" s="119"/>
      <c r="BO567" s="119"/>
      <c r="BP567" s="119"/>
      <c r="BQ567" s="119"/>
      <c r="BR567" s="119"/>
      <c r="BS567" s="119"/>
      <c r="BT567" s="119"/>
      <c r="BU567" s="119"/>
      <c r="BV567" s="119"/>
      <c r="BW567" s="119"/>
      <c r="BX567" s="119"/>
      <c r="BY567" s="119"/>
      <c r="BZ567" s="119"/>
      <c r="CA567" s="119"/>
      <c r="CB567" s="119"/>
      <c r="CC567" s="119"/>
      <c r="CD567" s="119"/>
      <c r="CE567" s="119"/>
      <c r="CF567" s="119"/>
      <c r="CG567" s="119"/>
      <c r="CH567" s="119"/>
      <c r="CI567" s="119"/>
      <c r="CJ567" s="119"/>
      <c r="CK567" s="119"/>
      <c r="CL567" s="119"/>
      <c r="CM567" s="119"/>
      <c r="CN567" s="119"/>
      <c r="CO567" s="119"/>
      <c r="CP567" s="119"/>
      <c r="CQ567" s="119"/>
      <c r="CR567" s="119"/>
      <c r="CS567" s="119"/>
      <c r="CT567" s="119"/>
      <c r="CU567" s="119"/>
      <c r="CV567" s="119"/>
      <c r="CW567" s="119"/>
      <c r="CX567" s="119"/>
      <c r="CY567" s="119"/>
      <c r="CZ567" s="119"/>
      <c r="DA567" s="119"/>
      <c r="DB567" s="119"/>
      <c r="DC567" s="119"/>
      <c r="DD567" s="119"/>
      <c r="DE567" s="119"/>
      <c r="DF567" s="119"/>
      <c r="DG567" s="119"/>
      <c r="DH567" s="119"/>
      <c r="DI567" s="119"/>
      <c r="DJ567" s="119"/>
      <c r="DK567" s="119"/>
      <c r="DL567" s="119"/>
      <c r="DM567" s="119"/>
      <c r="DN567" s="119"/>
      <c r="DO567" s="119"/>
      <c r="DP567" s="119"/>
      <c r="DQ567" s="119"/>
      <c r="DR567" s="119"/>
      <c r="DS567" s="119"/>
      <c r="DT567" s="119"/>
      <c r="DU567" s="119"/>
      <c r="DV567" s="119"/>
      <c r="DW567" s="119"/>
      <c r="DX567" s="119"/>
      <c r="DY567" s="119"/>
      <c r="DZ567" s="119"/>
      <c r="EA567" s="119"/>
      <c r="EB567" s="119"/>
      <c r="EC567" s="119"/>
      <c r="ED567" s="119"/>
      <c r="EE567" s="119"/>
      <c r="EF567" s="119"/>
      <c r="EG567" s="119"/>
      <c r="EH567" s="119"/>
      <c r="EI567" s="119"/>
      <c r="EJ567" s="119"/>
      <c r="EK567" s="119"/>
      <c r="EL567" s="119"/>
      <c r="EM567" s="119"/>
      <c r="EN567" s="119"/>
      <c r="EO567" s="119"/>
      <c r="EP567" s="119"/>
      <c r="EQ567" s="119"/>
      <c r="ER567" s="119"/>
      <c r="ES567" s="119"/>
      <c r="ET567" s="119"/>
      <c r="EU567" s="119"/>
      <c r="EV567" s="119"/>
      <c r="EW567" s="119"/>
      <c r="EX567" s="119"/>
      <c r="EY567" s="119"/>
      <c r="EZ567" s="119"/>
      <c r="FA567" s="119"/>
      <c r="FB567" s="119"/>
      <c r="FC567" s="119"/>
      <c r="FD567" s="119"/>
      <c r="FE567" s="119"/>
      <c r="FF567" s="119"/>
      <c r="FG567" s="119"/>
      <c r="FH567" s="119"/>
      <c r="FI567" s="119"/>
      <c r="FJ567" s="119"/>
      <c r="FK567" s="119"/>
      <c r="FL567" s="119"/>
      <c r="FM567" s="119"/>
      <c r="FN567" s="119"/>
      <c r="FO567" s="119"/>
      <c r="FP567" s="119"/>
      <c r="FQ567" s="119"/>
      <c r="FR567" s="119"/>
    </row>
    <row x14ac:dyDescent="0.25" r="568" customHeight="1" ht="15">
      <c r="A568" s="121"/>
      <c r="B568" s="121"/>
      <c r="C568" s="122"/>
      <c r="D568" s="122"/>
      <c r="E568" s="123"/>
      <c r="F568" s="123"/>
      <c r="G568" s="124"/>
      <c r="H568" s="125"/>
      <c r="I568" s="126"/>
      <c r="J568" s="127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19"/>
      <c r="BA568" s="119"/>
      <c r="BB568" s="119"/>
      <c r="BC568" s="119"/>
      <c r="BD568" s="119"/>
      <c r="BE568" s="119"/>
      <c r="BF568" s="119"/>
      <c r="BG568" s="119"/>
      <c r="BH568" s="119"/>
      <c r="BI568" s="119"/>
      <c r="BJ568" s="119"/>
      <c r="BK568" s="119"/>
      <c r="BL568" s="119"/>
      <c r="BM568" s="119"/>
      <c r="BN568" s="119"/>
      <c r="BO568" s="119"/>
      <c r="BP568" s="119"/>
      <c r="BQ568" s="119"/>
      <c r="BR568" s="119"/>
      <c r="BS568" s="119"/>
      <c r="BT568" s="119"/>
      <c r="BU568" s="119"/>
      <c r="BV568" s="119"/>
      <c r="BW568" s="119"/>
      <c r="BX568" s="119"/>
      <c r="BY568" s="119"/>
      <c r="BZ568" s="119"/>
      <c r="CA568" s="119"/>
      <c r="CB568" s="119"/>
      <c r="CC568" s="119"/>
      <c r="CD568" s="119"/>
      <c r="CE568" s="119"/>
      <c r="CF568" s="119"/>
      <c r="CG568" s="119"/>
      <c r="CH568" s="119"/>
      <c r="CI568" s="119"/>
      <c r="CJ568" s="119"/>
      <c r="CK568" s="119"/>
      <c r="CL568" s="119"/>
      <c r="CM568" s="119"/>
      <c r="CN568" s="119"/>
      <c r="CO568" s="119"/>
      <c r="CP568" s="119"/>
      <c r="CQ568" s="119"/>
      <c r="CR568" s="119"/>
      <c r="CS568" s="119"/>
      <c r="CT568" s="119"/>
      <c r="CU568" s="119"/>
      <c r="CV568" s="119"/>
      <c r="CW568" s="119"/>
      <c r="CX568" s="119"/>
      <c r="CY568" s="119"/>
      <c r="CZ568" s="119"/>
      <c r="DA568" s="119"/>
      <c r="DB568" s="119"/>
      <c r="DC568" s="119"/>
      <c r="DD568" s="119"/>
      <c r="DE568" s="119"/>
      <c r="DF568" s="119"/>
      <c r="DG568" s="119"/>
      <c r="DH568" s="119"/>
      <c r="DI568" s="119"/>
      <c r="DJ568" s="119"/>
      <c r="DK568" s="119"/>
      <c r="DL568" s="119"/>
      <c r="DM568" s="119"/>
      <c r="DN568" s="119"/>
      <c r="DO568" s="119"/>
      <c r="DP568" s="119"/>
      <c r="DQ568" s="119"/>
      <c r="DR568" s="119"/>
      <c r="DS568" s="119"/>
      <c r="DT568" s="119"/>
      <c r="DU568" s="119"/>
      <c r="DV568" s="119"/>
      <c r="DW568" s="119"/>
      <c r="DX568" s="119"/>
      <c r="DY568" s="119"/>
      <c r="DZ568" s="119"/>
      <c r="EA568" s="119"/>
      <c r="EB568" s="119"/>
      <c r="EC568" s="119"/>
      <c r="ED568" s="119"/>
      <c r="EE568" s="119"/>
      <c r="EF568" s="119"/>
      <c r="EG568" s="119"/>
      <c r="EH568" s="119"/>
      <c r="EI568" s="119"/>
      <c r="EJ568" s="119"/>
      <c r="EK568" s="119"/>
      <c r="EL568" s="119"/>
      <c r="EM568" s="119"/>
      <c r="EN568" s="119"/>
      <c r="EO568" s="119"/>
      <c r="EP568" s="119"/>
      <c r="EQ568" s="119"/>
      <c r="ER568" s="119"/>
      <c r="ES568" s="119"/>
      <c r="ET568" s="119"/>
      <c r="EU568" s="119"/>
      <c r="EV568" s="119"/>
      <c r="EW568" s="119"/>
      <c r="EX568" s="119"/>
      <c r="EY568" s="119"/>
      <c r="EZ568" s="119"/>
      <c r="FA568" s="119"/>
      <c r="FB568" s="119"/>
      <c r="FC568" s="119"/>
      <c r="FD568" s="119"/>
      <c r="FE568" s="119"/>
      <c r="FF568" s="119"/>
      <c r="FG568" s="119"/>
      <c r="FH568" s="119"/>
      <c r="FI568" s="119"/>
      <c r="FJ568" s="119"/>
      <c r="FK568" s="119"/>
      <c r="FL568" s="119"/>
      <c r="FM568" s="119"/>
      <c r="FN568" s="119"/>
      <c r="FO568" s="119"/>
      <c r="FP568" s="119"/>
      <c r="FQ568" s="119"/>
      <c r="FR568" s="119"/>
    </row>
    <row x14ac:dyDescent="0.25" r="569" customHeight="1" ht="15">
      <c r="A569" s="121"/>
      <c r="B569" s="121"/>
      <c r="C569" s="122"/>
      <c r="D569" s="122"/>
      <c r="E569" s="123"/>
      <c r="F569" s="123"/>
      <c r="G569" s="124"/>
      <c r="H569" s="125"/>
      <c r="I569" s="126"/>
      <c r="J569" s="127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19"/>
      <c r="BA569" s="119"/>
      <c r="BB569" s="119"/>
      <c r="BC569" s="119"/>
      <c r="BD569" s="119"/>
      <c r="BE569" s="119"/>
      <c r="BF569" s="119"/>
      <c r="BG569" s="119"/>
      <c r="BH569" s="119"/>
      <c r="BI569" s="119"/>
      <c r="BJ569" s="119"/>
      <c r="BK569" s="119"/>
      <c r="BL569" s="119"/>
      <c r="BM569" s="119"/>
      <c r="BN569" s="119"/>
      <c r="BO569" s="119"/>
      <c r="BP569" s="119"/>
      <c r="BQ569" s="119"/>
      <c r="BR569" s="119"/>
      <c r="BS569" s="119"/>
      <c r="BT569" s="119"/>
      <c r="BU569" s="119"/>
      <c r="BV569" s="119"/>
      <c r="BW569" s="119"/>
      <c r="BX569" s="119"/>
      <c r="BY569" s="119"/>
      <c r="BZ569" s="119"/>
      <c r="CA569" s="119"/>
      <c r="CB569" s="119"/>
      <c r="CC569" s="119"/>
      <c r="CD569" s="119"/>
      <c r="CE569" s="119"/>
      <c r="CF569" s="119"/>
      <c r="CG569" s="119"/>
      <c r="CH569" s="119"/>
      <c r="CI569" s="119"/>
      <c r="CJ569" s="119"/>
      <c r="CK569" s="119"/>
      <c r="CL569" s="119"/>
      <c r="CM569" s="119"/>
      <c r="CN569" s="119"/>
      <c r="CO569" s="119"/>
      <c r="CP569" s="119"/>
      <c r="CQ569" s="119"/>
      <c r="CR569" s="119"/>
      <c r="CS569" s="119"/>
      <c r="CT569" s="119"/>
      <c r="CU569" s="119"/>
      <c r="CV569" s="119"/>
      <c r="CW569" s="119"/>
      <c r="CX569" s="119"/>
      <c r="CY569" s="119"/>
      <c r="CZ569" s="119"/>
      <c r="DA569" s="119"/>
      <c r="DB569" s="119"/>
      <c r="DC569" s="119"/>
      <c r="DD569" s="119"/>
      <c r="DE569" s="119"/>
      <c r="DF569" s="119"/>
      <c r="DG569" s="119"/>
      <c r="DH569" s="119"/>
      <c r="DI569" s="119"/>
      <c r="DJ569" s="119"/>
      <c r="DK569" s="119"/>
      <c r="DL569" s="119"/>
      <c r="DM569" s="119"/>
      <c r="DN569" s="119"/>
      <c r="DO569" s="119"/>
      <c r="DP569" s="119"/>
      <c r="DQ569" s="119"/>
      <c r="DR569" s="119"/>
      <c r="DS569" s="119"/>
      <c r="DT569" s="119"/>
      <c r="DU569" s="119"/>
      <c r="DV569" s="119"/>
      <c r="DW569" s="119"/>
      <c r="DX569" s="119"/>
      <c r="DY569" s="119"/>
      <c r="DZ569" s="119"/>
      <c r="EA569" s="119"/>
      <c r="EB569" s="119"/>
      <c r="EC569" s="119"/>
      <c r="ED569" s="119"/>
      <c r="EE569" s="119"/>
      <c r="EF569" s="119"/>
      <c r="EG569" s="119"/>
      <c r="EH569" s="119"/>
      <c r="EI569" s="119"/>
      <c r="EJ569" s="119"/>
      <c r="EK569" s="119"/>
      <c r="EL569" s="119"/>
      <c r="EM569" s="119"/>
      <c r="EN569" s="119"/>
      <c r="EO569" s="119"/>
      <c r="EP569" s="119"/>
      <c r="EQ569" s="119"/>
      <c r="ER569" s="119"/>
      <c r="ES569" s="119"/>
      <c r="ET569" s="119"/>
      <c r="EU569" s="119"/>
      <c r="EV569" s="119"/>
      <c r="EW569" s="119"/>
      <c r="EX569" s="119"/>
      <c r="EY569" s="119"/>
      <c r="EZ569" s="119"/>
      <c r="FA569" s="119"/>
      <c r="FB569" s="119"/>
      <c r="FC569" s="119"/>
      <c r="FD569" s="119"/>
      <c r="FE569" s="119"/>
      <c r="FF569" s="119"/>
      <c r="FG569" s="119"/>
      <c r="FH569" s="119"/>
      <c r="FI569" s="119"/>
      <c r="FJ569" s="119"/>
      <c r="FK569" s="119"/>
      <c r="FL569" s="119"/>
      <c r="FM569" s="119"/>
      <c r="FN569" s="119"/>
      <c r="FO569" s="119"/>
      <c r="FP569" s="119"/>
      <c r="FQ569" s="119"/>
      <c r="FR569" s="119"/>
    </row>
    <row x14ac:dyDescent="0.25" r="570" customHeight="1" ht="15">
      <c r="A570" s="121"/>
      <c r="B570" s="121"/>
      <c r="C570" s="122"/>
      <c r="D570" s="122"/>
      <c r="E570" s="123"/>
      <c r="F570" s="123"/>
      <c r="G570" s="124"/>
      <c r="H570" s="125"/>
      <c r="I570" s="126"/>
      <c r="J570" s="127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19"/>
      <c r="BA570" s="119"/>
      <c r="BB570" s="119"/>
      <c r="BC570" s="119"/>
      <c r="BD570" s="119"/>
      <c r="BE570" s="119"/>
      <c r="BF570" s="119"/>
      <c r="BG570" s="119"/>
      <c r="BH570" s="119"/>
      <c r="BI570" s="119"/>
      <c r="BJ570" s="119"/>
      <c r="BK570" s="119"/>
      <c r="BL570" s="119"/>
      <c r="BM570" s="119"/>
      <c r="BN570" s="119"/>
      <c r="BO570" s="119"/>
      <c r="BP570" s="119"/>
      <c r="BQ570" s="119"/>
      <c r="BR570" s="119"/>
      <c r="BS570" s="119"/>
      <c r="BT570" s="119"/>
      <c r="BU570" s="119"/>
      <c r="BV570" s="119"/>
      <c r="BW570" s="119"/>
      <c r="BX570" s="119"/>
      <c r="BY570" s="119"/>
      <c r="BZ570" s="119"/>
      <c r="CA570" s="119"/>
      <c r="CB570" s="119"/>
      <c r="CC570" s="119"/>
      <c r="CD570" s="119"/>
      <c r="CE570" s="119"/>
      <c r="CF570" s="119"/>
      <c r="CG570" s="119"/>
      <c r="CH570" s="119"/>
      <c r="CI570" s="119"/>
      <c r="CJ570" s="119"/>
      <c r="CK570" s="119"/>
      <c r="CL570" s="119"/>
      <c r="CM570" s="119"/>
      <c r="CN570" s="119"/>
      <c r="CO570" s="119"/>
      <c r="CP570" s="119"/>
      <c r="CQ570" s="119"/>
      <c r="CR570" s="119"/>
      <c r="CS570" s="119"/>
      <c r="CT570" s="119"/>
      <c r="CU570" s="119"/>
      <c r="CV570" s="119"/>
      <c r="CW570" s="119"/>
      <c r="CX570" s="119"/>
      <c r="CY570" s="119"/>
      <c r="CZ570" s="119"/>
      <c r="DA570" s="119"/>
      <c r="DB570" s="119"/>
      <c r="DC570" s="119"/>
      <c r="DD570" s="119"/>
      <c r="DE570" s="119"/>
      <c r="DF570" s="119"/>
      <c r="DG570" s="119"/>
      <c r="DH570" s="119"/>
      <c r="DI570" s="119"/>
      <c r="DJ570" s="119"/>
      <c r="DK570" s="119"/>
      <c r="DL570" s="119"/>
      <c r="DM570" s="119"/>
      <c r="DN570" s="119"/>
      <c r="DO570" s="119"/>
      <c r="DP570" s="119"/>
      <c r="DQ570" s="119"/>
      <c r="DR570" s="119"/>
      <c r="DS570" s="119"/>
      <c r="DT570" s="119"/>
      <c r="DU570" s="119"/>
      <c r="DV570" s="119"/>
      <c r="DW570" s="119"/>
      <c r="DX570" s="119"/>
      <c r="DY570" s="119"/>
      <c r="DZ570" s="119"/>
      <c r="EA570" s="119"/>
      <c r="EB570" s="119"/>
      <c r="EC570" s="119"/>
      <c r="ED570" s="119"/>
      <c r="EE570" s="119"/>
      <c r="EF570" s="119"/>
      <c r="EG570" s="119"/>
      <c r="EH570" s="119"/>
      <c r="EI570" s="119"/>
      <c r="EJ570" s="119"/>
      <c r="EK570" s="119"/>
      <c r="EL570" s="119"/>
      <c r="EM570" s="119"/>
      <c r="EN570" s="119"/>
      <c r="EO570" s="119"/>
      <c r="EP570" s="119"/>
      <c r="EQ570" s="119"/>
      <c r="ER570" s="119"/>
      <c r="ES570" s="119"/>
      <c r="ET570" s="119"/>
      <c r="EU570" s="119"/>
      <c r="EV570" s="119"/>
      <c r="EW570" s="119"/>
      <c r="EX570" s="119"/>
      <c r="EY570" s="119"/>
      <c r="EZ570" s="119"/>
      <c r="FA570" s="119"/>
      <c r="FB570" s="119"/>
      <c r="FC570" s="119"/>
      <c r="FD570" s="119"/>
      <c r="FE570" s="119"/>
      <c r="FF570" s="119"/>
      <c r="FG570" s="119"/>
      <c r="FH570" s="119"/>
      <c r="FI570" s="119"/>
      <c r="FJ570" s="119"/>
      <c r="FK570" s="119"/>
      <c r="FL570" s="119"/>
      <c r="FM570" s="119"/>
      <c r="FN570" s="119"/>
      <c r="FO570" s="119"/>
      <c r="FP570" s="119"/>
      <c r="FQ570" s="119"/>
      <c r="FR570" s="119"/>
    </row>
    <row x14ac:dyDescent="0.25" r="571" customHeight="1" ht="15">
      <c r="A571" s="121"/>
      <c r="B571" s="121"/>
      <c r="C571" s="122"/>
      <c r="D571" s="122"/>
      <c r="E571" s="123"/>
      <c r="F571" s="123"/>
      <c r="G571" s="124"/>
      <c r="H571" s="125"/>
      <c r="I571" s="126"/>
      <c r="J571" s="127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19"/>
      <c r="BA571" s="119"/>
      <c r="BB571" s="119"/>
      <c r="BC571" s="119"/>
      <c r="BD571" s="119"/>
      <c r="BE571" s="119"/>
      <c r="BF571" s="119"/>
      <c r="BG571" s="119"/>
      <c r="BH571" s="119"/>
      <c r="BI571" s="119"/>
      <c r="BJ571" s="119"/>
      <c r="BK571" s="119"/>
      <c r="BL571" s="119"/>
      <c r="BM571" s="119"/>
      <c r="BN571" s="119"/>
      <c r="BO571" s="119"/>
      <c r="BP571" s="119"/>
      <c r="BQ571" s="119"/>
      <c r="BR571" s="119"/>
      <c r="BS571" s="119"/>
      <c r="BT571" s="119"/>
      <c r="BU571" s="119"/>
      <c r="BV571" s="119"/>
      <c r="BW571" s="119"/>
      <c r="BX571" s="119"/>
      <c r="BY571" s="119"/>
      <c r="BZ571" s="119"/>
      <c r="CA571" s="119"/>
      <c r="CB571" s="119"/>
      <c r="CC571" s="119"/>
      <c r="CD571" s="119"/>
      <c r="CE571" s="119"/>
      <c r="CF571" s="119"/>
      <c r="CG571" s="119"/>
      <c r="CH571" s="119"/>
      <c r="CI571" s="119"/>
      <c r="CJ571" s="119"/>
      <c r="CK571" s="119"/>
      <c r="CL571" s="119"/>
      <c r="CM571" s="119"/>
      <c r="CN571" s="119"/>
      <c r="CO571" s="119"/>
      <c r="CP571" s="119"/>
      <c r="CQ571" s="119"/>
      <c r="CR571" s="119"/>
      <c r="CS571" s="119"/>
      <c r="CT571" s="119"/>
      <c r="CU571" s="119"/>
      <c r="CV571" s="119"/>
      <c r="CW571" s="119"/>
      <c r="CX571" s="119"/>
      <c r="CY571" s="119"/>
      <c r="CZ571" s="119"/>
      <c r="DA571" s="119"/>
      <c r="DB571" s="119"/>
      <c r="DC571" s="119"/>
      <c r="DD571" s="119"/>
      <c r="DE571" s="119"/>
      <c r="DF571" s="119"/>
      <c r="DG571" s="119"/>
      <c r="DH571" s="119"/>
      <c r="DI571" s="119"/>
      <c r="DJ571" s="119"/>
      <c r="DK571" s="119"/>
      <c r="DL571" s="119"/>
      <c r="DM571" s="119"/>
      <c r="DN571" s="119"/>
      <c r="DO571" s="119"/>
      <c r="DP571" s="119"/>
      <c r="DQ571" s="119"/>
      <c r="DR571" s="119"/>
      <c r="DS571" s="119"/>
      <c r="DT571" s="119"/>
      <c r="DU571" s="119"/>
      <c r="DV571" s="119"/>
      <c r="DW571" s="119"/>
      <c r="DX571" s="119"/>
      <c r="DY571" s="119"/>
      <c r="DZ571" s="119"/>
      <c r="EA571" s="119"/>
      <c r="EB571" s="119"/>
      <c r="EC571" s="119"/>
      <c r="ED571" s="119"/>
      <c r="EE571" s="119"/>
      <c r="EF571" s="119"/>
      <c r="EG571" s="119"/>
      <c r="EH571" s="119"/>
      <c r="EI571" s="119"/>
      <c r="EJ571" s="119"/>
      <c r="EK571" s="119"/>
      <c r="EL571" s="119"/>
      <c r="EM571" s="119"/>
      <c r="EN571" s="119"/>
      <c r="EO571" s="119"/>
      <c r="EP571" s="119"/>
      <c r="EQ571" s="119"/>
      <c r="ER571" s="119"/>
      <c r="ES571" s="119"/>
      <c r="ET571" s="119"/>
      <c r="EU571" s="119"/>
      <c r="EV571" s="119"/>
      <c r="EW571" s="119"/>
      <c r="EX571" s="119"/>
      <c r="EY571" s="119"/>
      <c r="EZ571" s="119"/>
      <c r="FA571" s="119"/>
      <c r="FB571" s="119"/>
      <c r="FC571" s="119"/>
      <c r="FD571" s="119"/>
      <c r="FE571" s="119"/>
      <c r="FF571" s="119"/>
      <c r="FG571" s="119"/>
      <c r="FH571" s="119"/>
      <c r="FI571" s="119"/>
      <c r="FJ571" s="119"/>
      <c r="FK571" s="119"/>
      <c r="FL571" s="119"/>
      <c r="FM571" s="119"/>
      <c r="FN571" s="119"/>
      <c r="FO571" s="119"/>
      <c r="FP571" s="119"/>
      <c r="FQ571" s="119"/>
      <c r="FR571" s="119"/>
    </row>
    <row x14ac:dyDescent="0.25" r="572" customHeight="1" ht="15">
      <c r="A572" s="121"/>
      <c r="B572" s="121"/>
      <c r="C572" s="122"/>
      <c r="D572" s="122"/>
      <c r="E572" s="123"/>
      <c r="F572" s="123"/>
      <c r="G572" s="124"/>
      <c r="H572" s="125"/>
      <c r="I572" s="126"/>
      <c r="J572" s="127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19"/>
      <c r="BA572" s="119"/>
      <c r="BB572" s="119"/>
      <c r="BC572" s="119"/>
      <c r="BD572" s="119"/>
      <c r="BE572" s="119"/>
      <c r="BF572" s="119"/>
      <c r="BG572" s="119"/>
      <c r="BH572" s="119"/>
      <c r="BI572" s="119"/>
      <c r="BJ572" s="119"/>
      <c r="BK572" s="119"/>
      <c r="BL572" s="119"/>
      <c r="BM572" s="119"/>
      <c r="BN572" s="119"/>
      <c r="BO572" s="119"/>
      <c r="BP572" s="119"/>
      <c r="BQ572" s="119"/>
      <c r="BR572" s="119"/>
      <c r="BS572" s="119"/>
      <c r="BT572" s="119"/>
      <c r="BU572" s="119"/>
      <c r="BV572" s="119"/>
      <c r="BW572" s="119"/>
      <c r="BX572" s="119"/>
      <c r="BY572" s="119"/>
      <c r="BZ572" s="119"/>
      <c r="CA572" s="119"/>
      <c r="CB572" s="119"/>
      <c r="CC572" s="119"/>
      <c r="CD572" s="119"/>
      <c r="CE572" s="119"/>
      <c r="CF572" s="119"/>
      <c r="CG572" s="119"/>
      <c r="CH572" s="119"/>
      <c r="CI572" s="119"/>
      <c r="CJ572" s="119"/>
      <c r="CK572" s="119"/>
      <c r="CL572" s="119"/>
      <c r="CM572" s="119"/>
      <c r="CN572" s="119"/>
      <c r="CO572" s="119"/>
      <c r="CP572" s="119"/>
      <c r="CQ572" s="119"/>
      <c r="CR572" s="119"/>
      <c r="CS572" s="119"/>
      <c r="CT572" s="119"/>
      <c r="CU572" s="119"/>
      <c r="CV572" s="119"/>
      <c r="CW572" s="119"/>
      <c r="CX572" s="119"/>
      <c r="CY572" s="119"/>
      <c r="CZ572" s="119"/>
      <c r="DA572" s="119"/>
      <c r="DB572" s="119"/>
      <c r="DC572" s="119"/>
      <c r="DD572" s="119"/>
      <c r="DE572" s="119"/>
      <c r="DF572" s="119"/>
      <c r="DG572" s="119"/>
      <c r="DH572" s="119"/>
      <c r="DI572" s="119"/>
      <c r="DJ572" s="119"/>
      <c r="DK572" s="119"/>
      <c r="DL572" s="119"/>
      <c r="DM572" s="119"/>
      <c r="DN572" s="119"/>
      <c r="DO572" s="119"/>
      <c r="DP572" s="119"/>
      <c r="DQ572" s="119"/>
      <c r="DR572" s="119"/>
      <c r="DS572" s="119"/>
      <c r="DT572" s="119"/>
      <c r="DU572" s="119"/>
      <c r="DV572" s="119"/>
      <c r="DW572" s="119"/>
      <c r="DX572" s="119"/>
      <c r="DY572" s="119"/>
      <c r="DZ572" s="119"/>
      <c r="EA572" s="119"/>
      <c r="EB572" s="119"/>
      <c r="EC572" s="119"/>
      <c r="ED572" s="119"/>
      <c r="EE572" s="119"/>
      <c r="EF572" s="119"/>
      <c r="EG572" s="119"/>
      <c r="EH572" s="119"/>
      <c r="EI572" s="119"/>
      <c r="EJ572" s="119"/>
      <c r="EK572" s="119"/>
      <c r="EL572" s="119"/>
      <c r="EM572" s="119"/>
      <c r="EN572" s="119"/>
      <c r="EO572" s="119"/>
      <c r="EP572" s="119"/>
      <c r="EQ572" s="119"/>
      <c r="ER572" s="119"/>
      <c r="ES572" s="119"/>
      <c r="ET572" s="119"/>
      <c r="EU572" s="119"/>
      <c r="EV572" s="119"/>
      <c r="EW572" s="119"/>
      <c r="EX572" s="119"/>
      <c r="EY572" s="119"/>
      <c r="EZ572" s="119"/>
      <c r="FA572" s="119"/>
      <c r="FB572" s="119"/>
      <c r="FC572" s="119"/>
      <c r="FD572" s="119"/>
      <c r="FE572" s="119"/>
      <c r="FF572" s="119"/>
      <c r="FG572" s="119"/>
      <c r="FH572" s="119"/>
      <c r="FI572" s="119"/>
      <c r="FJ572" s="119"/>
      <c r="FK572" s="119"/>
      <c r="FL572" s="119"/>
      <c r="FM572" s="119"/>
      <c r="FN572" s="119"/>
      <c r="FO572" s="119"/>
      <c r="FP572" s="119"/>
      <c r="FQ572" s="119"/>
      <c r="FR572" s="119"/>
    </row>
    <row x14ac:dyDescent="0.25" r="573" customHeight="1" ht="15">
      <c r="A573" s="121"/>
      <c r="B573" s="121"/>
      <c r="C573" s="122"/>
      <c r="D573" s="122"/>
      <c r="E573" s="123"/>
      <c r="F573" s="123"/>
      <c r="G573" s="124"/>
      <c r="H573" s="125"/>
      <c r="I573" s="126"/>
      <c r="J573" s="127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19"/>
      <c r="BA573" s="119"/>
      <c r="BB573" s="119"/>
      <c r="BC573" s="119"/>
      <c r="BD573" s="119"/>
      <c r="BE573" s="119"/>
      <c r="BF573" s="119"/>
      <c r="BG573" s="119"/>
      <c r="BH573" s="119"/>
      <c r="BI573" s="119"/>
      <c r="BJ573" s="119"/>
      <c r="BK573" s="119"/>
      <c r="BL573" s="119"/>
      <c r="BM573" s="119"/>
      <c r="BN573" s="119"/>
      <c r="BO573" s="119"/>
      <c r="BP573" s="119"/>
      <c r="BQ573" s="119"/>
      <c r="BR573" s="119"/>
      <c r="BS573" s="119"/>
      <c r="BT573" s="119"/>
      <c r="BU573" s="119"/>
      <c r="BV573" s="119"/>
      <c r="BW573" s="119"/>
      <c r="BX573" s="119"/>
      <c r="BY573" s="119"/>
      <c r="BZ573" s="119"/>
      <c r="CA573" s="119"/>
      <c r="CB573" s="119"/>
      <c r="CC573" s="119"/>
      <c r="CD573" s="119"/>
      <c r="CE573" s="119"/>
      <c r="CF573" s="119"/>
      <c r="CG573" s="119"/>
      <c r="CH573" s="119"/>
      <c r="CI573" s="119"/>
      <c r="CJ573" s="119"/>
      <c r="CK573" s="119"/>
      <c r="CL573" s="119"/>
      <c r="CM573" s="119"/>
      <c r="CN573" s="119"/>
      <c r="CO573" s="119"/>
      <c r="CP573" s="119"/>
      <c r="CQ573" s="119"/>
      <c r="CR573" s="119"/>
      <c r="CS573" s="119"/>
      <c r="CT573" s="119"/>
      <c r="CU573" s="119"/>
      <c r="CV573" s="119"/>
      <c r="CW573" s="119"/>
      <c r="CX573" s="119"/>
      <c r="CY573" s="119"/>
      <c r="CZ573" s="119"/>
      <c r="DA573" s="119"/>
      <c r="DB573" s="119"/>
      <c r="DC573" s="119"/>
      <c r="DD573" s="119"/>
      <c r="DE573" s="119"/>
      <c r="DF573" s="119"/>
      <c r="DG573" s="119"/>
      <c r="DH573" s="119"/>
      <c r="DI573" s="119"/>
      <c r="DJ573" s="119"/>
      <c r="DK573" s="119"/>
      <c r="DL573" s="119"/>
      <c r="DM573" s="119"/>
      <c r="DN573" s="119"/>
      <c r="DO573" s="119"/>
      <c r="DP573" s="119"/>
      <c r="DQ573" s="119"/>
      <c r="DR573" s="119"/>
      <c r="DS573" s="119"/>
      <c r="DT573" s="119"/>
      <c r="DU573" s="119"/>
      <c r="DV573" s="119"/>
      <c r="DW573" s="119"/>
      <c r="DX573" s="119"/>
      <c r="DY573" s="119"/>
      <c r="DZ573" s="119"/>
      <c r="EA573" s="119"/>
      <c r="EB573" s="119"/>
      <c r="EC573" s="119"/>
      <c r="ED573" s="119"/>
      <c r="EE573" s="119"/>
      <c r="EF573" s="119"/>
      <c r="EG573" s="119"/>
      <c r="EH573" s="119"/>
      <c r="EI573" s="119"/>
      <c r="EJ573" s="119"/>
      <c r="EK573" s="119"/>
      <c r="EL573" s="119"/>
      <c r="EM573" s="119"/>
      <c r="EN573" s="119"/>
      <c r="EO573" s="119"/>
      <c r="EP573" s="119"/>
      <c r="EQ573" s="119"/>
      <c r="ER573" s="119"/>
      <c r="ES573" s="119"/>
      <c r="ET573" s="119"/>
      <c r="EU573" s="119"/>
      <c r="EV573" s="119"/>
      <c r="EW573" s="119"/>
      <c r="EX573" s="119"/>
      <c r="EY573" s="119"/>
      <c r="EZ573" s="119"/>
      <c r="FA573" s="119"/>
      <c r="FB573" s="119"/>
      <c r="FC573" s="119"/>
      <c r="FD573" s="119"/>
      <c r="FE573" s="119"/>
      <c r="FF573" s="119"/>
      <c r="FG573" s="119"/>
      <c r="FH573" s="119"/>
      <c r="FI573" s="119"/>
      <c r="FJ573" s="119"/>
      <c r="FK573" s="119"/>
      <c r="FL573" s="119"/>
      <c r="FM573" s="119"/>
      <c r="FN573" s="119"/>
      <c r="FO573" s="119"/>
      <c r="FP573" s="119"/>
      <c r="FQ573" s="119"/>
      <c r="FR573" s="119"/>
    </row>
    <row x14ac:dyDescent="0.25" r="574" customHeight="1" ht="15">
      <c r="A574" s="121"/>
      <c r="B574" s="121"/>
      <c r="C574" s="122"/>
      <c r="D574" s="122"/>
      <c r="E574" s="123"/>
      <c r="F574" s="123"/>
      <c r="G574" s="124"/>
      <c r="H574" s="125"/>
      <c r="I574" s="126"/>
      <c r="J574" s="127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19"/>
      <c r="BA574" s="119"/>
      <c r="BB574" s="119"/>
      <c r="BC574" s="119"/>
      <c r="BD574" s="119"/>
      <c r="BE574" s="119"/>
      <c r="BF574" s="119"/>
      <c r="BG574" s="119"/>
      <c r="BH574" s="119"/>
      <c r="BI574" s="119"/>
      <c r="BJ574" s="119"/>
      <c r="BK574" s="119"/>
      <c r="BL574" s="119"/>
      <c r="BM574" s="119"/>
      <c r="BN574" s="119"/>
      <c r="BO574" s="119"/>
      <c r="BP574" s="119"/>
      <c r="BQ574" s="119"/>
      <c r="BR574" s="119"/>
      <c r="BS574" s="119"/>
      <c r="BT574" s="119"/>
      <c r="BU574" s="119"/>
      <c r="BV574" s="119"/>
      <c r="BW574" s="119"/>
      <c r="BX574" s="119"/>
      <c r="BY574" s="119"/>
      <c r="BZ574" s="119"/>
      <c r="CA574" s="119"/>
      <c r="CB574" s="119"/>
      <c r="CC574" s="119"/>
      <c r="CD574" s="119"/>
      <c r="CE574" s="119"/>
      <c r="CF574" s="119"/>
      <c r="CG574" s="119"/>
      <c r="CH574" s="119"/>
      <c r="CI574" s="119"/>
      <c r="CJ574" s="119"/>
      <c r="CK574" s="119"/>
      <c r="CL574" s="119"/>
      <c r="CM574" s="119"/>
      <c r="CN574" s="119"/>
      <c r="CO574" s="119"/>
      <c r="CP574" s="119"/>
      <c r="CQ574" s="119"/>
      <c r="CR574" s="119"/>
      <c r="CS574" s="119"/>
      <c r="CT574" s="119"/>
      <c r="CU574" s="119"/>
      <c r="CV574" s="119"/>
      <c r="CW574" s="119"/>
      <c r="CX574" s="119"/>
      <c r="CY574" s="119"/>
      <c r="CZ574" s="119"/>
      <c r="DA574" s="119"/>
      <c r="DB574" s="119"/>
      <c r="DC574" s="119"/>
      <c r="DD574" s="119"/>
      <c r="DE574" s="119"/>
      <c r="DF574" s="119"/>
      <c r="DG574" s="119"/>
      <c r="DH574" s="119"/>
      <c r="DI574" s="119"/>
      <c r="DJ574" s="119"/>
      <c r="DK574" s="119"/>
      <c r="DL574" s="119"/>
      <c r="DM574" s="119"/>
      <c r="DN574" s="119"/>
      <c r="DO574" s="119"/>
      <c r="DP574" s="119"/>
      <c r="DQ574" s="119"/>
      <c r="DR574" s="119"/>
      <c r="DS574" s="119"/>
      <c r="DT574" s="119"/>
      <c r="DU574" s="119"/>
      <c r="DV574" s="119"/>
      <c r="DW574" s="119"/>
      <c r="DX574" s="119"/>
      <c r="DY574" s="119"/>
      <c r="DZ574" s="119"/>
      <c r="EA574" s="119"/>
      <c r="EB574" s="119"/>
      <c r="EC574" s="119"/>
      <c r="ED574" s="119"/>
      <c r="EE574" s="119"/>
      <c r="EF574" s="119"/>
      <c r="EG574" s="119"/>
      <c r="EH574" s="119"/>
      <c r="EI574" s="119"/>
      <c r="EJ574" s="119"/>
      <c r="EK574" s="119"/>
      <c r="EL574" s="119"/>
      <c r="EM574" s="119"/>
      <c r="EN574" s="119"/>
      <c r="EO574" s="119"/>
      <c r="EP574" s="119"/>
      <c r="EQ574" s="119"/>
      <c r="ER574" s="119"/>
      <c r="ES574" s="119"/>
      <c r="ET574" s="119"/>
      <c r="EU574" s="119"/>
      <c r="EV574" s="119"/>
      <c r="EW574" s="119"/>
      <c r="EX574" s="119"/>
      <c r="EY574" s="119"/>
      <c r="EZ574" s="119"/>
      <c r="FA574" s="119"/>
      <c r="FB574" s="119"/>
      <c r="FC574" s="119"/>
      <c r="FD574" s="119"/>
      <c r="FE574" s="119"/>
      <c r="FF574" s="119"/>
      <c r="FG574" s="119"/>
      <c r="FH574" s="119"/>
      <c r="FI574" s="119"/>
      <c r="FJ574" s="119"/>
      <c r="FK574" s="119"/>
      <c r="FL574" s="119"/>
      <c r="FM574" s="119"/>
      <c r="FN574" s="119"/>
      <c r="FO574" s="119"/>
      <c r="FP574" s="119"/>
      <c r="FQ574" s="119"/>
      <c r="FR574" s="119"/>
    </row>
    <row x14ac:dyDescent="0.25" r="575" customHeight="1" ht="15">
      <c r="A575" s="121"/>
      <c r="B575" s="121"/>
      <c r="C575" s="122"/>
      <c r="D575" s="122"/>
      <c r="E575" s="123"/>
      <c r="F575" s="123"/>
      <c r="G575" s="124"/>
      <c r="H575" s="125"/>
      <c r="I575" s="126"/>
      <c r="J575" s="127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19"/>
      <c r="BA575" s="119"/>
      <c r="BB575" s="119"/>
      <c r="BC575" s="119"/>
      <c r="BD575" s="119"/>
      <c r="BE575" s="119"/>
      <c r="BF575" s="119"/>
      <c r="BG575" s="119"/>
      <c r="BH575" s="119"/>
      <c r="BI575" s="119"/>
      <c r="BJ575" s="119"/>
      <c r="BK575" s="119"/>
      <c r="BL575" s="119"/>
      <c r="BM575" s="119"/>
      <c r="BN575" s="119"/>
      <c r="BO575" s="119"/>
      <c r="BP575" s="119"/>
      <c r="BQ575" s="119"/>
      <c r="BR575" s="119"/>
      <c r="BS575" s="119"/>
      <c r="BT575" s="119"/>
      <c r="BU575" s="119"/>
      <c r="BV575" s="119"/>
      <c r="BW575" s="119"/>
      <c r="BX575" s="119"/>
      <c r="BY575" s="119"/>
      <c r="BZ575" s="119"/>
      <c r="CA575" s="119"/>
      <c r="CB575" s="119"/>
      <c r="CC575" s="119"/>
      <c r="CD575" s="119"/>
      <c r="CE575" s="119"/>
      <c r="CF575" s="119"/>
      <c r="CG575" s="119"/>
      <c r="CH575" s="119"/>
      <c r="CI575" s="119"/>
      <c r="CJ575" s="119"/>
      <c r="CK575" s="119"/>
      <c r="CL575" s="119"/>
      <c r="CM575" s="119"/>
      <c r="CN575" s="119"/>
      <c r="CO575" s="119"/>
      <c r="CP575" s="119"/>
      <c r="CQ575" s="119"/>
      <c r="CR575" s="119"/>
      <c r="CS575" s="119"/>
      <c r="CT575" s="119"/>
      <c r="CU575" s="119"/>
      <c r="CV575" s="119"/>
      <c r="CW575" s="119"/>
      <c r="CX575" s="119"/>
      <c r="CY575" s="119"/>
      <c r="CZ575" s="119"/>
      <c r="DA575" s="119"/>
      <c r="DB575" s="119"/>
      <c r="DC575" s="119"/>
      <c r="DD575" s="119"/>
      <c r="DE575" s="119"/>
      <c r="DF575" s="119"/>
      <c r="DG575" s="119"/>
      <c r="DH575" s="119"/>
      <c r="DI575" s="119"/>
      <c r="DJ575" s="119"/>
      <c r="DK575" s="119"/>
      <c r="DL575" s="119"/>
      <c r="DM575" s="119"/>
      <c r="DN575" s="119"/>
      <c r="DO575" s="119"/>
      <c r="DP575" s="119"/>
      <c r="DQ575" s="119"/>
      <c r="DR575" s="119"/>
      <c r="DS575" s="119"/>
      <c r="DT575" s="119"/>
      <c r="DU575" s="119"/>
      <c r="DV575" s="119"/>
      <c r="DW575" s="119"/>
      <c r="DX575" s="119"/>
      <c r="DY575" s="119"/>
      <c r="DZ575" s="119"/>
      <c r="EA575" s="119"/>
      <c r="EB575" s="119"/>
      <c r="EC575" s="119"/>
      <c r="ED575" s="119"/>
      <c r="EE575" s="119"/>
      <c r="EF575" s="119"/>
      <c r="EG575" s="119"/>
      <c r="EH575" s="119"/>
      <c r="EI575" s="119"/>
      <c r="EJ575" s="119"/>
      <c r="EK575" s="119"/>
      <c r="EL575" s="119"/>
      <c r="EM575" s="119"/>
      <c r="EN575" s="119"/>
      <c r="EO575" s="119"/>
      <c r="EP575" s="119"/>
      <c r="EQ575" s="119"/>
      <c r="ER575" s="119"/>
      <c r="ES575" s="119"/>
      <c r="ET575" s="119"/>
      <c r="EU575" s="119"/>
      <c r="EV575" s="119"/>
      <c r="EW575" s="119"/>
      <c r="EX575" s="119"/>
      <c r="EY575" s="119"/>
      <c r="EZ575" s="119"/>
      <c r="FA575" s="119"/>
      <c r="FB575" s="119"/>
      <c r="FC575" s="119"/>
      <c r="FD575" s="119"/>
      <c r="FE575" s="119"/>
      <c r="FF575" s="119"/>
      <c r="FG575" s="119"/>
      <c r="FH575" s="119"/>
      <c r="FI575" s="119"/>
      <c r="FJ575" s="119"/>
      <c r="FK575" s="119"/>
      <c r="FL575" s="119"/>
      <c r="FM575" s="119"/>
      <c r="FN575" s="119"/>
      <c r="FO575" s="119"/>
      <c r="FP575" s="119"/>
      <c r="FQ575" s="119"/>
      <c r="FR575" s="119"/>
    </row>
    <row x14ac:dyDescent="0.25" r="576" customHeight="1" ht="15">
      <c r="A576" s="121"/>
      <c r="B576" s="121"/>
      <c r="C576" s="122"/>
      <c r="D576" s="122"/>
      <c r="E576" s="123"/>
      <c r="F576" s="123"/>
      <c r="G576" s="124"/>
      <c r="H576" s="125"/>
      <c r="I576" s="126"/>
      <c r="J576" s="127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19"/>
      <c r="BA576" s="119"/>
      <c r="BB576" s="119"/>
      <c r="BC576" s="119"/>
      <c r="BD576" s="119"/>
      <c r="BE576" s="119"/>
      <c r="BF576" s="119"/>
      <c r="BG576" s="119"/>
      <c r="BH576" s="119"/>
      <c r="BI576" s="119"/>
      <c r="BJ576" s="119"/>
      <c r="BK576" s="119"/>
      <c r="BL576" s="119"/>
      <c r="BM576" s="119"/>
      <c r="BN576" s="119"/>
      <c r="BO576" s="119"/>
      <c r="BP576" s="119"/>
      <c r="BQ576" s="119"/>
      <c r="BR576" s="119"/>
      <c r="BS576" s="119"/>
      <c r="BT576" s="119"/>
      <c r="BU576" s="119"/>
      <c r="BV576" s="119"/>
      <c r="BW576" s="119"/>
      <c r="BX576" s="119"/>
      <c r="BY576" s="119"/>
      <c r="BZ576" s="119"/>
      <c r="CA576" s="119"/>
      <c r="CB576" s="119"/>
      <c r="CC576" s="119"/>
      <c r="CD576" s="119"/>
      <c r="CE576" s="119"/>
      <c r="CF576" s="119"/>
      <c r="CG576" s="119"/>
      <c r="CH576" s="119"/>
      <c r="CI576" s="119"/>
      <c r="CJ576" s="119"/>
      <c r="CK576" s="119"/>
      <c r="CL576" s="119"/>
      <c r="CM576" s="119"/>
      <c r="CN576" s="119"/>
      <c r="CO576" s="119"/>
      <c r="CP576" s="119"/>
      <c r="CQ576" s="119"/>
      <c r="CR576" s="119"/>
      <c r="CS576" s="119"/>
      <c r="CT576" s="119"/>
      <c r="CU576" s="119"/>
      <c r="CV576" s="119"/>
      <c r="CW576" s="119"/>
      <c r="CX576" s="119"/>
      <c r="CY576" s="119"/>
      <c r="CZ576" s="119"/>
      <c r="DA576" s="119"/>
      <c r="DB576" s="119"/>
      <c r="DC576" s="119"/>
      <c r="DD576" s="119"/>
      <c r="DE576" s="119"/>
      <c r="DF576" s="119"/>
      <c r="DG576" s="119"/>
      <c r="DH576" s="119"/>
      <c r="DI576" s="119"/>
      <c r="DJ576" s="119"/>
      <c r="DK576" s="119"/>
      <c r="DL576" s="119"/>
      <c r="DM576" s="119"/>
      <c r="DN576" s="119"/>
      <c r="DO576" s="119"/>
      <c r="DP576" s="119"/>
      <c r="DQ576" s="119"/>
      <c r="DR576" s="119"/>
      <c r="DS576" s="119"/>
      <c r="DT576" s="119"/>
      <c r="DU576" s="119"/>
      <c r="DV576" s="119"/>
      <c r="DW576" s="119"/>
      <c r="DX576" s="119"/>
      <c r="DY576" s="119"/>
      <c r="DZ576" s="119"/>
      <c r="EA576" s="119"/>
      <c r="EB576" s="119"/>
      <c r="EC576" s="119"/>
      <c r="ED576" s="119"/>
      <c r="EE576" s="119"/>
      <c r="EF576" s="119"/>
      <c r="EG576" s="119"/>
      <c r="EH576" s="119"/>
      <c r="EI576" s="119"/>
      <c r="EJ576" s="119"/>
      <c r="EK576" s="119"/>
      <c r="EL576" s="119"/>
      <c r="EM576" s="119"/>
      <c r="EN576" s="119"/>
      <c r="EO576" s="119"/>
      <c r="EP576" s="119"/>
      <c r="EQ576" s="119"/>
      <c r="ER576" s="119"/>
      <c r="ES576" s="119"/>
      <c r="ET576" s="119"/>
      <c r="EU576" s="119"/>
      <c r="EV576" s="119"/>
      <c r="EW576" s="119"/>
      <c r="EX576" s="119"/>
      <c r="EY576" s="119"/>
      <c r="EZ576" s="119"/>
      <c r="FA576" s="119"/>
      <c r="FB576" s="119"/>
      <c r="FC576" s="119"/>
      <c r="FD576" s="119"/>
      <c r="FE576" s="119"/>
      <c r="FF576" s="119"/>
      <c r="FG576" s="119"/>
      <c r="FH576" s="119"/>
      <c r="FI576" s="119"/>
      <c r="FJ576" s="119"/>
      <c r="FK576" s="119"/>
      <c r="FL576" s="119"/>
      <c r="FM576" s="119"/>
      <c r="FN576" s="119"/>
      <c r="FO576" s="119"/>
      <c r="FP576" s="119"/>
      <c r="FQ576" s="119"/>
      <c r="FR576" s="119"/>
    </row>
    <row x14ac:dyDescent="0.25" r="577" customHeight="1" ht="15">
      <c r="A577" s="121"/>
      <c r="B577" s="121"/>
      <c r="C577" s="122"/>
      <c r="D577" s="122"/>
      <c r="E577" s="123"/>
      <c r="F577" s="123"/>
      <c r="G577" s="124"/>
      <c r="H577" s="125"/>
      <c r="I577" s="126"/>
      <c r="J577" s="127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19"/>
      <c r="BA577" s="119"/>
      <c r="BB577" s="119"/>
      <c r="BC577" s="119"/>
      <c r="BD577" s="119"/>
      <c r="BE577" s="119"/>
      <c r="BF577" s="119"/>
      <c r="BG577" s="119"/>
      <c r="BH577" s="119"/>
      <c r="BI577" s="119"/>
      <c r="BJ577" s="119"/>
      <c r="BK577" s="119"/>
      <c r="BL577" s="119"/>
      <c r="BM577" s="119"/>
      <c r="BN577" s="119"/>
      <c r="BO577" s="119"/>
      <c r="BP577" s="119"/>
      <c r="BQ577" s="119"/>
      <c r="BR577" s="119"/>
      <c r="BS577" s="119"/>
      <c r="BT577" s="119"/>
      <c r="BU577" s="119"/>
      <c r="BV577" s="119"/>
      <c r="BW577" s="119"/>
      <c r="BX577" s="119"/>
      <c r="BY577" s="119"/>
      <c r="BZ577" s="119"/>
      <c r="CA577" s="119"/>
      <c r="CB577" s="119"/>
      <c r="CC577" s="119"/>
      <c r="CD577" s="119"/>
      <c r="CE577" s="119"/>
      <c r="CF577" s="119"/>
      <c r="CG577" s="119"/>
      <c r="CH577" s="119"/>
      <c r="CI577" s="119"/>
      <c r="CJ577" s="119"/>
      <c r="CK577" s="119"/>
      <c r="CL577" s="119"/>
      <c r="CM577" s="119"/>
      <c r="CN577" s="119"/>
      <c r="CO577" s="119"/>
      <c r="CP577" s="119"/>
      <c r="CQ577" s="119"/>
      <c r="CR577" s="119"/>
      <c r="CS577" s="119"/>
      <c r="CT577" s="119"/>
      <c r="CU577" s="119"/>
      <c r="CV577" s="119"/>
      <c r="CW577" s="119"/>
      <c r="CX577" s="119"/>
      <c r="CY577" s="119"/>
      <c r="CZ577" s="119"/>
      <c r="DA577" s="119"/>
      <c r="DB577" s="119"/>
      <c r="DC577" s="119"/>
      <c r="DD577" s="119"/>
      <c r="DE577" s="119"/>
      <c r="DF577" s="119"/>
      <c r="DG577" s="119"/>
      <c r="DH577" s="119"/>
      <c r="DI577" s="119"/>
      <c r="DJ577" s="119"/>
      <c r="DK577" s="119"/>
      <c r="DL577" s="119"/>
      <c r="DM577" s="119"/>
      <c r="DN577" s="119"/>
      <c r="DO577" s="119"/>
      <c r="DP577" s="119"/>
      <c r="DQ577" s="119"/>
      <c r="DR577" s="119"/>
      <c r="DS577" s="119"/>
      <c r="DT577" s="119"/>
      <c r="DU577" s="119"/>
      <c r="DV577" s="119"/>
      <c r="DW577" s="119"/>
      <c r="DX577" s="119"/>
      <c r="DY577" s="119"/>
      <c r="DZ577" s="119"/>
      <c r="EA577" s="119"/>
      <c r="EB577" s="119"/>
      <c r="EC577" s="119"/>
      <c r="ED577" s="119"/>
      <c r="EE577" s="119"/>
      <c r="EF577" s="119"/>
      <c r="EG577" s="119"/>
      <c r="EH577" s="119"/>
      <c r="EI577" s="119"/>
      <c r="EJ577" s="119"/>
      <c r="EK577" s="119"/>
      <c r="EL577" s="119"/>
      <c r="EM577" s="119"/>
      <c r="EN577" s="119"/>
      <c r="EO577" s="119"/>
      <c r="EP577" s="119"/>
      <c r="EQ577" s="119"/>
      <c r="ER577" s="119"/>
      <c r="ES577" s="119"/>
      <c r="ET577" s="119"/>
      <c r="EU577" s="119"/>
      <c r="EV577" s="119"/>
      <c r="EW577" s="119"/>
      <c r="EX577" s="119"/>
      <c r="EY577" s="119"/>
      <c r="EZ577" s="119"/>
      <c r="FA577" s="119"/>
      <c r="FB577" s="119"/>
      <c r="FC577" s="119"/>
      <c r="FD577" s="119"/>
      <c r="FE577" s="119"/>
      <c r="FF577" s="119"/>
      <c r="FG577" s="119"/>
      <c r="FH577" s="119"/>
      <c r="FI577" s="119"/>
      <c r="FJ577" s="119"/>
      <c r="FK577" s="119"/>
      <c r="FL577" s="119"/>
      <c r="FM577" s="119"/>
      <c r="FN577" s="119"/>
      <c r="FO577" s="119"/>
      <c r="FP577" s="119"/>
      <c r="FQ577" s="119"/>
      <c r="FR577" s="119"/>
    </row>
    <row x14ac:dyDescent="0.25" r="578" customHeight="1" ht="15">
      <c r="A578" s="121"/>
      <c r="B578" s="121"/>
      <c r="C578" s="122"/>
      <c r="D578" s="122"/>
      <c r="E578" s="123"/>
      <c r="F578" s="123"/>
      <c r="G578" s="124"/>
      <c r="H578" s="125"/>
      <c r="I578" s="126"/>
      <c r="J578" s="127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19"/>
      <c r="BA578" s="119"/>
      <c r="BB578" s="119"/>
      <c r="BC578" s="119"/>
      <c r="BD578" s="119"/>
      <c r="BE578" s="119"/>
      <c r="BF578" s="119"/>
      <c r="BG578" s="119"/>
      <c r="BH578" s="119"/>
      <c r="BI578" s="119"/>
      <c r="BJ578" s="119"/>
      <c r="BK578" s="119"/>
      <c r="BL578" s="119"/>
      <c r="BM578" s="119"/>
      <c r="BN578" s="119"/>
      <c r="BO578" s="119"/>
      <c r="BP578" s="119"/>
      <c r="BQ578" s="119"/>
      <c r="BR578" s="119"/>
      <c r="BS578" s="119"/>
      <c r="BT578" s="119"/>
      <c r="BU578" s="119"/>
      <c r="BV578" s="119"/>
      <c r="BW578" s="119"/>
      <c r="BX578" s="119"/>
      <c r="BY578" s="119"/>
      <c r="BZ578" s="119"/>
      <c r="CA578" s="119"/>
      <c r="CB578" s="119"/>
      <c r="CC578" s="119"/>
      <c r="CD578" s="119"/>
      <c r="CE578" s="119"/>
      <c r="CF578" s="119"/>
      <c r="CG578" s="119"/>
      <c r="CH578" s="119"/>
      <c r="CI578" s="119"/>
      <c r="CJ578" s="119"/>
      <c r="CK578" s="119"/>
      <c r="CL578" s="119"/>
      <c r="CM578" s="119"/>
      <c r="CN578" s="119"/>
      <c r="CO578" s="119"/>
      <c r="CP578" s="119"/>
      <c r="CQ578" s="119"/>
      <c r="CR578" s="119"/>
      <c r="CS578" s="119"/>
      <c r="CT578" s="119"/>
      <c r="CU578" s="119"/>
      <c r="CV578" s="119"/>
      <c r="CW578" s="119"/>
      <c r="CX578" s="119"/>
      <c r="CY578" s="119"/>
      <c r="CZ578" s="119"/>
      <c r="DA578" s="119"/>
      <c r="DB578" s="119"/>
      <c r="DC578" s="119"/>
      <c r="DD578" s="119"/>
      <c r="DE578" s="119"/>
      <c r="DF578" s="119"/>
      <c r="DG578" s="119"/>
      <c r="DH578" s="119"/>
      <c r="DI578" s="119"/>
      <c r="DJ578" s="119"/>
      <c r="DK578" s="119"/>
      <c r="DL578" s="119"/>
      <c r="DM578" s="119"/>
      <c r="DN578" s="119"/>
      <c r="DO578" s="119"/>
      <c r="DP578" s="119"/>
      <c r="DQ578" s="119"/>
      <c r="DR578" s="119"/>
      <c r="DS578" s="119"/>
      <c r="DT578" s="119"/>
      <c r="DU578" s="119"/>
      <c r="DV578" s="119"/>
      <c r="DW578" s="119"/>
      <c r="DX578" s="119"/>
      <c r="DY578" s="119"/>
      <c r="DZ578" s="119"/>
      <c r="EA578" s="119"/>
      <c r="EB578" s="119"/>
      <c r="EC578" s="119"/>
      <c r="ED578" s="119"/>
      <c r="EE578" s="119"/>
      <c r="EF578" s="119"/>
      <c r="EG578" s="119"/>
      <c r="EH578" s="119"/>
      <c r="EI578" s="119"/>
      <c r="EJ578" s="119"/>
      <c r="EK578" s="119"/>
      <c r="EL578" s="119"/>
      <c r="EM578" s="119"/>
      <c r="EN578" s="119"/>
      <c r="EO578" s="119"/>
      <c r="EP578" s="119"/>
      <c r="EQ578" s="119"/>
      <c r="ER578" s="119"/>
      <c r="ES578" s="119"/>
      <c r="ET578" s="119"/>
      <c r="EU578" s="119"/>
      <c r="EV578" s="119"/>
      <c r="EW578" s="119"/>
      <c r="EX578" s="119"/>
      <c r="EY578" s="119"/>
      <c r="EZ578" s="119"/>
      <c r="FA578" s="119"/>
      <c r="FB578" s="119"/>
      <c r="FC578" s="119"/>
      <c r="FD578" s="119"/>
      <c r="FE578" s="119"/>
      <c r="FF578" s="119"/>
      <c r="FG578" s="119"/>
      <c r="FH578" s="119"/>
      <c r="FI578" s="119"/>
      <c r="FJ578" s="119"/>
      <c r="FK578" s="119"/>
      <c r="FL578" s="119"/>
      <c r="FM578" s="119"/>
      <c r="FN578" s="119"/>
      <c r="FO578" s="119"/>
      <c r="FP578" s="119"/>
      <c r="FQ578" s="119"/>
      <c r="FR578" s="119"/>
    </row>
    <row x14ac:dyDescent="0.25" r="579" customHeight="1" ht="15">
      <c r="A579" s="121"/>
      <c r="B579" s="121"/>
      <c r="C579" s="122"/>
      <c r="D579" s="122"/>
      <c r="E579" s="123"/>
      <c r="F579" s="123"/>
      <c r="G579" s="124"/>
      <c r="H579" s="125"/>
      <c r="I579" s="126"/>
      <c r="J579" s="127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19"/>
      <c r="BA579" s="119"/>
      <c r="BB579" s="119"/>
      <c r="BC579" s="119"/>
      <c r="BD579" s="119"/>
      <c r="BE579" s="119"/>
      <c r="BF579" s="119"/>
      <c r="BG579" s="119"/>
      <c r="BH579" s="119"/>
      <c r="BI579" s="119"/>
      <c r="BJ579" s="119"/>
      <c r="BK579" s="119"/>
      <c r="BL579" s="119"/>
      <c r="BM579" s="119"/>
      <c r="BN579" s="119"/>
      <c r="BO579" s="119"/>
      <c r="BP579" s="119"/>
      <c r="BQ579" s="119"/>
      <c r="BR579" s="119"/>
      <c r="BS579" s="119"/>
      <c r="BT579" s="119"/>
      <c r="BU579" s="119"/>
      <c r="BV579" s="119"/>
      <c r="BW579" s="119"/>
      <c r="BX579" s="119"/>
      <c r="BY579" s="119"/>
      <c r="BZ579" s="119"/>
      <c r="CA579" s="119"/>
      <c r="CB579" s="119"/>
      <c r="CC579" s="119"/>
      <c r="CD579" s="119"/>
      <c r="CE579" s="119"/>
      <c r="CF579" s="119"/>
      <c r="CG579" s="119"/>
      <c r="CH579" s="119"/>
      <c r="CI579" s="119"/>
      <c r="CJ579" s="119"/>
      <c r="CK579" s="119"/>
      <c r="CL579" s="119"/>
      <c r="CM579" s="119"/>
      <c r="CN579" s="119"/>
      <c r="CO579" s="119"/>
      <c r="CP579" s="119"/>
      <c r="CQ579" s="119"/>
      <c r="CR579" s="119"/>
      <c r="CS579" s="119"/>
      <c r="CT579" s="119"/>
      <c r="CU579" s="119"/>
      <c r="CV579" s="119"/>
      <c r="CW579" s="119"/>
      <c r="CX579" s="119"/>
      <c r="CY579" s="119"/>
      <c r="CZ579" s="119"/>
      <c r="DA579" s="119"/>
      <c r="DB579" s="119"/>
      <c r="DC579" s="119"/>
      <c r="DD579" s="119"/>
      <c r="DE579" s="119"/>
      <c r="DF579" s="119"/>
      <c r="DG579" s="119"/>
      <c r="DH579" s="119"/>
      <c r="DI579" s="119"/>
      <c r="DJ579" s="119"/>
      <c r="DK579" s="119"/>
      <c r="DL579" s="119"/>
      <c r="DM579" s="119"/>
      <c r="DN579" s="119"/>
      <c r="DO579" s="119"/>
      <c r="DP579" s="119"/>
      <c r="DQ579" s="119"/>
      <c r="DR579" s="119"/>
      <c r="DS579" s="119"/>
      <c r="DT579" s="119"/>
      <c r="DU579" s="119"/>
      <c r="DV579" s="119"/>
      <c r="DW579" s="119"/>
      <c r="DX579" s="119"/>
      <c r="DY579" s="119"/>
      <c r="DZ579" s="119"/>
      <c r="EA579" s="119"/>
      <c r="EB579" s="119"/>
      <c r="EC579" s="119"/>
      <c r="ED579" s="119"/>
      <c r="EE579" s="119"/>
      <c r="EF579" s="119"/>
      <c r="EG579" s="119"/>
      <c r="EH579" s="119"/>
      <c r="EI579" s="119"/>
      <c r="EJ579" s="119"/>
      <c r="EK579" s="119"/>
      <c r="EL579" s="119"/>
      <c r="EM579" s="119"/>
      <c r="EN579" s="119"/>
      <c r="EO579" s="119"/>
      <c r="EP579" s="119"/>
      <c r="EQ579" s="119"/>
      <c r="ER579" s="119"/>
      <c r="ES579" s="119"/>
      <c r="ET579" s="119"/>
      <c r="EU579" s="119"/>
      <c r="EV579" s="119"/>
      <c r="EW579" s="119"/>
      <c r="EX579" s="119"/>
      <c r="EY579" s="119"/>
      <c r="EZ579" s="119"/>
      <c r="FA579" s="119"/>
      <c r="FB579" s="119"/>
      <c r="FC579" s="119"/>
      <c r="FD579" s="119"/>
      <c r="FE579" s="119"/>
      <c r="FF579" s="119"/>
      <c r="FG579" s="119"/>
      <c r="FH579" s="119"/>
      <c r="FI579" s="119"/>
      <c r="FJ579" s="119"/>
      <c r="FK579" s="119"/>
      <c r="FL579" s="119"/>
      <c r="FM579" s="119"/>
      <c r="FN579" s="119"/>
      <c r="FO579" s="119"/>
      <c r="FP579" s="119"/>
      <c r="FQ579" s="119"/>
      <c r="FR579" s="119"/>
    </row>
    <row x14ac:dyDescent="0.25" r="580" customHeight="1" ht="15">
      <c r="A580" s="121"/>
      <c r="B580" s="121"/>
      <c r="C580" s="122"/>
      <c r="D580" s="122"/>
      <c r="E580" s="123"/>
      <c r="F580" s="123"/>
      <c r="G580" s="124"/>
      <c r="H580" s="125"/>
      <c r="I580" s="126"/>
      <c r="J580" s="127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19"/>
      <c r="BA580" s="119"/>
      <c r="BB580" s="119"/>
      <c r="BC580" s="119"/>
      <c r="BD580" s="119"/>
      <c r="BE580" s="119"/>
      <c r="BF580" s="119"/>
      <c r="BG580" s="119"/>
      <c r="BH580" s="119"/>
      <c r="BI580" s="119"/>
      <c r="BJ580" s="119"/>
      <c r="BK580" s="119"/>
      <c r="BL580" s="119"/>
      <c r="BM580" s="119"/>
      <c r="BN580" s="119"/>
      <c r="BO580" s="119"/>
      <c r="BP580" s="119"/>
      <c r="BQ580" s="119"/>
      <c r="BR580" s="119"/>
      <c r="BS580" s="119"/>
      <c r="BT580" s="119"/>
      <c r="BU580" s="119"/>
      <c r="BV580" s="119"/>
      <c r="BW580" s="119"/>
      <c r="BX580" s="119"/>
      <c r="BY580" s="119"/>
      <c r="BZ580" s="119"/>
      <c r="CA580" s="119"/>
      <c r="CB580" s="119"/>
      <c r="CC580" s="119"/>
      <c r="CD580" s="119"/>
      <c r="CE580" s="119"/>
      <c r="CF580" s="119"/>
      <c r="CG580" s="119"/>
      <c r="CH580" s="119"/>
      <c r="CI580" s="119"/>
      <c r="CJ580" s="119"/>
      <c r="CK580" s="119"/>
      <c r="CL580" s="119"/>
      <c r="CM580" s="119"/>
      <c r="CN580" s="119"/>
      <c r="CO580" s="119"/>
      <c r="CP580" s="119"/>
      <c r="CQ580" s="119"/>
      <c r="CR580" s="119"/>
      <c r="CS580" s="119"/>
      <c r="CT580" s="119"/>
      <c r="CU580" s="119"/>
      <c r="CV580" s="119"/>
      <c r="CW580" s="119"/>
      <c r="CX580" s="119"/>
      <c r="CY580" s="119"/>
      <c r="CZ580" s="119"/>
      <c r="DA580" s="119"/>
      <c r="DB580" s="119"/>
      <c r="DC580" s="119"/>
      <c r="DD580" s="119"/>
      <c r="DE580" s="119"/>
      <c r="DF580" s="119"/>
      <c r="DG580" s="119"/>
      <c r="DH580" s="119"/>
      <c r="DI580" s="119"/>
      <c r="DJ580" s="119"/>
      <c r="DK580" s="119"/>
      <c r="DL580" s="119"/>
      <c r="DM580" s="119"/>
      <c r="DN580" s="119"/>
      <c r="DO580" s="119"/>
      <c r="DP580" s="119"/>
      <c r="DQ580" s="119"/>
      <c r="DR580" s="119"/>
      <c r="DS580" s="119"/>
      <c r="DT580" s="119"/>
      <c r="DU580" s="119"/>
      <c r="DV580" s="119"/>
      <c r="DW580" s="119"/>
      <c r="DX580" s="119"/>
      <c r="DY580" s="119"/>
      <c r="DZ580" s="119"/>
      <c r="EA580" s="119"/>
      <c r="EB580" s="119"/>
      <c r="EC580" s="119"/>
      <c r="ED580" s="119"/>
      <c r="EE580" s="119"/>
      <c r="EF580" s="119"/>
      <c r="EG580" s="119"/>
      <c r="EH580" s="119"/>
      <c r="EI580" s="119"/>
      <c r="EJ580" s="119"/>
      <c r="EK580" s="119"/>
      <c r="EL580" s="119"/>
      <c r="EM580" s="119"/>
      <c r="EN580" s="119"/>
      <c r="EO580" s="119"/>
      <c r="EP580" s="119"/>
      <c r="EQ580" s="119"/>
      <c r="ER580" s="119"/>
      <c r="ES580" s="119"/>
      <c r="ET580" s="119"/>
      <c r="EU580" s="119"/>
      <c r="EV580" s="119"/>
      <c r="EW580" s="119"/>
      <c r="EX580" s="119"/>
      <c r="EY580" s="119"/>
      <c r="EZ580" s="119"/>
      <c r="FA580" s="119"/>
      <c r="FB580" s="119"/>
      <c r="FC580" s="119"/>
      <c r="FD580" s="119"/>
      <c r="FE580" s="119"/>
      <c r="FF580" s="119"/>
      <c r="FG580" s="119"/>
      <c r="FH580" s="119"/>
      <c r="FI580" s="119"/>
      <c r="FJ580" s="119"/>
      <c r="FK580" s="119"/>
      <c r="FL580" s="119"/>
      <c r="FM580" s="119"/>
      <c r="FN580" s="119"/>
      <c r="FO580" s="119"/>
      <c r="FP580" s="119"/>
      <c r="FQ580" s="119"/>
      <c r="FR580" s="119"/>
    </row>
    <row x14ac:dyDescent="0.25" r="581" customHeight="1" ht="15">
      <c r="A581" s="121"/>
      <c r="B581" s="121"/>
      <c r="C581" s="122"/>
      <c r="D581" s="122"/>
      <c r="E581" s="123"/>
      <c r="F581" s="123"/>
      <c r="G581" s="124"/>
      <c r="H581" s="125"/>
      <c r="I581" s="126"/>
      <c r="J581" s="127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19"/>
      <c r="BA581" s="119"/>
      <c r="BB581" s="119"/>
      <c r="BC581" s="119"/>
      <c r="BD581" s="119"/>
      <c r="BE581" s="119"/>
      <c r="BF581" s="119"/>
      <c r="BG581" s="119"/>
      <c r="BH581" s="119"/>
      <c r="BI581" s="119"/>
      <c r="BJ581" s="119"/>
      <c r="BK581" s="119"/>
      <c r="BL581" s="119"/>
      <c r="BM581" s="119"/>
      <c r="BN581" s="119"/>
      <c r="BO581" s="119"/>
      <c r="BP581" s="119"/>
      <c r="BQ581" s="119"/>
      <c r="BR581" s="119"/>
      <c r="BS581" s="119"/>
      <c r="BT581" s="119"/>
      <c r="BU581" s="119"/>
      <c r="BV581" s="119"/>
      <c r="BW581" s="119"/>
      <c r="BX581" s="119"/>
      <c r="BY581" s="119"/>
      <c r="BZ581" s="119"/>
      <c r="CA581" s="119"/>
      <c r="CB581" s="119"/>
      <c r="CC581" s="119"/>
      <c r="CD581" s="119"/>
      <c r="CE581" s="119"/>
      <c r="CF581" s="119"/>
      <c r="CG581" s="119"/>
      <c r="CH581" s="119"/>
      <c r="CI581" s="119"/>
      <c r="CJ581" s="119"/>
      <c r="CK581" s="119"/>
      <c r="CL581" s="119"/>
      <c r="CM581" s="119"/>
      <c r="CN581" s="119"/>
      <c r="CO581" s="119"/>
      <c r="CP581" s="119"/>
      <c r="CQ581" s="119"/>
      <c r="CR581" s="119"/>
      <c r="CS581" s="119"/>
      <c r="CT581" s="119"/>
      <c r="CU581" s="119"/>
      <c r="CV581" s="119"/>
      <c r="CW581" s="119"/>
      <c r="CX581" s="119"/>
      <c r="CY581" s="119"/>
      <c r="CZ581" s="119"/>
      <c r="DA581" s="119"/>
      <c r="DB581" s="119"/>
      <c r="DC581" s="119"/>
      <c r="DD581" s="119"/>
      <c r="DE581" s="119"/>
      <c r="DF581" s="119"/>
      <c r="DG581" s="119"/>
      <c r="DH581" s="119"/>
      <c r="DI581" s="119"/>
      <c r="DJ581" s="119"/>
      <c r="DK581" s="119"/>
      <c r="DL581" s="119"/>
      <c r="DM581" s="119"/>
      <c r="DN581" s="119"/>
      <c r="DO581" s="119"/>
      <c r="DP581" s="119"/>
      <c r="DQ581" s="119"/>
      <c r="DR581" s="119"/>
      <c r="DS581" s="119"/>
      <c r="DT581" s="119"/>
      <c r="DU581" s="119"/>
      <c r="DV581" s="119"/>
      <c r="DW581" s="119"/>
      <c r="DX581" s="119"/>
      <c r="DY581" s="119"/>
      <c r="DZ581" s="119"/>
      <c r="EA581" s="119"/>
      <c r="EB581" s="119"/>
      <c r="EC581" s="119"/>
      <c r="ED581" s="119"/>
      <c r="EE581" s="119"/>
      <c r="EF581" s="119"/>
      <c r="EG581" s="119"/>
      <c r="EH581" s="119"/>
      <c r="EI581" s="119"/>
      <c r="EJ581" s="119"/>
      <c r="EK581" s="119"/>
      <c r="EL581" s="119"/>
      <c r="EM581" s="119"/>
      <c r="EN581" s="119"/>
      <c r="EO581" s="119"/>
      <c r="EP581" s="119"/>
      <c r="EQ581" s="119"/>
      <c r="ER581" s="119"/>
      <c r="ES581" s="119"/>
      <c r="ET581" s="119"/>
      <c r="EU581" s="119"/>
      <c r="EV581" s="119"/>
      <c r="EW581" s="119"/>
      <c r="EX581" s="119"/>
      <c r="EY581" s="119"/>
      <c r="EZ581" s="119"/>
      <c r="FA581" s="119"/>
      <c r="FB581" s="119"/>
      <c r="FC581" s="119"/>
      <c r="FD581" s="119"/>
      <c r="FE581" s="119"/>
      <c r="FF581" s="119"/>
      <c r="FG581" s="119"/>
      <c r="FH581" s="119"/>
      <c r="FI581" s="119"/>
      <c r="FJ581" s="119"/>
      <c r="FK581" s="119"/>
      <c r="FL581" s="119"/>
      <c r="FM581" s="119"/>
      <c r="FN581" s="119"/>
      <c r="FO581" s="119"/>
      <c r="FP581" s="119"/>
      <c r="FQ581" s="119"/>
      <c r="FR581" s="119"/>
    </row>
    <row x14ac:dyDescent="0.25" r="582" customHeight="1" ht="15">
      <c r="A582" s="121"/>
      <c r="B582" s="121"/>
      <c r="C582" s="122"/>
      <c r="D582" s="122"/>
      <c r="E582" s="123"/>
      <c r="F582" s="123"/>
      <c r="G582" s="124"/>
      <c r="H582" s="125"/>
      <c r="I582" s="126"/>
      <c r="J582" s="127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19"/>
      <c r="BA582" s="119"/>
      <c r="BB582" s="119"/>
      <c r="BC582" s="119"/>
      <c r="BD582" s="119"/>
      <c r="BE582" s="119"/>
      <c r="BF582" s="119"/>
      <c r="BG582" s="119"/>
      <c r="BH582" s="119"/>
      <c r="BI582" s="119"/>
      <c r="BJ582" s="119"/>
      <c r="BK582" s="119"/>
      <c r="BL582" s="119"/>
      <c r="BM582" s="119"/>
      <c r="BN582" s="119"/>
      <c r="BO582" s="119"/>
      <c r="BP582" s="119"/>
      <c r="BQ582" s="119"/>
      <c r="BR582" s="119"/>
      <c r="BS582" s="119"/>
      <c r="BT582" s="119"/>
      <c r="BU582" s="119"/>
      <c r="BV582" s="119"/>
      <c r="BW582" s="119"/>
      <c r="BX582" s="119"/>
      <c r="BY582" s="119"/>
      <c r="BZ582" s="119"/>
      <c r="CA582" s="119"/>
      <c r="CB582" s="119"/>
      <c r="CC582" s="119"/>
      <c r="CD582" s="119"/>
      <c r="CE582" s="119"/>
      <c r="CF582" s="119"/>
      <c r="CG582" s="119"/>
      <c r="CH582" s="119"/>
      <c r="CI582" s="119"/>
      <c r="CJ582" s="119"/>
      <c r="CK582" s="119"/>
      <c r="CL582" s="119"/>
      <c r="CM582" s="119"/>
      <c r="CN582" s="119"/>
      <c r="CO582" s="119"/>
      <c r="CP582" s="119"/>
      <c r="CQ582" s="119"/>
      <c r="CR582" s="119"/>
      <c r="CS582" s="119"/>
      <c r="CT582" s="119"/>
      <c r="CU582" s="119"/>
      <c r="CV582" s="119"/>
      <c r="CW582" s="119"/>
      <c r="CX582" s="119"/>
      <c r="CY582" s="119"/>
      <c r="CZ582" s="119"/>
      <c r="DA582" s="119"/>
      <c r="DB582" s="119"/>
      <c r="DC582" s="119"/>
      <c r="DD582" s="119"/>
      <c r="DE582" s="119"/>
      <c r="DF582" s="119"/>
      <c r="DG582" s="119"/>
      <c r="DH582" s="119"/>
      <c r="DI582" s="119"/>
      <c r="DJ582" s="119"/>
      <c r="DK582" s="119"/>
      <c r="DL582" s="119"/>
      <c r="DM582" s="119"/>
      <c r="DN582" s="119"/>
      <c r="DO582" s="119"/>
      <c r="DP582" s="119"/>
      <c r="DQ582" s="119"/>
      <c r="DR582" s="119"/>
      <c r="DS582" s="119"/>
      <c r="DT582" s="119"/>
      <c r="DU582" s="119"/>
      <c r="DV582" s="119"/>
      <c r="DW582" s="119"/>
      <c r="DX582" s="119"/>
      <c r="DY582" s="119"/>
      <c r="DZ582" s="119"/>
      <c r="EA582" s="119"/>
      <c r="EB582" s="119"/>
      <c r="EC582" s="119"/>
      <c r="ED582" s="119"/>
      <c r="EE582" s="119"/>
      <c r="EF582" s="119"/>
      <c r="EG582" s="119"/>
      <c r="EH582" s="119"/>
      <c r="EI582" s="119"/>
      <c r="EJ582" s="119"/>
      <c r="EK582" s="119"/>
      <c r="EL582" s="119"/>
      <c r="EM582" s="119"/>
      <c r="EN582" s="119"/>
      <c r="EO582" s="119"/>
      <c r="EP582" s="119"/>
      <c r="EQ582" s="119"/>
      <c r="ER582" s="119"/>
      <c r="ES582" s="119"/>
      <c r="ET582" s="119"/>
      <c r="EU582" s="119"/>
      <c r="EV582" s="119"/>
      <c r="EW582" s="119"/>
      <c r="EX582" s="119"/>
      <c r="EY582" s="119"/>
      <c r="EZ582" s="119"/>
      <c r="FA582" s="119"/>
      <c r="FB582" s="119"/>
      <c r="FC582" s="119"/>
      <c r="FD582" s="119"/>
      <c r="FE582" s="119"/>
      <c r="FF582" s="119"/>
      <c r="FG582" s="119"/>
      <c r="FH582" s="119"/>
      <c r="FI582" s="119"/>
      <c r="FJ582" s="119"/>
      <c r="FK582" s="119"/>
      <c r="FL582" s="119"/>
      <c r="FM582" s="119"/>
      <c r="FN582" s="119"/>
      <c r="FO582" s="119"/>
      <c r="FP582" s="119"/>
      <c r="FQ582" s="119"/>
      <c r="FR582" s="119"/>
    </row>
    <row x14ac:dyDescent="0.25" r="583" customHeight="1" ht="15">
      <c r="A583" s="121"/>
      <c r="B583" s="121"/>
      <c r="C583" s="122"/>
      <c r="D583" s="122"/>
      <c r="E583" s="123"/>
      <c r="F583" s="123"/>
      <c r="G583" s="124"/>
      <c r="H583" s="125"/>
      <c r="I583" s="126"/>
      <c r="J583" s="127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19"/>
      <c r="BA583" s="119"/>
      <c r="BB583" s="119"/>
      <c r="BC583" s="119"/>
      <c r="BD583" s="119"/>
      <c r="BE583" s="119"/>
      <c r="BF583" s="119"/>
      <c r="BG583" s="119"/>
      <c r="BH583" s="119"/>
      <c r="BI583" s="119"/>
      <c r="BJ583" s="119"/>
      <c r="BK583" s="119"/>
      <c r="BL583" s="119"/>
      <c r="BM583" s="119"/>
      <c r="BN583" s="119"/>
      <c r="BO583" s="119"/>
      <c r="BP583" s="119"/>
      <c r="BQ583" s="119"/>
      <c r="BR583" s="119"/>
      <c r="BS583" s="119"/>
      <c r="BT583" s="119"/>
      <c r="BU583" s="119"/>
      <c r="BV583" s="119"/>
      <c r="BW583" s="119"/>
      <c r="BX583" s="119"/>
      <c r="BY583" s="119"/>
      <c r="BZ583" s="119"/>
      <c r="CA583" s="119"/>
      <c r="CB583" s="119"/>
      <c r="CC583" s="119"/>
      <c r="CD583" s="119"/>
      <c r="CE583" s="119"/>
      <c r="CF583" s="119"/>
      <c r="CG583" s="119"/>
      <c r="CH583" s="119"/>
      <c r="CI583" s="119"/>
      <c r="CJ583" s="119"/>
      <c r="CK583" s="119"/>
      <c r="CL583" s="119"/>
      <c r="CM583" s="119"/>
      <c r="CN583" s="119"/>
      <c r="CO583" s="119"/>
      <c r="CP583" s="119"/>
      <c r="CQ583" s="119"/>
      <c r="CR583" s="119"/>
      <c r="CS583" s="119"/>
      <c r="CT583" s="119"/>
      <c r="CU583" s="119"/>
      <c r="CV583" s="119"/>
      <c r="CW583" s="119"/>
      <c r="CX583" s="119"/>
      <c r="CY583" s="119"/>
      <c r="CZ583" s="119"/>
      <c r="DA583" s="119"/>
      <c r="DB583" s="119"/>
      <c r="DC583" s="119"/>
      <c r="DD583" s="119"/>
      <c r="DE583" s="119"/>
      <c r="DF583" s="119"/>
      <c r="DG583" s="119"/>
      <c r="DH583" s="119"/>
      <c r="DI583" s="119"/>
      <c r="DJ583" s="119"/>
      <c r="DK583" s="119"/>
      <c r="DL583" s="119"/>
      <c r="DM583" s="119"/>
      <c r="DN583" s="119"/>
      <c r="DO583" s="119"/>
      <c r="DP583" s="119"/>
      <c r="DQ583" s="119"/>
      <c r="DR583" s="119"/>
      <c r="DS583" s="119"/>
      <c r="DT583" s="119"/>
      <c r="DU583" s="119"/>
      <c r="DV583" s="119"/>
      <c r="DW583" s="119"/>
      <c r="DX583" s="119"/>
      <c r="DY583" s="119"/>
      <c r="DZ583" s="119"/>
      <c r="EA583" s="119"/>
      <c r="EB583" s="119"/>
      <c r="EC583" s="119"/>
      <c r="ED583" s="119"/>
      <c r="EE583" s="119"/>
      <c r="EF583" s="119"/>
      <c r="EG583" s="119"/>
      <c r="EH583" s="119"/>
      <c r="EI583" s="119"/>
      <c r="EJ583" s="119"/>
      <c r="EK583" s="119"/>
      <c r="EL583" s="119"/>
      <c r="EM583" s="119"/>
      <c r="EN583" s="119"/>
      <c r="EO583" s="119"/>
      <c r="EP583" s="119"/>
      <c r="EQ583" s="119"/>
      <c r="ER583" s="119"/>
      <c r="ES583" s="119"/>
      <c r="ET583" s="119"/>
      <c r="EU583" s="119"/>
      <c r="EV583" s="119"/>
      <c r="EW583" s="119"/>
      <c r="EX583" s="119"/>
      <c r="EY583" s="119"/>
      <c r="EZ583" s="119"/>
      <c r="FA583" s="119"/>
      <c r="FB583" s="119"/>
      <c r="FC583" s="119"/>
      <c r="FD583" s="119"/>
      <c r="FE583" s="119"/>
      <c r="FF583" s="119"/>
      <c r="FG583" s="119"/>
      <c r="FH583" s="119"/>
      <c r="FI583" s="119"/>
      <c r="FJ583" s="119"/>
      <c r="FK583" s="119"/>
      <c r="FL583" s="119"/>
      <c r="FM583" s="119"/>
      <c r="FN583" s="119"/>
      <c r="FO583" s="119"/>
      <c r="FP583" s="119"/>
      <c r="FQ583" s="119"/>
      <c r="FR583" s="119"/>
    </row>
    <row x14ac:dyDescent="0.25" r="584" customHeight="1" ht="15">
      <c r="A584" s="121"/>
      <c r="B584" s="121"/>
      <c r="C584" s="122"/>
      <c r="D584" s="122"/>
      <c r="E584" s="123"/>
      <c r="F584" s="123"/>
      <c r="G584" s="124"/>
      <c r="H584" s="125"/>
      <c r="I584" s="126"/>
      <c r="J584" s="127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19"/>
      <c r="BA584" s="119"/>
      <c r="BB584" s="119"/>
      <c r="BC584" s="119"/>
      <c r="BD584" s="119"/>
      <c r="BE584" s="119"/>
      <c r="BF584" s="119"/>
      <c r="BG584" s="119"/>
      <c r="BH584" s="119"/>
      <c r="BI584" s="119"/>
      <c r="BJ584" s="119"/>
      <c r="BK584" s="119"/>
      <c r="BL584" s="119"/>
      <c r="BM584" s="119"/>
      <c r="BN584" s="119"/>
      <c r="BO584" s="119"/>
      <c r="BP584" s="119"/>
      <c r="BQ584" s="119"/>
      <c r="BR584" s="119"/>
      <c r="BS584" s="119"/>
      <c r="BT584" s="119"/>
      <c r="BU584" s="119"/>
      <c r="BV584" s="119"/>
      <c r="BW584" s="119"/>
      <c r="BX584" s="119"/>
      <c r="BY584" s="119"/>
      <c r="BZ584" s="119"/>
      <c r="CA584" s="119"/>
      <c r="CB584" s="119"/>
      <c r="CC584" s="119"/>
      <c r="CD584" s="119"/>
      <c r="CE584" s="119"/>
      <c r="CF584" s="119"/>
      <c r="CG584" s="119"/>
      <c r="CH584" s="119"/>
      <c r="CI584" s="119"/>
      <c r="CJ584" s="119"/>
      <c r="CK584" s="119"/>
      <c r="CL584" s="119"/>
      <c r="CM584" s="119"/>
      <c r="CN584" s="119"/>
      <c r="CO584" s="119"/>
      <c r="CP584" s="119"/>
      <c r="CQ584" s="119"/>
      <c r="CR584" s="119"/>
      <c r="CS584" s="119"/>
      <c r="CT584" s="119"/>
      <c r="CU584" s="119"/>
      <c r="CV584" s="119"/>
      <c r="CW584" s="119"/>
      <c r="CX584" s="119"/>
      <c r="CY584" s="119"/>
      <c r="CZ584" s="119"/>
      <c r="DA584" s="119"/>
      <c r="DB584" s="119"/>
      <c r="DC584" s="119"/>
      <c r="DD584" s="119"/>
      <c r="DE584" s="119"/>
      <c r="DF584" s="119"/>
      <c r="DG584" s="119"/>
      <c r="DH584" s="119"/>
      <c r="DI584" s="119"/>
      <c r="DJ584" s="119"/>
      <c r="DK584" s="119"/>
      <c r="DL584" s="119"/>
      <c r="DM584" s="119"/>
      <c r="DN584" s="119"/>
      <c r="DO584" s="119"/>
      <c r="DP584" s="119"/>
      <c r="DQ584" s="119"/>
      <c r="DR584" s="119"/>
      <c r="DS584" s="119"/>
      <c r="DT584" s="119"/>
      <c r="DU584" s="119"/>
      <c r="DV584" s="119"/>
      <c r="DW584" s="119"/>
      <c r="DX584" s="119"/>
      <c r="DY584" s="119"/>
      <c r="DZ584" s="119"/>
      <c r="EA584" s="119"/>
      <c r="EB584" s="119"/>
      <c r="EC584" s="119"/>
      <c r="ED584" s="119"/>
      <c r="EE584" s="119"/>
      <c r="EF584" s="119"/>
      <c r="EG584" s="119"/>
      <c r="EH584" s="119"/>
      <c r="EI584" s="119"/>
      <c r="EJ584" s="119"/>
      <c r="EK584" s="119"/>
      <c r="EL584" s="119"/>
      <c r="EM584" s="119"/>
      <c r="EN584" s="119"/>
      <c r="EO584" s="119"/>
      <c r="EP584" s="119"/>
      <c r="EQ584" s="119"/>
      <c r="ER584" s="119"/>
      <c r="ES584" s="119"/>
      <c r="ET584" s="119"/>
      <c r="EU584" s="119"/>
      <c r="EV584" s="119"/>
      <c r="EW584" s="119"/>
      <c r="EX584" s="119"/>
      <c r="EY584" s="119"/>
      <c r="EZ584" s="119"/>
      <c r="FA584" s="119"/>
      <c r="FB584" s="119"/>
      <c r="FC584" s="119"/>
      <c r="FD584" s="119"/>
      <c r="FE584" s="119"/>
      <c r="FF584" s="119"/>
      <c r="FG584" s="119"/>
      <c r="FH584" s="119"/>
      <c r="FI584" s="119"/>
      <c r="FJ584" s="119"/>
      <c r="FK584" s="119"/>
      <c r="FL584" s="119"/>
      <c r="FM584" s="119"/>
      <c r="FN584" s="119"/>
      <c r="FO584" s="119"/>
      <c r="FP584" s="119"/>
      <c r="FQ584" s="119"/>
      <c r="FR584" s="119"/>
    </row>
    <row x14ac:dyDescent="0.25" r="585" customHeight="1" ht="15">
      <c r="A585" s="121"/>
      <c r="B585" s="121"/>
      <c r="C585" s="122"/>
      <c r="D585" s="122"/>
      <c r="E585" s="123"/>
      <c r="F585" s="123"/>
      <c r="G585" s="124"/>
      <c r="H585" s="125"/>
      <c r="I585" s="126"/>
      <c r="J585" s="127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19"/>
      <c r="BA585" s="119"/>
      <c r="BB585" s="119"/>
      <c r="BC585" s="119"/>
      <c r="BD585" s="119"/>
      <c r="BE585" s="119"/>
      <c r="BF585" s="119"/>
      <c r="BG585" s="119"/>
      <c r="BH585" s="119"/>
      <c r="BI585" s="119"/>
      <c r="BJ585" s="119"/>
      <c r="BK585" s="119"/>
      <c r="BL585" s="119"/>
      <c r="BM585" s="119"/>
      <c r="BN585" s="119"/>
      <c r="BO585" s="119"/>
      <c r="BP585" s="119"/>
      <c r="BQ585" s="119"/>
      <c r="BR585" s="119"/>
      <c r="BS585" s="119"/>
      <c r="BT585" s="119"/>
      <c r="BU585" s="119"/>
      <c r="BV585" s="119"/>
      <c r="BW585" s="119"/>
      <c r="BX585" s="119"/>
      <c r="BY585" s="119"/>
      <c r="BZ585" s="119"/>
      <c r="CA585" s="119"/>
      <c r="CB585" s="119"/>
      <c r="CC585" s="119"/>
      <c r="CD585" s="119"/>
      <c r="CE585" s="119"/>
      <c r="CF585" s="119"/>
      <c r="CG585" s="119"/>
      <c r="CH585" s="119"/>
      <c r="CI585" s="119"/>
      <c r="CJ585" s="119"/>
      <c r="CK585" s="119"/>
      <c r="CL585" s="119"/>
      <c r="CM585" s="119"/>
      <c r="CN585" s="119"/>
      <c r="CO585" s="119"/>
      <c r="CP585" s="119"/>
      <c r="CQ585" s="119"/>
      <c r="CR585" s="119"/>
      <c r="CS585" s="119"/>
      <c r="CT585" s="119"/>
      <c r="CU585" s="119"/>
      <c r="CV585" s="119"/>
      <c r="CW585" s="119"/>
      <c r="CX585" s="119"/>
      <c r="CY585" s="119"/>
      <c r="CZ585" s="119"/>
      <c r="DA585" s="119"/>
      <c r="DB585" s="119"/>
      <c r="DC585" s="119"/>
      <c r="DD585" s="119"/>
      <c r="DE585" s="119"/>
      <c r="DF585" s="119"/>
      <c r="DG585" s="119"/>
      <c r="DH585" s="119"/>
      <c r="DI585" s="119"/>
      <c r="DJ585" s="119"/>
      <c r="DK585" s="119"/>
      <c r="DL585" s="119"/>
      <c r="DM585" s="119"/>
      <c r="DN585" s="119"/>
      <c r="DO585" s="119"/>
      <c r="DP585" s="119"/>
      <c r="DQ585" s="119"/>
      <c r="DR585" s="119"/>
      <c r="DS585" s="119"/>
      <c r="DT585" s="119"/>
      <c r="DU585" s="119"/>
      <c r="DV585" s="119"/>
      <c r="DW585" s="119"/>
      <c r="DX585" s="119"/>
      <c r="DY585" s="119"/>
      <c r="DZ585" s="119"/>
      <c r="EA585" s="119"/>
      <c r="EB585" s="119"/>
      <c r="EC585" s="119"/>
      <c r="ED585" s="119"/>
      <c r="EE585" s="119"/>
      <c r="EF585" s="119"/>
      <c r="EG585" s="119"/>
      <c r="EH585" s="119"/>
      <c r="EI585" s="119"/>
      <c r="EJ585" s="119"/>
      <c r="EK585" s="119"/>
      <c r="EL585" s="119"/>
      <c r="EM585" s="119"/>
      <c r="EN585" s="119"/>
      <c r="EO585" s="119"/>
      <c r="EP585" s="119"/>
      <c r="EQ585" s="119"/>
      <c r="ER585" s="119"/>
      <c r="ES585" s="119"/>
      <c r="ET585" s="119"/>
      <c r="EU585" s="119"/>
      <c r="EV585" s="119"/>
      <c r="EW585" s="119"/>
      <c r="EX585" s="119"/>
      <c r="EY585" s="119"/>
      <c r="EZ585" s="119"/>
      <c r="FA585" s="119"/>
      <c r="FB585" s="119"/>
      <c r="FC585" s="119"/>
      <c r="FD585" s="119"/>
      <c r="FE585" s="119"/>
      <c r="FF585" s="119"/>
      <c r="FG585" s="119"/>
      <c r="FH585" s="119"/>
      <c r="FI585" s="119"/>
      <c r="FJ585" s="119"/>
      <c r="FK585" s="119"/>
      <c r="FL585" s="119"/>
      <c r="FM585" s="119"/>
      <c r="FN585" s="119"/>
      <c r="FO585" s="119"/>
      <c r="FP585" s="119"/>
      <c r="FQ585" s="119"/>
      <c r="FR585" s="119"/>
    </row>
    <row x14ac:dyDescent="0.25" r="586" customHeight="1" ht="15">
      <c r="A586" s="121"/>
      <c r="B586" s="121"/>
      <c r="C586" s="122"/>
      <c r="D586" s="122"/>
      <c r="E586" s="123"/>
      <c r="F586" s="123"/>
      <c r="G586" s="124"/>
      <c r="H586" s="125"/>
      <c r="I586" s="126"/>
      <c r="J586" s="127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19"/>
      <c r="BA586" s="119"/>
      <c r="BB586" s="119"/>
      <c r="BC586" s="119"/>
      <c r="BD586" s="119"/>
      <c r="BE586" s="119"/>
      <c r="BF586" s="119"/>
      <c r="BG586" s="119"/>
      <c r="BH586" s="119"/>
      <c r="BI586" s="119"/>
      <c r="BJ586" s="119"/>
      <c r="BK586" s="119"/>
      <c r="BL586" s="119"/>
      <c r="BM586" s="119"/>
      <c r="BN586" s="119"/>
      <c r="BO586" s="119"/>
      <c r="BP586" s="119"/>
      <c r="BQ586" s="119"/>
      <c r="BR586" s="119"/>
      <c r="BS586" s="119"/>
      <c r="BT586" s="119"/>
      <c r="BU586" s="119"/>
      <c r="BV586" s="119"/>
      <c r="BW586" s="119"/>
      <c r="BX586" s="119"/>
      <c r="BY586" s="119"/>
      <c r="BZ586" s="119"/>
      <c r="CA586" s="119"/>
      <c r="CB586" s="119"/>
      <c r="CC586" s="119"/>
      <c r="CD586" s="119"/>
      <c r="CE586" s="119"/>
      <c r="CF586" s="119"/>
      <c r="CG586" s="119"/>
      <c r="CH586" s="119"/>
      <c r="CI586" s="119"/>
      <c r="CJ586" s="119"/>
      <c r="CK586" s="119"/>
      <c r="CL586" s="119"/>
      <c r="CM586" s="119"/>
      <c r="CN586" s="119"/>
      <c r="CO586" s="119"/>
      <c r="CP586" s="119"/>
      <c r="CQ586" s="119"/>
      <c r="CR586" s="119"/>
      <c r="CS586" s="119"/>
      <c r="CT586" s="119"/>
      <c r="CU586" s="119"/>
      <c r="CV586" s="119"/>
      <c r="CW586" s="119"/>
      <c r="CX586" s="119"/>
      <c r="CY586" s="119"/>
      <c r="CZ586" s="119"/>
      <c r="DA586" s="119"/>
      <c r="DB586" s="119"/>
      <c r="DC586" s="119"/>
      <c r="DD586" s="119"/>
      <c r="DE586" s="119"/>
      <c r="DF586" s="119"/>
      <c r="DG586" s="119"/>
      <c r="DH586" s="119"/>
      <c r="DI586" s="119"/>
      <c r="DJ586" s="119"/>
      <c r="DK586" s="119"/>
      <c r="DL586" s="119"/>
      <c r="DM586" s="119"/>
      <c r="DN586" s="119"/>
      <c r="DO586" s="119"/>
      <c r="DP586" s="119"/>
      <c r="DQ586" s="119"/>
      <c r="DR586" s="119"/>
      <c r="DS586" s="119"/>
      <c r="DT586" s="119"/>
      <c r="DU586" s="119"/>
      <c r="DV586" s="119"/>
      <c r="DW586" s="119"/>
      <c r="DX586" s="119"/>
      <c r="DY586" s="119"/>
      <c r="DZ586" s="119"/>
      <c r="EA586" s="119"/>
      <c r="EB586" s="119"/>
      <c r="EC586" s="119"/>
      <c r="ED586" s="119"/>
      <c r="EE586" s="119"/>
      <c r="EF586" s="119"/>
      <c r="EG586" s="119"/>
      <c r="EH586" s="119"/>
      <c r="EI586" s="119"/>
      <c r="EJ586" s="119"/>
      <c r="EK586" s="119"/>
      <c r="EL586" s="119"/>
      <c r="EM586" s="119"/>
      <c r="EN586" s="119"/>
      <c r="EO586" s="119"/>
      <c r="EP586" s="119"/>
      <c r="EQ586" s="119"/>
      <c r="ER586" s="119"/>
      <c r="ES586" s="119"/>
      <c r="ET586" s="119"/>
      <c r="EU586" s="119"/>
      <c r="EV586" s="119"/>
      <c r="EW586" s="119"/>
      <c r="EX586" s="119"/>
      <c r="EY586" s="119"/>
      <c r="EZ586" s="119"/>
      <c r="FA586" s="119"/>
      <c r="FB586" s="119"/>
      <c r="FC586" s="119"/>
      <c r="FD586" s="119"/>
      <c r="FE586" s="119"/>
      <c r="FF586" s="119"/>
      <c r="FG586" s="119"/>
      <c r="FH586" s="119"/>
      <c r="FI586" s="119"/>
      <c r="FJ586" s="119"/>
      <c r="FK586" s="119"/>
      <c r="FL586" s="119"/>
      <c r="FM586" s="119"/>
      <c r="FN586" s="119"/>
      <c r="FO586" s="119"/>
      <c r="FP586" s="119"/>
      <c r="FQ586" s="119"/>
      <c r="FR586" s="119"/>
    </row>
    <row x14ac:dyDescent="0.25" r="587" customHeight="1" ht="15">
      <c r="A587" s="121"/>
      <c r="B587" s="121"/>
      <c r="C587" s="122"/>
      <c r="D587" s="122"/>
      <c r="E587" s="123"/>
      <c r="F587" s="123"/>
      <c r="G587" s="124"/>
      <c r="H587" s="125"/>
      <c r="I587" s="126"/>
      <c r="J587" s="127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19"/>
      <c r="BA587" s="119"/>
      <c r="BB587" s="119"/>
      <c r="BC587" s="119"/>
      <c r="BD587" s="119"/>
      <c r="BE587" s="119"/>
      <c r="BF587" s="119"/>
      <c r="BG587" s="119"/>
      <c r="BH587" s="119"/>
      <c r="BI587" s="119"/>
      <c r="BJ587" s="119"/>
      <c r="BK587" s="119"/>
      <c r="BL587" s="119"/>
      <c r="BM587" s="119"/>
      <c r="BN587" s="119"/>
      <c r="BO587" s="119"/>
      <c r="BP587" s="119"/>
      <c r="BQ587" s="119"/>
      <c r="BR587" s="119"/>
      <c r="BS587" s="119"/>
      <c r="BT587" s="119"/>
      <c r="BU587" s="119"/>
      <c r="BV587" s="119"/>
      <c r="BW587" s="119"/>
      <c r="BX587" s="119"/>
      <c r="BY587" s="119"/>
      <c r="BZ587" s="119"/>
      <c r="CA587" s="119"/>
      <c r="CB587" s="119"/>
      <c r="CC587" s="119"/>
      <c r="CD587" s="119"/>
      <c r="CE587" s="119"/>
      <c r="CF587" s="119"/>
      <c r="CG587" s="119"/>
      <c r="CH587" s="119"/>
      <c r="CI587" s="119"/>
      <c r="CJ587" s="119"/>
      <c r="CK587" s="119"/>
      <c r="CL587" s="119"/>
      <c r="CM587" s="119"/>
      <c r="CN587" s="119"/>
      <c r="CO587" s="119"/>
      <c r="CP587" s="119"/>
      <c r="CQ587" s="119"/>
      <c r="CR587" s="119"/>
      <c r="CS587" s="119"/>
      <c r="CT587" s="119"/>
      <c r="CU587" s="119"/>
      <c r="CV587" s="119"/>
      <c r="CW587" s="119"/>
      <c r="CX587" s="119"/>
      <c r="CY587" s="119"/>
      <c r="CZ587" s="119"/>
      <c r="DA587" s="119"/>
      <c r="DB587" s="119"/>
      <c r="DC587" s="119"/>
      <c r="DD587" s="119"/>
      <c r="DE587" s="119"/>
      <c r="DF587" s="119"/>
      <c r="DG587" s="119"/>
      <c r="DH587" s="119"/>
      <c r="DI587" s="119"/>
      <c r="DJ587" s="119"/>
      <c r="DK587" s="119"/>
      <c r="DL587" s="119"/>
      <c r="DM587" s="119"/>
      <c r="DN587" s="119"/>
      <c r="DO587" s="119"/>
      <c r="DP587" s="119"/>
      <c r="DQ587" s="119"/>
      <c r="DR587" s="119"/>
      <c r="DS587" s="119"/>
      <c r="DT587" s="119"/>
      <c r="DU587" s="119"/>
      <c r="DV587" s="119"/>
      <c r="DW587" s="119"/>
      <c r="DX587" s="119"/>
      <c r="DY587" s="119"/>
      <c r="DZ587" s="119"/>
      <c r="EA587" s="119"/>
      <c r="EB587" s="119"/>
      <c r="EC587" s="119"/>
      <c r="ED587" s="119"/>
      <c r="EE587" s="119"/>
      <c r="EF587" s="119"/>
      <c r="EG587" s="119"/>
      <c r="EH587" s="119"/>
      <c r="EI587" s="119"/>
      <c r="EJ587" s="119"/>
      <c r="EK587" s="119"/>
      <c r="EL587" s="119"/>
      <c r="EM587" s="119"/>
      <c r="EN587" s="119"/>
      <c r="EO587" s="119"/>
      <c r="EP587" s="119"/>
      <c r="EQ587" s="119"/>
      <c r="ER587" s="119"/>
      <c r="ES587" s="119"/>
      <c r="ET587" s="119"/>
      <c r="EU587" s="119"/>
      <c r="EV587" s="119"/>
      <c r="EW587" s="119"/>
      <c r="EX587" s="119"/>
      <c r="EY587" s="119"/>
      <c r="EZ587" s="119"/>
      <c r="FA587" s="119"/>
      <c r="FB587" s="119"/>
      <c r="FC587" s="119"/>
      <c r="FD587" s="119"/>
      <c r="FE587" s="119"/>
      <c r="FF587" s="119"/>
      <c r="FG587" s="119"/>
      <c r="FH587" s="119"/>
      <c r="FI587" s="119"/>
      <c r="FJ587" s="119"/>
      <c r="FK587" s="119"/>
      <c r="FL587" s="119"/>
      <c r="FM587" s="119"/>
      <c r="FN587" s="119"/>
      <c r="FO587" s="119"/>
      <c r="FP587" s="119"/>
      <c r="FQ587" s="119"/>
      <c r="FR587" s="119"/>
    </row>
    <row x14ac:dyDescent="0.25" r="588" customHeight="1" ht="15">
      <c r="A588" s="121"/>
      <c r="B588" s="121"/>
      <c r="C588" s="122"/>
      <c r="D588" s="122"/>
      <c r="E588" s="123"/>
      <c r="F588" s="123"/>
      <c r="G588" s="124"/>
      <c r="H588" s="125"/>
      <c r="I588" s="126"/>
      <c r="J588" s="127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19"/>
      <c r="BA588" s="119"/>
      <c r="BB588" s="119"/>
      <c r="BC588" s="119"/>
      <c r="BD588" s="119"/>
      <c r="BE588" s="119"/>
      <c r="BF588" s="119"/>
      <c r="BG588" s="119"/>
      <c r="BH588" s="119"/>
      <c r="BI588" s="119"/>
      <c r="BJ588" s="119"/>
      <c r="BK588" s="119"/>
      <c r="BL588" s="119"/>
      <c r="BM588" s="119"/>
      <c r="BN588" s="119"/>
      <c r="BO588" s="119"/>
      <c r="BP588" s="119"/>
      <c r="BQ588" s="119"/>
      <c r="BR588" s="119"/>
      <c r="BS588" s="119"/>
      <c r="BT588" s="119"/>
      <c r="BU588" s="119"/>
      <c r="BV588" s="119"/>
      <c r="BW588" s="119"/>
      <c r="BX588" s="119"/>
      <c r="BY588" s="119"/>
      <c r="BZ588" s="119"/>
      <c r="CA588" s="119"/>
      <c r="CB588" s="119"/>
      <c r="CC588" s="119"/>
      <c r="CD588" s="119"/>
      <c r="CE588" s="119"/>
      <c r="CF588" s="119"/>
      <c r="CG588" s="119"/>
      <c r="CH588" s="119"/>
      <c r="CI588" s="119"/>
      <c r="CJ588" s="119"/>
      <c r="CK588" s="119"/>
      <c r="CL588" s="119"/>
      <c r="CM588" s="119"/>
      <c r="CN588" s="119"/>
      <c r="CO588" s="119"/>
      <c r="CP588" s="119"/>
      <c r="CQ588" s="119"/>
      <c r="CR588" s="119"/>
      <c r="CS588" s="119"/>
      <c r="CT588" s="119"/>
      <c r="CU588" s="119"/>
      <c r="CV588" s="119"/>
      <c r="CW588" s="119"/>
      <c r="CX588" s="119"/>
      <c r="CY588" s="119"/>
      <c r="CZ588" s="119"/>
      <c r="DA588" s="119"/>
      <c r="DB588" s="119"/>
      <c r="DC588" s="119"/>
      <c r="DD588" s="119"/>
      <c r="DE588" s="119"/>
      <c r="DF588" s="119"/>
      <c r="DG588" s="119"/>
      <c r="DH588" s="119"/>
      <c r="DI588" s="119"/>
      <c r="DJ588" s="119"/>
      <c r="DK588" s="119"/>
      <c r="DL588" s="119"/>
      <c r="DM588" s="119"/>
      <c r="DN588" s="119"/>
      <c r="DO588" s="119"/>
      <c r="DP588" s="119"/>
      <c r="DQ588" s="119"/>
      <c r="DR588" s="119"/>
      <c r="DS588" s="119"/>
      <c r="DT588" s="119"/>
      <c r="DU588" s="119"/>
      <c r="DV588" s="119"/>
      <c r="DW588" s="119"/>
      <c r="DX588" s="119"/>
      <c r="DY588" s="119"/>
      <c r="DZ588" s="119"/>
      <c r="EA588" s="119"/>
      <c r="EB588" s="119"/>
      <c r="EC588" s="119"/>
      <c r="ED588" s="119"/>
      <c r="EE588" s="119"/>
      <c r="EF588" s="119"/>
      <c r="EG588" s="119"/>
      <c r="EH588" s="119"/>
      <c r="EI588" s="119"/>
      <c r="EJ588" s="119"/>
      <c r="EK588" s="119"/>
      <c r="EL588" s="119"/>
      <c r="EM588" s="119"/>
      <c r="EN588" s="119"/>
      <c r="EO588" s="119"/>
      <c r="EP588" s="119"/>
      <c r="EQ588" s="119"/>
      <c r="ER588" s="119"/>
      <c r="ES588" s="119"/>
      <c r="ET588" s="119"/>
      <c r="EU588" s="119"/>
      <c r="EV588" s="119"/>
      <c r="EW588" s="119"/>
      <c r="EX588" s="119"/>
      <c r="EY588" s="119"/>
      <c r="EZ588" s="119"/>
      <c r="FA588" s="119"/>
      <c r="FB588" s="119"/>
      <c r="FC588" s="119"/>
      <c r="FD588" s="119"/>
      <c r="FE588" s="119"/>
      <c r="FF588" s="119"/>
      <c r="FG588" s="119"/>
      <c r="FH588" s="119"/>
      <c r="FI588" s="119"/>
      <c r="FJ588" s="119"/>
      <c r="FK588" s="119"/>
      <c r="FL588" s="119"/>
      <c r="FM588" s="119"/>
      <c r="FN588" s="119"/>
      <c r="FO588" s="119"/>
      <c r="FP588" s="119"/>
      <c r="FQ588" s="119"/>
      <c r="FR588" s="119"/>
    </row>
    <row x14ac:dyDescent="0.25" r="589" customHeight="1" ht="15">
      <c r="A589" s="121"/>
      <c r="B589" s="121"/>
      <c r="C589" s="122"/>
      <c r="D589" s="122"/>
      <c r="E589" s="123"/>
      <c r="F589" s="123"/>
      <c r="G589" s="124"/>
      <c r="H589" s="125"/>
      <c r="I589" s="126"/>
      <c r="J589" s="127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19"/>
      <c r="BA589" s="119"/>
      <c r="BB589" s="119"/>
      <c r="BC589" s="119"/>
      <c r="BD589" s="119"/>
      <c r="BE589" s="119"/>
      <c r="BF589" s="119"/>
      <c r="BG589" s="119"/>
      <c r="BH589" s="119"/>
      <c r="BI589" s="119"/>
      <c r="BJ589" s="119"/>
      <c r="BK589" s="119"/>
      <c r="BL589" s="119"/>
      <c r="BM589" s="119"/>
      <c r="BN589" s="119"/>
      <c r="BO589" s="119"/>
      <c r="BP589" s="119"/>
      <c r="BQ589" s="119"/>
      <c r="BR589" s="119"/>
      <c r="BS589" s="119"/>
      <c r="BT589" s="119"/>
      <c r="BU589" s="119"/>
      <c r="BV589" s="119"/>
      <c r="BW589" s="119"/>
      <c r="BX589" s="119"/>
      <c r="BY589" s="119"/>
      <c r="BZ589" s="119"/>
      <c r="CA589" s="119"/>
      <c r="CB589" s="119"/>
      <c r="CC589" s="119"/>
      <c r="CD589" s="119"/>
      <c r="CE589" s="119"/>
      <c r="CF589" s="119"/>
      <c r="CG589" s="119"/>
      <c r="CH589" s="119"/>
      <c r="CI589" s="119"/>
      <c r="CJ589" s="119"/>
      <c r="CK589" s="119"/>
      <c r="CL589" s="119"/>
      <c r="CM589" s="119"/>
      <c r="CN589" s="119"/>
      <c r="CO589" s="119"/>
      <c r="CP589" s="119"/>
      <c r="CQ589" s="119"/>
      <c r="CR589" s="119"/>
      <c r="CS589" s="119"/>
      <c r="CT589" s="119"/>
      <c r="CU589" s="119"/>
      <c r="CV589" s="119"/>
      <c r="CW589" s="119"/>
      <c r="CX589" s="119"/>
      <c r="CY589" s="119"/>
      <c r="CZ589" s="119"/>
      <c r="DA589" s="119"/>
      <c r="DB589" s="119"/>
      <c r="DC589" s="119"/>
      <c r="DD589" s="119"/>
      <c r="DE589" s="119"/>
      <c r="DF589" s="119"/>
      <c r="DG589" s="119"/>
      <c r="DH589" s="119"/>
      <c r="DI589" s="119"/>
      <c r="DJ589" s="119"/>
      <c r="DK589" s="119"/>
      <c r="DL589" s="119"/>
      <c r="DM589" s="119"/>
      <c r="DN589" s="119"/>
      <c r="DO589" s="119"/>
      <c r="DP589" s="119"/>
      <c r="DQ589" s="119"/>
      <c r="DR589" s="119"/>
      <c r="DS589" s="119"/>
      <c r="DT589" s="119"/>
      <c r="DU589" s="119"/>
      <c r="DV589" s="119"/>
      <c r="DW589" s="119"/>
      <c r="DX589" s="119"/>
      <c r="DY589" s="119"/>
      <c r="DZ589" s="119"/>
      <c r="EA589" s="119"/>
      <c r="EB589" s="119"/>
      <c r="EC589" s="119"/>
      <c r="ED589" s="119"/>
      <c r="EE589" s="119"/>
      <c r="EF589" s="119"/>
      <c r="EG589" s="119"/>
      <c r="EH589" s="119"/>
      <c r="EI589" s="119"/>
      <c r="EJ589" s="119"/>
      <c r="EK589" s="119"/>
      <c r="EL589" s="119"/>
      <c r="EM589" s="119"/>
      <c r="EN589" s="119"/>
      <c r="EO589" s="119"/>
      <c r="EP589" s="119"/>
      <c r="EQ589" s="119"/>
      <c r="ER589" s="119"/>
      <c r="ES589" s="119"/>
      <c r="ET589" s="119"/>
      <c r="EU589" s="119"/>
      <c r="EV589" s="119"/>
      <c r="EW589" s="119"/>
      <c r="EX589" s="119"/>
      <c r="EY589" s="119"/>
      <c r="EZ589" s="119"/>
      <c r="FA589" s="119"/>
      <c r="FB589" s="119"/>
      <c r="FC589" s="119"/>
      <c r="FD589" s="119"/>
      <c r="FE589" s="119"/>
      <c r="FF589" s="119"/>
      <c r="FG589" s="119"/>
      <c r="FH589" s="119"/>
      <c r="FI589" s="119"/>
      <c r="FJ589" s="119"/>
      <c r="FK589" s="119"/>
      <c r="FL589" s="119"/>
      <c r="FM589" s="119"/>
      <c r="FN589" s="119"/>
      <c r="FO589" s="119"/>
      <c r="FP589" s="119"/>
      <c r="FQ589" s="119"/>
      <c r="FR589" s="119"/>
    </row>
    <row x14ac:dyDescent="0.25" r="590" customHeight="1" ht="15">
      <c r="A590" s="121"/>
      <c r="B590" s="121"/>
      <c r="C590" s="122"/>
      <c r="D590" s="122"/>
      <c r="E590" s="123"/>
      <c r="F590" s="123"/>
      <c r="G590" s="124"/>
      <c r="H590" s="125"/>
      <c r="I590" s="126"/>
      <c r="J590" s="127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19"/>
      <c r="BA590" s="119"/>
      <c r="BB590" s="119"/>
      <c r="BC590" s="119"/>
      <c r="BD590" s="119"/>
      <c r="BE590" s="119"/>
      <c r="BF590" s="119"/>
      <c r="BG590" s="119"/>
      <c r="BH590" s="119"/>
      <c r="BI590" s="119"/>
      <c r="BJ590" s="119"/>
      <c r="BK590" s="119"/>
      <c r="BL590" s="119"/>
      <c r="BM590" s="119"/>
      <c r="BN590" s="119"/>
      <c r="BO590" s="119"/>
      <c r="BP590" s="119"/>
      <c r="BQ590" s="119"/>
      <c r="BR590" s="119"/>
      <c r="BS590" s="119"/>
      <c r="BT590" s="119"/>
      <c r="BU590" s="119"/>
      <c r="BV590" s="119"/>
      <c r="BW590" s="119"/>
      <c r="BX590" s="119"/>
      <c r="BY590" s="119"/>
      <c r="BZ590" s="119"/>
      <c r="CA590" s="119"/>
      <c r="CB590" s="119"/>
      <c r="CC590" s="119"/>
      <c r="CD590" s="119"/>
      <c r="CE590" s="119"/>
      <c r="CF590" s="119"/>
      <c r="CG590" s="119"/>
      <c r="CH590" s="119"/>
      <c r="CI590" s="119"/>
      <c r="CJ590" s="119"/>
      <c r="CK590" s="119"/>
      <c r="CL590" s="119"/>
      <c r="CM590" s="119"/>
      <c r="CN590" s="119"/>
      <c r="CO590" s="119"/>
      <c r="CP590" s="119"/>
      <c r="CQ590" s="119"/>
      <c r="CR590" s="119"/>
      <c r="CS590" s="119"/>
      <c r="CT590" s="119"/>
      <c r="CU590" s="119"/>
      <c r="CV590" s="119"/>
      <c r="CW590" s="119"/>
      <c r="CX590" s="119"/>
      <c r="CY590" s="119"/>
      <c r="CZ590" s="119"/>
      <c r="DA590" s="119"/>
      <c r="DB590" s="119"/>
      <c r="DC590" s="119"/>
      <c r="DD590" s="119"/>
      <c r="DE590" s="119"/>
      <c r="DF590" s="119"/>
      <c r="DG590" s="119"/>
      <c r="DH590" s="119"/>
      <c r="DI590" s="119"/>
      <c r="DJ590" s="119"/>
      <c r="DK590" s="119"/>
      <c r="DL590" s="119"/>
      <c r="DM590" s="119"/>
      <c r="DN590" s="119"/>
      <c r="DO590" s="119"/>
      <c r="DP590" s="119"/>
      <c r="DQ590" s="119"/>
      <c r="DR590" s="119"/>
      <c r="DS590" s="119"/>
      <c r="DT590" s="119"/>
      <c r="DU590" s="119"/>
      <c r="DV590" s="119"/>
      <c r="DW590" s="119"/>
      <c r="DX590" s="119"/>
      <c r="DY590" s="119"/>
      <c r="DZ590" s="119"/>
      <c r="EA590" s="119"/>
      <c r="EB590" s="119"/>
      <c r="EC590" s="119"/>
      <c r="ED590" s="119"/>
      <c r="EE590" s="119"/>
      <c r="EF590" s="119"/>
      <c r="EG590" s="119"/>
      <c r="EH590" s="119"/>
      <c r="EI590" s="119"/>
      <c r="EJ590" s="119"/>
      <c r="EK590" s="119"/>
      <c r="EL590" s="119"/>
      <c r="EM590" s="119"/>
      <c r="EN590" s="119"/>
      <c r="EO590" s="119"/>
      <c r="EP590" s="119"/>
      <c r="EQ590" s="119"/>
      <c r="ER590" s="119"/>
      <c r="ES590" s="119"/>
      <c r="ET590" s="119"/>
      <c r="EU590" s="119"/>
      <c r="EV590" s="119"/>
      <c r="EW590" s="119"/>
      <c r="EX590" s="119"/>
      <c r="EY590" s="119"/>
      <c r="EZ590" s="119"/>
      <c r="FA590" s="119"/>
      <c r="FB590" s="119"/>
      <c r="FC590" s="119"/>
      <c r="FD590" s="119"/>
      <c r="FE590" s="119"/>
      <c r="FF590" s="119"/>
      <c r="FG590" s="119"/>
      <c r="FH590" s="119"/>
      <c r="FI590" s="119"/>
      <c r="FJ590" s="119"/>
      <c r="FK590" s="119"/>
      <c r="FL590" s="119"/>
      <c r="FM590" s="119"/>
      <c r="FN590" s="119"/>
      <c r="FO590" s="119"/>
      <c r="FP590" s="119"/>
      <c r="FQ590" s="119"/>
      <c r="FR590" s="119"/>
    </row>
    <row x14ac:dyDescent="0.25" r="591" customHeight="1" ht="15">
      <c r="A591" s="121"/>
      <c r="B591" s="121"/>
      <c r="C591" s="122"/>
      <c r="D591" s="122"/>
      <c r="E591" s="123"/>
      <c r="F591" s="123"/>
      <c r="G591" s="124"/>
      <c r="H591" s="125"/>
      <c r="I591" s="126"/>
      <c r="J591" s="127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19"/>
      <c r="BA591" s="119"/>
      <c r="BB591" s="119"/>
      <c r="BC591" s="119"/>
      <c r="BD591" s="119"/>
      <c r="BE591" s="119"/>
      <c r="BF591" s="119"/>
      <c r="BG591" s="119"/>
      <c r="BH591" s="119"/>
      <c r="BI591" s="119"/>
      <c r="BJ591" s="119"/>
      <c r="BK591" s="119"/>
      <c r="BL591" s="119"/>
      <c r="BM591" s="119"/>
      <c r="BN591" s="119"/>
      <c r="BO591" s="119"/>
      <c r="BP591" s="119"/>
      <c r="BQ591" s="119"/>
      <c r="BR591" s="119"/>
      <c r="BS591" s="119"/>
      <c r="BT591" s="119"/>
      <c r="BU591" s="119"/>
      <c r="BV591" s="119"/>
      <c r="BW591" s="119"/>
      <c r="BX591" s="119"/>
      <c r="BY591" s="119"/>
      <c r="BZ591" s="119"/>
      <c r="CA591" s="119"/>
      <c r="CB591" s="119"/>
      <c r="CC591" s="119"/>
      <c r="CD591" s="119"/>
      <c r="CE591" s="119"/>
      <c r="CF591" s="119"/>
      <c r="CG591" s="119"/>
      <c r="CH591" s="119"/>
      <c r="CI591" s="119"/>
      <c r="CJ591" s="119"/>
      <c r="CK591" s="119"/>
      <c r="CL591" s="119"/>
      <c r="CM591" s="119"/>
      <c r="CN591" s="119"/>
      <c r="CO591" s="119"/>
      <c r="CP591" s="119"/>
      <c r="CQ591" s="119"/>
      <c r="CR591" s="119"/>
      <c r="CS591" s="119"/>
      <c r="CT591" s="119"/>
      <c r="CU591" s="119"/>
      <c r="CV591" s="119"/>
      <c r="CW591" s="119"/>
      <c r="CX591" s="119"/>
      <c r="CY591" s="119"/>
      <c r="CZ591" s="119"/>
      <c r="DA591" s="119"/>
      <c r="DB591" s="119"/>
      <c r="DC591" s="119"/>
      <c r="DD591" s="119"/>
      <c r="DE591" s="119"/>
      <c r="DF591" s="119"/>
      <c r="DG591" s="119"/>
      <c r="DH591" s="119"/>
      <c r="DI591" s="119"/>
      <c r="DJ591" s="119"/>
      <c r="DK591" s="119"/>
      <c r="DL591" s="119"/>
      <c r="DM591" s="119"/>
      <c r="DN591" s="119"/>
      <c r="DO591" s="119"/>
      <c r="DP591" s="119"/>
      <c r="DQ591" s="119"/>
      <c r="DR591" s="119"/>
      <c r="DS591" s="119"/>
      <c r="DT591" s="119"/>
      <c r="DU591" s="119"/>
      <c r="DV591" s="119"/>
      <c r="DW591" s="119"/>
      <c r="DX591" s="119"/>
      <c r="DY591" s="119"/>
      <c r="DZ591" s="119"/>
      <c r="EA591" s="119"/>
      <c r="EB591" s="119"/>
      <c r="EC591" s="119"/>
      <c r="ED591" s="119"/>
      <c r="EE591" s="119"/>
      <c r="EF591" s="119"/>
      <c r="EG591" s="119"/>
      <c r="EH591" s="119"/>
      <c r="EI591" s="119"/>
      <c r="EJ591" s="119"/>
      <c r="EK591" s="119"/>
      <c r="EL591" s="119"/>
      <c r="EM591" s="119"/>
      <c r="EN591" s="119"/>
      <c r="EO591" s="119"/>
      <c r="EP591" s="119"/>
      <c r="EQ591" s="119"/>
      <c r="ER591" s="119"/>
      <c r="ES591" s="119"/>
      <c r="ET591" s="119"/>
      <c r="EU591" s="119"/>
      <c r="EV591" s="119"/>
      <c r="EW591" s="119"/>
      <c r="EX591" s="119"/>
      <c r="EY591" s="119"/>
      <c r="EZ591" s="119"/>
      <c r="FA591" s="119"/>
      <c r="FB591" s="119"/>
      <c r="FC591" s="119"/>
      <c r="FD591" s="119"/>
      <c r="FE591" s="119"/>
      <c r="FF591" s="119"/>
      <c r="FG591" s="119"/>
      <c r="FH591" s="119"/>
      <c r="FI591" s="119"/>
      <c r="FJ591" s="119"/>
      <c r="FK591" s="119"/>
      <c r="FL591" s="119"/>
      <c r="FM591" s="119"/>
      <c r="FN591" s="119"/>
      <c r="FO591" s="119"/>
      <c r="FP591" s="119"/>
      <c r="FQ591" s="119"/>
      <c r="FR591" s="119"/>
    </row>
    <row x14ac:dyDescent="0.25" r="592" customHeight="1" ht="15">
      <c r="A592" s="121"/>
      <c r="B592" s="121"/>
      <c r="C592" s="122"/>
      <c r="D592" s="122"/>
      <c r="E592" s="123"/>
      <c r="F592" s="123"/>
      <c r="G592" s="124"/>
      <c r="H592" s="125"/>
      <c r="I592" s="126"/>
      <c r="J592" s="127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19"/>
      <c r="BA592" s="119"/>
      <c r="BB592" s="119"/>
      <c r="BC592" s="119"/>
      <c r="BD592" s="119"/>
      <c r="BE592" s="119"/>
      <c r="BF592" s="119"/>
      <c r="BG592" s="119"/>
      <c r="BH592" s="119"/>
      <c r="BI592" s="119"/>
      <c r="BJ592" s="119"/>
      <c r="BK592" s="119"/>
      <c r="BL592" s="119"/>
      <c r="BM592" s="119"/>
      <c r="BN592" s="119"/>
      <c r="BO592" s="119"/>
      <c r="BP592" s="119"/>
      <c r="BQ592" s="119"/>
      <c r="BR592" s="119"/>
      <c r="BS592" s="119"/>
      <c r="BT592" s="119"/>
      <c r="BU592" s="119"/>
      <c r="BV592" s="119"/>
      <c r="BW592" s="119"/>
      <c r="BX592" s="119"/>
      <c r="BY592" s="119"/>
      <c r="BZ592" s="119"/>
      <c r="CA592" s="119"/>
      <c r="CB592" s="119"/>
      <c r="CC592" s="119"/>
      <c r="CD592" s="119"/>
      <c r="CE592" s="119"/>
      <c r="CF592" s="119"/>
      <c r="CG592" s="119"/>
      <c r="CH592" s="119"/>
      <c r="CI592" s="119"/>
      <c r="CJ592" s="119"/>
      <c r="CK592" s="119"/>
      <c r="CL592" s="119"/>
      <c r="CM592" s="119"/>
      <c r="CN592" s="119"/>
      <c r="CO592" s="119"/>
      <c r="CP592" s="119"/>
      <c r="CQ592" s="119"/>
      <c r="CR592" s="119"/>
      <c r="CS592" s="119"/>
      <c r="CT592" s="119"/>
      <c r="CU592" s="119"/>
      <c r="CV592" s="119"/>
      <c r="CW592" s="119"/>
      <c r="CX592" s="119"/>
      <c r="CY592" s="119"/>
      <c r="CZ592" s="119"/>
      <c r="DA592" s="119"/>
      <c r="DB592" s="119"/>
      <c r="DC592" s="119"/>
      <c r="DD592" s="119"/>
      <c r="DE592" s="119"/>
      <c r="DF592" s="119"/>
      <c r="DG592" s="119"/>
      <c r="DH592" s="119"/>
      <c r="DI592" s="119"/>
      <c r="DJ592" s="119"/>
      <c r="DK592" s="119"/>
      <c r="DL592" s="119"/>
      <c r="DM592" s="119"/>
      <c r="DN592" s="119"/>
      <c r="DO592" s="119"/>
      <c r="DP592" s="119"/>
      <c r="DQ592" s="119"/>
      <c r="DR592" s="119"/>
      <c r="DS592" s="119"/>
      <c r="DT592" s="119"/>
      <c r="DU592" s="119"/>
      <c r="DV592" s="119"/>
      <c r="DW592" s="119"/>
      <c r="DX592" s="119"/>
      <c r="DY592" s="119"/>
      <c r="DZ592" s="119"/>
      <c r="EA592" s="119"/>
      <c r="EB592" s="119"/>
      <c r="EC592" s="119"/>
      <c r="ED592" s="119"/>
      <c r="EE592" s="119"/>
      <c r="EF592" s="119"/>
      <c r="EG592" s="119"/>
      <c r="EH592" s="119"/>
      <c r="EI592" s="119"/>
      <c r="EJ592" s="119"/>
      <c r="EK592" s="119"/>
      <c r="EL592" s="119"/>
      <c r="EM592" s="119"/>
      <c r="EN592" s="119"/>
      <c r="EO592" s="119"/>
      <c r="EP592" s="119"/>
      <c r="EQ592" s="119"/>
      <c r="ER592" s="119"/>
      <c r="ES592" s="119"/>
      <c r="ET592" s="119"/>
      <c r="EU592" s="119"/>
      <c r="EV592" s="119"/>
      <c r="EW592" s="119"/>
      <c r="EX592" s="119"/>
      <c r="EY592" s="119"/>
      <c r="EZ592" s="119"/>
      <c r="FA592" s="119"/>
      <c r="FB592" s="119"/>
      <c r="FC592" s="119"/>
      <c r="FD592" s="119"/>
      <c r="FE592" s="119"/>
      <c r="FF592" s="119"/>
      <c r="FG592" s="119"/>
      <c r="FH592" s="119"/>
      <c r="FI592" s="119"/>
      <c r="FJ592" s="119"/>
      <c r="FK592" s="119"/>
      <c r="FL592" s="119"/>
      <c r="FM592" s="119"/>
      <c r="FN592" s="119"/>
      <c r="FO592" s="119"/>
      <c r="FP592" s="119"/>
      <c r="FQ592" s="119"/>
      <c r="FR592" s="119"/>
    </row>
    <row x14ac:dyDescent="0.25" r="593" customHeight="1" ht="15">
      <c r="A593" s="121"/>
      <c r="B593" s="121"/>
      <c r="C593" s="122"/>
      <c r="D593" s="122"/>
      <c r="E593" s="123"/>
      <c r="F593" s="123"/>
      <c r="G593" s="124"/>
      <c r="H593" s="125"/>
      <c r="I593" s="126"/>
      <c r="J593" s="127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19"/>
      <c r="BA593" s="119"/>
      <c r="BB593" s="119"/>
      <c r="BC593" s="119"/>
      <c r="BD593" s="119"/>
      <c r="BE593" s="119"/>
      <c r="BF593" s="119"/>
      <c r="BG593" s="119"/>
      <c r="BH593" s="119"/>
      <c r="BI593" s="119"/>
      <c r="BJ593" s="119"/>
      <c r="BK593" s="119"/>
      <c r="BL593" s="119"/>
      <c r="BM593" s="119"/>
      <c r="BN593" s="119"/>
      <c r="BO593" s="119"/>
      <c r="BP593" s="119"/>
      <c r="BQ593" s="119"/>
      <c r="BR593" s="119"/>
      <c r="BS593" s="119"/>
      <c r="BT593" s="119"/>
      <c r="BU593" s="119"/>
      <c r="BV593" s="119"/>
      <c r="BW593" s="119"/>
      <c r="BX593" s="119"/>
      <c r="BY593" s="119"/>
      <c r="BZ593" s="119"/>
      <c r="CA593" s="119"/>
      <c r="CB593" s="119"/>
      <c r="CC593" s="119"/>
      <c r="CD593" s="119"/>
      <c r="CE593" s="119"/>
      <c r="CF593" s="119"/>
      <c r="CG593" s="119"/>
      <c r="CH593" s="119"/>
      <c r="CI593" s="119"/>
      <c r="CJ593" s="119"/>
      <c r="CK593" s="119"/>
      <c r="CL593" s="119"/>
      <c r="CM593" s="119"/>
      <c r="CN593" s="119"/>
      <c r="CO593" s="119"/>
      <c r="CP593" s="119"/>
      <c r="CQ593" s="119"/>
      <c r="CR593" s="119"/>
      <c r="CS593" s="119"/>
      <c r="CT593" s="119"/>
      <c r="CU593" s="119"/>
      <c r="CV593" s="119"/>
      <c r="CW593" s="119"/>
      <c r="CX593" s="119"/>
      <c r="CY593" s="119"/>
      <c r="CZ593" s="119"/>
      <c r="DA593" s="119"/>
      <c r="DB593" s="119"/>
      <c r="DC593" s="119"/>
      <c r="DD593" s="119"/>
      <c r="DE593" s="119"/>
      <c r="DF593" s="119"/>
      <c r="DG593" s="119"/>
      <c r="DH593" s="119"/>
      <c r="DI593" s="119"/>
      <c r="DJ593" s="119"/>
      <c r="DK593" s="119"/>
      <c r="DL593" s="119"/>
      <c r="DM593" s="119"/>
      <c r="DN593" s="119"/>
      <c r="DO593" s="119"/>
      <c r="DP593" s="119"/>
      <c r="DQ593" s="119"/>
      <c r="DR593" s="119"/>
      <c r="DS593" s="119"/>
      <c r="DT593" s="119"/>
      <c r="DU593" s="119"/>
      <c r="DV593" s="119"/>
      <c r="DW593" s="119"/>
      <c r="DX593" s="119"/>
      <c r="DY593" s="119"/>
      <c r="DZ593" s="119"/>
      <c r="EA593" s="119"/>
      <c r="EB593" s="119"/>
      <c r="EC593" s="119"/>
      <c r="ED593" s="119"/>
      <c r="EE593" s="119"/>
      <c r="EF593" s="119"/>
      <c r="EG593" s="119"/>
      <c r="EH593" s="119"/>
      <c r="EI593" s="119"/>
      <c r="EJ593" s="119"/>
      <c r="EK593" s="119"/>
      <c r="EL593" s="119"/>
      <c r="EM593" s="119"/>
      <c r="EN593" s="119"/>
      <c r="EO593" s="119"/>
      <c r="EP593" s="119"/>
      <c r="EQ593" s="119"/>
      <c r="ER593" s="119"/>
      <c r="ES593" s="119"/>
      <c r="ET593" s="119"/>
      <c r="EU593" s="119"/>
      <c r="EV593" s="119"/>
      <c r="EW593" s="119"/>
      <c r="EX593" s="119"/>
      <c r="EY593" s="119"/>
      <c r="EZ593" s="119"/>
      <c r="FA593" s="119"/>
      <c r="FB593" s="119"/>
      <c r="FC593" s="119"/>
      <c r="FD593" s="119"/>
      <c r="FE593" s="119"/>
      <c r="FF593" s="119"/>
      <c r="FG593" s="119"/>
      <c r="FH593" s="119"/>
      <c r="FI593" s="119"/>
      <c r="FJ593" s="119"/>
      <c r="FK593" s="119"/>
      <c r="FL593" s="119"/>
      <c r="FM593" s="119"/>
      <c r="FN593" s="119"/>
      <c r="FO593" s="119"/>
      <c r="FP593" s="119"/>
      <c r="FQ593" s="119"/>
      <c r="FR593" s="119"/>
    </row>
    <row x14ac:dyDescent="0.25" r="594" customHeight="1" ht="15">
      <c r="A594" s="121"/>
      <c r="B594" s="121"/>
      <c r="C594" s="122"/>
      <c r="D594" s="122"/>
      <c r="E594" s="123"/>
      <c r="F594" s="123"/>
      <c r="G594" s="124"/>
      <c r="H594" s="125"/>
      <c r="I594" s="126"/>
      <c r="J594" s="127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19"/>
      <c r="BA594" s="119"/>
      <c r="BB594" s="119"/>
      <c r="BC594" s="119"/>
      <c r="BD594" s="119"/>
      <c r="BE594" s="119"/>
      <c r="BF594" s="119"/>
      <c r="BG594" s="119"/>
      <c r="BH594" s="119"/>
      <c r="BI594" s="119"/>
      <c r="BJ594" s="119"/>
      <c r="BK594" s="119"/>
      <c r="BL594" s="119"/>
      <c r="BM594" s="119"/>
      <c r="BN594" s="119"/>
      <c r="BO594" s="119"/>
      <c r="BP594" s="119"/>
      <c r="BQ594" s="119"/>
      <c r="BR594" s="119"/>
      <c r="BS594" s="119"/>
      <c r="BT594" s="119"/>
      <c r="BU594" s="119"/>
      <c r="BV594" s="119"/>
      <c r="BW594" s="119"/>
      <c r="BX594" s="119"/>
      <c r="BY594" s="119"/>
      <c r="BZ594" s="119"/>
      <c r="CA594" s="119"/>
      <c r="CB594" s="119"/>
      <c r="CC594" s="119"/>
      <c r="CD594" s="119"/>
      <c r="CE594" s="119"/>
      <c r="CF594" s="119"/>
      <c r="CG594" s="119"/>
      <c r="CH594" s="119"/>
      <c r="CI594" s="119"/>
      <c r="CJ594" s="119"/>
      <c r="CK594" s="119"/>
      <c r="CL594" s="119"/>
      <c r="CM594" s="119"/>
      <c r="CN594" s="119"/>
      <c r="CO594" s="119"/>
      <c r="CP594" s="119"/>
      <c r="CQ594" s="119"/>
      <c r="CR594" s="119"/>
      <c r="CS594" s="119"/>
      <c r="CT594" s="119"/>
      <c r="CU594" s="119"/>
      <c r="CV594" s="119"/>
      <c r="CW594" s="119"/>
      <c r="CX594" s="119"/>
      <c r="CY594" s="119"/>
      <c r="CZ594" s="119"/>
      <c r="DA594" s="119"/>
      <c r="DB594" s="119"/>
      <c r="DC594" s="119"/>
      <c r="DD594" s="119"/>
      <c r="DE594" s="119"/>
      <c r="DF594" s="119"/>
      <c r="DG594" s="119"/>
      <c r="DH594" s="119"/>
      <c r="DI594" s="119"/>
      <c r="DJ594" s="119"/>
      <c r="DK594" s="119"/>
      <c r="DL594" s="119"/>
      <c r="DM594" s="119"/>
      <c r="DN594" s="119"/>
      <c r="DO594" s="119"/>
      <c r="DP594" s="119"/>
      <c r="DQ594" s="119"/>
      <c r="DR594" s="119"/>
      <c r="DS594" s="119"/>
      <c r="DT594" s="119"/>
      <c r="DU594" s="119"/>
      <c r="DV594" s="119"/>
      <c r="DW594" s="119"/>
      <c r="DX594" s="119"/>
      <c r="DY594" s="119"/>
      <c r="DZ594" s="119"/>
      <c r="EA594" s="119"/>
      <c r="EB594" s="119"/>
      <c r="EC594" s="119"/>
      <c r="ED594" s="119"/>
      <c r="EE594" s="119"/>
      <c r="EF594" s="119"/>
      <c r="EG594" s="119"/>
      <c r="EH594" s="119"/>
      <c r="EI594" s="119"/>
      <c r="EJ594" s="119"/>
      <c r="EK594" s="119"/>
      <c r="EL594" s="119"/>
      <c r="EM594" s="119"/>
      <c r="EN594" s="119"/>
      <c r="EO594" s="119"/>
      <c r="EP594" s="119"/>
      <c r="EQ594" s="119"/>
      <c r="ER594" s="119"/>
      <c r="ES594" s="119"/>
      <c r="ET594" s="119"/>
      <c r="EU594" s="119"/>
      <c r="EV594" s="119"/>
      <c r="EW594" s="119"/>
      <c r="EX594" s="119"/>
      <c r="EY594" s="119"/>
      <c r="EZ594" s="119"/>
      <c r="FA594" s="119"/>
      <c r="FB594" s="119"/>
      <c r="FC594" s="119"/>
      <c r="FD594" s="119"/>
      <c r="FE594" s="119"/>
      <c r="FF594" s="119"/>
      <c r="FG594" s="119"/>
      <c r="FH594" s="119"/>
      <c r="FI594" s="119"/>
      <c r="FJ594" s="119"/>
      <c r="FK594" s="119"/>
      <c r="FL594" s="119"/>
      <c r="FM594" s="119"/>
      <c r="FN594" s="119"/>
      <c r="FO594" s="119"/>
      <c r="FP594" s="119"/>
      <c r="FQ594" s="119"/>
      <c r="FR594" s="119"/>
    </row>
    <row x14ac:dyDescent="0.25" r="595" customHeight="1" ht="15">
      <c r="A595" s="121"/>
      <c r="B595" s="121"/>
      <c r="C595" s="122"/>
      <c r="D595" s="122"/>
      <c r="E595" s="123"/>
      <c r="F595" s="123"/>
      <c r="G595" s="124"/>
      <c r="H595" s="125"/>
      <c r="I595" s="126"/>
      <c r="J595" s="127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19"/>
      <c r="BA595" s="119"/>
      <c r="BB595" s="119"/>
      <c r="BC595" s="119"/>
      <c r="BD595" s="119"/>
      <c r="BE595" s="119"/>
      <c r="BF595" s="119"/>
      <c r="BG595" s="119"/>
      <c r="BH595" s="119"/>
      <c r="BI595" s="119"/>
      <c r="BJ595" s="119"/>
      <c r="BK595" s="119"/>
      <c r="BL595" s="119"/>
      <c r="BM595" s="119"/>
      <c r="BN595" s="119"/>
      <c r="BO595" s="119"/>
      <c r="BP595" s="119"/>
      <c r="BQ595" s="119"/>
      <c r="BR595" s="119"/>
      <c r="BS595" s="119"/>
      <c r="BT595" s="119"/>
      <c r="BU595" s="119"/>
      <c r="BV595" s="119"/>
      <c r="BW595" s="119"/>
      <c r="BX595" s="119"/>
      <c r="BY595" s="119"/>
      <c r="BZ595" s="119"/>
      <c r="CA595" s="119"/>
      <c r="CB595" s="119"/>
      <c r="CC595" s="119"/>
      <c r="CD595" s="119"/>
      <c r="CE595" s="119"/>
      <c r="CF595" s="119"/>
      <c r="CG595" s="119"/>
      <c r="CH595" s="119"/>
      <c r="CI595" s="119"/>
      <c r="CJ595" s="119"/>
      <c r="CK595" s="119"/>
      <c r="CL595" s="119"/>
      <c r="CM595" s="119"/>
      <c r="CN595" s="119"/>
      <c r="CO595" s="119"/>
      <c r="CP595" s="119"/>
      <c r="CQ595" s="119"/>
      <c r="CR595" s="119"/>
      <c r="CS595" s="119"/>
      <c r="CT595" s="119"/>
      <c r="CU595" s="119"/>
      <c r="CV595" s="119"/>
      <c r="CW595" s="119"/>
      <c r="CX595" s="119"/>
      <c r="CY595" s="119"/>
      <c r="CZ595" s="119"/>
      <c r="DA595" s="119"/>
      <c r="DB595" s="119"/>
      <c r="DC595" s="119"/>
      <c r="DD595" s="119"/>
      <c r="DE595" s="119"/>
      <c r="DF595" s="119"/>
      <c r="DG595" s="119"/>
      <c r="DH595" s="119"/>
      <c r="DI595" s="119"/>
      <c r="DJ595" s="119"/>
      <c r="DK595" s="119"/>
      <c r="DL595" s="119"/>
      <c r="DM595" s="119"/>
      <c r="DN595" s="119"/>
      <c r="DO595" s="119"/>
      <c r="DP595" s="119"/>
      <c r="DQ595" s="119"/>
      <c r="DR595" s="119"/>
      <c r="DS595" s="119"/>
      <c r="DT595" s="119"/>
      <c r="DU595" s="119"/>
      <c r="DV595" s="119"/>
      <c r="DW595" s="119"/>
      <c r="DX595" s="119"/>
      <c r="DY595" s="119"/>
      <c r="DZ595" s="119"/>
      <c r="EA595" s="119"/>
      <c r="EB595" s="119"/>
      <c r="EC595" s="119"/>
      <c r="ED595" s="119"/>
      <c r="EE595" s="119"/>
      <c r="EF595" s="119"/>
      <c r="EG595" s="119"/>
      <c r="EH595" s="119"/>
      <c r="EI595" s="119"/>
      <c r="EJ595" s="119"/>
      <c r="EK595" s="119"/>
      <c r="EL595" s="119"/>
      <c r="EM595" s="119"/>
      <c r="EN595" s="119"/>
      <c r="EO595" s="119"/>
      <c r="EP595" s="119"/>
      <c r="EQ595" s="119"/>
      <c r="ER595" s="119"/>
      <c r="ES595" s="119"/>
      <c r="ET595" s="119"/>
      <c r="EU595" s="119"/>
      <c r="EV595" s="119"/>
      <c r="EW595" s="119"/>
      <c r="EX595" s="119"/>
      <c r="EY595" s="119"/>
      <c r="EZ595" s="119"/>
      <c r="FA595" s="119"/>
      <c r="FB595" s="119"/>
      <c r="FC595" s="119"/>
      <c r="FD595" s="119"/>
      <c r="FE595" s="119"/>
      <c r="FF595" s="119"/>
      <c r="FG595" s="119"/>
      <c r="FH595" s="119"/>
      <c r="FI595" s="119"/>
      <c r="FJ595" s="119"/>
      <c r="FK595" s="119"/>
      <c r="FL595" s="119"/>
      <c r="FM595" s="119"/>
      <c r="FN595" s="119"/>
      <c r="FO595" s="119"/>
      <c r="FP595" s="119"/>
      <c r="FQ595" s="119"/>
      <c r="FR595" s="119"/>
    </row>
    <row x14ac:dyDescent="0.25" r="596" customHeight="1" ht="15">
      <c r="A596" s="121"/>
      <c r="B596" s="121"/>
      <c r="C596" s="122"/>
      <c r="D596" s="122"/>
      <c r="E596" s="123"/>
      <c r="F596" s="123"/>
      <c r="G596" s="124"/>
      <c r="H596" s="125"/>
      <c r="I596" s="126"/>
      <c r="J596" s="127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19"/>
      <c r="BA596" s="119"/>
      <c r="BB596" s="119"/>
      <c r="BC596" s="119"/>
      <c r="BD596" s="119"/>
      <c r="BE596" s="119"/>
      <c r="BF596" s="119"/>
      <c r="BG596" s="119"/>
      <c r="BH596" s="119"/>
      <c r="BI596" s="119"/>
      <c r="BJ596" s="119"/>
      <c r="BK596" s="119"/>
      <c r="BL596" s="119"/>
      <c r="BM596" s="119"/>
      <c r="BN596" s="119"/>
      <c r="BO596" s="119"/>
      <c r="BP596" s="119"/>
      <c r="BQ596" s="119"/>
      <c r="BR596" s="119"/>
      <c r="BS596" s="119"/>
      <c r="BT596" s="119"/>
      <c r="BU596" s="119"/>
      <c r="BV596" s="119"/>
      <c r="BW596" s="119"/>
      <c r="BX596" s="119"/>
      <c r="BY596" s="119"/>
      <c r="BZ596" s="119"/>
      <c r="CA596" s="119"/>
      <c r="CB596" s="119"/>
      <c r="CC596" s="119"/>
      <c r="CD596" s="119"/>
      <c r="CE596" s="119"/>
      <c r="CF596" s="119"/>
      <c r="CG596" s="119"/>
      <c r="CH596" s="119"/>
      <c r="CI596" s="119"/>
      <c r="CJ596" s="119"/>
      <c r="CK596" s="119"/>
      <c r="CL596" s="119"/>
      <c r="CM596" s="119"/>
      <c r="CN596" s="119"/>
      <c r="CO596" s="119"/>
      <c r="CP596" s="119"/>
      <c r="CQ596" s="119"/>
      <c r="CR596" s="119"/>
      <c r="CS596" s="119"/>
      <c r="CT596" s="119"/>
      <c r="CU596" s="119"/>
      <c r="CV596" s="119"/>
      <c r="CW596" s="119"/>
      <c r="CX596" s="119"/>
      <c r="CY596" s="119"/>
      <c r="CZ596" s="119"/>
      <c r="DA596" s="119"/>
      <c r="DB596" s="119"/>
      <c r="DC596" s="119"/>
      <c r="DD596" s="119"/>
      <c r="DE596" s="119"/>
      <c r="DF596" s="119"/>
      <c r="DG596" s="119"/>
      <c r="DH596" s="119"/>
      <c r="DI596" s="119"/>
      <c r="DJ596" s="119"/>
      <c r="DK596" s="119"/>
      <c r="DL596" s="119"/>
      <c r="DM596" s="119"/>
      <c r="DN596" s="119"/>
      <c r="DO596" s="119"/>
      <c r="DP596" s="119"/>
      <c r="DQ596" s="119"/>
      <c r="DR596" s="119"/>
      <c r="DS596" s="119"/>
      <c r="DT596" s="119"/>
      <c r="DU596" s="119"/>
      <c r="DV596" s="119"/>
      <c r="DW596" s="119"/>
      <c r="DX596" s="119"/>
      <c r="DY596" s="119"/>
      <c r="DZ596" s="119"/>
      <c r="EA596" s="119"/>
      <c r="EB596" s="119"/>
      <c r="EC596" s="119"/>
      <c r="ED596" s="119"/>
      <c r="EE596" s="119"/>
      <c r="EF596" s="119"/>
      <c r="EG596" s="119"/>
      <c r="EH596" s="119"/>
      <c r="EI596" s="119"/>
      <c r="EJ596" s="119"/>
      <c r="EK596" s="119"/>
      <c r="EL596" s="119"/>
      <c r="EM596" s="119"/>
      <c r="EN596" s="119"/>
      <c r="EO596" s="119"/>
      <c r="EP596" s="119"/>
      <c r="EQ596" s="119"/>
      <c r="ER596" s="119"/>
      <c r="ES596" s="119"/>
      <c r="ET596" s="119"/>
      <c r="EU596" s="119"/>
      <c r="EV596" s="119"/>
      <c r="EW596" s="119"/>
      <c r="EX596" s="119"/>
      <c r="EY596" s="119"/>
      <c r="EZ596" s="119"/>
      <c r="FA596" s="119"/>
      <c r="FB596" s="119"/>
      <c r="FC596" s="119"/>
      <c r="FD596" s="119"/>
      <c r="FE596" s="119"/>
      <c r="FF596" s="119"/>
      <c r="FG596" s="119"/>
      <c r="FH596" s="119"/>
      <c r="FI596" s="119"/>
      <c r="FJ596" s="119"/>
      <c r="FK596" s="119"/>
      <c r="FL596" s="119"/>
      <c r="FM596" s="119"/>
      <c r="FN596" s="119"/>
      <c r="FO596" s="119"/>
      <c r="FP596" s="119"/>
      <c r="FQ596" s="119"/>
      <c r="FR596" s="119"/>
    </row>
    <row x14ac:dyDescent="0.25" r="597" customHeight="1" ht="15">
      <c r="A597" s="121"/>
      <c r="B597" s="121"/>
      <c r="C597" s="122"/>
      <c r="D597" s="122"/>
      <c r="E597" s="123"/>
      <c r="F597" s="123"/>
      <c r="G597" s="124"/>
      <c r="H597" s="125"/>
      <c r="I597" s="126"/>
      <c r="J597" s="127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19"/>
      <c r="BA597" s="119"/>
      <c r="BB597" s="119"/>
      <c r="BC597" s="119"/>
      <c r="BD597" s="119"/>
      <c r="BE597" s="119"/>
      <c r="BF597" s="119"/>
      <c r="BG597" s="119"/>
      <c r="BH597" s="119"/>
      <c r="BI597" s="119"/>
      <c r="BJ597" s="119"/>
      <c r="BK597" s="119"/>
      <c r="BL597" s="119"/>
      <c r="BM597" s="119"/>
      <c r="BN597" s="119"/>
      <c r="BO597" s="119"/>
      <c r="BP597" s="119"/>
      <c r="BQ597" s="119"/>
      <c r="BR597" s="119"/>
      <c r="BS597" s="119"/>
      <c r="BT597" s="119"/>
      <c r="BU597" s="119"/>
      <c r="BV597" s="119"/>
      <c r="BW597" s="119"/>
      <c r="BX597" s="119"/>
      <c r="BY597" s="119"/>
      <c r="BZ597" s="119"/>
      <c r="CA597" s="119"/>
      <c r="CB597" s="119"/>
      <c r="CC597" s="119"/>
      <c r="CD597" s="119"/>
      <c r="CE597" s="119"/>
      <c r="CF597" s="119"/>
      <c r="CG597" s="119"/>
      <c r="CH597" s="119"/>
      <c r="CI597" s="119"/>
      <c r="CJ597" s="119"/>
      <c r="CK597" s="119"/>
      <c r="CL597" s="119"/>
      <c r="CM597" s="119"/>
      <c r="CN597" s="119"/>
      <c r="CO597" s="119"/>
      <c r="CP597" s="119"/>
      <c r="CQ597" s="119"/>
      <c r="CR597" s="119"/>
      <c r="CS597" s="119"/>
      <c r="CT597" s="119"/>
      <c r="CU597" s="119"/>
      <c r="CV597" s="119"/>
      <c r="CW597" s="119"/>
      <c r="CX597" s="119"/>
      <c r="CY597" s="119"/>
      <c r="CZ597" s="119"/>
      <c r="DA597" s="119"/>
      <c r="DB597" s="119"/>
      <c r="DC597" s="119"/>
      <c r="DD597" s="119"/>
      <c r="DE597" s="119"/>
      <c r="DF597" s="119"/>
      <c r="DG597" s="119"/>
      <c r="DH597" s="119"/>
      <c r="DI597" s="119"/>
      <c r="DJ597" s="119"/>
      <c r="DK597" s="119"/>
      <c r="DL597" s="119"/>
      <c r="DM597" s="119"/>
      <c r="DN597" s="119"/>
      <c r="DO597" s="119"/>
      <c r="DP597" s="119"/>
      <c r="DQ597" s="119"/>
      <c r="DR597" s="119"/>
      <c r="DS597" s="119"/>
      <c r="DT597" s="119"/>
      <c r="DU597" s="119"/>
      <c r="DV597" s="119"/>
      <c r="DW597" s="119"/>
      <c r="DX597" s="119"/>
      <c r="DY597" s="119"/>
      <c r="DZ597" s="119"/>
      <c r="EA597" s="119"/>
      <c r="EB597" s="119"/>
      <c r="EC597" s="119"/>
      <c r="ED597" s="119"/>
      <c r="EE597" s="119"/>
      <c r="EF597" s="119"/>
      <c r="EG597" s="119"/>
      <c r="EH597" s="119"/>
      <c r="EI597" s="119"/>
      <c r="EJ597" s="119"/>
      <c r="EK597" s="119"/>
      <c r="EL597" s="119"/>
      <c r="EM597" s="119"/>
      <c r="EN597" s="119"/>
      <c r="EO597" s="119"/>
      <c r="EP597" s="119"/>
      <c r="EQ597" s="119"/>
      <c r="ER597" s="119"/>
      <c r="ES597" s="119"/>
      <c r="ET597" s="119"/>
      <c r="EU597" s="119"/>
      <c r="EV597" s="119"/>
      <c r="EW597" s="119"/>
      <c r="EX597" s="119"/>
      <c r="EY597" s="119"/>
      <c r="EZ597" s="119"/>
      <c r="FA597" s="119"/>
      <c r="FB597" s="119"/>
      <c r="FC597" s="119"/>
      <c r="FD597" s="119"/>
      <c r="FE597" s="119"/>
      <c r="FF597" s="119"/>
      <c r="FG597" s="119"/>
      <c r="FH597" s="119"/>
      <c r="FI597" s="119"/>
      <c r="FJ597" s="119"/>
      <c r="FK597" s="119"/>
      <c r="FL597" s="119"/>
      <c r="FM597" s="119"/>
      <c r="FN597" s="119"/>
      <c r="FO597" s="119"/>
      <c r="FP597" s="119"/>
      <c r="FQ597" s="119"/>
      <c r="FR597" s="119"/>
    </row>
    <row x14ac:dyDescent="0.25" r="598" customHeight="1" ht="15">
      <c r="A598" s="121"/>
      <c r="B598" s="121"/>
      <c r="C598" s="122"/>
      <c r="D598" s="122"/>
      <c r="E598" s="123"/>
      <c r="F598" s="123"/>
      <c r="G598" s="124"/>
      <c r="H598" s="125"/>
      <c r="I598" s="126"/>
      <c r="J598" s="127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19"/>
      <c r="BA598" s="119"/>
      <c r="BB598" s="119"/>
      <c r="BC598" s="119"/>
      <c r="BD598" s="119"/>
      <c r="BE598" s="119"/>
      <c r="BF598" s="119"/>
      <c r="BG598" s="119"/>
      <c r="BH598" s="119"/>
      <c r="BI598" s="119"/>
      <c r="BJ598" s="119"/>
      <c r="BK598" s="119"/>
      <c r="BL598" s="119"/>
      <c r="BM598" s="119"/>
      <c r="BN598" s="119"/>
      <c r="BO598" s="119"/>
      <c r="BP598" s="119"/>
      <c r="BQ598" s="119"/>
      <c r="BR598" s="119"/>
      <c r="BS598" s="119"/>
      <c r="BT598" s="119"/>
      <c r="BU598" s="119"/>
      <c r="BV598" s="119"/>
      <c r="BW598" s="119"/>
      <c r="BX598" s="119"/>
      <c r="BY598" s="119"/>
      <c r="BZ598" s="119"/>
      <c r="CA598" s="119"/>
      <c r="CB598" s="119"/>
      <c r="CC598" s="119"/>
      <c r="CD598" s="119"/>
      <c r="CE598" s="119"/>
      <c r="CF598" s="119"/>
      <c r="CG598" s="119"/>
      <c r="CH598" s="119"/>
      <c r="CI598" s="119"/>
      <c r="CJ598" s="119"/>
      <c r="CK598" s="119"/>
      <c r="CL598" s="119"/>
      <c r="CM598" s="119"/>
      <c r="CN598" s="119"/>
      <c r="CO598" s="119"/>
      <c r="CP598" s="119"/>
      <c r="CQ598" s="119"/>
      <c r="CR598" s="119"/>
      <c r="CS598" s="119"/>
      <c r="CT598" s="119"/>
      <c r="CU598" s="119"/>
      <c r="CV598" s="119"/>
      <c r="CW598" s="119"/>
      <c r="CX598" s="119"/>
      <c r="CY598" s="119"/>
      <c r="CZ598" s="119"/>
      <c r="DA598" s="119"/>
      <c r="DB598" s="119"/>
      <c r="DC598" s="119"/>
      <c r="DD598" s="119"/>
      <c r="DE598" s="119"/>
      <c r="DF598" s="119"/>
      <c r="DG598" s="119"/>
      <c r="DH598" s="119"/>
      <c r="DI598" s="119"/>
      <c r="DJ598" s="119"/>
      <c r="DK598" s="119"/>
      <c r="DL598" s="119"/>
      <c r="DM598" s="119"/>
      <c r="DN598" s="119"/>
      <c r="DO598" s="119"/>
      <c r="DP598" s="119"/>
      <c r="DQ598" s="119"/>
      <c r="DR598" s="119"/>
      <c r="DS598" s="119"/>
      <c r="DT598" s="119"/>
      <c r="DU598" s="119"/>
      <c r="DV598" s="119"/>
      <c r="DW598" s="119"/>
      <c r="DX598" s="119"/>
      <c r="DY598" s="119"/>
      <c r="DZ598" s="119"/>
      <c r="EA598" s="119"/>
      <c r="EB598" s="119"/>
      <c r="EC598" s="119"/>
      <c r="ED598" s="119"/>
      <c r="EE598" s="119"/>
      <c r="EF598" s="119"/>
      <c r="EG598" s="119"/>
      <c r="EH598" s="119"/>
      <c r="EI598" s="119"/>
      <c r="EJ598" s="119"/>
      <c r="EK598" s="119"/>
      <c r="EL598" s="119"/>
      <c r="EM598" s="119"/>
      <c r="EN598" s="119"/>
      <c r="EO598" s="119"/>
      <c r="EP598" s="119"/>
      <c r="EQ598" s="119"/>
      <c r="ER598" s="119"/>
      <c r="ES598" s="119"/>
      <c r="ET598" s="119"/>
      <c r="EU598" s="119"/>
      <c r="EV598" s="119"/>
      <c r="EW598" s="119"/>
      <c r="EX598" s="119"/>
      <c r="EY598" s="119"/>
      <c r="EZ598" s="119"/>
      <c r="FA598" s="119"/>
      <c r="FB598" s="119"/>
      <c r="FC598" s="119"/>
      <c r="FD598" s="119"/>
      <c r="FE598" s="119"/>
      <c r="FF598" s="119"/>
      <c r="FG598" s="119"/>
      <c r="FH598" s="119"/>
      <c r="FI598" s="119"/>
      <c r="FJ598" s="119"/>
      <c r="FK598" s="119"/>
      <c r="FL598" s="119"/>
      <c r="FM598" s="119"/>
      <c r="FN598" s="119"/>
      <c r="FO598" s="119"/>
      <c r="FP598" s="119"/>
      <c r="FQ598" s="119"/>
      <c r="FR598" s="119"/>
    </row>
    <row x14ac:dyDescent="0.25" r="599" customHeight="1" ht="15">
      <c r="A599" s="121"/>
      <c r="B599" s="121"/>
      <c r="C599" s="122"/>
      <c r="D599" s="122"/>
      <c r="E599" s="123"/>
      <c r="F599" s="123"/>
      <c r="G599" s="124"/>
      <c r="H599" s="125"/>
      <c r="I599" s="126"/>
      <c r="J599" s="127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19"/>
      <c r="BA599" s="119"/>
      <c r="BB599" s="119"/>
      <c r="BC599" s="119"/>
      <c r="BD599" s="119"/>
      <c r="BE599" s="119"/>
      <c r="BF599" s="119"/>
      <c r="BG599" s="119"/>
      <c r="BH599" s="119"/>
      <c r="BI599" s="119"/>
      <c r="BJ599" s="119"/>
      <c r="BK599" s="119"/>
      <c r="BL599" s="119"/>
      <c r="BM599" s="119"/>
      <c r="BN599" s="119"/>
      <c r="BO599" s="119"/>
      <c r="BP599" s="119"/>
      <c r="BQ599" s="119"/>
      <c r="BR599" s="119"/>
      <c r="BS599" s="119"/>
      <c r="BT599" s="119"/>
      <c r="BU599" s="119"/>
      <c r="BV599" s="119"/>
      <c r="BW599" s="119"/>
      <c r="BX599" s="119"/>
      <c r="BY599" s="119"/>
      <c r="BZ599" s="119"/>
      <c r="CA599" s="119"/>
      <c r="CB599" s="119"/>
      <c r="CC599" s="119"/>
      <c r="CD599" s="119"/>
      <c r="CE599" s="119"/>
      <c r="CF599" s="119"/>
      <c r="CG599" s="119"/>
      <c r="CH599" s="119"/>
      <c r="CI599" s="119"/>
      <c r="CJ599" s="119"/>
      <c r="CK599" s="119"/>
      <c r="CL599" s="119"/>
      <c r="CM599" s="119"/>
      <c r="CN599" s="119"/>
      <c r="CO599" s="119"/>
      <c r="CP599" s="119"/>
      <c r="CQ599" s="119"/>
      <c r="CR599" s="119"/>
      <c r="CS599" s="119"/>
      <c r="CT599" s="119"/>
      <c r="CU599" s="119"/>
      <c r="CV599" s="119"/>
      <c r="CW599" s="119"/>
      <c r="CX599" s="119"/>
      <c r="CY599" s="119"/>
      <c r="CZ599" s="119"/>
      <c r="DA599" s="119"/>
      <c r="DB599" s="119"/>
      <c r="DC599" s="119"/>
      <c r="DD599" s="119"/>
      <c r="DE599" s="119"/>
      <c r="DF599" s="119"/>
      <c r="DG599" s="119"/>
      <c r="DH599" s="119"/>
      <c r="DI599" s="119"/>
      <c r="DJ599" s="119"/>
      <c r="DK599" s="119"/>
      <c r="DL599" s="119"/>
      <c r="DM599" s="119"/>
      <c r="DN599" s="119"/>
      <c r="DO599" s="119"/>
      <c r="DP599" s="119"/>
      <c r="DQ599" s="119"/>
      <c r="DR599" s="119"/>
      <c r="DS599" s="119"/>
      <c r="DT599" s="119"/>
      <c r="DU599" s="119"/>
      <c r="DV599" s="119"/>
      <c r="DW599" s="119"/>
      <c r="DX599" s="119"/>
      <c r="DY599" s="119"/>
      <c r="DZ599" s="119"/>
      <c r="EA599" s="119"/>
      <c r="EB599" s="119"/>
      <c r="EC599" s="119"/>
      <c r="ED599" s="119"/>
      <c r="EE599" s="119"/>
      <c r="EF599" s="119"/>
      <c r="EG599" s="119"/>
      <c r="EH599" s="119"/>
      <c r="EI599" s="119"/>
      <c r="EJ599" s="119"/>
      <c r="EK599" s="119"/>
      <c r="EL599" s="119"/>
      <c r="EM599" s="119"/>
      <c r="EN599" s="119"/>
      <c r="EO599" s="119"/>
      <c r="EP599" s="119"/>
      <c r="EQ599" s="119"/>
      <c r="ER599" s="119"/>
      <c r="ES599" s="119"/>
      <c r="ET599" s="119"/>
      <c r="EU599" s="119"/>
      <c r="EV599" s="119"/>
      <c r="EW599" s="119"/>
      <c r="EX599" s="119"/>
      <c r="EY599" s="119"/>
      <c r="EZ599" s="119"/>
      <c r="FA599" s="119"/>
      <c r="FB599" s="119"/>
      <c r="FC599" s="119"/>
      <c r="FD599" s="119"/>
      <c r="FE599" s="119"/>
      <c r="FF599" s="119"/>
      <c r="FG599" s="119"/>
      <c r="FH599" s="119"/>
      <c r="FI599" s="119"/>
      <c r="FJ599" s="119"/>
      <c r="FK599" s="119"/>
      <c r="FL599" s="119"/>
      <c r="FM599" s="119"/>
      <c r="FN599" s="119"/>
      <c r="FO599" s="119"/>
      <c r="FP599" s="119"/>
      <c r="FQ599" s="119"/>
      <c r="FR599" s="119"/>
    </row>
    <row x14ac:dyDescent="0.25" r="600" customHeight="1" ht="15">
      <c r="A600" s="121"/>
      <c r="B600" s="121"/>
      <c r="C600" s="122"/>
      <c r="D600" s="122"/>
      <c r="E600" s="123"/>
      <c r="F600" s="123"/>
      <c r="G600" s="124"/>
      <c r="H600" s="125"/>
      <c r="I600" s="126"/>
      <c r="J600" s="127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19"/>
      <c r="BA600" s="119"/>
      <c r="BB600" s="119"/>
      <c r="BC600" s="119"/>
      <c r="BD600" s="119"/>
      <c r="BE600" s="119"/>
      <c r="BF600" s="119"/>
      <c r="BG600" s="119"/>
      <c r="BH600" s="119"/>
      <c r="BI600" s="119"/>
      <c r="BJ600" s="119"/>
      <c r="BK600" s="119"/>
      <c r="BL600" s="119"/>
      <c r="BM600" s="119"/>
      <c r="BN600" s="119"/>
      <c r="BO600" s="119"/>
      <c r="BP600" s="119"/>
      <c r="BQ600" s="119"/>
      <c r="BR600" s="119"/>
      <c r="BS600" s="119"/>
      <c r="BT600" s="119"/>
      <c r="BU600" s="119"/>
      <c r="BV600" s="119"/>
      <c r="BW600" s="119"/>
      <c r="BX600" s="119"/>
      <c r="BY600" s="119"/>
      <c r="BZ600" s="119"/>
      <c r="CA600" s="119"/>
      <c r="CB600" s="119"/>
      <c r="CC600" s="119"/>
      <c r="CD600" s="119"/>
      <c r="CE600" s="119"/>
      <c r="CF600" s="119"/>
      <c r="CG600" s="119"/>
      <c r="CH600" s="119"/>
      <c r="CI600" s="119"/>
      <c r="CJ600" s="119"/>
      <c r="CK600" s="119"/>
      <c r="CL600" s="119"/>
      <c r="CM600" s="119"/>
      <c r="CN600" s="119"/>
      <c r="CO600" s="119"/>
      <c r="CP600" s="119"/>
      <c r="CQ600" s="119"/>
      <c r="CR600" s="119"/>
      <c r="CS600" s="119"/>
      <c r="CT600" s="119"/>
      <c r="CU600" s="119"/>
      <c r="CV600" s="119"/>
      <c r="CW600" s="119"/>
      <c r="CX600" s="119"/>
      <c r="CY600" s="119"/>
      <c r="CZ600" s="119"/>
      <c r="DA600" s="119"/>
      <c r="DB600" s="119"/>
      <c r="DC600" s="119"/>
      <c r="DD600" s="119"/>
      <c r="DE600" s="119"/>
      <c r="DF600" s="119"/>
      <c r="DG600" s="119"/>
      <c r="DH600" s="119"/>
      <c r="DI600" s="119"/>
      <c r="DJ600" s="119"/>
      <c r="DK600" s="119"/>
      <c r="DL600" s="119"/>
      <c r="DM600" s="119"/>
      <c r="DN600" s="119"/>
      <c r="DO600" s="119"/>
      <c r="DP600" s="119"/>
      <c r="DQ600" s="119"/>
      <c r="DR600" s="119"/>
      <c r="DS600" s="119"/>
      <c r="DT600" s="119"/>
      <c r="DU600" s="119"/>
      <c r="DV600" s="119"/>
      <c r="DW600" s="119"/>
      <c r="DX600" s="119"/>
      <c r="DY600" s="119"/>
      <c r="DZ600" s="119"/>
      <c r="EA600" s="119"/>
      <c r="EB600" s="119"/>
      <c r="EC600" s="119"/>
      <c r="ED600" s="119"/>
      <c r="EE600" s="119"/>
      <c r="EF600" s="119"/>
      <c r="EG600" s="119"/>
      <c r="EH600" s="119"/>
      <c r="EI600" s="119"/>
      <c r="EJ600" s="119"/>
      <c r="EK600" s="119"/>
      <c r="EL600" s="119"/>
      <c r="EM600" s="119"/>
      <c r="EN600" s="119"/>
      <c r="EO600" s="119"/>
      <c r="EP600" s="119"/>
      <c r="EQ600" s="119"/>
      <c r="ER600" s="119"/>
      <c r="ES600" s="119"/>
      <c r="ET600" s="119"/>
      <c r="EU600" s="119"/>
      <c r="EV600" s="119"/>
      <c r="EW600" s="119"/>
      <c r="EX600" s="119"/>
      <c r="EY600" s="119"/>
      <c r="EZ600" s="119"/>
      <c r="FA600" s="119"/>
      <c r="FB600" s="119"/>
      <c r="FC600" s="119"/>
      <c r="FD600" s="119"/>
      <c r="FE600" s="119"/>
      <c r="FF600" s="119"/>
      <c r="FG600" s="119"/>
      <c r="FH600" s="119"/>
      <c r="FI600" s="119"/>
      <c r="FJ600" s="119"/>
      <c r="FK600" s="119"/>
      <c r="FL600" s="119"/>
      <c r="FM600" s="119"/>
      <c r="FN600" s="119"/>
      <c r="FO600" s="119"/>
      <c r="FP600" s="119"/>
      <c r="FQ600" s="119"/>
      <c r="FR600" s="119"/>
    </row>
    <row x14ac:dyDescent="0.25" r="601" customHeight="1" ht="15">
      <c r="A601" s="121"/>
      <c r="B601" s="121"/>
      <c r="C601" s="122"/>
      <c r="D601" s="122"/>
      <c r="E601" s="123"/>
      <c r="F601" s="123"/>
      <c r="G601" s="124"/>
      <c r="H601" s="125"/>
      <c r="I601" s="126"/>
      <c r="J601" s="127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19"/>
      <c r="BA601" s="119"/>
      <c r="BB601" s="119"/>
      <c r="BC601" s="119"/>
      <c r="BD601" s="119"/>
      <c r="BE601" s="119"/>
      <c r="BF601" s="119"/>
      <c r="BG601" s="119"/>
      <c r="BH601" s="119"/>
      <c r="BI601" s="119"/>
      <c r="BJ601" s="119"/>
      <c r="BK601" s="119"/>
      <c r="BL601" s="119"/>
      <c r="BM601" s="119"/>
      <c r="BN601" s="119"/>
      <c r="BO601" s="119"/>
      <c r="BP601" s="119"/>
      <c r="BQ601" s="119"/>
      <c r="BR601" s="119"/>
      <c r="BS601" s="119"/>
      <c r="BT601" s="119"/>
      <c r="BU601" s="119"/>
      <c r="BV601" s="119"/>
      <c r="BW601" s="119"/>
      <c r="BX601" s="119"/>
      <c r="BY601" s="119"/>
      <c r="BZ601" s="119"/>
      <c r="CA601" s="119"/>
      <c r="CB601" s="119"/>
      <c r="CC601" s="119"/>
      <c r="CD601" s="119"/>
      <c r="CE601" s="119"/>
      <c r="CF601" s="119"/>
      <c r="CG601" s="119"/>
      <c r="CH601" s="119"/>
      <c r="CI601" s="119"/>
      <c r="CJ601" s="119"/>
      <c r="CK601" s="119"/>
      <c r="CL601" s="119"/>
      <c r="CM601" s="119"/>
      <c r="CN601" s="119"/>
      <c r="CO601" s="119"/>
      <c r="CP601" s="119"/>
      <c r="CQ601" s="119"/>
      <c r="CR601" s="119"/>
      <c r="CS601" s="119"/>
      <c r="CT601" s="119"/>
      <c r="CU601" s="119"/>
      <c r="CV601" s="119"/>
      <c r="CW601" s="119"/>
      <c r="CX601" s="119"/>
      <c r="CY601" s="119"/>
      <c r="CZ601" s="119"/>
      <c r="DA601" s="119"/>
      <c r="DB601" s="119"/>
      <c r="DC601" s="119"/>
      <c r="DD601" s="119"/>
      <c r="DE601" s="119"/>
      <c r="DF601" s="119"/>
      <c r="DG601" s="119"/>
      <c r="DH601" s="119"/>
      <c r="DI601" s="119"/>
      <c r="DJ601" s="119"/>
      <c r="DK601" s="119"/>
      <c r="DL601" s="119"/>
      <c r="DM601" s="119"/>
      <c r="DN601" s="119"/>
      <c r="DO601" s="119"/>
      <c r="DP601" s="119"/>
      <c r="DQ601" s="119"/>
      <c r="DR601" s="119"/>
      <c r="DS601" s="119"/>
      <c r="DT601" s="119"/>
      <c r="DU601" s="119"/>
      <c r="DV601" s="119"/>
      <c r="DW601" s="119"/>
      <c r="DX601" s="119"/>
      <c r="DY601" s="119"/>
      <c r="DZ601" s="119"/>
      <c r="EA601" s="119"/>
      <c r="EB601" s="119"/>
      <c r="EC601" s="119"/>
      <c r="ED601" s="119"/>
      <c r="EE601" s="119"/>
      <c r="EF601" s="119"/>
      <c r="EG601" s="119"/>
      <c r="EH601" s="119"/>
      <c r="EI601" s="119"/>
      <c r="EJ601" s="119"/>
      <c r="EK601" s="119"/>
      <c r="EL601" s="119"/>
      <c r="EM601" s="119"/>
      <c r="EN601" s="119"/>
      <c r="EO601" s="119"/>
      <c r="EP601" s="119"/>
      <c r="EQ601" s="119"/>
      <c r="ER601" s="119"/>
      <c r="ES601" s="119"/>
      <c r="ET601" s="119"/>
      <c r="EU601" s="119"/>
      <c r="EV601" s="119"/>
      <c r="EW601" s="119"/>
      <c r="EX601" s="119"/>
      <c r="EY601" s="119"/>
      <c r="EZ601" s="119"/>
      <c r="FA601" s="119"/>
      <c r="FB601" s="119"/>
      <c r="FC601" s="119"/>
      <c r="FD601" s="119"/>
      <c r="FE601" s="119"/>
      <c r="FF601" s="119"/>
      <c r="FG601" s="119"/>
      <c r="FH601" s="119"/>
      <c r="FI601" s="119"/>
      <c r="FJ601" s="119"/>
      <c r="FK601" s="119"/>
      <c r="FL601" s="119"/>
      <c r="FM601" s="119"/>
      <c r="FN601" s="119"/>
      <c r="FO601" s="119"/>
      <c r="FP601" s="119"/>
      <c r="FQ601" s="119"/>
      <c r="FR601" s="119"/>
    </row>
    <row x14ac:dyDescent="0.25" r="602" customHeight="1" ht="15">
      <c r="A602" s="121"/>
      <c r="B602" s="121"/>
      <c r="C602" s="122"/>
      <c r="D602" s="122"/>
      <c r="E602" s="123"/>
      <c r="F602" s="123"/>
      <c r="G602" s="124"/>
      <c r="H602" s="125"/>
      <c r="I602" s="126"/>
      <c r="J602" s="127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19"/>
      <c r="BD602" s="119"/>
      <c r="BE602" s="119"/>
      <c r="BF602" s="119"/>
      <c r="BG602" s="119"/>
      <c r="BH602" s="119"/>
      <c r="BI602" s="119"/>
      <c r="BJ602" s="119"/>
      <c r="BK602" s="119"/>
      <c r="BL602" s="119"/>
      <c r="BM602" s="119"/>
      <c r="BN602" s="119"/>
      <c r="BO602" s="119"/>
      <c r="BP602" s="119"/>
      <c r="BQ602" s="119"/>
      <c r="BR602" s="119"/>
      <c r="BS602" s="119"/>
      <c r="BT602" s="119"/>
      <c r="BU602" s="119"/>
      <c r="BV602" s="119"/>
      <c r="BW602" s="119"/>
      <c r="BX602" s="119"/>
      <c r="BY602" s="119"/>
      <c r="BZ602" s="119"/>
      <c r="CA602" s="119"/>
      <c r="CB602" s="119"/>
      <c r="CC602" s="119"/>
      <c r="CD602" s="119"/>
      <c r="CE602" s="119"/>
      <c r="CF602" s="119"/>
      <c r="CG602" s="119"/>
      <c r="CH602" s="119"/>
      <c r="CI602" s="119"/>
      <c r="CJ602" s="119"/>
      <c r="CK602" s="119"/>
      <c r="CL602" s="119"/>
      <c r="CM602" s="119"/>
      <c r="CN602" s="119"/>
      <c r="CO602" s="119"/>
      <c r="CP602" s="119"/>
      <c r="CQ602" s="119"/>
      <c r="CR602" s="119"/>
      <c r="CS602" s="119"/>
      <c r="CT602" s="119"/>
      <c r="CU602" s="119"/>
      <c r="CV602" s="119"/>
      <c r="CW602" s="119"/>
      <c r="CX602" s="119"/>
      <c r="CY602" s="119"/>
      <c r="CZ602" s="119"/>
      <c r="DA602" s="119"/>
      <c r="DB602" s="119"/>
      <c r="DC602" s="119"/>
      <c r="DD602" s="119"/>
      <c r="DE602" s="119"/>
      <c r="DF602" s="119"/>
      <c r="DG602" s="119"/>
      <c r="DH602" s="119"/>
      <c r="DI602" s="119"/>
      <c r="DJ602" s="119"/>
      <c r="DK602" s="119"/>
      <c r="DL602" s="119"/>
      <c r="DM602" s="119"/>
      <c r="DN602" s="119"/>
      <c r="DO602" s="119"/>
      <c r="DP602" s="119"/>
      <c r="DQ602" s="119"/>
      <c r="DR602" s="119"/>
      <c r="DS602" s="119"/>
      <c r="DT602" s="119"/>
      <c r="DU602" s="119"/>
      <c r="DV602" s="119"/>
      <c r="DW602" s="119"/>
      <c r="DX602" s="119"/>
      <c r="DY602" s="119"/>
      <c r="DZ602" s="119"/>
      <c r="EA602" s="119"/>
      <c r="EB602" s="119"/>
      <c r="EC602" s="119"/>
      <c r="ED602" s="119"/>
      <c r="EE602" s="119"/>
      <c r="EF602" s="119"/>
      <c r="EG602" s="119"/>
      <c r="EH602" s="119"/>
      <c r="EI602" s="119"/>
      <c r="EJ602" s="119"/>
      <c r="EK602" s="119"/>
      <c r="EL602" s="119"/>
      <c r="EM602" s="119"/>
      <c r="EN602" s="119"/>
      <c r="EO602" s="119"/>
      <c r="EP602" s="119"/>
      <c r="EQ602" s="119"/>
      <c r="ER602" s="119"/>
      <c r="ES602" s="119"/>
      <c r="ET602" s="119"/>
      <c r="EU602" s="119"/>
      <c r="EV602" s="119"/>
      <c r="EW602" s="119"/>
      <c r="EX602" s="119"/>
      <c r="EY602" s="119"/>
      <c r="EZ602" s="119"/>
      <c r="FA602" s="119"/>
      <c r="FB602" s="119"/>
      <c r="FC602" s="119"/>
      <c r="FD602" s="119"/>
      <c r="FE602" s="119"/>
      <c r="FF602" s="119"/>
      <c r="FG602" s="119"/>
      <c r="FH602" s="119"/>
      <c r="FI602" s="119"/>
      <c r="FJ602" s="119"/>
      <c r="FK602" s="119"/>
      <c r="FL602" s="119"/>
      <c r="FM602" s="119"/>
      <c r="FN602" s="119"/>
      <c r="FO602" s="119"/>
      <c r="FP602" s="119"/>
      <c r="FQ602" s="119"/>
      <c r="FR602" s="119"/>
    </row>
    <row x14ac:dyDescent="0.25" r="603" customHeight="1" ht="15">
      <c r="A603" s="121"/>
      <c r="B603" s="121"/>
      <c r="C603" s="122"/>
      <c r="D603" s="122"/>
      <c r="E603" s="123"/>
      <c r="F603" s="123"/>
      <c r="G603" s="124"/>
      <c r="H603" s="125"/>
      <c r="I603" s="126"/>
      <c r="J603" s="127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19"/>
      <c r="BA603" s="119"/>
      <c r="BB603" s="119"/>
      <c r="BC603" s="119"/>
      <c r="BD603" s="119"/>
      <c r="BE603" s="119"/>
      <c r="BF603" s="119"/>
      <c r="BG603" s="119"/>
      <c r="BH603" s="119"/>
      <c r="BI603" s="119"/>
      <c r="BJ603" s="119"/>
      <c r="BK603" s="119"/>
      <c r="BL603" s="119"/>
      <c r="BM603" s="119"/>
      <c r="BN603" s="119"/>
      <c r="BO603" s="119"/>
      <c r="BP603" s="119"/>
      <c r="BQ603" s="119"/>
      <c r="BR603" s="119"/>
      <c r="BS603" s="119"/>
      <c r="BT603" s="119"/>
      <c r="BU603" s="119"/>
      <c r="BV603" s="119"/>
      <c r="BW603" s="119"/>
      <c r="BX603" s="119"/>
      <c r="BY603" s="119"/>
      <c r="BZ603" s="119"/>
      <c r="CA603" s="119"/>
      <c r="CB603" s="119"/>
      <c r="CC603" s="119"/>
      <c r="CD603" s="119"/>
      <c r="CE603" s="119"/>
      <c r="CF603" s="119"/>
      <c r="CG603" s="119"/>
      <c r="CH603" s="119"/>
      <c r="CI603" s="119"/>
      <c r="CJ603" s="119"/>
      <c r="CK603" s="119"/>
      <c r="CL603" s="119"/>
      <c r="CM603" s="119"/>
      <c r="CN603" s="119"/>
      <c r="CO603" s="119"/>
      <c r="CP603" s="119"/>
      <c r="CQ603" s="119"/>
      <c r="CR603" s="119"/>
      <c r="CS603" s="119"/>
      <c r="CT603" s="119"/>
      <c r="CU603" s="119"/>
      <c r="CV603" s="119"/>
      <c r="CW603" s="119"/>
      <c r="CX603" s="119"/>
      <c r="CY603" s="119"/>
      <c r="CZ603" s="119"/>
      <c r="DA603" s="119"/>
      <c r="DB603" s="119"/>
      <c r="DC603" s="119"/>
      <c r="DD603" s="119"/>
      <c r="DE603" s="119"/>
      <c r="DF603" s="119"/>
      <c r="DG603" s="119"/>
      <c r="DH603" s="119"/>
      <c r="DI603" s="119"/>
      <c r="DJ603" s="119"/>
      <c r="DK603" s="119"/>
      <c r="DL603" s="119"/>
      <c r="DM603" s="119"/>
      <c r="DN603" s="119"/>
      <c r="DO603" s="119"/>
      <c r="DP603" s="119"/>
      <c r="DQ603" s="119"/>
      <c r="DR603" s="119"/>
      <c r="DS603" s="119"/>
      <c r="DT603" s="119"/>
      <c r="DU603" s="119"/>
      <c r="DV603" s="119"/>
      <c r="DW603" s="119"/>
      <c r="DX603" s="119"/>
      <c r="DY603" s="119"/>
      <c r="DZ603" s="119"/>
      <c r="EA603" s="119"/>
      <c r="EB603" s="119"/>
      <c r="EC603" s="119"/>
      <c r="ED603" s="119"/>
      <c r="EE603" s="119"/>
      <c r="EF603" s="119"/>
      <c r="EG603" s="119"/>
      <c r="EH603" s="119"/>
      <c r="EI603" s="119"/>
      <c r="EJ603" s="119"/>
      <c r="EK603" s="119"/>
      <c r="EL603" s="119"/>
      <c r="EM603" s="119"/>
      <c r="EN603" s="119"/>
      <c r="EO603" s="119"/>
      <c r="EP603" s="119"/>
      <c r="EQ603" s="119"/>
      <c r="ER603" s="119"/>
      <c r="ES603" s="119"/>
      <c r="ET603" s="119"/>
      <c r="EU603" s="119"/>
      <c r="EV603" s="119"/>
      <c r="EW603" s="119"/>
      <c r="EX603" s="119"/>
      <c r="EY603" s="119"/>
      <c r="EZ603" s="119"/>
      <c r="FA603" s="119"/>
      <c r="FB603" s="119"/>
      <c r="FC603" s="119"/>
      <c r="FD603" s="119"/>
      <c r="FE603" s="119"/>
      <c r="FF603" s="119"/>
      <c r="FG603" s="119"/>
      <c r="FH603" s="119"/>
      <c r="FI603" s="119"/>
      <c r="FJ603" s="119"/>
      <c r="FK603" s="119"/>
      <c r="FL603" s="119"/>
      <c r="FM603" s="119"/>
      <c r="FN603" s="119"/>
      <c r="FO603" s="119"/>
      <c r="FP603" s="119"/>
      <c r="FQ603" s="119"/>
      <c r="FR603" s="119"/>
    </row>
    <row x14ac:dyDescent="0.25" r="604" customHeight="1" ht="15">
      <c r="A604" s="121"/>
      <c r="B604" s="121"/>
      <c r="C604" s="122"/>
      <c r="D604" s="122"/>
      <c r="E604" s="123"/>
      <c r="F604" s="123"/>
      <c r="G604" s="124"/>
      <c r="H604" s="125"/>
      <c r="I604" s="126"/>
      <c r="J604" s="127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19"/>
      <c r="BA604" s="119"/>
      <c r="BB604" s="119"/>
      <c r="BC604" s="119"/>
      <c r="BD604" s="119"/>
      <c r="BE604" s="119"/>
      <c r="BF604" s="119"/>
      <c r="BG604" s="119"/>
      <c r="BH604" s="119"/>
      <c r="BI604" s="119"/>
      <c r="BJ604" s="119"/>
      <c r="BK604" s="119"/>
      <c r="BL604" s="119"/>
      <c r="BM604" s="119"/>
      <c r="BN604" s="119"/>
      <c r="BO604" s="119"/>
      <c r="BP604" s="119"/>
      <c r="BQ604" s="119"/>
      <c r="BR604" s="119"/>
      <c r="BS604" s="119"/>
      <c r="BT604" s="119"/>
      <c r="BU604" s="119"/>
      <c r="BV604" s="119"/>
      <c r="BW604" s="119"/>
      <c r="BX604" s="119"/>
      <c r="BY604" s="119"/>
      <c r="BZ604" s="119"/>
      <c r="CA604" s="119"/>
      <c r="CB604" s="119"/>
      <c r="CC604" s="119"/>
      <c r="CD604" s="119"/>
      <c r="CE604" s="119"/>
      <c r="CF604" s="119"/>
      <c r="CG604" s="119"/>
      <c r="CH604" s="119"/>
      <c r="CI604" s="119"/>
      <c r="CJ604" s="119"/>
      <c r="CK604" s="119"/>
      <c r="CL604" s="119"/>
      <c r="CM604" s="119"/>
      <c r="CN604" s="119"/>
      <c r="CO604" s="119"/>
      <c r="CP604" s="119"/>
      <c r="CQ604" s="119"/>
      <c r="CR604" s="119"/>
      <c r="CS604" s="119"/>
      <c r="CT604" s="119"/>
      <c r="CU604" s="119"/>
      <c r="CV604" s="119"/>
      <c r="CW604" s="119"/>
      <c r="CX604" s="119"/>
      <c r="CY604" s="119"/>
      <c r="CZ604" s="119"/>
      <c r="DA604" s="119"/>
      <c r="DB604" s="119"/>
      <c r="DC604" s="119"/>
      <c r="DD604" s="119"/>
      <c r="DE604" s="119"/>
      <c r="DF604" s="119"/>
      <c r="DG604" s="119"/>
      <c r="DH604" s="119"/>
      <c r="DI604" s="119"/>
      <c r="DJ604" s="119"/>
      <c r="DK604" s="119"/>
      <c r="DL604" s="119"/>
      <c r="DM604" s="119"/>
      <c r="DN604" s="119"/>
      <c r="DO604" s="119"/>
      <c r="DP604" s="119"/>
      <c r="DQ604" s="119"/>
      <c r="DR604" s="119"/>
      <c r="DS604" s="119"/>
      <c r="DT604" s="119"/>
      <c r="DU604" s="119"/>
      <c r="DV604" s="119"/>
      <c r="DW604" s="119"/>
      <c r="DX604" s="119"/>
      <c r="DY604" s="119"/>
      <c r="DZ604" s="119"/>
      <c r="EA604" s="119"/>
      <c r="EB604" s="119"/>
      <c r="EC604" s="119"/>
      <c r="ED604" s="119"/>
      <c r="EE604" s="119"/>
      <c r="EF604" s="119"/>
      <c r="EG604" s="119"/>
      <c r="EH604" s="119"/>
      <c r="EI604" s="119"/>
      <c r="EJ604" s="119"/>
      <c r="EK604" s="119"/>
      <c r="EL604" s="119"/>
      <c r="EM604" s="119"/>
      <c r="EN604" s="119"/>
      <c r="EO604" s="119"/>
      <c r="EP604" s="119"/>
      <c r="EQ604" s="119"/>
      <c r="ER604" s="119"/>
      <c r="ES604" s="119"/>
      <c r="ET604" s="119"/>
      <c r="EU604" s="119"/>
      <c r="EV604" s="119"/>
      <c r="EW604" s="119"/>
      <c r="EX604" s="119"/>
      <c r="EY604" s="119"/>
      <c r="EZ604" s="119"/>
      <c r="FA604" s="119"/>
      <c r="FB604" s="119"/>
      <c r="FC604" s="119"/>
      <c r="FD604" s="119"/>
      <c r="FE604" s="119"/>
      <c r="FF604" s="119"/>
      <c r="FG604" s="119"/>
      <c r="FH604" s="119"/>
      <c r="FI604" s="119"/>
      <c r="FJ604" s="119"/>
      <c r="FK604" s="119"/>
      <c r="FL604" s="119"/>
      <c r="FM604" s="119"/>
      <c r="FN604" s="119"/>
      <c r="FO604" s="119"/>
      <c r="FP604" s="119"/>
      <c r="FQ604" s="119"/>
      <c r="FR604" s="119"/>
    </row>
    <row x14ac:dyDescent="0.25" r="605" customHeight="1" ht="15">
      <c r="A605" s="121"/>
      <c r="B605" s="121"/>
      <c r="C605" s="122"/>
      <c r="D605" s="122"/>
      <c r="E605" s="123"/>
      <c r="F605" s="123"/>
      <c r="G605" s="124"/>
      <c r="H605" s="125"/>
      <c r="I605" s="126"/>
      <c r="J605" s="127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19"/>
      <c r="BA605" s="119"/>
      <c r="BB605" s="119"/>
      <c r="BC605" s="119"/>
      <c r="BD605" s="119"/>
      <c r="BE605" s="119"/>
      <c r="BF605" s="119"/>
      <c r="BG605" s="119"/>
      <c r="BH605" s="119"/>
      <c r="BI605" s="119"/>
      <c r="BJ605" s="119"/>
      <c r="BK605" s="119"/>
      <c r="BL605" s="119"/>
      <c r="BM605" s="119"/>
      <c r="BN605" s="119"/>
      <c r="BO605" s="119"/>
      <c r="BP605" s="119"/>
      <c r="BQ605" s="119"/>
      <c r="BR605" s="119"/>
      <c r="BS605" s="119"/>
      <c r="BT605" s="119"/>
      <c r="BU605" s="119"/>
      <c r="BV605" s="119"/>
      <c r="BW605" s="119"/>
      <c r="BX605" s="119"/>
      <c r="BY605" s="119"/>
      <c r="BZ605" s="119"/>
      <c r="CA605" s="119"/>
      <c r="CB605" s="119"/>
      <c r="CC605" s="119"/>
      <c r="CD605" s="119"/>
      <c r="CE605" s="119"/>
      <c r="CF605" s="119"/>
      <c r="CG605" s="119"/>
      <c r="CH605" s="119"/>
      <c r="CI605" s="119"/>
      <c r="CJ605" s="119"/>
      <c r="CK605" s="119"/>
      <c r="CL605" s="119"/>
      <c r="CM605" s="119"/>
      <c r="CN605" s="119"/>
      <c r="CO605" s="119"/>
      <c r="CP605" s="119"/>
      <c r="CQ605" s="119"/>
      <c r="CR605" s="119"/>
      <c r="CS605" s="119"/>
      <c r="CT605" s="119"/>
      <c r="CU605" s="119"/>
      <c r="CV605" s="119"/>
      <c r="CW605" s="119"/>
      <c r="CX605" s="119"/>
      <c r="CY605" s="119"/>
      <c r="CZ605" s="119"/>
      <c r="DA605" s="119"/>
      <c r="DB605" s="119"/>
      <c r="DC605" s="119"/>
      <c r="DD605" s="119"/>
      <c r="DE605" s="119"/>
      <c r="DF605" s="119"/>
      <c r="DG605" s="119"/>
      <c r="DH605" s="119"/>
      <c r="DI605" s="119"/>
      <c r="DJ605" s="119"/>
      <c r="DK605" s="119"/>
      <c r="DL605" s="119"/>
      <c r="DM605" s="119"/>
      <c r="DN605" s="119"/>
      <c r="DO605" s="119"/>
      <c r="DP605" s="119"/>
      <c r="DQ605" s="119"/>
      <c r="DR605" s="119"/>
      <c r="DS605" s="119"/>
      <c r="DT605" s="119"/>
      <c r="DU605" s="119"/>
      <c r="DV605" s="119"/>
      <c r="DW605" s="119"/>
      <c r="DX605" s="119"/>
      <c r="DY605" s="119"/>
      <c r="DZ605" s="119"/>
      <c r="EA605" s="119"/>
      <c r="EB605" s="119"/>
      <c r="EC605" s="119"/>
      <c r="ED605" s="119"/>
      <c r="EE605" s="119"/>
      <c r="EF605" s="119"/>
      <c r="EG605" s="119"/>
      <c r="EH605" s="119"/>
      <c r="EI605" s="119"/>
      <c r="EJ605" s="119"/>
      <c r="EK605" s="119"/>
      <c r="EL605" s="119"/>
      <c r="EM605" s="119"/>
      <c r="EN605" s="119"/>
      <c r="EO605" s="119"/>
      <c r="EP605" s="119"/>
      <c r="EQ605" s="119"/>
      <c r="ER605" s="119"/>
      <c r="ES605" s="119"/>
      <c r="ET605" s="119"/>
      <c r="EU605" s="119"/>
      <c r="EV605" s="119"/>
      <c r="EW605" s="119"/>
      <c r="EX605" s="119"/>
      <c r="EY605" s="119"/>
      <c r="EZ605" s="119"/>
      <c r="FA605" s="119"/>
      <c r="FB605" s="119"/>
      <c r="FC605" s="119"/>
      <c r="FD605" s="119"/>
      <c r="FE605" s="119"/>
      <c r="FF605" s="119"/>
      <c r="FG605" s="119"/>
      <c r="FH605" s="119"/>
      <c r="FI605" s="119"/>
      <c r="FJ605" s="119"/>
      <c r="FK605" s="119"/>
      <c r="FL605" s="119"/>
      <c r="FM605" s="119"/>
      <c r="FN605" s="119"/>
      <c r="FO605" s="119"/>
      <c r="FP605" s="119"/>
      <c r="FQ605" s="119"/>
      <c r="FR605" s="119"/>
    </row>
    <row x14ac:dyDescent="0.25" r="606" customHeight="1" ht="15">
      <c r="A606" s="121"/>
      <c r="B606" s="121"/>
      <c r="C606" s="122"/>
      <c r="D606" s="122"/>
      <c r="E606" s="123"/>
      <c r="F606" s="123"/>
      <c r="G606" s="124"/>
      <c r="H606" s="125"/>
      <c r="I606" s="126"/>
      <c r="J606" s="127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19"/>
      <c r="BA606" s="119"/>
      <c r="BB606" s="119"/>
      <c r="BC606" s="119"/>
      <c r="BD606" s="119"/>
      <c r="BE606" s="119"/>
      <c r="BF606" s="119"/>
      <c r="BG606" s="119"/>
      <c r="BH606" s="119"/>
      <c r="BI606" s="119"/>
      <c r="BJ606" s="119"/>
      <c r="BK606" s="119"/>
      <c r="BL606" s="119"/>
      <c r="BM606" s="119"/>
      <c r="BN606" s="119"/>
      <c r="BO606" s="119"/>
      <c r="BP606" s="119"/>
      <c r="BQ606" s="119"/>
      <c r="BR606" s="119"/>
      <c r="BS606" s="119"/>
      <c r="BT606" s="119"/>
      <c r="BU606" s="119"/>
      <c r="BV606" s="119"/>
      <c r="BW606" s="119"/>
      <c r="BX606" s="119"/>
      <c r="BY606" s="119"/>
      <c r="BZ606" s="119"/>
      <c r="CA606" s="119"/>
      <c r="CB606" s="119"/>
      <c r="CC606" s="119"/>
      <c r="CD606" s="119"/>
      <c r="CE606" s="119"/>
      <c r="CF606" s="119"/>
      <c r="CG606" s="119"/>
      <c r="CH606" s="119"/>
      <c r="CI606" s="119"/>
      <c r="CJ606" s="119"/>
      <c r="CK606" s="119"/>
      <c r="CL606" s="119"/>
      <c r="CM606" s="119"/>
      <c r="CN606" s="119"/>
      <c r="CO606" s="119"/>
      <c r="CP606" s="119"/>
      <c r="CQ606" s="119"/>
      <c r="CR606" s="119"/>
      <c r="CS606" s="119"/>
      <c r="CT606" s="119"/>
      <c r="CU606" s="119"/>
      <c r="CV606" s="119"/>
      <c r="CW606" s="119"/>
      <c r="CX606" s="119"/>
      <c r="CY606" s="119"/>
      <c r="CZ606" s="119"/>
      <c r="DA606" s="119"/>
      <c r="DB606" s="119"/>
      <c r="DC606" s="119"/>
      <c r="DD606" s="119"/>
      <c r="DE606" s="119"/>
      <c r="DF606" s="119"/>
      <c r="DG606" s="119"/>
      <c r="DH606" s="119"/>
      <c r="DI606" s="119"/>
      <c r="DJ606" s="119"/>
      <c r="DK606" s="119"/>
      <c r="DL606" s="119"/>
      <c r="DM606" s="119"/>
      <c r="DN606" s="119"/>
      <c r="DO606" s="119"/>
      <c r="DP606" s="119"/>
      <c r="DQ606" s="119"/>
      <c r="DR606" s="119"/>
      <c r="DS606" s="119"/>
      <c r="DT606" s="119"/>
      <c r="DU606" s="119"/>
      <c r="DV606" s="119"/>
      <c r="DW606" s="119"/>
      <c r="DX606" s="119"/>
      <c r="DY606" s="119"/>
      <c r="DZ606" s="119"/>
      <c r="EA606" s="119"/>
      <c r="EB606" s="119"/>
      <c r="EC606" s="119"/>
      <c r="ED606" s="119"/>
      <c r="EE606" s="119"/>
      <c r="EF606" s="119"/>
      <c r="EG606" s="119"/>
      <c r="EH606" s="119"/>
      <c r="EI606" s="119"/>
      <c r="EJ606" s="119"/>
      <c r="EK606" s="119"/>
      <c r="EL606" s="119"/>
      <c r="EM606" s="119"/>
      <c r="EN606" s="119"/>
      <c r="EO606" s="119"/>
      <c r="EP606" s="119"/>
      <c r="EQ606" s="119"/>
      <c r="ER606" s="119"/>
      <c r="ES606" s="119"/>
      <c r="ET606" s="119"/>
      <c r="EU606" s="119"/>
      <c r="EV606" s="119"/>
      <c r="EW606" s="119"/>
      <c r="EX606" s="119"/>
      <c r="EY606" s="119"/>
      <c r="EZ606" s="119"/>
      <c r="FA606" s="119"/>
      <c r="FB606" s="119"/>
      <c r="FC606" s="119"/>
      <c r="FD606" s="119"/>
      <c r="FE606" s="119"/>
      <c r="FF606" s="119"/>
      <c r="FG606" s="119"/>
      <c r="FH606" s="119"/>
      <c r="FI606" s="119"/>
      <c r="FJ606" s="119"/>
      <c r="FK606" s="119"/>
      <c r="FL606" s="119"/>
      <c r="FM606" s="119"/>
      <c r="FN606" s="119"/>
      <c r="FO606" s="119"/>
      <c r="FP606" s="119"/>
      <c r="FQ606" s="119"/>
      <c r="FR606" s="119"/>
    </row>
    <row x14ac:dyDescent="0.25" r="607" customHeight="1" ht="15">
      <c r="A607" s="121"/>
      <c r="B607" s="121"/>
      <c r="C607" s="122"/>
      <c r="D607" s="122"/>
      <c r="E607" s="123"/>
      <c r="F607" s="123"/>
      <c r="G607" s="124"/>
      <c r="H607" s="125"/>
      <c r="I607" s="126"/>
      <c r="J607" s="127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19"/>
      <c r="BA607" s="119"/>
      <c r="BB607" s="119"/>
      <c r="BC607" s="119"/>
      <c r="BD607" s="119"/>
      <c r="BE607" s="119"/>
      <c r="BF607" s="119"/>
      <c r="BG607" s="119"/>
      <c r="BH607" s="119"/>
      <c r="BI607" s="119"/>
      <c r="BJ607" s="119"/>
      <c r="BK607" s="119"/>
      <c r="BL607" s="119"/>
      <c r="BM607" s="119"/>
      <c r="BN607" s="119"/>
      <c r="BO607" s="119"/>
      <c r="BP607" s="119"/>
      <c r="BQ607" s="119"/>
      <c r="BR607" s="119"/>
      <c r="BS607" s="119"/>
      <c r="BT607" s="119"/>
      <c r="BU607" s="119"/>
      <c r="BV607" s="119"/>
      <c r="BW607" s="119"/>
      <c r="BX607" s="119"/>
      <c r="BY607" s="119"/>
      <c r="BZ607" s="119"/>
      <c r="CA607" s="119"/>
      <c r="CB607" s="119"/>
      <c r="CC607" s="119"/>
      <c r="CD607" s="119"/>
      <c r="CE607" s="119"/>
      <c r="CF607" s="119"/>
      <c r="CG607" s="119"/>
      <c r="CH607" s="119"/>
      <c r="CI607" s="119"/>
      <c r="CJ607" s="119"/>
      <c r="CK607" s="119"/>
      <c r="CL607" s="119"/>
      <c r="CM607" s="119"/>
      <c r="CN607" s="119"/>
      <c r="CO607" s="119"/>
      <c r="CP607" s="119"/>
      <c r="CQ607" s="119"/>
      <c r="CR607" s="119"/>
      <c r="CS607" s="119"/>
      <c r="CT607" s="119"/>
      <c r="CU607" s="119"/>
      <c r="CV607" s="119"/>
      <c r="CW607" s="119"/>
      <c r="CX607" s="119"/>
      <c r="CY607" s="119"/>
      <c r="CZ607" s="119"/>
      <c r="DA607" s="119"/>
      <c r="DB607" s="119"/>
      <c r="DC607" s="119"/>
      <c r="DD607" s="119"/>
      <c r="DE607" s="119"/>
      <c r="DF607" s="119"/>
      <c r="DG607" s="119"/>
      <c r="DH607" s="119"/>
      <c r="DI607" s="119"/>
      <c r="DJ607" s="119"/>
      <c r="DK607" s="119"/>
      <c r="DL607" s="119"/>
      <c r="DM607" s="119"/>
      <c r="DN607" s="119"/>
      <c r="DO607" s="119"/>
      <c r="DP607" s="119"/>
      <c r="DQ607" s="119"/>
      <c r="DR607" s="119"/>
      <c r="DS607" s="119"/>
      <c r="DT607" s="119"/>
      <c r="DU607" s="119"/>
      <c r="DV607" s="119"/>
      <c r="DW607" s="119"/>
      <c r="DX607" s="119"/>
      <c r="DY607" s="119"/>
      <c r="DZ607" s="119"/>
      <c r="EA607" s="119"/>
      <c r="EB607" s="119"/>
      <c r="EC607" s="119"/>
      <c r="ED607" s="119"/>
      <c r="EE607" s="119"/>
      <c r="EF607" s="119"/>
      <c r="EG607" s="119"/>
      <c r="EH607" s="119"/>
      <c r="EI607" s="119"/>
      <c r="EJ607" s="119"/>
      <c r="EK607" s="119"/>
      <c r="EL607" s="119"/>
      <c r="EM607" s="119"/>
      <c r="EN607" s="119"/>
      <c r="EO607" s="119"/>
      <c r="EP607" s="119"/>
      <c r="EQ607" s="119"/>
      <c r="ER607" s="119"/>
      <c r="ES607" s="119"/>
      <c r="ET607" s="119"/>
      <c r="EU607" s="119"/>
      <c r="EV607" s="119"/>
      <c r="EW607" s="119"/>
      <c r="EX607" s="119"/>
      <c r="EY607" s="119"/>
      <c r="EZ607" s="119"/>
      <c r="FA607" s="119"/>
      <c r="FB607" s="119"/>
      <c r="FC607" s="119"/>
      <c r="FD607" s="119"/>
      <c r="FE607" s="119"/>
      <c r="FF607" s="119"/>
      <c r="FG607" s="119"/>
      <c r="FH607" s="119"/>
      <c r="FI607" s="119"/>
      <c r="FJ607" s="119"/>
      <c r="FK607" s="119"/>
      <c r="FL607" s="119"/>
      <c r="FM607" s="119"/>
      <c r="FN607" s="119"/>
      <c r="FO607" s="119"/>
      <c r="FP607" s="119"/>
      <c r="FQ607" s="119"/>
      <c r="FR607" s="119"/>
    </row>
    <row x14ac:dyDescent="0.25" r="608" customHeight="1" ht="15">
      <c r="A608" s="121"/>
      <c r="B608" s="121"/>
      <c r="C608" s="122"/>
      <c r="D608" s="122"/>
      <c r="E608" s="123"/>
      <c r="F608" s="123"/>
      <c r="G608" s="124"/>
      <c r="H608" s="125"/>
      <c r="I608" s="126"/>
      <c r="J608" s="127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19"/>
      <c r="BA608" s="119"/>
      <c r="BB608" s="119"/>
      <c r="BC608" s="119"/>
      <c r="BD608" s="119"/>
      <c r="BE608" s="119"/>
      <c r="BF608" s="119"/>
      <c r="BG608" s="119"/>
      <c r="BH608" s="119"/>
      <c r="BI608" s="119"/>
      <c r="BJ608" s="119"/>
      <c r="BK608" s="119"/>
      <c r="BL608" s="119"/>
      <c r="BM608" s="119"/>
      <c r="BN608" s="119"/>
      <c r="BO608" s="119"/>
      <c r="BP608" s="119"/>
      <c r="BQ608" s="119"/>
      <c r="BR608" s="119"/>
      <c r="BS608" s="119"/>
      <c r="BT608" s="119"/>
      <c r="BU608" s="119"/>
      <c r="BV608" s="119"/>
      <c r="BW608" s="119"/>
      <c r="BX608" s="119"/>
      <c r="BY608" s="119"/>
      <c r="BZ608" s="119"/>
      <c r="CA608" s="119"/>
      <c r="CB608" s="119"/>
      <c r="CC608" s="119"/>
      <c r="CD608" s="119"/>
      <c r="CE608" s="119"/>
      <c r="CF608" s="119"/>
      <c r="CG608" s="119"/>
      <c r="CH608" s="119"/>
      <c r="CI608" s="119"/>
      <c r="CJ608" s="119"/>
      <c r="CK608" s="119"/>
      <c r="CL608" s="119"/>
      <c r="CM608" s="119"/>
      <c r="CN608" s="119"/>
      <c r="CO608" s="119"/>
      <c r="CP608" s="119"/>
      <c r="CQ608" s="119"/>
      <c r="CR608" s="119"/>
      <c r="CS608" s="119"/>
      <c r="CT608" s="119"/>
      <c r="CU608" s="119"/>
      <c r="CV608" s="119"/>
      <c r="CW608" s="119"/>
      <c r="CX608" s="119"/>
      <c r="CY608" s="119"/>
      <c r="CZ608" s="119"/>
      <c r="DA608" s="119"/>
      <c r="DB608" s="119"/>
      <c r="DC608" s="119"/>
      <c r="DD608" s="119"/>
      <c r="DE608" s="119"/>
      <c r="DF608" s="119"/>
      <c r="DG608" s="119"/>
      <c r="DH608" s="119"/>
      <c r="DI608" s="119"/>
      <c r="DJ608" s="119"/>
      <c r="DK608" s="119"/>
      <c r="DL608" s="119"/>
      <c r="DM608" s="119"/>
      <c r="DN608" s="119"/>
      <c r="DO608" s="119"/>
      <c r="DP608" s="119"/>
      <c r="DQ608" s="119"/>
      <c r="DR608" s="119"/>
      <c r="DS608" s="119"/>
      <c r="DT608" s="119"/>
      <c r="DU608" s="119"/>
      <c r="DV608" s="119"/>
      <c r="DW608" s="119"/>
      <c r="DX608" s="119"/>
      <c r="DY608" s="119"/>
      <c r="DZ608" s="119"/>
      <c r="EA608" s="119"/>
      <c r="EB608" s="119"/>
      <c r="EC608" s="119"/>
      <c r="ED608" s="119"/>
      <c r="EE608" s="119"/>
      <c r="EF608" s="119"/>
      <c r="EG608" s="119"/>
      <c r="EH608" s="119"/>
      <c r="EI608" s="119"/>
      <c r="EJ608" s="119"/>
      <c r="EK608" s="119"/>
      <c r="EL608" s="119"/>
      <c r="EM608" s="119"/>
      <c r="EN608" s="119"/>
      <c r="EO608" s="119"/>
      <c r="EP608" s="119"/>
      <c r="EQ608" s="119"/>
      <c r="ER608" s="119"/>
      <c r="ES608" s="119"/>
      <c r="ET608" s="119"/>
      <c r="EU608" s="119"/>
      <c r="EV608" s="119"/>
      <c r="EW608" s="119"/>
      <c r="EX608" s="119"/>
      <c r="EY608" s="119"/>
      <c r="EZ608" s="119"/>
      <c r="FA608" s="119"/>
      <c r="FB608" s="119"/>
      <c r="FC608" s="119"/>
      <c r="FD608" s="119"/>
      <c r="FE608" s="119"/>
      <c r="FF608" s="119"/>
      <c r="FG608" s="119"/>
      <c r="FH608" s="119"/>
      <c r="FI608" s="119"/>
      <c r="FJ608" s="119"/>
      <c r="FK608" s="119"/>
      <c r="FL608" s="119"/>
      <c r="FM608" s="119"/>
      <c r="FN608" s="119"/>
      <c r="FO608" s="119"/>
      <c r="FP608" s="119"/>
      <c r="FQ608" s="119"/>
      <c r="FR608" s="119"/>
    </row>
    <row x14ac:dyDescent="0.25" r="609" customHeight="1" ht="15">
      <c r="A609" s="121"/>
      <c r="B609" s="121"/>
      <c r="C609" s="122"/>
      <c r="D609" s="122"/>
      <c r="E609" s="123"/>
      <c r="F609" s="123"/>
      <c r="G609" s="124"/>
      <c r="H609" s="125"/>
      <c r="I609" s="126"/>
      <c r="J609" s="127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19"/>
      <c r="BA609" s="119"/>
      <c r="BB609" s="119"/>
      <c r="BC609" s="119"/>
      <c r="BD609" s="119"/>
      <c r="BE609" s="119"/>
      <c r="BF609" s="119"/>
      <c r="BG609" s="119"/>
      <c r="BH609" s="119"/>
      <c r="BI609" s="119"/>
      <c r="BJ609" s="119"/>
      <c r="BK609" s="119"/>
      <c r="BL609" s="119"/>
      <c r="BM609" s="119"/>
      <c r="BN609" s="119"/>
      <c r="BO609" s="119"/>
      <c r="BP609" s="119"/>
      <c r="BQ609" s="119"/>
      <c r="BR609" s="119"/>
      <c r="BS609" s="119"/>
      <c r="BT609" s="119"/>
      <c r="BU609" s="119"/>
      <c r="BV609" s="119"/>
      <c r="BW609" s="119"/>
      <c r="BX609" s="119"/>
      <c r="BY609" s="119"/>
      <c r="BZ609" s="119"/>
      <c r="CA609" s="119"/>
      <c r="CB609" s="119"/>
      <c r="CC609" s="119"/>
      <c r="CD609" s="119"/>
      <c r="CE609" s="119"/>
      <c r="CF609" s="119"/>
      <c r="CG609" s="119"/>
      <c r="CH609" s="119"/>
      <c r="CI609" s="119"/>
      <c r="CJ609" s="119"/>
      <c r="CK609" s="119"/>
      <c r="CL609" s="119"/>
      <c r="CM609" s="119"/>
      <c r="CN609" s="119"/>
      <c r="CO609" s="119"/>
      <c r="CP609" s="119"/>
      <c r="CQ609" s="119"/>
      <c r="CR609" s="119"/>
      <c r="CS609" s="119"/>
      <c r="CT609" s="119"/>
      <c r="CU609" s="119"/>
      <c r="CV609" s="119"/>
      <c r="CW609" s="119"/>
      <c r="CX609" s="119"/>
      <c r="CY609" s="119"/>
      <c r="CZ609" s="119"/>
      <c r="DA609" s="119"/>
      <c r="DB609" s="119"/>
      <c r="DC609" s="119"/>
      <c r="DD609" s="119"/>
      <c r="DE609" s="119"/>
      <c r="DF609" s="119"/>
      <c r="DG609" s="119"/>
      <c r="DH609" s="119"/>
      <c r="DI609" s="119"/>
      <c r="DJ609" s="119"/>
      <c r="DK609" s="119"/>
      <c r="DL609" s="119"/>
      <c r="DM609" s="119"/>
      <c r="DN609" s="119"/>
      <c r="DO609" s="119"/>
      <c r="DP609" s="119"/>
      <c r="DQ609" s="119"/>
      <c r="DR609" s="119"/>
      <c r="DS609" s="119"/>
      <c r="DT609" s="119"/>
      <c r="DU609" s="119"/>
      <c r="DV609" s="119"/>
      <c r="DW609" s="119"/>
      <c r="DX609" s="119"/>
      <c r="DY609" s="119"/>
      <c r="DZ609" s="119"/>
      <c r="EA609" s="119"/>
      <c r="EB609" s="119"/>
      <c r="EC609" s="119"/>
      <c r="ED609" s="119"/>
      <c r="EE609" s="119"/>
      <c r="EF609" s="119"/>
      <c r="EG609" s="119"/>
      <c r="EH609" s="119"/>
      <c r="EI609" s="119"/>
      <c r="EJ609" s="119"/>
      <c r="EK609" s="119"/>
      <c r="EL609" s="119"/>
      <c r="EM609" s="119"/>
      <c r="EN609" s="119"/>
      <c r="EO609" s="119"/>
      <c r="EP609" s="119"/>
      <c r="EQ609" s="119"/>
      <c r="ER609" s="119"/>
      <c r="ES609" s="119"/>
      <c r="ET609" s="119"/>
      <c r="EU609" s="119"/>
      <c r="EV609" s="119"/>
      <c r="EW609" s="119"/>
      <c r="EX609" s="119"/>
      <c r="EY609" s="119"/>
      <c r="EZ609" s="119"/>
      <c r="FA609" s="119"/>
      <c r="FB609" s="119"/>
      <c r="FC609" s="119"/>
      <c r="FD609" s="119"/>
      <c r="FE609" s="119"/>
      <c r="FF609" s="119"/>
      <c r="FG609" s="119"/>
      <c r="FH609" s="119"/>
      <c r="FI609" s="119"/>
      <c r="FJ609" s="119"/>
      <c r="FK609" s="119"/>
      <c r="FL609" s="119"/>
      <c r="FM609" s="119"/>
      <c r="FN609" s="119"/>
      <c r="FO609" s="119"/>
      <c r="FP609" s="119"/>
      <c r="FQ609" s="119"/>
      <c r="FR609" s="119"/>
    </row>
    <row x14ac:dyDescent="0.25" r="610" customHeight="1" ht="15">
      <c r="A610" s="121"/>
      <c r="B610" s="121"/>
      <c r="C610" s="122"/>
      <c r="D610" s="122"/>
      <c r="E610" s="123"/>
      <c r="F610" s="123"/>
      <c r="G610" s="124"/>
      <c r="H610" s="125"/>
      <c r="I610" s="126"/>
      <c r="J610" s="127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19"/>
      <c r="BA610" s="119"/>
      <c r="BB610" s="119"/>
      <c r="BC610" s="119"/>
      <c r="BD610" s="119"/>
      <c r="BE610" s="119"/>
      <c r="BF610" s="119"/>
      <c r="BG610" s="119"/>
      <c r="BH610" s="119"/>
      <c r="BI610" s="119"/>
      <c r="BJ610" s="119"/>
      <c r="BK610" s="119"/>
      <c r="BL610" s="119"/>
      <c r="BM610" s="119"/>
      <c r="BN610" s="119"/>
      <c r="BO610" s="119"/>
      <c r="BP610" s="119"/>
      <c r="BQ610" s="119"/>
      <c r="BR610" s="119"/>
      <c r="BS610" s="119"/>
      <c r="BT610" s="119"/>
      <c r="BU610" s="119"/>
      <c r="BV610" s="119"/>
      <c r="BW610" s="119"/>
      <c r="BX610" s="119"/>
      <c r="BY610" s="119"/>
      <c r="BZ610" s="119"/>
      <c r="CA610" s="119"/>
      <c r="CB610" s="119"/>
      <c r="CC610" s="119"/>
      <c r="CD610" s="119"/>
      <c r="CE610" s="119"/>
      <c r="CF610" s="119"/>
      <c r="CG610" s="119"/>
      <c r="CH610" s="119"/>
      <c r="CI610" s="119"/>
      <c r="CJ610" s="119"/>
      <c r="CK610" s="119"/>
      <c r="CL610" s="119"/>
      <c r="CM610" s="119"/>
      <c r="CN610" s="119"/>
      <c r="CO610" s="119"/>
      <c r="CP610" s="119"/>
      <c r="CQ610" s="119"/>
      <c r="CR610" s="119"/>
      <c r="CS610" s="119"/>
      <c r="CT610" s="119"/>
      <c r="CU610" s="119"/>
      <c r="CV610" s="119"/>
      <c r="CW610" s="119"/>
      <c r="CX610" s="119"/>
      <c r="CY610" s="119"/>
      <c r="CZ610" s="119"/>
      <c r="DA610" s="119"/>
      <c r="DB610" s="119"/>
      <c r="DC610" s="119"/>
      <c r="DD610" s="119"/>
      <c r="DE610" s="119"/>
      <c r="DF610" s="119"/>
      <c r="DG610" s="119"/>
      <c r="DH610" s="119"/>
      <c r="DI610" s="119"/>
      <c r="DJ610" s="119"/>
      <c r="DK610" s="119"/>
      <c r="DL610" s="119"/>
      <c r="DM610" s="119"/>
      <c r="DN610" s="119"/>
      <c r="DO610" s="119"/>
      <c r="DP610" s="119"/>
      <c r="DQ610" s="119"/>
      <c r="DR610" s="119"/>
      <c r="DS610" s="119"/>
      <c r="DT610" s="119"/>
      <c r="DU610" s="119"/>
      <c r="DV610" s="119"/>
      <c r="DW610" s="119"/>
      <c r="DX610" s="119"/>
      <c r="DY610" s="119"/>
      <c r="DZ610" s="119"/>
      <c r="EA610" s="119"/>
      <c r="EB610" s="119"/>
      <c r="EC610" s="119"/>
      <c r="ED610" s="119"/>
      <c r="EE610" s="119"/>
      <c r="EF610" s="119"/>
      <c r="EG610" s="119"/>
      <c r="EH610" s="119"/>
      <c r="EI610" s="119"/>
      <c r="EJ610" s="119"/>
      <c r="EK610" s="119"/>
      <c r="EL610" s="119"/>
      <c r="EM610" s="119"/>
      <c r="EN610" s="119"/>
      <c r="EO610" s="119"/>
      <c r="EP610" s="119"/>
      <c r="EQ610" s="119"/>
      <c r="ER610" s="119"/>
      <c r="ES610" s="119"/>
      <c r="ET610" s="119"/>
      <c r="EU610" s="119"/>
      <c r="EV610" s="119"/>
      <c r="EW610" s="119"/>
      <c r="EX610" s="119"/>
      <c r="EY610" s="119"/>
      <c r="EZ610" s="119"/>
      <c r="FA610" s="119"/>
      <c r="FB610" s="119"/>
      <c r="FC610" s="119"/>
      <c r="FD610" s="119"/>
      <c r="FE610" s="119"/>
      <c r="FF610" s="119"/>
      <c r="FG610" s="119"/>
      <c r="FH610" s="119"/>
      <c r="FI610" s="119"/>
      <c r="FJ610" s="119"/>
      <c r="FK610" s="119"/>
      <c r="FL610" s="119"/>
      <c r="FM610" s="119"/>
      <c r="FN610" s="119"/>
      <c r="FO610" s="119"/>
      <c r="FP610" s="119"/>
      <c r="FQ610" s="119"/>
      <c r="FR610" s="119"/>
    </row>
    <row x14ac:dyDescent="0.25" r="611" customHeight="1" ht="15">
      <c r="A611" s="121"/>
      <c r="B611" s="121"/>
      <c r="C611" s="122"/>
      <c r="D611" s="122"/>
      <c r="E611" s="123"/>
      <c r="F611" s="123"/>
      <c r="G611" s="124"/>
      <c r="H611" s="125"/>
      <c r="I611" s="126"/>
      <c r="J611" s="127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19"/>
      <c r="BA611" s="119"/>
      <c r="BB611" s="119"/>
      <c r="BC611" s="119"/>
      <c r="BD611" s="119"/>
      <c r="BE611" s="119"/>
      <c r="BF611" s="119"/>
      <c r="BG611" s="119"/>
      <c r="BH611" s="119"/>
      <c r="BI611" s="119"/>
      <c r="BJ611" s="119"/>
      <c r="BK611" s="119"/>
      <c r="BL611" s="119"/>
      <c r="BM611" s="119"/>
      <c r="BN611" s="119"/>
      <c r="BO611" s="119"/>
      <c r="BP611" s="119"/>
      <c r="BQ611" s="119"/>
      <c r="BR611" s="119"/>
      <c r="BS611" s="119"/>
      <c r="BT611" s="119"/>
      <c r="BU611" s="119"/>
      <c r="BV611" s="119"/>
      <c r="BW611" s="119"/>
      <c r="BX611" s="119"/>
      <c r="BY611" s="119"/>
      <c r="BZ611" s="119"/>
      <c r="CA611" s="119"/>
      <c r="CB611" s="119"/>
      <c r="CC611" s="119"/>
      <c r="CD611" s="119"/>
      <c r="CE611" s="119"/>
      <c r="CF611" s="119"/>
      <c r="CG611" s="119"/>
      <c r="CH611" s="119"/>
      <c r="CI611" s="119"/>
      <c r="CJ611" s="119"/>
      <c r="CK611" s="119"/>
      <c r="CL611" s="119"/>
      <c r="CM611" s="119"/>
      <c r="CN611" s="119"/>
      <c r="CO611" s="119"/>
      <c r="CP611" s="119"/>
      <c r="CQ611" s="119"/>
      <c r="CR611" s="119"/>
      <c r="CS611" s="119"/>
      <c r="CT611" s="119"/>
      <c r="CU611" s="119"/>
      <c r="CV611" s="119"/>
      <c r="CW611" s="119"/>
      <c r="CX611" s="119"/>
      <c r="CY611" s="119"/>
      <c r="CZ611" s="119"/>
      <c r="DA611" s="119"/>
      <c r="DB611" s="119"/>
      <c r="DC611" s="119"/>
      <c r="DD611" s="119"/>
      <c r="DE611" s="119"/>
      <c r="DF611" s="119"/>
      <c r="DG611" s="119"/>
      <c r="DH611" s="119"/>
      <c r="DI611" s="119"/>
      <c r="DJ611" s="119"/>
      <c r="DK611" s="119"/>
      <c r="DL611" s="119"/>
      <c r="DM611" s="119"/>
      <c r="DN611" s="119"/>
      <c r="DO611" s="119"/>
      <c r="DP611" s="119"/>
      <c r="DQ611" s="119"/>
      <c r="DR611" s="119"/>
      <c r="DS611" s="119"/>
      <c r="DT611" s="119"/>
      <c r="DU611" s="119"/>
      <c r="DV611" s="119"/>
      <c r="DW611" s="119"/>
      <c r="DX611" s="119"/>
      <c r="DY611" s="119"/>
      <c r="DZ611" s="119"/>
      <c r="EA611" s="119"/>
      <c r="EB611" s="119"/>
      <c r="EC611" s="119"/>
      <c r="ED611" s="119"/>
      <c r="EE611" s="119"/>
      <c r="EF611" s="119"/>
      <c r="EG611" s="119"/>
      <c r="EH611" s="119"/>
      <c r="EI611" s="119"/>
      <c r="EJ611" s="119"/>
      <c r="EK611" s="119"/>
      <c r="EL611" s="119"/>
      <c r="EM611" s="119"/>
      <c r="EN611" s="119"/>
      <c r="EO611" s="119"/>
      <c r="EP611" s="119"/>
      <c r="EQ611" s="119"/>
      <c r="ER611" s="119"/>
      <c r="ES611" s="119"/>
      <c r="ET611" s="119"/>
      <c r="EU611" s="119"/>
      <c r="EV611" s="119"/>
      <c r="EW611" s="119"/>
      <c r="EX611" s="119"/>
      <c r="EY611" s="119"/>
      <c r="EZ611" s="119"/>
      <c r="FA611" s="119"/>
      <c r="FB611" s="119"/>
      <c r="FC611" s="119"/>
      <c r="FD611" s="119"/>
      <c r="FE611" s="119"/>
      <c r="FF611" s="119"/>
      <c r="FG611" s="119"/>
      <c r="FH611" s="119"/>
      <c r="FI611" s="119"/>
      <c r="FJ611" s="119"/>
      <c r="FK611" s="119"/>
      <c r="FL611" s="119"/>
      <c r="FM611" s="119"/>
      <c r="FN611" s="119"/>
      <c r="FO611" s="119"/>
      <c r="FP611" s="119"/>
      <c r="FQ611" s="119"/>
      <c r="FR611" s="119"/>
    </row>
    <row x14ac:dyDescent="0.25" r="612" customHeight="1" ht="15">
      <c r="A612" s="121"/>
      <c r="B612" s="121"/>
      <c r="C612" s="122"/>
      <c r="D612" s="122"/>
      <c r="E612" s="123"/>
      <c r="F612" s="123"/>
      <c r="G612" s="124"/>
      <c r="H612" s="125"/>
      <c r="I612" s="126"/>
      <c r="J612" s="127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19"/>
      <c r="BA612" s="119"/>
      <c r="BB612" s="119"/>
      <c r="BC612" s="119"/>
      <c r="BD612" s="119"/>
      <c r="BE612" s="119"/>
      <c r="BF612" s="119"/>
      <c r="BG612" s="119"/>
      <c r="BH612" s="119"/>
      <c r="BI612" s="119"/>
      <c r="BJ612" s="119"/>
      <c r="BK612" s="119"/>
      <c r="BL612" s="119"/>
      <c r="BM612" s="119"/>
      <c r="BN612" s="119"/>
      <c r="BO612" s="119"/>
      <c r="BP612" s="119"/>
      <c r="BQ612" s="119"/>
      <c r="BR612" s="119"/>
      <c r="BS612" s="119"/>
      <c r="BT612" s="119"/>
      <c r="BU612" s="119"/>
      <c r="BV612" s="119"/>
      <c r="BW612" s="119"/>
      <c r="BX612" s="119"/>
      <c r="BY612" s="119"/>
      <c r="BZ612" s="119"/>
      <c r="CA612" s="119"/>
      <c r="CB612" s="119"/>
      <c r="CC612" s="119"/>
      <c r="CD612" s="119"/>
      <c r="CE612" s="119"/>
      <c r="CF612" s="119"/>
      <c r="CG612" s="119"/>
      <c r="CH612" s="119"/>
      <c r="CI612" s="119"/>
      <c r="CJ612" s="119"/>
      <c r="CK612" s="119"/>
      <c r="CL612" s="119"/>
      <c r="CM612" s="119"/>
      <c r="CN612" s="119"/>
      <c r="CO612" s="119"/>
      <c r="CP612" s="119"/>
      <c r="CQ612" s="119"/>
      <c r="CR612" s="119"/>
      <c r="CS612" s="119"/>
      <c r="CT612" s="119"/>
      <c r="CU612" s="119"/>
      <c r="CV612" s="119"/>
      <c r="CW612" s="119"/>
      <c r="CX612" s="119"/>
      <c r="CY612" s="119"/>
      <c r="CZ612" s="119"/>
      <c r="DA612" s="119"/>
      <c r="DB612" s="119"/>
      <c r="DC612" s="119"/>
      <c r="DD612" s="119"/>
      <c r="DE612" s="119"/>
      <c r="DF612" s="119"/>
      <c r="DG612" s="119"/>
      <c r="DH612" s="119"/>
      <c r="DI612" s="119"/>
      <c r="DJ612" s="119"/>
      <c r="DK612" s="119"/>
      <c r="DL612" s="119"/>
      <c r="DM612" s="119"/>
      <c r="DN612" s="119"/>
      <c r="DO612" s="119"/>
      <c r="DP612" s="119"/>
      <c r="DQ612" s="119"/>
      <c r="DR612" s="119"/>
      <c r="DS612" s="119"/>
      <c r="DT612" s="119"/>
      <c r="DU612" s="119"/>
      <c r="DV612" s="119"/>
      <c r="DW612" s="119"/>
      <c r="DX612" s="119"/>
      <c r="DY612" s="119"/>
      <c r="DZ612" s="119"/>
      <c r="EA612" s="119"/>
      <c r="EB612" s="119"/>
      <c r="EC612" s="119"/>
      <c r="ED612" s="119"/>
      <c r="EE612" s="119"/>
      <c r="EF612" s="119"/>
      <c r="EG612" s="119"/>
      <c r="EH612" s="119"/>
      <c r="EI612" s="119"/>
      <c r="EJ612" s="119"/>
      <c r="EK612" s="119"/>
      <c r="EL612" s="119"/>
      <c r="EM612" s="119"/>
      <c r="EN612" s="119"/>
      <c r="EO612" s="119"/>
      <c r="EP612" s="119"/>
      <c r="EQ612" s="119"/>
      <c r="ER612" s="119"/>
      <c r="ES612" s="119"/>
      <c r="ET612" s="119"/>
      <c r="EU612" s="119"/>
      <c r="EV612" s="119"/>
      <c r="EW612" s="119"/>
      <c r="EX612" s="119"/>
      <c r="EY612" s="119"/>
      <c r="EZ612" s="119"/>
      <c r="FA612" s="119"/>
      <c r="FB612" s="119"/>
      <c r="FC612" s="119"/>
      <c r="FD612" s="119"/>
      <c r="FE612" s="119"/>
      <c r="FF612" s="119"/>
      <c r="FG612" s="119"/>
      <c r="FH612" s="119"/>
      <c r="FI612" s="119"/>
      <c r="FJ612" s="119"/>
      <c r="FK612" s="119"/>
      <c r="FL612" s="119"/>
      <c r="FM612" s="119"/>
      <c r="FN612" s="119"/>
      <c r="FO612" s="119"/>
      <c r="FP612" s="119"/>
      <c r="FQ612" s="119"/>
      <c r="FR612" s="119"/>
    </row>
    <row x14ac:dyDescent="0.25" r="613" customHeight="1" ht="15">
      <c r="A613" s="121"/>
      <c r="B613" s="121"/>
      <c r="C613" s="122"/>
      <c r="D613" s="122"/>
      <c r="E613" s="123"/>
      <c r="F613" s="123"/>
      <c r="G613" s="124"/>
      <c r="H613" s="125"/>
      <c r="I613" s="126"/>
      <c r="J613" s="127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19"/>
      <c r="BA613" s="119"/>
      <c r="BB613" s="119"/>
      <c r="BC613" s="119"/>
      <c r="BD613" s="119"/>
      <c r="BE613" s="119"/>
      <c r="BF613" s="119"/>
      <c r="BG613" s="119"/>
      <c r="BH613" s="119"/>
      <c r="BI613" s="119"/>
      <c r="BJ613" s="119"/>
      <c r="BK613" s="119"/>
      <c r="BL613" s="119"/>
      <c r="BM613" s="119"/>
      <c r="BN613" s="119"/>
      <c r="BO613" s="119"/>
      <c r="BP613" s="119"/>
      <c r="BQ613" s="119"/>
      <c r="BR613" s="119"/>
      <c r="BS613" s="119"/>
      <c r="BT613" s="119"/>
      <c r="BU613" s="119"/>
      <c r="BV613" s="119"/>
      <c r="BW613" s="119"/>
      <c r="BX613" s="119"/>
      <c r="BY613" s="119"/>
      <c r="BZ613" s="119"/>
      <c r="CA613" s="119"/>
      <c r="CB613" s="119"/>
      <c r="CC613" s="119"/>
      <c r="CD613" s="119"/>
      <c r="CE613" s="119"/>
      <c r="CF613" s="119"/>
      <c r="CG613" s="119"/>
      <c r="CH613" s="119"/>
      <c r="CI613" s="119"/>
      <c r="CJ613" s="119"/>
      <c r="CK613" s="119"/>
      <c r="CL613" s="119"/>
      <c r="CM613" s="119"/>
      <c r="CN613" s="119"/>
      <c r="CO613" s="119"/>
      <c r="CP613" s="119"/>
      <c r="CQ613" s="119"/>
      <c r="CR613" s="119"/>
      <c r="CS613" s="119"/>
      <c r="CT613" s="119"/>
      <c r="CU613" s="119"/>
      <c r="CV613" s="119"/>
      <c r="CW613" s="119"/>
      <c r="CX613" s="119"/>
      <c r="CY613" s="119"/>
      <c r="CZ613" s="119"/>
      <c r="DA613" s="119"/>
      <c r="DB613" s="119"/>
      <c r="DC613" s="119"/>
      <c r="DD613" s="119"/>
      <c r="DE613" s="119"/>
      <c r="DF613" s="119"/>
      <c r="DG613" s="119"/>
      <c r="DH613" s="119"/>
      <c r="DI613" s="119"/>
      <c r="DJ613" s="119"/>
      <c r="DK613" s="119"/>
      <c r="DL613" s="119"/>
      <c r="DM613" s="119"/>
      <c r="DN613" s="119"/>
      <c r="DO613" s="119"/>
      <c r="DP613" s="119"/>
      <c r="DQ613" s="119"/>
      <c r="DR613" s="119"/>
      <c r="DS613" s="119"/>
      <c r="DT613" s="119"/>
      <c r="DU613" s="119"/>
      <c r="DV613" s="119"/>
      <c r="DW613" s="119"/>
      <c r="DX613" s="119"/>
      <c r="DY613" s="119"/>
      <c r="DZ613" s="119"/>
      <c r="EA613" s="119"/>
      <c r="EB613" s="119"/>
      <c r="EC613" s="119"/>
      <c r="ED613" s="119"/>
      <c r="EE613" s="119"/>
      <c r="EF613" s="119"/>
      <c r="EG613" s="119"/>
      <c r="EH613" s="119"/>
      <c r="EI613" s="119"/>
      <c r="EJ613" s="119"/>
      <c r="EK613" s="119"/>
      <c r="EL613" s="119"/>
      <c r="EM613" s="119"/>
      <c r="EN613" s="119"/>
      <c r="EO613" s="119"/>
      <c r="EP613" s="119"/>
      <c r="EQ613" s="119"/>
      <c r="ER613" s="119"/>
      <c r="ES613" s="119"/>
      <c r="ET613" s="119"/>
      <c r="EU613" s="119"/>
      <c r="EV613" s="119"/>
      <c r="EW613" s="119"/>
      <c r="EX613" s="119"/>
      <c r="EY613" s="119"/>
      <c r="EZ613" s="119"/>
      <c r="FA613" s="119"/>
      <c r="FB613" s="119"/>
      <c r="FC613" s="119"/>
      <c r="FD613" s="119"/>
      <c r="FE613" s="119"/>
      <c r="FF613" s="119"/>
      <c r="FG613" s="119"/>
      <c r="FH613" s="119"/>
      <c r="FI613" s="119"/>
      <c r="FJ613" s="119"/>
      <c r="FK613" s="119"/>
      <c r="FL613" s="119"/>
      <c r="FM613" s="119"/>
      <c r="FN613" s="119"/>
      <c r="FO613" s="119"/>
      <c r="FP613" s="119"/>
      <c r="FQ613" s="119"/>
      <c r="FR613" s="119"/>
    </row>
    <row x14ac:dyDescent="0.25" r="614" customHeight="1" ht="15">
      <c r="A614" s="121"/>
      <c r="B614" s="121"/>
      <c r="C614" s="122"/>
      <c r="D614" s="122"/>
      <c r="E614" s="123"/>
      <c r="F614" s="123"/>
      <c r="G614" s="124"/>
      <c r="H614" s="125"/>
      <c r="I614" s="126"/>
      <c r="J614" s="127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19"/>
      <c r="BA614" s="119"/>
      <c r="BB614" s="119"/>
      <c r="BC614" s="119"/>
      <c r="BD614" s="119"/>
      <c r="BE614" s="119"/>
      <c r="BF614" s="119"/>
      <c r="BG614" s="119"/>
      <c r="BH614" s="119"/>
      <c r="BI614" s="119"/>
      <c r="BJ614" s="119"/>
      <c r="BK614" s="119"/>
      <c r="BL614" s="119"/>
      <c r="BM614" s="119"/>
      <c r="BN614" s="119"/>
      <c r="BO614" s="119"/>
      <c r="BP614" s="119"/>
      <c r="BQ614" s="119"/>
      <c r="BR614" s="119"/>
      <c r="BS614" s="119"/>
      <c r="BT614" s="119"/>
      <c r="BU614" s="119"/>
      <c r="BV614" s="119"/>
      <c r="BW614" s="119"/>
      <c r="BX614" s="119"/>
      <c r="BY614" s="119"/>
      <c r="BZ614" s="119"/>
      <c r="CA614" s="119"/>
      <c r="CB614" s="119"/>
      <c r="CC614" s="119"/>
      <c r="CD614" s="119"/>
      <c r="CE614" s="119"/>
      <c r="CF614" s="119"/>
      <c r="CG614" s="119"/>
      <c r="CH614" s="119"/>
      <c r="CI614" s="119"/>
      <c r="CJ614" s="119"/>
      <c r="CK614" s="119"/>
      <c r="CL614" s="119"/>
      <c r="CM614" s="119"/>
      <c r="CN614" s="119"/>
      <c r="CO614" s="119"/>
      <c r="CP614" s="119"/>
      <c r="CQ614" s="119"/>
      <c r="CR614" s="119"/>
      <c r="CS614" s="119"/>
      <c r="CT614" s="119"/>
      <c r="CU614" s="119"/>
      <c r="CV614" s="119"/>
      <c r="CW614" s="119"/>
      <c r="CX614" s="119"/>
      <c r="CY614" s="119"/>
      <c r="CZ614" s="119"/>
      <c r="DA614" s="119"/>
      <c r="DB614" s="119"/>
      <c r="DC614" s="119"/>
      <c r="DD614" s="119"/>
      <c r="DE614" s="119"/>
      <c r="DF614" s="119"/>
      <c r="DG614" s="119"/>
      <c r="DH614" s="119"/>
      <c r="DI614" s="119"/>
      <c r="DJ614" s="119"/>
      <c r="DK614" s="119"/>
      <c r="DL614" s="119"/>
      <c r="DM614" s="119"/>
      <c r="DN614" s="119"/>
      <c r="DO614" s="119"/>
      <c r="DP614" s="119"/>
      <c r="DQ614" s="119"/>
      <c r="DR614" s="119"/>
      <c r="DS614" s="119"/>
      <c r="DT614" s="119"/>
      <c r="DU614" s="119"/>
      <c r="DV614" s="119"/>
      <c r="DW614" s="119"/>
      <c r="DX614" s="119"/>
      <c r="DY614" s="119"/>
      <c r="DZ614" s="119"/>
      <c r="EA614" s="119"/>
      <c r="EB614" s="119"/>
      <c r="EC614" s="119"/>
      <c r="ED614" s="119"/>
      <c r="EE614" s="119"/>
      <c r="EF614" s="119"/>
      <c r="EG614" s="119"/>
      <c r="EH614" s="119"/>
      <c r="EI614" s="119"/>
      <c r="EJ614" s="119"/>
      <c r="EK614" s="119"/>
      <c r="EL614" s="119"/>
      <c r="EM614" s="119"/>
      <c r="EN614" s="119"/>
      <c r="EO614" s="119"/>
      <c r="EP614" s="119"/>
      <c r="EQ614" s="119"/>
      <c r="ER614" s="119"/>
      <c r="ES614" s="119"/>
      <c r="ET614" s="119"/>
      <c r="EU614" s="119"/>
      <c r="EV614" s="119"/>
      <c r="EW614" s="119"/>
      <c r="EX614" s="119"/>
      <c r="EY614" s="119"/>
      <c r="EZ614" s="119"/>
      <c r="FA614" s="119"/>
      <c r="FB614" s="119"/>
      <c r="FC614" s="119"/>
      <c r="FD614" s="119"/>
      <c r="FE614" s="119"/>
      <c r="FF614" s="119"/>
      <c r="FG614" s="119"/>
      <c r="FH614" s="119"/>
      <c r="FI614" s="119"/>
      <c r="FJ614" s="119"/>
      <c r="FK614" s="119"/>
      <c r="FL614" s="119"/>
      <c r="FM614" s="119"/>
      <c r="FN614" s="119"/>
      <c r="FO614" s="119"/>
      <c r="FP614" s="119"/>
      <c r="FQ614" s="119"/>
      <c r="FR614" s="119"/>
    </row>
    <row x14ac:dyDescent="0.25" r="615" customHeight="1" ht="15">
      <c r="A615" s="121"/>
      <c r="B615" s="121"/>
      <c r="C615" s="122"/>
      <c r="D615" s="122"/>
      <c r="E615" s="123"/>
      <c r="F615" s="123"/>
      <c r="G615" s="124"/>
      <c r="H615" s="125"/>
      <c r="I615" s="126"/>
      <c r="J615" s="127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19"/>
      <c r="BA615" s="119"/>
      <c r="BB615" s="119"/>
      <c r="BC615" s="119"/>
      <c r="BD615" s="119"/>
      <c r="BE615" s="119"/>
      <c r="BF615" s="119"/>
      <c r="BG615" s="119"/>
      <c r="BH615" s="119"/>
      <c r="BI615" s="119"/>
      <c r="BJ615" s="119"/>
      <c r="BK615" s="119"/>
      <c r="BL615" s="119"/>
      <c r="BM615" s="119"/>
      <c r="BN615" s="119"/>
      <c r="BO615" s="119"/>
      <c r="BP615" s="119"/>
      <c r="BQ615" s="119"/>
      <c r="BR615" s="119"/>
      <c r="BS615" s="119"/>
      <c r="BT615" s="119"/>
      <c r="BU615" s="119"/>
      <c r="BV615" s="119"/>
      <c r="BW615" s="119"/>
      <c r="BX615" s="119"/>
      <c r="BY615" s="119"/>
      <c r="BZ615" s="119"/>
      <c r="CA615" s="119"/>
      <c r="CB615" s="119"/>
      <c r="CC615" s="119"/>
      <c r="CD615" s="119"/>
      <c r="CE615" s="119"/>
      <c r="CF615" s="119"/>
      <c r="CG615" s="119"/>
      <c r="CH615" s="119"/>
      <c r="CI615" s="119"/>
      <c r="CJ615" s="119"/>
      <c r="CK615" s="119"/>
      <c r="CL615" s="119"/>
      <c r="CM615" s="119"/>
      <c r="CN615" s="119"/>
      <c r="CO615" s="119"/>
      <c r="CP615" s="119"/>
      <c r="CQ615" s="119"/>
      <c r="CR615" s="119"/>
      <c r="CS615" s="119"/>
      <c r="CT615" s="119"/>
      <c r="CU615" s="119"/>
      <c r="CV615" s="119"/>
      <c r="CW615" s="119"/>
      <c r="CX615" s="119"/>
      <c r="CY615" s="119"/>
      <c r="CZ615" s="119"/>
      <c r="DA615" s="119"/>
      <c r="DB615" s="119"/>
      <c r="DC615" s="119"/>
      <c r="DD615" s="119"/>
      <c r="DE615" s="119"/>
      <c r="DF615" s="119"/>
      <c r="DG615" s="119"/>
      <c r="DH615" s="119"/>
      <c r="DI615" s="119"/>
      <c r="DJ615" s="119"/>
      <c r="DK615" s="119"/>
      <c r="DL615" s="119"/>
      <c r="DM615" s="119"/>
      <c r="DN615" s="119"/>
      <c r="DO615" s="119"/>
      <c r="DP615" s="119"/>
      <c r="DQ615" s="119"/>
      <c r="DR615" s="119"/>
      <c r="DS615" s="119"/>
      <c r="DT615" s="119"/>
      <c r="DU615" s="119"/>
      <c r="DV615" s="119"/>
      <c r="DW615" s="119"/>
      <c r="DX615" s="119"/>
      <c r="DY615" s="119"/>
      <c r="DZ615" s="119"/>
      <c r="EA615" s="119"/>
      <c r="EB615" s="119"/>
      <c r="EC615" s="119"/>
      <c r="ED615" s="119"/>
      <c r="EE615" s="119"/>
      <c r="EF615" s="119"/>
      <c r="EG615" s="119"/>
      <c r="EH615" s="119"/>
      <c r="EI615" s="119"/>
      <c r="EJ615" s="119"/>
      <c r="EK615" s="119"/>
      <c r="EL615" s="119"/>
      <c r="EM615" s="119"/>
      <c r="EN615" s="119"/>
      <c r="EO615" s="119"/>
      <c r="EP615" s="119"/>
      <c r="EQ615" s="119"/>
      <c r="ER615" s="119"/>
      <c r="ES615" s="119"/>
      <c r="ET615" s="119"/>
      <c r="EU615" s="119"/>
      <c r="EV615" s="119"/>
      <c r="EW615" s="119"/>
      <c r="EX615" s="119"/>
      <c r="EY615" s="119"/>
      <c r="EZ615" s="119"/>
      <c r="FA615" s="119"/>
      <c r="FB615" s="119"/>
      <c r="FC615" s="119"/>
      <c r="FD615" s="119"/>
      <c r="FE615" s="119"/>
      <c r="FF615" s="119"/>
      <c r="FG615" s="119"/>
      <c r="FH615" s="119"/>
      <c r="FI615" s="119"/>
      <c r="FJ615" s="119"/>
      <c r="FK615" s="119"/>
      <c r="FL615" s="119"/>
      <c r="FM615" s="119"/>
      <c r="FN615" s="119"/>
      <c r="FO615" s="119"/>
      <c r="FP615" s="119"/>
      <c r="FQ615" s="119"/>
      <c r="FR615" s="119"/>
    </row>
    <row x14ac:dyDescent="0.25" r="616" customHeight="1" ht="15">
      <c r="A616" s="121"/>
      <c r="B616" s="121"/>
      <c r="C616" s="122"/>
      <c r="D616" s="122"/>
      <c r="E616" s="123"/>
      <c r="F616" s="123"/>
      <c r="G616" s="124"/>
      <c r="H616" s="125"/>
      <c r="I616" s="126"/>
      <c r="J616" s="127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19"/>
      <c r="BA616" s="119"/>
      <c r="BB616" s="119"/>
      <c r="BC616" s="119"/>
      <c r="BD616" s="119"/>
      <c r="BE616" s="119"/>
      <c r="BF616" s="119"/>
      <c r="BG616" s="119"/>
      <c r="BH616" s="119"/>
      <c r="BI616" s="119"/>
      <c r="BJ616" s="119"/>
      <c r="BK616" s="119"/>
      <c r="BL616" s="119"/>
      <c r="BM616" s="119"/>
      <c r="BN616" s="119"/>
      <c r="BO616" s="119"/>
      <c r="BP616" s="119"/>
      <c r="BQ616" s="119"/>
      <c r="BR616" s="119"/>
      <c r="BS616" s="119"/>
      <c r="BT616" s="119"/>
      <c r="BU616" s="119"/>
      <c r="BV616" s="119"/>
      <c r="BW616" s="119"/>
      <c r="BX616" s="119"/>
      <c r="BY616" s="119"/>
      <c r="BZ616" s="119"/>
      <c r="CA616" s="119"/>
      <c r="CB616" s="119"/>
      <c r="CC616" s="119"/>
      <c r="CD616" s="119"/>
      <c r="CE616" s="119"/>
      <c r="CF616" s="119"/>
      <c r="CG616" s="119"/>
      <c r="CH616" s="119"/>
      <c r="CI616" s="119"/>
      <c r="CJ616" s="119"/>
      <c r="CK616" s="119"/>
      <c r="CL616" s="119"/>
      <c r="CM616" s="119"/>
      <c r="CN616" s="119"/>
      <c r="CO616" s="119"/>
      <c r="CP616" s="119"/>
      <c r="CQ616" s="119"/>
      <c r="CR616" s="119"/>
      <c r="CS616" s="119"/>
      <c r="CT616" s="119"/>
      <c r="CU616" s="119"/>
      <c r="CV616" s="119"/>
      <c r="CW616" s="119"/>
      <c r="CX616" s="119"/>
      <c r="CY616" s="119"/>
      <c r="CZ616" s="119"/>
      <c r="DA616" s="119"/>
      <c r="DB616" s="119"/>
      <c r="DC616" s="119"/>
      <c r="DD616" s="119"/>
      <c r="DE616" s="119"/>
      <c r="DF616" s="119"/>
      <c r="DG616" s="119"/>
      <c r="DH616" s="119"/>
      <c r="DI616" s="119"/>
      <c r="DJ616" s="119"/>
      <c r="DK616" s="119"/>
      <c r="DL616" s="119"/>
      <c r="DM616" s="119"/>
      <c r="DN616" s="119"/>
      <c r="DO616" s="119"/>
      <c r="DP616" s="119"/>
      <c r="DQ616" s="119"/>
      <c r="DR616" s="119"/>
      <c r="DS616" s="119"/>
      <c r="DT616" s="119"/>
      <c r="DU616" s="119"/>
      <c r="DV616" s="119"/>
      <c r="DW616" s="119"/>
      <c r="DX616" s="119"/>
      <c r="DY616" s="119"/>
      <c r="DZ616" s="119"/>
      <c r="EA616" s="119"/>
      <c r="EB616" s="119"/>
      <c r="EC616" s="119"/>
      <c r="ED616" s="119"/>
      <c r="EE616" s="119"/>
      <c r="EF616" s="119"/>
      <c r="EG616" s="119"/>
      <c r="EH616" s="119"/>
      <c r="EI616" s="119"/>
      <c r="EJ616" s="119"/>
      <c r="EK616" s="119"/>
      <c r="EL616" s="119"/>
      <c r="EM616" s="119"/>
      <c r="EN616" s="119"/>
      <c r="EO616" s="119"/>
      <c r="EP616" s="119"/>
      <c r="EQ616" s="119"/>
      <c r="ER616" s="119"/>
      <c r="ES616" s="119"/>
      <c r="ET616" s="119"/>
      <c r="EU616" s="119"/>
      <c r="EV616" s="119"/>
      <c r="EW616" s="119"/>
      <c r="EX616" s="119"/>
      <c r="EY616" s="119"/>
      <c r="EZ616" s="119"/>
      <c r="FA616" s="119"/>
      <c r="FB616" s="119"/>
      <c r="FC616" s="119"/>
      <c r="FD616" s="119"/>
      <c r="FE616" s="119"/>
      <c r="FF616" s="119"/>
      <c r="FG616" s="119"/>
      <c r="FH616" s="119"/>
      <c r="FI616" s="119"/>
      <c r="FJ616" s="119"/>
      <c r="FK616" s="119"/>
      <c r="FL616" s="119"/>
      <c r="FM616" s="119"/>
      <c r="FN616" s="119"/>
      <c r="FO616" s="119"/>
      <c r="FP616" s="119"/>
      <c r="FQ616" s="119"/>
      <c r="FR616" s="119"/>
    </row>
    <row x14ac:dyDescent="0.25" r="617" customHeight="1" ht="15">
      <c r="A617" s="121"/>
      <c r="B617" s="121"/>
      <c r="C617" s="122"/>
      <c r="D617" s="122"/>
      <c r="E617" s="123"/>
      <c r="F617" s="123"/>
      <c r="G617" s="124"/>
      <c r="H617" s="125"/>
      <c r="I617" s="126"/>
      <c r="J617" s="127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19"/>
      <c r="BA617" s="119"/>
      <c r="BB617" s="119"/>
      <c r="BC617" s="119"/>
      <c r="BD617" s="119"/>
      <c r="BE617" s="119"/>
      <c r="BF617" s="119"/>
      <c r="BG617" s="119"/>
      <c r="BH617" s="119"/>
      <c r="BI617" s="119"/>
      <c r="BJ617" s="119"/>
      <c r="BK617" s="119"/>
      <c r="BL617" s="119"/>
      <c r="BM617" s="119"/>
      <c r="BN617" s="119"/>
      <c r="BO617" s="119"/>
      <c r="BP617" s="119"/>
      <c r="BQ617" s="119"/>
      <c r="BR617" s="119"/>
      <c r="BS617" s="119"/>
      <c r="BT617" s="119"/>
      <c r="BU617" s="119"/>
      <c r="BV617" s="119"/>
      <c r="BW617" s="119"/>
      <c r="BX617" s="119"/>
      <c r="BY617" s="119"/>
      <c r="BZ617" s="119"/>
      <c r="CA617" s="119"/>
      <c r="CB617" s="119"/>
      <c r="CC617" s="119"/>
      <c r="CD617" s="119"/>
      <c r="CE617" s="119"/>
      <c r="CF617" s="119"/>
      <c r="CG617" s="119"/>
      <c r="CH617" s="119"/>
      <c r="CI617" s="119"/>
      <c r="CJ617" s="119"/>
      <c r="CK617" s="119"/>
      <c r="CL617" s="119"/>
      <c r="CM617" s="119"/>
      <c r="CN617" s="119"/>
      <c r="CO617" s="119"/>
      <c r="CP617" s="119"/>
      <c r="CQ617" s="119"/>
      <c r="CR617" s="119"/>
      <c r="CS617" s="119"/>
      <c r="CT617" s="119"/>
      <c r="CU617" s="119"/>
      <c r="CV617" s="119"/>
      <c r="CW617" s="119"/>
      <c r="CX617" s="119"/>
      <c r="CY617" s="119"/>
      <c r="CZ617" s="119"/>
      <c r="DA617" s="119"/>
      <c r="DB617" s="119"/>
      <c r="DC617" s="119"/>
      <c r="DD617" s="119"/>
      <c r="DE617" s="119"/>
      <c r="DF617" s="119"/>
      <c r="DG617" s="119"/>
      <c r="DH617" s="119"/>
      <c r="DI617" s="119"/>
      <c r="DJ617" s="119"/>
      <c r="DK617" s="119"/>
      <c r="DL617" s="119"/>
      <c r="DM617" s="119"/>
      <c r="DN617" s="119"/>
      <c r="DO617" s="119"/>
      <c r="DP617" s="119"/>
      <c r="DQ617" s="119"/>
      <c r="DR617" s="119"/>
      <c r="DS617" s="119"/>
      <c r="DT617" s="119"/>
      <c r="DU617" s="119"/>
      <c r="DV617" s="119"/>
      <c r="DW617" s="119"/>
      <c r="DX617" s="119"/>
      <c r="DY617" s="119"/>
      <c r="DZ617" s="119"/>
      <c r="EA617" s="119"/>
      <c r="EB617" s="119"/>
      <c r="EC617" s="119"/>
      <c r="ED617" s="119"/>
      <c r="EE617" s="119"/>
      <c r="EF617" s="119"/>
      <c r="EG617" s="119"/>
      <c r="EH617" s="119"/>
      <c r="EI617" s="119"/>
      <c r="EJ617" s="119"/>
      <c r="EK617" s="119"/>
      <c r="EL617" s="119"/>
      <c r="EM617" s="119"/>
      <c r="EN617" s="119"/>
      <c r="EO617" s="119"/>
      <c r="EP617" s="119"/>
      <c r="EQ617" s="119"/>
      <c r="ER617" s="119"/>
      <c r="ES617" s="119"/>
      <c r="ET617" s="119"/>
      <c r="EU617" s="119"/>
      <c r="EV617" s="119"/>
      <c r="EW617" s="119"/>
      <c r="EX617" s="119"/>
      <c r="EY617" s="119"/>
      <c r="EZ617" s="119"/>
      <c r="FA617" s="119"/>
      <c r="FB617" s="119"/>
      <c r="FC617" s="119"/>
      <c r="FD617" s="119"/>
      <c r="FE617" s="119"/>
      <c r="FF617" s="119"/>
      <c r="FG617" s="119"/>
      <c r="FH617" s="119"/>
      <c r="FI617" s="119"/>
      <c r="FJ617" s="119"/>
      <c r="FK617" s="119"/>
      <c r="FL617" s="119"/>
      <c r="FM617" s="119"/>
      <c r="FN617" s="119"/>
      <c r="FO617" s="119"/>
      <c r="FP617" s="119"/>
      <c r="FQ617" s="119"/>
      <c r="FR617" s="119"/>
    </row>
    <row x14ac:dyDescent="0.25" r="618" customHeight="1" ht="15">
      <c r="A618" s="121"/>
      <c r="B618" s="121"/>
      <c r="C618" s="122"/>
      <c r="D618" s="122"/>
      <c r="E618" s="123"/>
      <c r="F618" s="123"/>
      <c r="G618" s="124"/>
      <c r="H618" s="125"/>
      <c r="I618" s="126"/>
      <c r="J618" s="127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19"/>
      <c r="BA618" s="119"/>
      <c r="BB618" s="119"/>
      <c r="BC618" s="119"/>
      <c r="BD618" s="119"/>
      <c r="BE618" s="119"/>
      <c r="BF618" s="119"/>
      <c r="BG618" s="119"/>
      <c r="BH618" s="119"/>
      <c r="BI618" s="119"/>
      <c r="BJ618" s="119"/>
      <c r="BK618" s="119"/>
      <c r="BL618" s="119"/>
      <c r="BM618" s="119"/>
      <c r="BN618" s="119"/>
      <c r="BO618" s="119"/>
      <c r="BP618" s="119"/>
      <c r="BQ618" s="119"/>
      <c r="BR618" s="119"/>
      <c r="BS618" s="119"/>
      <c r="BT618" s="119"/>
      <c r="BU618" s="119"/>
      <c r="BV618" s="119"/>
      <c r="BW618" s="119"/>
      <c r="BX618" s="119"/>
      <c r="BY618" s="119"/>
      <c r="BZ618" s="119"/>
      <c r="CA618" s="119"/>
      <c r="CB618" s="119"/>
      <c r="CC618" s="119"/>
      <c r="CD618" s="119"/>
      <c r="CE618" s="119"/>
      <c r="CF618" s="119"/>
      <c r="CG618" s="119"/>
      <c r="CH618" s="119"/>
      <c r="CI618" s="119"/>
      <c r="CJ618" s="119"/>
      <c r="CK618" s="119"/>
      <c r="CL618" s="119"/>
      <c r="CM618" s="119"/>
      <c r="CN618" s="119"/>
      <c r="CO618" s="119"/>
      <c r="CP618" s="119"/>
      <c r="CQ618" s="119"/>
      <c r="CR618" s="119"/>
      <c r="CS618" s="119"/>
      <c r="CT618" s="119"/>
      <c r="CU618" s="119"/>
      <c r="CV618" s="119"/>
      <c r="CW618" s="119"/>
      <c r="CX618" s="119"/>
      <c r="CY618" s="119"/>
      <c r="CZ618" s="119"/>
      <c r="DA618" s="119"/>
      <c r="DB618" s="119"/>
      <c r="DC618" s="119"/>
      <c r="DD618" s="119"/>
      <c r="DE618" s="119"/>
      <c r="DF618" s="119"/>
      <c r="DG618" s="119"/>
      <c r="DH618" s="119"/>
      <c r="DI618" s="119"/>
      <c r="DJ618" s="119"/>
      <c r="DK618" s="119"/>
      <c r="DL618" s="119"/>
      <c r="DM618" s="119"/>
      <c r="DN618" s="119"/>
      <c r="DO618" s="119"/>
      <c r="DP618" s="119"/>
      <c r="DQ618" s="119"/>
      <c r="DR618" s="119"/>
      <c r="DS618" s="119"/>
      <c r="DT618" s="119"/>
      <c r="DU618" s="119"/>
      <c r="DV618" s="119"/>
      <c r="DW618" s="119"/>
      <c r="DX618" s="119"/>
      <c r="DY618" s="119"/>
      <c r="DZ618" s="119"/>
      <c r="EA618" s="119"/>
      <c r="EB618" s="119"/>
      <c r="EC618" s="119"/>
      <c r="ED618" s="119"/>
      <c r="EE618" s="119"/>
      <c r="EF618" s="119"/>
      <c r="EG618" s="119"/>
      <c r="EH618" s="119"/>
      <c r="EI618" s="119"/>
      <c r="EJ618" s="119"/>
      <c r="EK618" s="119"/>
      <c r="EL618" s="119"/>
      <c r="EM618" s="119"/>
      <c r="EN618" s="119"/>
      <c r="EO618" s="119"/>
      <c r="EP618" s="119"/>
      <c r="EQ618" s="119"/>
      <c r="ER618" s="119"/>
      <c r="ES618" s="119"/>
      <c r="ET618" s="119"/>
      <c r="EU618" s="119"/>
      <c r="EV618" s="119"/>
      <c r="EW618" s="119"/>
      <c r="EX618" s="119"/>
      <c r="EY618" s="119"/>
      <c r="EZ618" s="119"/>
      <c r="FA618" s="119"/>
      <c r="FB618" s="119"/>
      <c r="FC618" s="119"/>
      <c r="FD618" s="119"/>
      <c r="FE618" s="119"/>
      <c r="FF618" s="119"/>
      <c r="FG618" s="119"/>
      <c r="FH618" s="119"/>
      <c r="FI618" s="119"/>
      <c r="FJ618" s="119"/>
      <c r="FK618" s="119"/>
      <c r="FL618" s="119"/>
      <c r="FM618" s="119"/>
      <c r="FN618" s="119"/>
      <c r="FO618" s="119"/>
      <c r="FP618" s="119"/>
      <c r="FQ618" s="119"/>
      <c r="FR618" s="119"/>
    </row>
    <row x14ac:dyDescent="0.25" r="619" customHeight="1" ht="15">
      <c r="A619" s="121"/>
      <c r="B619" s="121"/>
      <c r="C619" s="122"/>
      <c r="D619" s="122"/>
      <c r="E619" s="123"/>
      <c r="F619" s="123"/>
      <c r="G619" s="124"/>
      <c r="H619" s="125"/>
      <c r="I619" s="126"/>
      <c r="J619" s="127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19"/>
      <c r="BA619" s="119"/>
      <c r="BB619" s="119"/>
      <c r="BC619" s="119"/>
      <c r="BD619" s="119"/>
      <c r="BE619" s="119"/>
      <c r="BF619" s="119"/>
      <c r="BG619" s="119"/>
      <c r="BH619" s="119"/>
      <c r="BI619" s="119"/>
      <c r="BJ619" s="119"/>
      <c r="BK619" s="119"/>
      <c r="BL619" s="119"/>
      <c r="BM619" s="119"/>
      <c r="BN619" s="119"/>
      <c r="BO619" s="119"/>
      <c r="BP619" s="119"/>
      <c r="BQ619" s="119"/>
      <c r="BR619" s="119"/>
      <c r="BS619" s="119"/>
      <c r="BT619" s="119"/>
      <c r="BU619" s="119"/>
      <c r="BV619" s="119"/>
      <c r="BW619" s="119"/>
      <c r="BX619" s="119"/>
      <c r="BY619" s="119"/>
      <c r="BZ619" s="119"/>
      <c r="CA619" s="119"/>
      <c r="CB619" s="119"/>
      <c r="CC619" s="119"/>
      <c r="CD619" s="119"/>
      <c r="CE619" s="119"/>
      <c r="CF619" s="119"/>
      <c r="CG619" s="119"/>
      <c r="CH619" s="119"/>
      <c r="CI619" s="119"/>
      <c r="CJ619" s="119"/>
      <c r="CK619" s="119"/>
      <c r="CL619" s="119"/>
      <c r="CM619" s="119"/>
      <c r="CN619" s="119"/>
      <c r="CO619" s="119"/>
      <c r="CP619" s="119"/>
      <c r="CQ619" s="119"/>
      <c r="CR619" s="119"/>
      <c r="CS619" s="119"/>
      <c r="CT619" s="119"/>
      <c r="CU619" s="119"/>
      <c r="CV619" s="119"/>
      <c r="CW619" s="119"/>
      <c r="CX619" s="119"/>
      <c r="CY619" s="119"/>
      <c r="CZ619" s="119"/>
      <c r="DA619" s="119"/>
      <c r="DB619" s="119"/>
      <c r="DC619" s="119"/>
      <c r="DD619" s="119"/>
      <c r="DE619" s="119"/>
      <c r="DF619" s="119"/>
      <c r="DG619" s="119"/>
      <c r="DH619" s="119"/>
      <c r="DI619" s="119"/>
      <c r="DJ619" s="119"/>
      <c r="DK619" s="119"/>
      <c r="DL619" s="119"/>
      <c r="DM619" s="119"/>
      <c r="DN619" s="119"/>
      <c r="DO619" s="119"/>
      <c r="DP619" s="119"/>
      <c r="DQ619" s="119"/>
      <c r="DR619" s="119"/>
      <c r="DS619" s="119"/>
      <c r="DT619" s="119"/>
      <c r="DU619" s="119"/>
      <c r="DV619" s="119"/>
      <c r="DW619" s="119"/>
      <c r="DX619" s="119"/>
      <c r="DY619" s="119"/>
      <c r="DZ619" s="119"/>
      <c r="EA619" s="119"/>
      <c r="EB619" s="119"/>
      <c r="EC619" s="119"/>
      <c r="ED619" s="119"/>
      <c r="EE619" s="119"/>
      <c r="EF619" s="119"/>
      <c r="EG619" s="119"/>
      <c r="EH619" s="119"/>
      <c r="EI619" s="119"/>
      <c r="EJ619" s="119"/>
      <c r="EK619" s="119"/>
      <c r="EL619" s="119"/>
      <c r="EM619" s="119"/>
      <c r="EN619" s="119"/>
      <c r="EO619" s="119"/>
      <c r="EP619" s="119"/>
      <c r="EQ619" s="119"/>
      <c r="ER619" s="119"/>
      <c r="ES619" s="119"/>
      <c r="ET619" s="119"/>
      <c r="EU619" s="119"/>
      <c r="EV619" s="119"/>
      <c r="EW619" s="119"/>
      <c r="EX619" s="119"/>
      <c r="EY619" s="119"/>
      <c r="EZ619" s="119"/>
      <c r="FA619" s="119"/>
      <c r="FB619" s="119"/>
      <c r="FC619" s="119"/>
      <c r="FD619" s="119"/>
      <c r="FE619" s="119"/>
      <c r="FF619" s="119"/>
      <c r="FG619" s="119"/>
      <c r="FH619" s="119"/>
      <c r="FI619" s="119"/>
      <c r="FJ619" s="119"/>
      <c r="FK619" s="119"/>
      <c r="FL619" s="119"/>
      <c r="FM619" s="119"/>
      <c r="FN619" s="119"/>
      <c r="FO619" s="119"/>
      <c r="FP619" s="119"/>
      <c r="FQ619" s="119"/>
      <c r="FR619" s="119"/>
    </row>
    <row x14ac:dyDescent="0.25" r="620" customHeight="1" ht="15">
      <c r="A620" s="121"/>
      <c r="B620" s="121"/>
      <c r="C620" s="122"/>
      <c r="D620" s="122"/>
      <c r="E620" s="123"/>
      <c r="F620" s="123"/>
      <c r="G620" s="124"/>
      <c r="H620" s="125"/>
      <c r="I620" s="126"/>
      <c r="J620" s="127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19"/>
      <c r="BA620" s="119"/>
      <c r="BB620" s="119"/>
      <c r="BC620" s="119"/>
      <c r="BD620" s="119"/>
      <c r="BE620" s="119"/>
      <c r="BF620" s="119"/>
      <c r="BG620" s="119"/>
      <c r="BH620" s="119"/>
      <c r="BI620" s="119"/>
      <c r="BJ620" s="119"/>
      <c r="BK620" s="119"/>
      <c r="BL620" s="119"/>
      <c r="BM620" s="119"/>
      <c r="BN620" s="119"/>
      <c r="BO620" s="119"/>
      <c r="BP620" s="119"/>
      <c r="BQ620" s="119"/>
      <c r="BR620" s="119"/>
      <c r="BS620" s="119"/>
      <c r="BT620" s="119"/>
      <c r="BU620" s="119"/>
      <c r="BV620" s="119"/>
      <c r="BW620" s="119"/>
      <c r="BX620" s="119"/>
      <c r="BY620" s="119"/>
      <c r="BZ620" s="119"/>
      <c r="CA620" s="119"/>
      <c r="CB620" s="119"/>
      <c r="CC620" s="119"/>
      <c r="CD620" s="119"/>
      <c r="CE620" s="119"/>
      <c r="CF620" s="119"/>
      <c r="CG620" s="119"/>
      <c r="CH620" s="119"/>
      <c r="CI620" s="119"/>
      <c r="CJ620" s="119"/>
      <c r="CK620" s="119"/>
      <c r="CL620" s="119"/>
      <c r="CM620" s="119"/>
      <c r="CN620" s="119"/>
      <c r="CO620" s="119"/>
      <c r="CP620" s="119"/>
      <c r="CQ620" s="119"/>
      <c r="CR620" s="119"/>
      <c r="CS620" s="119"/>
      <c r="CT620" s="119"/>
      <c r="CU620" s="119"/>
      <c r="CV620" s="119"/>
      <c r="CW620" s="119"/>
      <c r="CX620" s="119"/>
      <c r="CY620" s="119"/>
      <c r="CZ620" s="119"/>
      <c r="DA620" s="119"/>
      <c r="DB620" s="119"/>
      <c r="DC620" s="119"/>
      <c r="DD620" s="119"/>
      <c r="DE620" s="119"/>
      <c r="DF620" s="119"/>
      <c r="DG620" s="119"/>
      <c r="DH620" s="119"/>
      <c r="DI620" s="119"/>
      <c r="DJ620" s="119"/>
      <c r="DK620" s="119"/>
      <c r="DL620" s="119"/>
      <c r="DM620" s="119"/>
      <c r="DN620" s="119"/>
      <c r="DO620" s="119"/>
      <c r="DP620" s="119"/>
      <c r="DQ620" s="119"/>
      <c r="DR620" s="119"/>
      <c r="DS620" s="119"/>
      <c r="DT620" s="119"/>
      <c r="DU620" s="119"/>
      <c r="DV620" s="119"/>
      <c r="DW620" s="119"/>
      <c r="DX620" s="119"/>
      <c r="DY620" s="119"/>
      <c r="DZ620" s="119"/>
      <c r="EA620" s="119"/>
      <c r="EB620" s="119"/>
      <c r="EC620" s="119"/>
      <c r="ED620" s="119"/>
      <c r="EE620" s="119"/>
      <c r="EF620" s="119"/>
      <c r="EG620" s="119"/>
      <c r="EH620" s="119"/>
      <c r="EI620" s="119"/>
      <c r="EJ620" s="119"/>
      <c r="EK620" s="119"/>
      <c r="EL620" s="119"/>
      <c r="EM620" s="119"/>
      <c r="EN620" s="119"/>
      <c r="EO620" s="119"/>
      <c r="EP620" s="119"/>
      <c r="EQ620" s="119"/>
      <c r="ER620" s="119"/>
      <c r="ES620" s="119"/>
      <c r="ET620" s="119"/>
      <c r="EU620" s="119"/>
      <c r="EV620" s="119"/>
      <c r="EW620" s="119"/>
      <c r="EX620" s="119"/>
      <c r="EY620" s="119"/>
      <c r="EZ620" s="119"/>
      <c r="FA620" s="119"/>
      <c r="FB620" s="119"/>
      <c r="FC620" s="119"/>
      <c r="FD620" s="119"/>
      <c r="FE620" s="119"/>
      <c r="FF620" s="119"/>
      <c r="FG620" s="119"/>
      <c r="FH620" s="119"/>
      <c r="FI620" s="119"/>
      <c r="FJ620" s="119"/>
      <c r="FK620" s="119"/>
      <c r="FL620" s="119"/>
      <c r="FM620" s="119"/>
      <c r="FN620" s="119"/>
      <c r="FO620" s="119"/>
      <c r="FP620" s="119"/>
      <c r="FQ620" s="119"/>
      <c r="FR620" s="119"/>
    </row>
    <row x14ac:dyDescent="0.25" r="621" customHeight="1" ht="15">
      <c r="A621" s="121"/>
      <c r="B621" s="121"/>
      <c r="C621" s="122"/>
      <c r="D621" s="122"/>
      <c r="E621" s="123"/>
      <c r="F621" s="123"/>
      <c r="G621" s="124"/>
      <c r="H621" s="125"/>
      <c r="I621" s="126"/>
      <c r="J621" s="127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19"/>
      <c r="BA621" s="119"/>
      <c r="BB621" s="119"/>
      <c r="BC621" s="119"/>
      <c r="BD621" s="119"/>
      <c r="BE621" s="119"/>
      <c r="BF621" s="119"/>
      <c r="BG621" s="119"/>
      <c r="BH621" s="119"/>
      <c r="BI621" s="119"/>
      <c r="BJ621" s="119"/>
      <c r="BK621" s="119"/>
      <c r="BL621" s="119"/>
      <c r="BM621" s="119"/>
      <c r="BN621" s="119"/>
      <c r="BO621" s="119"/>
      <c r="BP621" s="119"/>
      <c r="BQ621" s="119"/>
      <c r="BR621" s="119"/>
      <c r="BS621" s="119"/>
      <c r="BT621" s="119"/>
      <c r="BU621" s="119"/>
      <c r="BV621" s="119"/>
      <c r="BW621" s="119"/>
      <c r="BX621" s="119"/>
      <c r="BY621" s="119"/>
      <c r="BZ621" s="119"/>
      <c r="CA621" s="119"/>
      <c r="CB621" s="119"/>
      <c r="CC621" s="119"/>
      <c r="CD621" s="119"/>
      <c r="CE621" s="119"/>
      <c r="CF621" s="119"/>
      <c r="CG621" s="119"/>
      <c r="CH621" s="119"/>
      <c r="CI621" s="119"/>
      <c r="CJ621" s="119"/>
      <c r="CK621" s="119"/>
      <c r="CL621" s="119"/>
      <c r="CM621" s="119"/>
      <c r="CN621" s="119"/>
      <c r="CO621" s="119"/>
      <c r="CP621" s="119"/>
      <c r="CQ621" s="119"/>
      <c r="CR621" s="119"/>
      <c r="CS621" s="119"/>
      <c r="CT621" s="119"/>
      <c r="CU621" s="119"/>
      <c r="CV621" s="119"/>
      <c r="CW621" s="119"/>
      <c r="CX621" s="119"/>
      <c r="CY621" s="119"/>
      <c r="CZ621" s="119"/>
      <c r="DA621" s="119"/>
      <c r="DB621" s="119"/>
      <c r="DC621" s="119"/>
      <c r="DD621" s="119"/>
      <c r="DE621" s="119"/>
      <c r="DF621" s="119"/>
      <c r="DG621" s="119"/>
      <c r="DH621" s="119"/>
      <c r="DI621" s="119"/>
      <c r="DJ621" s="119"/>
      <c r="DK621" s="119"/>
      <c r="DL621" s="119"/>
      <c r="DM621" s="119"/>
      <c r="DN621" s="119"/>
      <c r="DO621" s="119"/>
      <c r="DP621" s="119"/>
      <c r="DQ621" s="119"/>
      <c r="DR621" s="119"/>
      <c r="DS621" s="119"/>
      <c r="DT621" s="119"/>
      <c r="DU621" s="119"/>
      <c r="DV621" s="119"/>
      <c r="DW621" s="119"/>
      <c r="DX621" s="119"/>
      <c r="DY621" s="119"/>
      <c r="DZ621" s="119"/>
      <c r="EA621" s="119"/>
      <c r="EB621" s="119"/>
      <c r="EC621" s="119"/>
      <c r="ED621" s="119"/>
      <c r="EE621" s="119"/>
      <c r="EF621" s="119"/>
      <c r="EG621" s="119"/>
      <c r="EH621" s="119"/>
      <c r="EI621" s="119"/>
      <c r="EJ621" s="119"/>
      <c r="EK621" s="119"/>
      <c r="EL621" s="119"/>
      <c r="EM621" s="119"/>
      <c r="EN621" s="119"/>
      <c r="EO621" s="119"/>
      <c r="EP621" s="119"/>
      <c r="EQ621" s="119"/>
      <c r="ER621" s="119"/>
      <c r="ES621" s="119"/>
      <c r="ET621" s="119"/>
      <c r="EU621" s="119"/>
      <c r="EV621" s="119"/>
      <c r="EW621" s="119"/>
      <c r="EX621" s="119"/>
      <c r="EY621" s="119"/>
      <c r="EZ621" s="119"/>
      <c r="FA621" s="119"/>
      <c r="FB621" s="119"/>
      <c r="FC621" s="119"/>
      <c r="FD621" s="119"/>
      <c r="FE621" s="119"/>
      <c r="FF621" s="119"/>
      <c r="FG621" s="119"/>
      <c r="FH621" s="119"/>
      <c r="FI621" s="119"/>
      <c r="FJ621" s="119"/>
      <c r="FK621" s="119"/>
      <c r="FL621" s="119"/>
      <c r="FM621" s="119"/>
      <c r="FN621" s="119"/>
      <c r="FO621" s="119"/>
      <c r="FP621" s="119"/>
      <c r="FQ621" s="119"/>
      <c r="FR621" s="119"/>
    </row>
    <row x14ac:dyDescent="0.25" r="622" customHeight="1" ht="15">
      <c r="A622" s="121"/>
      <c r="B622" s="121"/>
      <c r="C622" s="122"/>
      <c r="D622" s="122"/>
      <c r="E622" s="123"/>
      <c r="F622" s="123"/>
      <c r="G622" s="124"/>
      <c r="H622" s="125"/>
      <c r="I622" s="126"/>
      <c r="J622" s="127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19"/>
      <c r="BA622" s="119"/>
      <c r="BB622" s="119"/>
      <c r="BC622" s="119"/>
      <c r="BD622" s="119"/>
      <c r="BE622" s="119"/>
      <c r="BF622" s="119"/>
      <c r="BG622" s="119"/>
      <c r="BH622" s="119"/>
      <c r="BI622" s="119"/>
      <c r="BJ622" s="119"/>
      <c r="BK622" s="119"/>
      <c r="BL622" s="119"/>
      <c r="BM622" s="119"/>
      <c r="BN622" s="119"/>
      <c r="BO622" s="119"/>
      <c r="BP622" s="119"/>
      <c r="BQ622" s="119"/>
      <c r="BR622" s="119"/>
      <c r="BS622" s="119"/>
      <c r="BT622" s="119"/>
      <c r="BU622" s="119"/>
      <c r="BV622" s="119"/>
      <c r="BW622" s="119"/>
      <c r="BX622" s="119"/>
      <c r="BY622" s="119"/>
      <c r="BZ622" s="119"/>
      <c r="CA622" s="119"/>
      <c r="CB622" s="119"/>
      <c r="CC622" s="119"/>
      <c r="CD622" s="119"/>
      <c r="CE622" s="119"/>
      <c r="CF622" s="119"/>
      <c r="CG622" s="119"/>
      <c r="CH622" s="119"/>
      <c r="CI622" s="119"/>
      <c r="CJ622" s="119"/>
      <c r="CK622" s="119"/>
      <c r="CL622" s="119"/>
      <c r="CM622" s="119"/>
      <c r="CN622" s="119"/>
      <c r="CO622" s="119"/>
      <c r="CP622" s="119"/>
      <c r="CQ622" s="119"/>
      <c r="CR622" s="119"/>
      <c r="CS622" s="119"/>
      <c r="CT622" s="119"/>
      <c r="CU622" s="119"/>
      <c r="CV622" s="119"/>
      <c r="CW622" s="119"/>
      <c r="CX622" s="119"/>
      <c r="CY622" s="119"/>
      <c r="CZ622" s="119"/>
      <c r="DA622" s="119"/>
      <c r="DB622" s="119"/>
      <c r="DC622" s="119"/>
      <c r="DD622" s="119"/>
      <c r="DE622" s="119"/>
      <c r="DF622" s="119"/>
      <c r="DG622" s="119"/>
      <c r="DH622" s="119"/>
      <c r="DI622" s="119"/>
      <c r="DJ622" s="119"/>
      <c r="DK622" s="119"/>
      <c r="DL622" s="119"/>
      <c r="DM622" s="119"/>
      <c r="DN622" s="119"/>
      <c r="DO622" s="119"/>
      <c r="DP622" s="119"/>
      <c r="DQ622" s="119"/>
      <c r="DR622" s="119"/>
      <c r="DS622" s="119"/>
      <c r="DT622" s="119"/>
      <c r="DU622" s="119"/>
      <c r="DV622" s="119"/>
      <c r="DW622" s="119"/>
      <c r="DX622" s="119"/>
      <c r="DY622" s="119"/>
      <c r="DZ622" s="119"/>
      <c r="EA622" s="119"/>
      <c r="EB622" s="119"/>
      <c r="EC622" s="119"/>
      <c r="ED622" s="119"/>
      <c r="EE622" s="119"/>
      <c r="EF622" s="119"/>
      <c r="EG622" s="119"/>
      <c r="EH622" s="119"/>
      <c r="EI622" s="119"/>
      <c r="EJ622" s="119"/>
      <c r="EK622" s="119"/>
      <c r="EL622" s="119"/>
      <c r="EM622" s="119"/>
      <c r="EN622" s="119"/>
      <c r="EO622" s="119"/>
      <c r="EP622" s="119"/>
      <c r="EQ622" s="119"/>
      <c r="ER622" s="119"/>
      <c r="ES622" s="119"/>
      <c r="ET622" s="119"/>
      <c r="EU622" s="119"/>
      <c r="EV622" s="119"/>
      <c r="EW622" s="119"/>
      <c r="EX622" s="119"/>
      <c r="EY622" s="119"/>
      <c r="EZ622" s="119"/>
      <c r="FA622" s="119"/>
      <c r="FB622" s="119"/>
      <c r="FC622" s="119"/>
      <c r="FD622" s="119"/>
      <c r="FE622" s="119"/>
      <c r="FF622" s="119"/>
      <c r="FG622" s="119"/>
      <c r="FH622" s="119"/>
      <c r="FI622" s="119"/>
      <c r="FJ622" s="119"/>
      <c r="FK622" s="119"/>
      <c r="FL622" s="119"/>
      <c r="FM622" s="119"/>
      <c r="FN622" s="119"/>
      <c r="FO622" s="119"/>
      <c r="FP622" s="119"/>
      <c r="FQ622" s="119"/>
      <c r="FR622" s="119"/>
    </row>
    <row x14ac:dyDescent="0.25" r="623" customHeight="1" ht="15">
      <c r="A623" s="121"/>
      <c r="B623" s="121"/>
      <c r="C623" s="122"/>
      <c r="D623" s="122"/>
      <c r="E623" s="123"/>
      <c r="F623" s="123"/>
      <c r="G623" s="124"/>
      <c r="H623" s="125"/>
      <c r="I623" s="126"/>
      <c r="J623" s="127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19"/>
      <c r="BA623" s="119"/>
      <c r="BB623" s="119"/>
      <c r="BC623" s="119"/>
      <c r="BD623" s="119"/>
      <c r="BE623" s="119"/>
      <c r="BF623" s="119"/>
      <c r="BG623" s="119"/>
      <c r="BH623" s="119"/>
      <c r="BI623" s="119"/>
      <c r="BJ623" s="119"/>
      <c r="BK623" s="119"/>
      <c r="BL623" s="119"/>
      <c r="BM623" s="119"/>
      <c r="BN623" s="119"/>
      <c r="BO623" s="119"/>
      <c r="BP623" s="119"/>
      <c r="BQ623" s="119"/>
      <c r="BR623" s="119"/>
      <c r="BS623" s="119"/>
      <c r="BT623" s="119"/>
      <c r="BU623" s="119"/>
      <c r="BV623" s="119"/>
      <c r="BW623" s="119"/>
      <c r="BX623" s="119"/>
      <c r="BY623" s="119"/>
      <c r="BZ623" s="119"/>
      <c r="CA623" s="119"/>
      <c r="CB623" s="119"/>
      <c r="CC623" s="119"/>
      <c r="CD623" s="119"/>
      <c r="CE623" s="119"/>
      <c r="CF623" s="119"/>
      <c r="CG623" s="119"/>
      <c r="CH623" s="119"/>
      <c r="CI623" s="119"/>
      <c r="CJ623" s="119"/>
      <c r="CK623" s="119"/>
      <c r="CL623" s="119"/>
      <c r="CM623" s="119"/>
      <c r="CN623" s="119"/>
      <c r="CO623" s="119"/>
      <c r="CP623" s="119"/>
      <c r="CQ623" s="119"/>
      <c r="CR623" s="119"/>
      <c r="CS623" s="119"/>
      <c r="CT623" s="119"/>
      <c r="CU623" s="119"/>
      <c r="CV623" s="119"/>
      <c r="CW623" s="119"/>
      <c r="CX623" s="119"/>
      <c r="CY623" s="119"/>
      <c r="CZ623" s="119"/>
      <c r="DA623" s="119"/>
      <c r="DB623" s="119"/>
      <c r="DC623" s="119"/>
      <c r="DD623" s="119"/>
      <c r="DE623" s="119"/>
      <c r="DF623" s="119"/>
      <c r="DG623" s="119"/>
      <c r="DH623" s="119"/>
      <c r="DI623" s="119"/>
      <c r="DJ623" s="119"/>
      <c r="DK623" s="119"/>
      <c r="DL623" s="119"/>
      <c r="DM623" s="119"/>
      <c r="DN623" s="119"/>
      <c r="DO623" s="119"/>
      <c r="DP623" s="119"/>
      <c r="DQ623" s="119"/>
      <c r="DR623" s="119"/>
      <c r="DS623" s="119"/>
      <c r="DT623" s="119"/>
      <c r="DU623" s="119"/>
      <c r="DV623" s="119"/>
      <c r="DW623" s="119"/>
      <c r="DX623" s="119"/>
      <c r="DY623" s="119"/>
      <c r="DZ623" s="119"/>
      <c r="EA623" s="119"/>
      <c r="EB623" s="119"/>
      <c r="EC623" s="119"/>
      <c r="ED623" s="119"/>
      <c r="EE623" s="119"/>
      <c r="EF623" s="119"/>
      <c r="EG623" s="119"/>
      <c r="EH623" s="119"/>
      <c r="EI623" s="119"/>
      <c r="EJ623" s="119"/>
      <c r="EK623" s="119"/>
      <c r="EL623" s="119"/>
      <c r="EM623" s="119"/>
      <c r="EN623" s="119"/>
      <c r="EO623" s="119"/>
      <c r="EP623" s="119"/>
      <c r="EQ623" s="119"/>
      <c r="ER623" s="119"/>
      <c r="ES623" s="119"/>
      <c r="ET623" s="119"/>
      <c r="EU623" s="119"/>
      <c r="EV623" s="119"/>
      <c r="EW623" s="119"/>
      <c r="EX623" s="119"/>
      <c r="EY623" s="119"/>
      <c r="EZ623" s="119"/>
      <c r="FA623" s="119"/>
      <c r="FB623" s="119"/>
      <c r="FC623" s="119"/>
      <c r="FD623" s="119"/>
      <c r="FE623" s="119"/>
      <c r="FF623" s="119"/>
      <c r="FG623" s="119"/>
      <c r="FH623" s="119"/>
      <c r="FI623" s="119"/>
      <c r="FJ623" s="119"/>
      <c r="FK623" s="119"/>
      <c r="FL623" s="119"/>
      <c r="FM623" s="119"/>
      <c r="FN623" s="119"/>
      <c r="FO623" s="119"/>
      <c r="FP623" s="119"/>
      <c r="FQ623" s="119"/>
      <c r="FR623" s="119"/>
    </row>
    <row x14ac:dyDescent="0.25" r="624" customHeight="1" ht="15">
      <c r="A624" s="121"/>
      <c r="B624" s="121"/>
      <c r="C624" s="122"/>
      <c r="D624" s="122"/>
      <c r="E624" s="123"/>
      <c r="F624" s="123"/>
      <c r="G624" s="124"/>
      <c r="H624" s="125"/>
      <c r="I624" s="126"/>
      <c r="J624" s="127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19"/>
      <c r="BA624" s="119"/>
      <c r="BB624" s="119"/>
      <c r="BC624" s="119"/>
      <c r="BD624" s="119"/>
      <c r="BE624" s="119"/>
      <c r="BF624" s="119"/>
      <c r="BG624" s="119"/>
      <c r="BH624" s="119"/>
      <c r="BI624" s="119"/>
      <c r="BJ624" s="119"/>
      <c r="BK624" s="119"/>
      <c r="BL624" s="119"/>
      <c r="BM624" s="119"/>
      <c r="BN624" s="119"/>
      <c r="BO624" s="119"/>
      <c r="BP624" s="119"/>
      <c r="BQ624" s="119"/>
      <c r="BR624" s="119"/>
      <c r="BS624" s="119"/>
      <c r="BT624" s="119"/>
      <c r="BU624" s="119"/>
      <c r="BV624" s="119"/>
      <c r="BW624" s="119"/>
      <c r="BX624" s="119"/>
      <c r="BY624" s="119"/>
      <c r="BZ624" s="119"/>
      <c r="CA624" s="119"/>
      <c r="CB624" s="119"/>
      <c r="CC624" s="119"/>
      <c r="CD624" s="119"/>
      <c r="CE624" s="119"/>
      <c r="CF624" s="119"/>
      <c r="CG624" s="119"/>
      <c r="CH624" s="119"/>
      <c r="CI624" s="119"/>
      <c r="CJ624" s="119"/>
      <c r="CK624" s="119"/>
      <c r="CL624" s="119"/>
      <c r="CM624" s="119"/>
      <c r="CN624" s="119"/>
      <c r="CO624" s="119"/>
      <c r="CP624" s="119"/>
      <c r="CQ624" s="119"/>
      <c r="CR624" s="119"/>
      <c r="CS624" s="119"/>
      <c r="CT624" s="119"/>
      <c r="CU624" s="119"/>
      <c r="CV624" s="119"/>
      <c r="CW624" s="119"/>
      <c r="CX624" s="119"/>
      <c r="CY624" s="119"/>
      <c r="CZ624" s="119"/>
      <c r="DA624" s="119"/>
      <c r="DB624" s="119"/>
      <c r="DC624" s="119"/>
      <c r="DD624" s="119"/>
      <c r="DE624" s="119"/>
      <c r="DF624" s="119"/>
      <c r="DG624" s="119"/>
      <c r="DH624" s="119"/>
      <c r="DI624" s="119"/>
      <c r="DJ624" s="119"/>
      <c r="DK624" s="119"/>
      <c r="DL624" s="119"/>
      <c r="DM624" s="119"/>
      <c r="DN624" s="119"/>
      <c r="DO624" s="119"/>
      <c r="DP624" s="119"/>
      <c r="DQ624" s="119"/>
      <c r="DR624" s="119"/>
      <c r="DS624" s="119"/>
      <c r="DT624" s="119"/>
      <c r="DU624" s="119"/>
      <c r="DV624" s="119"/>
      <c r="DW624" s="119"/>
      <c r="DX624" s="119"/>
      <c r="DY624" s="119"/>
      <c r="DZ624" s="119"/>
      <c r="EA624" s="119"/>
      <c r="EB624" s="119"/>
      <c r="EC624" s="119"/>
      <c r="ED624" s="119"/>
      <c r="EE624" s="119"/>
      <c r="EF624" s="119"/>
      <c r="EG624" s="119"/>
      <c r="EH624" s="119"/>
      <c r="EI624" s="119"/>
      <c r="EJ624" s="119"/>
      <c r="EK624" s="119"/>
      <c r="EL624" s="119"/>
      <c r="EM624" s="119"/>
      <c r="EN624" s="119"/>
      <c r="EO624" s="119"/>
      <c r="EP624" s="119"/>
      <c r="EQ624" s="119"/>
      <c r="ER624" s="119"/>
      <c r="ES624" s="119"/>
      <c r="ET624" s="119"/>
      <c r="EU624" s="119"/>
      <c r="EV624" s="119"/>
      <c r="EW624" s="119"/>
      <c r="EX624" s="119"/>
      <c r="EY624" s="119"/>
      <c r="EZ624" s="119"/>
      <c r="FA624" s="119"/>
      <c r="FB624" s="119"/>
      <c r="FC624" s="119"/>
      <c r="FD624" s="119"/>
      <c r="FE624" s="119"/>
      <c r="FF624" s="119"/>
      <c r="FG624" s="119"/>
      <c r="FH624" s="119"/>
      <c r="FI624" s="119"/>
      <c r="FJ624" s="119"/>
      <c r="FK624" s="119"/>
      <c r="FL624" s="119"/>
      <c r="FM624" s="119"/>
      <c r="FN624" s="119"/>
      <c r="FO624" s="119"/>
      <c r="FP624" s="119"/>
      <c r="FQ624" s="119"/>
      <c r="FR624" s="119"/>
    </row>
    <row x14ac:dyDescent="0.25" r="625" customHeight="1" ht="15">
      <c r="A625" s="121"/>
      <c r="B625" s="121"/>
      <c r="C625" s="122"/>
      <c r="D625" s="122"/>
      <c r="E625" s="123"/>
      <c r="F625" s="123"/>
      <c r="G625" s="124"/>
      <c r="H625" s="125"/>
      <c r="I625" s="126"/>
      <c r="J625" s="127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19"/>
      <c r="BA625" s="119"/>
      <c r="BB625" s="119"/>
      <c r="BC625" s="119"/>
      <c r="BD625" s="119"/>
      <c r="BE625" s="119"/>
      <c r="BF625" s="119"/>
      <c r="BG625" s="119"/>
      <c r="BH625" s="119"/>
      <c r="BI625" s="119"/>
      <c r="BJ625" s="119"/>
      <c r="BK625" s="119"/>
      <c r="BL625" s="119"/>
      <c r="BM625" s="119"/>
      <c r="BN625" s="119"/>
      <c r="BO625" s="119"/>
      <c r="BP625" s="119"/>
      <c r="BQ625" s="119"/>
      <c r="BR625" s="119"/>
      <c r="BS625" s="119"/>
      <c r="BT625" s="119"/>
      <c r="BU625" s="119"/>
      <c r="BV625" s="119"/>
      <c r="BW625" s="119"/>
      <c r="BX625" s="119"/>
      <c r="BY625" s="119"/>
      <c r="BZ625" s="119"/>
      <c r="CA625" s="119"/>
      <c r="CB625" s="119"/>
      <c r="CC625" s="119"/>
      <c r="CD625" s="119"/>
      <c r="CE625" s="119"/>
      <c r="CF625" s="119"/>
      <c r="CG625" s="119"/>
      <c r="CH625" s="119"/>
      <c r="CI625" s="119"/>
      <c r="CJ625" s="119"/>
      <c r="CK625" s="119"/>
      <c r="CL625" s="119"/>
      <c r="CM625" s="119"/>
      <c r="CN625" s="119"/>
      <c r="CO625" s="119"/>
      <c r="CP625" s="119"/>
      <c r="CQ625" s="119"/>
      <c r="CR625" s="119"/>
      <c r="CS625" s="119"/>
      <c r="CT625" s="119"/>
      <c r="CU625" s="119"/>
      <c r="CV625" s="119"/>
      <c r="CW625" s="119"/>
      <c r="CX625" s="119"/>
      <c r="CY625" s="119"/>
      <c r="CZ625" s="119"/>
      <c r="DA625" s="119"/>
      <c r="DB625" s="119"/>
      <c r="DC625" s="119"/>
      <c r="DD625" s="119"/>
      <c r="DE625" s="119"/>
      <c r="DF625" s="119"/>
      <c r="DG625" s="119"/>
      <c r="DH625" s="119"/>
      <c r="DI625" s="119"/>
      <c r="DJ625" s="119"/>
      <c r="DK625" s="119"/>
      <c r="DL625" s="119"/>
      <c r="DM625" s="119"/>
      <c r="DN625" s="119"/>
      <c r="DO625" s="119"/>
      <c r="DP625" s="119"/>
      <c r="DQ625" s="119"/>
      <c r="DR625" s="119"/>
      <c r="DS625" s="119"/>
      <c r="DT625" s="119"/>
      <c r="DU625" s="119"/>
      <c r="DV625" s="119"/>
      <c r="DW625" s="119"/>
      <c r="DX625" s="119"/>
      <c r="DY625" s="119"/>
      <c r="DZ625" s="119"/>
      <c r="EA625" s="119"/>
      <c r="EB625" s="119"/>
      <c r="EC625" s="119"/>
      <c r="ED625" s="119"/>
      <c r="EE625" s="119"/>
      <c r="EF625" s="119"/>
      <c r="EG625" s="119"/>
      <c r="EH625" s="119"/>
      <c r="EI625" s="119"/>
      <c r="EJ625" s="119"/>
      <c r="EK625" s="119"/>
      <c r="EL625" s="119"/>
      <c r="EM625" s="119"/>
      <c r="EN625" s="119"/>
      <c r="EO625" s="119"/>
      <c r="EP625" s="119"/>
      <c r="EQ625" s="119"/>
      <c r="ER625" s="119"/>
      <c r="ES625" s="119"/>
      <c r="ET625" s="119"/>
      <c r="EU625" s="119"/>
      <c r="EV625" s="119"/>
      <c r="EW625" s="119"/>
      <c r="EX625" s="119"/>
      <c r="EY625" s="119"/>
      <c r="EZ625" s="119"/>
      <c r="FA625" s="119"/>
      <c r="FB625" s="119"/>
      <c r="FC625" s="119"/>
      <c r="FD625" s="119"/>
      <c r="FE625" s="119"/>
      <c r="FF625" s="119"/>
      <c r="FG625" s="119"/>
      <c r="FH625" s="119"/>
      <c r="FI625" s="119"/>
      <c r="FJ625" s="119"/>
      <c r="FK625" s="119"/>
      <c r="FL625" s="119"/>
      <c r="FM625" s="119"/>
      <c r="FN625" s="119"/>
      <c r="FO625" s="119"/>
      <c r="FP625" s="119"/>
      <c r="FQ625" s="119"/>
      <c r="FR625" s="119"/>
    </row>
    <row x14ac:dyDescent="0.25" r="626" customHeight="1" ht="15">
      <c r="A626" s="121"/>
      <c r="B626" s="121"/>
      <c r="C626" s="122"/>
      <c r="D626" s="122"/>
      <c r="E626" s="123"/>
      <c r="F626" s="123"/>
      <c r="G626" s="124"/>
      <c r="H626" s="125"/>
      <c r="I626" s="126"/>
      <c r="J626" s="127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19"/>
      <c r="BA626" s="119"/>
      <c r="BB626" s="119"/>
      <c r="BC626" s="119"/>
      <c r="BD626" s="119"/>
      <c r="BE626" s="119"/>
      <c r="BF626" s="119"/>
      <c r="BG626" s="119"/>
      <c r="BH626" s="119"/>
      <c r="BI626" s="119"/>
      <c r="BJ626" s="119"/>
      <c r="BK626" s="119"/>
      <c r="BL626" s="119"/>
      <c r="BM626" s="119"/>
      <c r="BN626" s="119"/>
      <c r="BO626" s="119"/>
      <c r="BP626" s="119"/>
      <c r="BQ626" s="119"/>
      <c r="BR626" s="119"/>
      <c r="BS626" s="119"/>
      <c r="BT626" s="119"/>
      <c r="BU626" s="119"/>
      <c r="BV626" s="119"/>
      <c r="BW626" s="119"/>
      <c r="BX626" s="119"/>
      <c r="BY626" s="119"/>
      <c r="BZ626" s="119"/>
      <c r="CA626" s="119"/>
      <c r="CB626" s="119"/>
      <c r="CC626" s="119"/>
      <c r="CD626" s="119"/>
      <c r="CE626" s="119"/>
      <c r="CF626" s="119"/>
      <c r="CG626" s="119"/>
      <c r="CH626" s="119"/>
      <c r="CI626" s="119"/>
      <c r="CJ626" s="119"/>
      <c r="CK626" s="119"/>
      <c r="CL626" s="119"/>
      <c r="CM626" s="119"/>
      <c r="CN626" s="119"/>
      <c r="CO626" s="119"/>
      <c r="CP626" s="119"/>
      <c r="CQ626" s="119"/>
      <c r="CR626" s="119"/>
      <c r="CS626" s="119"/>
      <c r="CT626" s="119"/>
      <c r="CU626" s="119"/>
      <c r="CV626" s="119"/>
      <c r="CW626" s="119"/>
      <c r="CX626" s="119"/>
      <c r="CY626" s="119"/>
      <c r="CZ626" s="119"/>
      <c r="DA626" s="119"/>
      <c r="DB626" s="119"/>
      <c r="DC626" s="119"/>
      <c r="DD626" s="119"/>
      <c r="DE626" s="119"/>
      <c r="DF626" s="119"/>
      <c r="DG626" s="119"/>
      <c r="DH626" s="119"/>
      <c r="DI626" s="119"/>
      <c r="DJ626" s="119"/>
      <c r="DK626" s="119"/>
      <c r="DL626" s="119"/>
      <c r="DM626" s="119"/>
      <c r="DN626" s="119"/>
      <c r="DO626" s="119"/>
      <c r="DP626" s="119"/>
      <c r="DQ626" s="119"/>
      <c r="DR626" s="119"/>
      <c r="DS626" s="119"/>
      <c r="DT626" s="119"/>
      <c r="DU626" s="119"/>
      <c r="DV626" s="119"/>
      <c r="DW626" s="119"/>
      <c r="DX626" s="119"/>
      <c r="DY626" s="119"/>
      <c r="DZ626" s="119"/>
      <c r="EA626" s="119"/>
      <c r="EB626" s="119"/>
      <c r="EC626" s="119"/>
      <c r="ED626" s="119"/>
      <c r="EE626" s="119"/>
      <c r="EF626" s="119"/>
      <c r="EG626" s="119"/>
      <c r="EH626" s="119"/>
      <c r="EI626" s="119"/>
      <c r="EJ626" s="119"/>
      <c r="EK626" s="119"/>
      <c r="EL626" s="119"/>
      <c r="EM626" s="119"/>
      <c r="EN626" s="119"/>
      <c r="EO626" s="119"/>
      <c r="EP626" s="119"/>
      <c r="EQ626" s="119"/>
      <c r="ER626" s="119"/>
      <c r="ES626" s="119"/>
      <c r="ET626" s="119"/>
      <c r="EU626" s="119"/>
      <c r="EV626" s="119"/>
      <c r="EW626" s="119"/>
      <c r="EX626" s="119"/>
      <c r="EY626" s="119"/>
      <c r="EZ626" s="119"/>
      <c r="FA626" s="119"/>
      <c r="FB626" s="119"/>
      <c r="FC626" s="119"/>
      <c r="FD626" s="119"/>
      <c r="FE626" s="119"/>
      <c r="FF626" s="119"/>
      <c r="FG626" s="119"/>
      <c r="FH626" s="119"/>
      <c r="FI626" s="119"/>
      <c r="FJ626" s="119"/>
      <c r="FK626" s="119"/>
      <c r="FL626" s="119"/>
      <c r="FM626" s="119"/>
      <c r="FN626" s="119"/>
      <c r="FO626" s="119"/>
      <c r="FP626" s="119"/>
      <c r="FQ626" s="119"/>
      <c r="FR626" s="119"/>
    </row>
    <row x14ac:dyDescent="0.25" r="627" customHeight="1" ht="15">
      <c r="A627" s="121"/>
      <c r="B627" s="121"/>
      <c r="C627" s="122"/>
      <c r="D627" s="122"/>
      <c r="E627" s="123"/>
      <c r="F627" s="123"/>
      <c r="G627" s="124"/>
      <c r="H627" s="125"/>
      <c r="I627" s="126"/>
      <c r="J627" s="127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19"/>
      <c r="BA627" s="119"/>
      <c r="BB627" s="119"/>
      <c r="BC627" s="119"/>
      <c r="BD627" s="119"/>
      <c r="BE627" s="119"/>
      <c r="BF627" s="119"/>
      <c r="BG627" s="119"/>
      <c r="BH627" s="119"/>
      <c r="BI627" s="119"/>
      <c r="BJ627" s="119"/>
      <c r="BK627" s="119"/>
      <c r="BL627" s="119"/>
      <c r="BM627" s="119"/>
      <c r="BN627" s="119"/>
      <c r="BO627" s="119"/>
      <c r="BP627" s="119"/>
      <c r="BQ627" s="119"/>
      <c r="BR627" s="119"/>
      <c r="BS627" s="119"/>
      <c r="BT627" s="119"/>
      <c r="BU627" s="119"/>
      <c r="BV627" s="119"/>
      <c r="BW627" s="119"/>
      <c r="BX627" s="119"/>
      <c r="BY627" s="119"/>
      <c r="BZ627" s="119"/>
      <c r="CA627" s="119"/>
      <c r="CB627" s="119"/>
      <c r="CC627" s="119"/>
      <c r="CD627" s="119"/>
      <c r="CE627" s="119"/>
      <c r="CF627" s="119"/>
      <c r="CG627" s="119"/>
      <c r="CH627" s="119"/>
      <c r="CI627" s="119"/>
      <c r="CJ627" s="119"/>
      <c r="CK627" s="119"/>
      <c r="CL627" s="119"/>
      <c r="CM627" s="119"/>
      <c r="CN627" s="119"/>
      <c r="CO627" s="119"/>
      <c r="CP627" s="119"/>
      <c r="CQ627" s="119"/>
      <c r="CR627" s="119"/>
      <c r="CS627" s="119"/>
      <c r="CT627" s="119"/>
      <c r="CU627" s="119"/>
      <c r="CV627" s="119"/>
      <c r="CW627" s="119"/>
      <c r="CX627" s="119"/>
      <c r="CY627" s="119"/>
      <c r="CZ627" s="119"/>
      <c r="DA627" s="119"/>
      <c r="DB627" s="119"/>
      <c r="DC627" s="119"/>
      <c r="DD627" s="119"/>
      <c r="DE627" s="119"/>
      <c r="DF627" s="119"/>
      <c r="DG627" s="119"/>
      <c r="DH627" s="119"/>
      <c r="DI627" s="119"/>
      <c r="DJ627" s="119"/>
      <c r="DK627" s="119"/>
      <c r="DL627" s="119"/>
      <c r="DM627" s="119"/>
      <c r="DN627" s="119"/>
      <c r="DO627" s="119"/>
      <c r="DP627" s="119"/>
      <c r="DQ627" s="119"/>
      <c r="DR627" s="119"/>
      <c r="DS627" s="119"/>
      <c r="DT627" s="119"/>
      <c r="DU627" s="119"/>
      <c r="DV627" s="119"/>
      <c r="DW627" s="119"/>
      <c r="DX627" s="119"/>
      <c r="DY627" s="119"/>
      <c r="DZ627" s="119"/>
      <c r="EA627" s="119"/>
      <c r="EB627" s="119"/>
      <c r="EC627" s="119"/>
      <c r="ED627" s="119"/>
      <c r="EE627" s="119"/>
      <c r="EF627" s="119"/>
      <c r="EG627" s="119"/>
      <c r="EH627" s="119"/>
      <c r="EI627" s="119"/>
      <c r="EJ627" s="119"/>
      <c r="EK627" s="119"/>
      <c r="EL627" s="119"/>
      <c r="EM627" s="119"/>
      <c r="EN627" s="119"/>
      <c r="EO627" s="119"/>
      <c r="EP627" s="119"/>
      <c r="EQ627" s="119"/>
      <c r="ER627" s="119"/>
      <c r="ES627" s="119"/>
      <c r="ET627" s="119"/>
      <c r="EU627" s="119"/>
      <c r="EV627" s="119"/>
      <c r="EW627" s="119"/>
      <c r="EX627" s="119"/>
      <c r="EY627" s="119"/>
      <c r="EZ627" s="119"/>
      <c r="FA627" s="119"/>
      <c r="FB627" s="119"/>
      <c r="FC627" s="119"/>
      <c r="FD627" s="119"/>
      <c r="FE627" s="119"/>
      <c r="FF627" s="119"/>
      <c r="FG627" s="119"/>
      <c r="FH627" s="119"/>
      <c r="FI627" s="119"/>
      <c r="FJ627" s="119"/>
      <c r="FK627" s="119"/>
      <c r="FL627" s="119"/>
      <c r="FM627" s="119"/>
      <c r="FN627" s="119"/>
      <c r="FO627" s="119"/>
      <c r="FP627" s="119"/>
      <c r="FQ627" s="119"/>
      <c r="FR627" s="119"/>
    </row>
    <row x14ac:dyDescent="0.25" r="628" customHeight="1" ht="15">
      <c r="A628" s="121"/>
      <c r="B628" s="121"/>
      <c r="C628" s="122"/>
      <c r="D628" s="122"/>
      <c r="E628" s="123"/>
      <c r="F628" s="123"/>
      <c r="G628" s="124"/>
      <c r="H628" s="125"/>
      <c r="I628" s="126"/>
      <c r="J628" s="127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19"/>
      <c r="BA628" s="119"/>
      <c r="BB628" s="119"/>
      <c r="BC628" s="119"/>
      <c r="BD628" s="119"/>
      <c r="BE628" s="119"/>
      <c r="BF628" s="119"/>
      <c r="BG628" s="119"/>
      <c r="BH628" s="119"/>
      <c r="BI628" s="119"/>
      <c r="BJ628" s="119"/>
      <c r="BK628" s="119"/>
      <c r="BL628" s="119"/>
      <c r="BM628" s="119"/>
      <c r="BN628" s="119"/>
      <c r="BO628" s="119"/>
      <c r="BP628" s="119"/>
      <c r="BQ628" s="119"/>
      <c r="BR628" s="119"/>
      <c r="BS628" s="119"/>
      <c r="BT628" s="119"/>
      <c r="BU628" s="119"/>
      <c r="BV628" s="119"/>
      <c r="BW628" s="119"/>
      <c r="BX628" s="119"/>
      <c r="BY628" s="119"/>
      <c r="BZ628" s="119"/>
      <c r="CA628" s="119"/>
      <c r="CB628" s="119"/>
      <c r="CC628" s="119"/>
      <c r="CD628" s="119"/>
      <c r="CE628" s="119"/>
      <c r="CF628" s="119"/>
      <c r="CG628" s="119"/>
      <c r="CH628" s="119"/>
      <c r="CI628" s="119"/>
      <c r="CJ628" s="119"/>
      <c r="CK628" s="119"/>
      <c r="CL628" s="119"/>
      <c r="CM628" s="119"/>
      <c r="CN628" s="119"/>
      <c r="CO628" s="119"/>
      <c r="CP628" s="119"/>
      <c r="CQ628" s="119"/>
      <c r="CR628" s="119"/>
      <c r="CS628" s="119"/>
      <c r="CT628" s="119"/>
      <c r="CU628" s="119"/>
      <c r="CV628" s="119"/>
      <c r="CW628" s="119"/>
      <c r="CX628" s="119"/>
      <c r="CY628" s="119"/>
      <c r="CZ628" s="119"/>
      <c r="DA628" s="119"/>
      <c r="DB628" s="119"/>
      <c r="DC628" s="119"/>
      <c r="DD628" s="119"/>
      <c r="DE628" s="119"/>
      <c r="DF628" s="119"/>
      <c r="DG628" s="119"/>
      <c r="DH628" s="119"/>
      <c r="DI628" s="119"/>
      <c r="DJ628" s="119"/>
      <c r="DK628" s="119"/>
      <c r="DL628" s="119"/>
      <c r="DM628" s="119"/>
      <c r="DN628" s="119"/>
      <c r="DO628" s="119"/>
      <c r="DP628" s="119"/>
      <c r="DQ628" s="119"/>
      <c r="DR628" s="119"/>
      <c r="DS628" s="119"/>
      <c r="DT628" s="119"/>
      <c r="DU628" s="119"/>
      <c r="DV628" s="119"/>
      <c r="DW628" s="119"/>
      <c r="DX628" s="119"/>
      <c r="DY628" s="119"/>
      <c r="DZ628" s="119"/>
      <c r="EA628" s="119"/>
      <c r="EB628" s="119"/>
      <c r="EC628" s="119"/>
      <c r="ED628" s="119"/>
      <c r="EE628" s="119"/>
      <c r="EF628" s="119"/>
      <c r="EG628" s="119"/>
      <c r="EH628" s="119"/>
      <c r="EI628" s="119"/>
      <c r="EJ628" s="119"/>
      <c r="EK628" s="119"/>
      <c r="EL628" s="119"/>
      <c r="EM628" s="119"/>
      <c r="EN628" s="119"/>
      <c r="EO628" s="119"/>
      <c r="EP628" s="119"/>
      <c r="EQ628" s="119"/>
      <c r="ER628" s="119"/>
      <c r="ES628" s="119"/>
      <c r="ET628" s="119"/>
      <c r="EU628" s="119"/>
      <c r="EV628" s="119"/>
      <c r="EW628" s="119"/>
      <c r="EX628" s="119"/>
      <c r="EY628" s="119"/>
      <c r="EZ628" s="119"/>
      <c r="FA628" s="119"/>
      <c r="FB628" s="119"/>
      <c r="FC628" s="119"/>
      <c r="FD628" s="119"/>
      <c r="FE628" s="119"/>
      <c r="FF628" s="119"/>
      <c r="FG628" s="119"/>
      <c r="FH628" s="119"/>
      <c r="FI628" s="119"/>
      <c r="FJ628" s="119"/>
      <c r="FK628" s="119"/>
      <c r="FL628" s="119"/>
      <c r="FM628" s="119"/>
      <c r="FN628" s="119"/>
      <c r="FO628" s="119"/>
      <c r="FP628" s="119"/>
      <c r="FQ628" s="119"/>
      <c r="FR628" s="119"/>
    </row>
    <row x14ac:dyDescent="0.25" r="629" customHeight="1" ht="15">
      <c r="A629" s="121"/>
      <c r="B629" s="121"/>
      <c r="C629" s="122"/>
      <c r="D629" s="122"/>
      <c r="E629" s="123"/>
      <c r="F629" s="123"/>
      <c r="G629" s="124"/>
      <c r="H629" s="125"/>
      <c r="I629" s="126"/>
      <c r="J629" s="127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19"/>
      <c r="BA629" s="119"/>
      <c r="BB629" s="119"/>
      <c r="BC629" s="119"/>
      <c r="BD629" s="119"/>
      <c r="BE629" s="119"/>
      <c r="BF629" s="119"/>
      <c r="BG629" s="119"/>
      <c r="BH629" s="119"/>
      <c r="BI629" s="119"/>
      <c r="BJ629" s="119"/>
      <c r="BK629" s="119"/>
      <c r="BL629" s="119"/>
      <c r="BM629" s="119"/>
      <c r="BN629" s="119"/>
      <c r="BO629" s="119"/>
      <c r="BP629" s="119"/>
      <c r="BQ629" s="119"/>
      <c r="BR629" s="119"/>
      <c r="BS629" s="119"/>
      <c r="BT629" s="119"/>
      <c r="BU629" s="119"/>
      <c r="BV629" s="119"/>
      <c r="BW629" s="119"/>
      <c r="BX629" s="119"/>
      <c r="BY629" s="119"/>
      <c r="BZ629" s="119"/>
      <c r="CA629" s="119"/>
      <c r="CB629" s="119"/>
      <c r="CC629" s="119"/>
      <c r="CD629" s="119"/>
      <c r="CE629" s="119"/>
      <c r="CF629" s="119"/>
      <c r="CG629" s="119"/>
      <c r="CH629" s="119"/>
      <c r="CI629" s="119"/>
      <c r="CJ629" s="119"/>
      <c r="CK629" s="119"/>
      <c r="CL629" s="119"/>
      <c r="CM629" s="119"/>
      <c r="CN629" s="119"/>
      <c r="CO629" s="119"/>
      <c r="CP629" s="119"/>
      <c r="CQ629" s="119"/>
      <c r="CR629" s="119"/>
      <c r="CS629" s="119"/>
      <c r="CT629" s="119"/>
      <c r="CU629" s="119"/>
      <c r="CV629" s="119"/>
      <c r="CW629" s="119"/>
      <c r="CX629" s="119"/>
      <c r="CY629" s="119"/>
      <c r="CZ629" s="119"/>
      <c r="DA629" s="119"/>
      <c r="DB629" s="119"/>
      <c r="DC629" s="119"/>
      <c r="DD629" s="119"/>
      <c r="DE629" s="119"/>
      <c r="DF629" s="119"/>
      <c r="DG629" s="119"/>
      <c r="DH629" s="119"/>
      <c r="DI629" s="119"/>
      <c r="DJ629" s="119"/>
      <c r="DK629" s="119"/>
      <c r="DL629" s="119"/>
      <c r="DM629" s="119"/>
      <c r="DN629" s="119"/>
      <c r="DO629" s="119"/>
      <c r="DP629" s="119"/>
      <c r="DQ629" s="119"/>
      <c r="DR629" s="119"/>
      <c r="DS629" s="119"/>
      <c r="DT629" s="119"/>
      <c r="DU629" s="119"/>
      <c r="DV629" s="119"/>
      <c r="DW629" s="119"/>
      <c r="DX629" s="119"/>
      <c r="DY629" s="119"/>
      <c r="DZ629" s="119"/>
      <c r="EA629" s="119"/>
      <c r="EB629" s="119"/>
      <c r="EC629" s="119"/>
      <c r="ED629" s="119"/>
      <c r="EE629" s="119"/>
      <c r="EF629" s="119"/>
      <c r="EG629" s="119"/>
      <c r="EH629" s="119"/>
      <c r="EI629" s="119"/>
      <c r="EJ629" s="119"/>
      <c r="EK629" s="119"/>
      <c r="EL629" s="119"/>
      <c r="EM629" s="119"/>
      <c r="EN629" s="119"/>
      <c r="EO629" s="119"/>
      <c r="EP629" s="119"/>
      <c r="EQ629" s="119"/>
      <c r="ER629" s="119"/>
      <c r="ES629" s="119"/>
      <c r="ET629" s="119"/>
      <c r="EU629" s="119"/>
      <c r="EV629" s="119"/>
      <c r="EW629" s="119"/>
      <c r="EX629" s="119"/>
      <c r="EY629" s="119"/>
      <c r="EZ629" s="119"/>
      <c r="FA629" s="119"/>
      <c r="FB629" s="119"/>
      <c r="FC629" s="119"/>
      <c r="FD629" s="119"/>
      <c r="FE629" s="119"/>
      <c r="FF629" s="119"/>
      <c r="FG629" s="119"/>
      <c r="FH629" s="119"/>
      <c r="FI629" s="119"/>
      <c r="FJ629" s="119"/>
      <c r="FK629" s="119"/>
      <c r="FL629" s="119"/>
      <c r="FM629" s="119"/>
      <c r="FN629" s="119"/>
      <c r="FO629" s="119"/>
      <c r="FP629" s="119"/>
      <c r="FQ629" s="119"/>
      <c r="FR629" s="119"/>
    </row>
    <row x14ac:dyDescent="0.25" r="630" customHeight="1" ht="15">
      <c r="A630" s="121"/>
      <c r="B630" s="121"/>
      <c r="C630" s="122"/>
      <c r="D630" s="122"/>
      <c r="E630" s="123"/>
      <c r="F630" s="123"/>
      <c r="G630" s="124"/>
      <c r="H630" s="125"/>
      <c r="I630" s="126"/>
      <c r="J630" s="127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19"/>
      <c r="BA630" s="119"/>
      <c r="BB630" s="119"/>
      <c r="BC630" s="119"/>
      <c r="BD630" s="119"/>
      <c r="BE630" s="119"/>
      <c r="BF630" s="119"/>
      <c r="BG630" s="119"/>
      <c r="BH630" s="119"/>
      <c r="BI630" s="119"/>
      <c r="BJ630" s="119"/>
      <c r="BK630" s="119"/>
      <c r="BL630" s="119"/>
      <c r="BM630" s="119"/>
      <c r="BN630" s="119"/>
      <c r="BO630" s="119"/>
      <c r="BP630" s="119"/>
      <c r="BQ630" s="119"/>
      <c r="BR630" s="119"/>
      <c r="BS630" s="119"/>
      <c r="BT630" s="119"/>
      <c r="BU630" s="119"/>
      <c r="BV630" s="119"/>
      <c r="BW630" s="119"/>
      <c r="BX630" s="119"/>
      <c r="BY630" s="119"/>
      <c r="BZ630" s="119"/>
      <c r="CA630" s="119"/>
      <c r="CB630" s="119"/>
      <c r="CC630" s="119"/>
      <c r="CD630" s="119"/>
      <c r="CE630" s="119"/>
      <c r="CF630" s="119"/>
      <c r="CG630" s="119"/>
      <c r="CH630" s="119"/>
      <c r="CI630" s="119"/>
      <c r="CJ630" s="119"/>
      <c r="CK630" s="119"/>
      <c r="CL630" s="119"/>
      <c r="CM630" s="119"/>
      <c r="CN630" s="119"/>
      <c r="CO630" s="119"/>
      <c r="CP630" s="119"/>
      <c r="CQ630" s="119"/>
      <c r="CR630" s="119"/>
      <c r="CS630" s="119"/>
      <c r="CT630" s="119"/>
      <c r="CU630" s="119"/>
      <c r="CV630" s="119"/>
      <c r="CW630" s="119"/>
      <c r="CX630" s="119"/>
      <c r="CY630" s="119"/>
      <c r="CZ630" s="119"/>
      <c r="DA630" s="119"/>
      <c r="DB630" s="119"/>
      <c r="DC630" s="119"/>
      <c r="DD630" s="119"/>
      <c r="DE630" s="119"/>
      <c r="DF630" s="119"/>
      <c r="DG630" s="119"/>
      <c r="DH630" s="119"/>
      <c r="DI630" s="119"/>
      <c r="DJ630" s="119"/>
      <c r="DK630" s="119"/>
      <c r="DL630" s="119"/>
      <c r="DM630" s="119"/>
      <c r="DN630" s="119"/>
      <c r="DO630" s="119"/>
      <c r="DP630" s="119"/>
      <c r="DQ630" s="119"/>
      <c r="DR630" s="119"/>
      <c r="DS630" s="119"/>
      <c r="DT630" s="119"/>
      <c r="DU630" s="119"/>
      <c r="DV630" s="119"/>
      <c r="DW630" s="119"/>
      <c r="DX630" s="119"/>
      <c r="DY630" s="119"/>
      <c r="DZ630" s="119"/>
      <c r="EA630" s="119"/>
      <c r="EB630" s="119"/>
      <c r="EC630" s="119"/>
      <c r="ED630" s="119"/>
      <c r="EE630" s="119"/>
      <c r="EF630" s="119"/>
      <c r="EG630" s="119"/>
      <c r="EH630" s="119"/>
      <c r="EI630" s="119"/>
      <c r="EJ630" s="119"/>
      <c r="EK630" s="119"/>
      <c r="EL630" s="119"/>
      <c r="EM630" s="119"/>
      <c r="EN630" s="119"/>
      <c r="EO630" s="119"/>
      <c r="EP630" s="119"/>
      <c r="EQ630" s="119"/>
      <c r="ER630" s="119"/>
      <c r="ES630" s="119"/>
      <c r="ET630" s="119"/>
      <c r="EU630" s="119"/>
      <c r="EV630" s="119"/>
      <c r="EW630" s="119"/>
      <c r="EX630" s="119"/>
      <c r="EY630" s="119"/>
      <c r="EZ630" s="119"/>
      <c r="FA630" s="119"/>
      <c r="FB630" s="119"/>
      <c r="FC630" s="119"/>
      <c r="FD630" s="119"/>
      <c r="FE630" s="119"/>
      <c r="FF630" s="119"/>
      <c r="FG630" s="119"/>
      <c r="FH630" s="119"/>
      <c r="FI630" s="119"/>
      <c r="FJ630" s="119"/>
      <c r="FK630" s="119"/>
      <c r="FL630" s="119"/>
      <c r="FM630" s="119"/>
      <c r="FN630" s="119"/>
      <c r="FO630" s="119"/>
      <c r="FP630" s="119"/>
      <c r="FQ630" s="119"/>
      <c r="FR630" s="119"/>
    </row>
    <row x14ac:dyDescent="0.25" r="631" customHeight="1" ht="15">
      <c r="A631" s="121"/>
      <c r="B631" s="121"/>
      <c r="C631" s="122"/>
      <c r="D631" s="122"/>
      <c r="E631" s="123"/>
      <c r="F631" s="123"/>
      <c r="G631" s="124"/>
      <c r="H631" s="125"/>
      <c r="I631" s="126"/>
      <c r="J631" s="127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19"/>
      <c r="BA631" s="119"/>
      <c r="BB631" s="119"/>
      <c r="BC631" s="119"/>
      <c r="BD631" s="119"/>
      <c r="BE631" s="119"/>
      <c r="BF631" s="119"/>
      <c r="BG631" s="119"/>
      <c r="BH631" s="119"/>
      <c r="BI631" s="119"/>
      <c r="BJ631" s="119"/>
      <c r="BK631" s="119"/>
      <c r="BL631" s="119"/>
      <c r="BM631" s="119"/>
      <c r="BN631" s="119"/>
      <c r="BO631" s="119"/>
      <c r="BP631" s="119"/>
      <c r="BQ631" s="119"/>
      <c r="BR631" s="119"/>
      <c r="BS631" s="119"/>
      <c r="BT631" s="119"/>
      <c r="BU631" s="119"/>
      <c r="BV631" s="119"/>
      <c r="BW631" s="119"/>
      <c r="BX631" s="119"/>
      <c r="BY631" s="119"/>
      <c r="BZ631" s="119"/>
      <c r="CA631" s="119"/>
      <c r="CB631" s="119"/>
      <c r="CC631" s="119"/>
      <c r="CD631" s="119"/>
      <c r="CE631" s="119"/>
      <c r="CF631" s="119"/>
      <c r="CG631" s="119"/>
      <c r="CH631" s="119"/>
      <c r="CI631" s="119"/>
      <c r="CJ631" s="119"/>
      <c r="CK631" s="119"/>
      <c r="CL631" s="119"/>
      <c r="CM631" s="119"/>
      <c r="CN631" s="119"/>
      <c r="CO631" s="119"/>
      <c r="CP631" s="119"/>
      <c r="CQ631" s="119"/>
      <c r="CR631" s="119"/>
      <c r="CS631" s="119"/>
      <c r="CT631" s="119"/>
      <c r="CU631" s="119"/>
      <c r="CV631" s="119"/>
      <c r="CW631" s="119"/>
      <c r="CX631" s="119"/>
      <c r="CY631" s="119"/>
      <c r="CZ631" s="119"/>
      <c r="DA631" s="119"/>
      <c r="DB631" s="119"/>
      <c r="DC631" s="119"/>
      <c r="DD631" s="119"/>
      <c r="DE631" s="119"/>
      <c r="DF631" s="119"/>
      <c r="DG631" s="119"/>
      <c r="DH631" s="119"/>
      <c r="DI631" s="119"/>
      <c r="DJ631" s="119"/>
      <c r="DK631" s="119"/>
      <c r="DL631" s="119"/>
      <c r="DM631" s="119"/>
      <c r="DN631" s="119"/>
      <c r="DO631" s="119"/>
      <c r="DP631" s="119"/>
      <c r="DQ631" s="119"/>
      <c r="DR631" s="119"/>
      <c r="DS631" s="119"/>
      <c r="DT631" s="119"/>
      <c r="DU631" s="119"/>
      <c r="DV631" s="119"/>
      <c r="DW631" s="119"/>
      <c r="DX631" s="119"/>
      <c r="DY631" s="119"/>
      <c r="DZ631" s="119"/>
      <c r="EA631" s="119"/>
      <c r="EB631" s="119"/>
      <c r="EC631" s="119"/>
      <c r="ED631" s="119"/>
      <c r="EE631" s="119"/>
      <c r="EF631" s="119"/>
      <c r="EG631" s="119"/>
      <c r="EH631" s="119"/>
      <c r="EI631" s="119"/>
      <c r="EJ631" s="119"/>
      <c r="EK631" s="119"/>
      <c r="EL631" s="119"/>
      <c r="EM631" s="119"/>
      <c r="EN631" s="119"/>
      <c r="EO631" s="119"/>
      <c r="EP631" s="119"/>
      <c r="EQ631" s="119"/>
      <c r="ER631" s="119"/>
      <c r="ES631" s="119"/>
      <c r="ET631" s="119"/>
      <c r="EU631" s="119"/>
      <c r="EV631" s="119"/>
      <c r="EW631" s="119"/>
      <c r="EX631" s="119"/>
      <c r="EY631" s="119"/>
      <c r="EZ631" s="119"/>
      <c r="FA631" s="119"/>
      <c r="FB631" s="119"/>
      <c r="FC631" s="119"/>
      <c r="FD631" s="119"/>
      <c r="FE631" s="119"/>
      <c r="FF631" s="119"/>
      <c r="FG631" s="119"/>
      <c r="FH631" s="119"/>
      <c r="FI631" s="119"/>
      <c r="FJ631" s="119"/>
      <c r="FK631" s="119"/>
      <c r="FL631" s="119"/>
      <c r="FM631" s="119"/>
      <c r="FN631" s="119"/>
      <c r="FO631" s="119"/>
      <c r="FP631" s="119"/>
      <c r="FQ631" s="119"/>
      <c r="FR631" s="119"/>
    </row>
    <row x14ac:dyDescent="0.25" r="632" customHeight="1" ht="15">
      <c r="A632" s="121"/>
      <c r="B632" s="121"/>
      <c r="C632" s="122"/>
      <c r="D632" s="122"/>
      <c r="E632" s="123"/>
      <c r="F632" s="123"/>
      <c r="G632" s="124"/>
      <c r="H632" s="125"/>
      <c r="I632" s="126"/>
      <c r="J632" s="127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19"/>
      <c r="BA632" s="119"/>
      <c r="BB632" s="119"/>
      <c r="BC632" s="119"/>
      <c r="BD632" s="119"/>
      <c r="BE632" s="119"/>
      <c r="BF632" s="119"/>
      <c r="BG632" s="119"/>
      <c r="BH632" s="119"/>
      <c r="BI632" s="119"/>
      <c r="BJ632" s="119"/>
      <c r="BK632" s="119"/>
      <c r="BL632" s="119"/>
      <c r="BM632" s="119"/>
      <c r="BN632" s="119"/>
      <c r="BO632" s="119"/>
      <c r="BP632" s="119"/>
      <c r="BQ632" s="119"/>
      <c r="BR632" s="119"/>
      <c r="BS632" s="119"/>
      <c r="BT632" s="119"/>
      <c r="BU632" s="119"/>
      <c r="BV632" s="119"/>
      <c r="BW632" s="119"/>
      <c r="BX632" s="119"/>
      <c r="BY632" s="119"/>
      <c r="BZ632" s="119"/>
      <c r="CA632" s="119"/>
      <c r="CB632" s="119"/>
      <c r="CC632" s="119"/>
      <c r="CD632" s="119"/>
      <c r="CE632" s="119"/>
      <c r="CF632" s="119"/>
      <c r="CG632" s="119"/>
      <c r="CH632" s="119"/>
      <c r="CI632" s="119"/>
      <c r="CJ632" s="119"/>
      <c r="CK632" s="119"/>
      <c r="CL632" s="119"/>
      <c r="CM632" s="119"/>
      <c r="CN632" s="119"/>
      <c r="CO632" s="119"/>
      <c r="CP632" s="119"/>
      <c r="CQ632" s="119"/>
      <c r="CR632" s="119"/>
      <c r="CS632" s="119"/>
      <c r="CT632" s="119"/>
      <c r="CU632" s="119"/>
      <c r="CV632" s="119"/>
      <c r="CW632" s="119"/>
      <c r="CX632" s="119"/>
      <c r="CY632" s="119"/>
      <c r="CZ632" s="119"/>
      <c r="DA632" s="119"/>
      <c r="DB632" s="119"/>
      <c r="DC632" s="119"/>
      <c r="DD632" s="119"/>
      <c r="DE632" s="119"/>
      <c r="DF632" s="119"/>
      <c r="DG632" s="119"/>
      <c r="DH632" s="119"/>
      <c r="DI632" s="119"/>
      <c r="DJ632" s="119"/>
      <c r="DK632" s="119"/>
      <c r="DL632" s="119"/>
      <c r="DM632" s="119"/>
      <c r="DN632" s="119"/>
      <c r="DO632" s="119"/>
      <c r="DP632" s="119"/>
      <c r="DQ632" s="119"/>
      <c r="DR632" s="119"/>
      <c r="DS632" s="119"/>
      <c r="DT632" s="119"/>
      <c r="DU632" s="119"/>
      <c r="DV632" s="119"/>
      <c r="DW632" s="119"/>
      <c r="DX632" s="119"/>
      <c r="DY632" s="119"/>
      <c r="DZ632" s="119"/>
      <c r="EA632" s="119"/>
      <c r="EB632" s="119"/>
      <c r="EC632" s="119"/>
      <c r="ED632" s="119"/>
      <c r="EE632" s="119"/>
      <c r="EF632" s="119"/>
      <c r="EG632" s="119"/>
      <c r="EH632" s="119"/>
      <c r="EI632" s="119"/>
      <c r="EJ632" s="119"/>
      <c r="EK632" s="119"/>
      <c r="EL632" s="119"/>
      <c r="EM632" s="119"/>
      <c r="EN632" s="119"/>
      <c r="EO632" s="119"/>
      <c r="EP632" s="119"/>
      <c r="EQ632" s="119"/>
      <c r="ER632" s="119"/>
      <c r="ES632" s="119"/>
      <c r="ET632" s="119"/>
      <c r="EU632" s="119"/>
      <c r="EV632" s="119"/>
      <c r="EW632" s="119"/>
      <c r="EX632" s="119"/>
      <c r="EY632" s="119"/>
      <c r="EZ632" s="119"/>
      <c r="FA632" s="119"/>
      <c r="FB632" s="119"/>
      <c r="FC632" s="119"/>
      <c r="FD632" s="119"/>
      <c r="FE632" s="119"/>
      <c r="FF632" s="119"/>
      <c r="FG632" s="119"/>
      <c r="FH632" s="119"/>
      <c r="FI632" s="119"/>
      <c r="FJ632" s="119"/>
      <c r="FK632" s="119"/>
      <c r="FL632" s="119"/>
      <c r="FM632" s="119"/>
      <c r="FN632" s="119"/>
      <c r="FO632" s="119"/>
      <c r="FP632" s="119"/>
      <c r="FQ632" s="119"/>
      <c r="FR632" s="119"/>
    </row>
    <row x14ac:dyDescent="0.25" r="633" customHeight="1" ht="15">
      <c r="A633" s="121"/>
      <c r="B633" s="121"/>
      <c r="C633" s="122"/>
      <c r="D633" s="122"/>
      <c r="E633" s="123"/>
      <c r="F633" s="123"/>
      <c r="G633" s="124"/>
      <c r="H633" s="125"/>
      <c r="I633" s="126"/>
      <c r="J633" s="127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19"/>
      <c r="BA633" s="119"/>
      <c r="BB633" s="119"/>
      <c r="BC633" s="119"/>
      <c r="BD633" s="119"/>
      <c r="BE633" s="119"/>
      <c r="BF633" s="119"/>
      <c r="BG633" s="119"/>
      <c r="BH633" s="119"/>
      <c r="BI633" s="119"/>
      <c r="BJ633" s="119"/>
      <c r="BK633" s="119"/>
      <c r="BL633" s="119"/>
      <c r="BM633" s="119"/>
      <c r="BN633" s="119"/>
      <c r="BO633" s="119"/>
      <c r="BP633" s="119"/>
      <c r="BQ633" s="119"/>
      <c r="BR633" s="119"/>
      <c r="BS633" s="119"/>
      <c r="BT633" s="119"/>
      <c r="BU633" s="119"/>
      <c r="BV633" s="119"/>
      <c r="BW633" s="119"/>
      <c r="BX633" s="119"/>
      <c r="BY633" s="119"/>
      <c r="BZ633" s="119"/>
      <c r="CA633" s="119"/>
      <c r="CB633" s="119"/>
      <c r="CC633" s="119"/>
      <c r="CD633" s="119"/>
      <c r="CE633" s="119"/>
      <c r="CF633" s="119"/>
      <c r="CG633" s="119"/>
      <c r="CH633" s="119"/>
      <c r="CI633" s="119"/>
      <c r="CJ633" s="119"/>
      <c r="CK633" s="119"/>
      <c r="CL633" s="119"/>
      <c r="CM633" s="119"/>
      <c r="CN633" s="119"/>
      <c r="CO633" s="119"/>
      <c r="CP633" s="119"/>
      <c r="CQ633" s="119"/>
      <c r="CR633" s="119"/>
      <c r="CS633" s="119"/>
      <c r="CT633" s="119"/>
      <c r="CU633" s="119"/>
      <c r="CV633" s="119"/>
      <c r="CW633" s="119"/>
      <c r="CX633" s="119"/>
      <c r="CY633" s="119"/>
      <c r="CZ633" s="119"/>
      <c r="DA633" s="119"/>
      <c r="DB633" s="119"/>
      <c r="DC633" s="119"/>
      <c r="DD633" s="119"/>
      <c r="DE633" s="119"/>
      <c r="DF633" s="119"/>
      <c r="DG633" s="119"/>
      <c r="DH633" s="119"/>
      <c r="DI633" s="119"/>
      <c r="DJ633" s="119"/>
      <c r="DK633" s="119"/>
      <c r="DL633" s="119"/>
      <c r="DM633" s="119"/>
      <c r="DN633" s="119"/>
      <c r="DO633" s="119"/>
      <c r="DP633" s="119"/>
      <c r="DQ633" s="119"/>
      <c r="DR633" s="119"/>
      <c r="DS633" s="119"/>
      <c r="DT633" s="119"/>
      <c r="DU633" s="119"/>
      <c r="DV633" s="119"/>
      <c r="DW633" s="119"/>
      <c r="DX633" s="119"/>
      <c r="DY633" s="119"/>
      <c r="DZ633" s="119"/>
      <c r="EA633" s="119"/>
      <c r="EB633" s="119"/>
      <c r="EC633" s="119"/>
      <c r="ED633" s="119"/>
      <c r="EE633" s="119"/>
      <c r="EF633" s="119"/>
      <c r="EG633" s="119"/>
      <c r="EH633" s="119"/>
      <c r="EI633" s="119"/>
      <c r="EJ633" s="119"/>
      <c r="EK633" s="119"/>
      <c r="EL633" s="119"/>
      <c r="EM633" s="119"/>
      <c r="EN633" s="119"/>
      <c r="EO633" s="119"/>
      <c r="EP633" s="119"/>
      <c r="EQ633" s="119"/>
      <c r="ER633" s="119"/>
      <c r="ES633" s="119"/>
      <c r="ET633" s="119"/>
      <c r="EU633" s="119"/>
      <c r="EV633" s="119"/>
      <c r="EW633" s="119"/>
      <c r="EX633" s="119"/>
      <c r="EY633" s="119"/>
      <c r="EZ633" s="119"/>
      <c r="FA633" s="119"/>
      <c r="FB633" s="119"/>
      <c r="FC633" s="119"/>
      <c r="FD633" s="119"/>
      <c r="FE633" s="119"/>
      <c r="FF633" s="119"/>
      <c r="FG633" s="119"/>
      <c r="FH633" s="119"/>
      <c r="FI633" s="119"/>
      <c r="FJ633" s="119"/>
      <c r="FK633" s="119"/>
      <c r="FL633" s="119"/>
      <c r="FM633" s="119"/>
      <c r="FN633" s="119"/>
      <c r="FO633" s="119"/>
      <c r="FP633" s="119"/>
      <c r="FQ633" s="119"/>
      <c r="FR633" s="119"/>
    </row>
    <row x14ac:dyDescent="0.25" r="634" customHeight="1" ht="15">
      <c r="A634" s="121"/>
      <c r="B634" s="121"/>
      <c r="C634" s="122"/>
      <c r="D634" s="122"/>
      <c r="E634" s="123"/>
      <c r="F634" s="123"/>
      <c r="G634" s="124"/>
      <c r="H634" s="125"/>
      <c r="I634" s="126"/>
      <c r="J634" s="127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19"/>
      <c r="BA634" s="119"/>
      <c r="BB634" s="119"/>
      <c r="BC634" s="119"/>
      <c r="BD634" s="119"/>
      <c r="BE634" s="119"/>
      <c r="BF634" s="119"/>
      <c r="BG634" s="119"/>
      <c r="BH634" s="119"/>
      <c r="BI634" s="119"/>
      <c r="BJ634" s="119"/>
      <c r="BK634" s="119"/>
      <c r="BL634" s="119"/>
      <c r="BM634" s="119"/>
      <c r="BN634" s="119"/>
      <c r="BO634" s="119"/>
      <c r="BP634" s="119"/>
      <c r="BQ634" s="119"/>
      <c r="BR634" s="119"/>
      <c r="BS634" s="119"/>
      <c r="BT634" s="119"/>
      <c r="BU634" s="119"/>
      <c r="BV634" s="119"/>
      <c r="BW634" s="119"/>
      <c r="BX634" s="119"/>
      <c r="BY634" s="119"/>
      <c r="BZ634" s="119"/>
      <c r="CA634" s="119"/>
      <c r="CB634" s="119"/>
      <c r="CC634" s="119"/>
      <c r="CD634" s="119"/>
      <c r="CE634" s="119"/>
      <c r="CF634" s="119"/>
      <c r="CG634" s="119"/>
      <c r="CH634" s="119"/>
      <c r="CI634" s="119"/>
      <c r="CJ634" s="119"/>
      <c r="CK634" s="119"/>
      <c r="CL634" s="119"/>
      <c r="CM634" s="119"/>
      <c r="CN634" s="119"/>
      <c r="CO634" s="119"/>
      <c r="CP634" s="119"/>
      <c r="CQ634" s="119"/>
      <c r="CR634" s="119"/>
      <c r="CS634" s="119"/>
      <c r="CT634" s="119"/>
      <c r="CU634" s="119"/>
      <c r="CV634" s="119"/>
      <c r="CW634" s="119"/>
      <c r="CX634" s="119"/>
      <c r="CY634" s="119"/>
      <c r="CZ634" s="119"/>
      <c r="DA634" s="119"/>
      <c r="DB634" s="119"/>
      <c r="DC634" s="119"/>
      <c r="DD634" s="119"/>
      <c r="DE634" s="119"/>
      <c r="DF634" s="119"/>
      <c r="DG634" s="119"/>
      <c r="DH634" s="119"/>
      <c r="DI634" s="119"/>
      <c r="DJ634" s="119"/>
      <c r="DK634" s="119"/>
      <c r="DL634" s="119"/>
      <c r="DM634" s="119"/>
      <c r="DN634" s="119"/>
      <c r="DO634" s="119"/>
      <c r="DP634" s="119"/>
      <c r="DQ634" s="119"/>
      <c r="DR634" s="119"/>
      <c r="DS634" s="119"/>
      <c r="DT634" s="119"/>
      <c r="DU634" s="119"/>
      <c r="DV634" s="119"/>
      <c r="DW634" s="119"/>
      <c r="DX634" s="119"/>
      <c r="DY634" s="119"/>
      <c r="DZ634" s="119"/>
      <c r="EA634" s="119"/>
      <c r="EB634" s="119"/>
      <c r="EC634" s="119"/>
      <c r="ED634" s="119"/>
      <c r="EE634" s="119"/>
      <c r="EF634" s="119"/>
      <c r="EG634" s="119"/>
      <c r="EH634" s="119"/>
      <c r="EI634" s="119"/>
      <c r="EJ634" s="119"/>
      <c r="EK634" s="119"/>
      <c r="EL634" s="119"/>
      <c r="EM634" s="119"/>
      <c r="EN634" s="119"/>
      <c r="EO634" s="119"/>
      <c r="EP634" s="119"/>
      <c r="EQ634" s="119"/>
      <c r="ER634" s="119"/>
      <c r="ES634" s="119"/>
      <c r="ET634" s="119"/>
      <c r="EU634" s="119"/>
      <c r="EV634" s="119"/>
      <c r="EW634" s="119"/>
      <c r="EX634" s="119"/>
      <c r="EY634" s="119"/>
      <c r="EZ634" s="119"/>
      <c r="FA634" s="119"/>
      <c r="FB634" s="119"/>
      <c r="FC634" s="119"/>
      <c r="FD634" s="119"/>
      <c r="FE634" s="119"/>
      <c r="FF634" s="119"/>
      <c r="FG634" s="119"/>
      <c r="FH634" s="119"/>
      <c r="FI634" s="119"/>
      <c r="FJ634" s="119"/>
      <c r="FK634" s="119"/>
      <c r="FL634" s="119"/>
      <c r="FM634" s="119"/>
      <c r="FN634" s="119"/>
      <c r="FO634" s="119"/>
      <c r="FP634" s="119"/>
      <c r="FQ634" s="119"/>
      <c r="FR634" s="119"/>
    </row>
    <row x14ac:dyDescent="0.25" r="635" customHeight="1" ht="15">
      <c r="A635" s="121"/>
      <c r="B635" s="121"/>
      <c r="C635" s="122"/>
      <c r="D635" s="122"/>
      <c r="E635" s="123"/>
      <c r="F635" s="123"/>
      <c r="G635" s="124"/>
      <c r="H635" s="125"/>
      <c r="I635" s="126"/>
      <c r="J635" s="127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19"/>
      <c r="BA635" s="119"/>
      <c r="BB635" s="119"/>
      <c r="BC635" s="119"/>
      <c r="BD635" s="119"/>
      <c r="BE635" s="119"/>
      <c r="BF635" s="119"/>
      <c r="BG635" s="119"/>
      <c r="BH635" s="119"/>
      <c r="BI635" s="119"/>
      <c r="BJ635" s="119"/>
      <c r="BK635" s="119"/>
      <c r="BL635" s="119"/>
      <c r="BM635" s="119"/>
      <c r="BN635" s="119"/>
      <c r="BO635" s="119"/>
      <c r="BP635" s="119"/>
      <c r="BQ635" s="119"/>
      <c r="BR635" s="119"/>
      <c r="BS635" s="119"/>
      <c r="BT635" s="119"/>
      <c r="BU635" s="119"/>
      <c r="BV635" s="119"/>
      <c r="BW635" s="119"/>
      <c r="BX635" s="119"/>
      <c r="BY635" s="119"/>
      <c r="BZ635" s="119"/>
      <c r="CA635" s="119"/>
      <c r="CB635" s="119"/>
      <c r="CC635" s="119"/>
      <c r="CD635" s="119"/>
      <c r="CE635" s="119"/>
      <c r="CF635" s="119"/>
      <c r="CG635" s="119"/>
      <c r="CH635" s="119"/>
      <c r="CI635" s="119"/>
      <c r="CJ635" s="119"/>
      <c r="CK635" s="119"/>
      <c r="CL635" s="119"/>
      <c r="CM635" s="119"/>
      <c r="CN635" s="119"/>
      <c r="CO635" s="119"/>
      <c r="CP635" s="119"/>
      <c r="CQ635" s="119"/>
      <c r="CR635" s="119"/>
      <c r="CS635" s="119"/>
      <c r="CT635" s="119"/>
      <c r="CU635" s="119"/>
      <c r="CV635" s="119"/>
      <c r="CW635" s="119"/>
      <c r="CX635" s="119"/>
      <c r="CY635" s="119"/>
      <c r="CZ635" s="119"/>
      <c r="DA635" s="119"/>
      <c r="DB635" s="119"/>
      <c r="DC635" s="119"/>
      <c r="DD635" s="119"/>
      <c r="DE635" s="119"/>
      <c r="DF635" s="119"/>
      <c r="DG635" s="119"/>
      <c r="DH635" s="119"/>
      <c r="DI635" s="119"/>
      <c r="DJ635" s="119"/>
      <c r="DK635" s="119"/>
      <c r="DL635" s="119"/>
      <c r="DM635" s="119"/>
      <c r="DN635" s="119"/>
      <c r="DO635" s="119"/>
      <c r="DP635" s="119"/>
      <c r="DQ635" s="119"/>
      <c r="DR635" s="119"/>
      <c r="DS635" s="119"/>
      <c r="DT635" s="119"/>
      <c r="DU635" s="119"/>
      <c r="DV635" s="119"/>
      <c r="DW635" s="119"/>
      <c r="DX635" s="119"/>
      <c r="DY635" s="119"/>
      <c r="DZ635" s="119"/>
      <c r="EA635" s="119"/>
      <c r="EB635" s="119"/>
      <c r="EC635" s="119"/>
      <c r="ED635" s="119"/>
      <c r="EE635" s="119"/>
      <c r="EF635" s="119"/>
      <c r="EG635" s="119"/>
      <c r="EH635" s="119"/>
      <c r="EI635" s="119"/>
      <c r="EJ635" s="119"/>
      <c r="EK635" s="119"/>
      <c r="EL635" s="119"/>
      <c r="EM635" s="119"/>
      <c r="EN635" s="119"/>
      <c r="EO635" s="119"/>
      <c r="EP635" s="119"/>
      <c r="EQ635" s="119"/>
      <c r="ER635" s="119"/>
      <c r="ES635" s="119"/>
      <c r="ET635" s="119"/>
      <c r="EU635" s="119"/>
      <c r="EV635" s="119"/>
      <c r="EW635" s="119"/>
      <c r="EX635" s="119"/>
      <c r="EY635" s="119"/>
      <c r="EZ635" s="119"/>
      <c r="FA635" s="119"/>
      <c r="FB635" s="119"/>
      <c r="FC635" s="119"/>
      <c r="FD635" s="119"/>
      <c r="FE635" s="119"/>
      <c r="FF635" s="119"/>
      <c r="FG635" s="119"/>
      <c r="FH635" s="119"/>
      <c r="FI635" s="119"/>
      <c r="FJ635" s="119"/>
      <c r="FK635" s="119"/>
      <c r="FL635" s="119"/>
      <c r="FM635" s="119"/>
      <c r="FN635" s="119"/>
      <c r="FO635" s="119"/>
      <c r="FP635" s="119"/>
      <c r="FQ635" s="119"/>
      <c r="FR635" s="119"/>
    </row>
    <row x14ac:dyDescent="0.25" r="636" customHeight="1" ht="15">
      <c r="A636" s="121"/>
      <c r="B636" s="121"/>
      <c r="C636" s="122"/>
      <c r="D636" s="122"/>
      <c r="E636" s="123"/>
      <c r="F636" s="123"/>
      <c r="G636" s="124"/>
      <c r="H636" s="125"/>
      <c r="I636" s="126"/>
      <c r="J636" s="127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19"/>
      <c r="BA636" s="119"/>
      <c r="BB636" s="119"/>
      <c r="BC636" s="119"/>
      <c r="BD636" s="119"/>
      <c r="BE636" s="119"/>
      <c r="BF636" s="119"/>
      <c r="BG636" s="119"/>
      <c r="BH636" s="119"/>
      <c r="BI636" s="119"/>
      <c r="BJ636" s="119"/>
      <c r="BK636" s="119"/>
      <c r="BL636" s="119"/>
      <c r="BM636" s="119"/>
      <c r="BN636" s="119"/>
      <c r="BO636" s="119"/>
      <c r="BP636" s="119"/>
      <c r="BQ636" s="119"/>
      <c r="BR636" s="119"/>
      <c r="BS636" s="119"/>
      <c r="BT636" s="119"/>
      <c r="BU636" s="119"/>
      <c r="BV636" s="119"/>
      <c r="BW636" s="119"/>
      <c r="BX636" s="119"/>
      <c r="BY636" s="119"/>
      <c r="BZ636" s="119"/>
      <c r="CA636" s="119"/>
      <c r="CB636" s="119"/>
      <c r="CC636" s="119"/>
      <c r="CD636" s="119"/>
      <c r="CE636" s="119"/>
      <c r="CF636" s="119"/>
      <c r="CG636" s="119"/>
      <c r="CH636" s="119"/>
      <c r="CI636" s="119"/>
      <c r="CJ636" s="119"/>
      <c r="CK636" s="119"/>
      <c r="CL636" s="119"/>
      <c r="CM636" s="119"/>
      <c r="CN636" s="119"/>
      <c r="CO636" s="119"/>
      <c r="CP636" s="119"/>
      <c r="CQ636" s="119"/>
      <c r="CR636" s="119"/>
      <c r="CS636" s="119"/>
      <c r="CT636" s="119"/>
      <c r="CU636" s="119"/>
      <c r="CV636" s="119"/>
      <c r="CW636" s="119"/>
      <c r="CX636" s="119"/>
      <c r="CY636" s="119"/>
      <c r="CZ636" s="119"/>
      <c r="DA636" s="119"/>
      <c r="DB636" s="119"/>
      <c r="DC636" s="119"/>
      <c r="DD636" s="119"/>
      <c r="DE636" s="119"/>
      <c r="DF636" s="119"/>
      <c r="DG636" s="119"/>
      <c r="DH636" s="119"/>
      <c r="DI636" s="119"/>
      <c r="DJ636" s="119"/>
      <c r="DK636" s="119"/>
      <c r="DL636" s="119"/>
      <c r="DM636" s="119"/>
      <c r="DN636" s="119"/>
      <c r="DO636" s="119"/>
      <c r="DP636" s="119"/>
      <c r="DQ636" s="119"/>
      <c r="DR636" s="119"/>
      <c r="DS636" s="119"/>
      <c r="DT636" s="119"/>
      <c r="DU636" s="119"/>
      <c r="DV636" s="119"/>
      <c r="DW636" s="119"/>
      <c r="DX636" s="119"/>
      <c r="DY636" s="119"/>
      <c r="DZ636" s="119"/>
      <c r="EA636" s="119"/>
      <c r="EB636" s="119"/>
      <c r="EC636" s="119"/>
      <c r="ED636" s="119"/>
      <c r="EE636" s="119"/>
      <c r="EF636" s="119"/>
      <c r="EG636" s="119"/>
      <c r="EH636" s="119"/>
      <c r="EI636" s="119"/>
      <c r="EJ636" s="119"/>
      <c r="EK636" s="119"/>
      <c r="EL636" s="119"/>
      <c r="EM636" s="119"/>
      <c r="EN636" s="119"/>
      <c r="EO636" s="119"/>
      <c r="EP636" s="119"/>
      <c r="EQ636" s="119"/>
      <c r="ER636" s="119"/>
      <c r="ES636" s="119"/>
      <c r="ET636" s="119"/>
      <c r="EU636" s="119"/>
      <c r="EV636" s="119"/>
      <c r="EW636" s="119"/>
      <c r="EX636" s="119"/>
      <c r="EY636" s="119"/>
      <c r="EZ636" s="119"/>
      <c r="FA636" s="119"/>
      <c r="FB636" s="119"/>
      <c r="FC636" s="119"/>
      <c r="FD636" s="119"/>
      <c r="FE636" s="119"/>
      <c r="FF636" s="119"/>
      <c r="FG636" s="119"/>
      <c r="FH636" s="119"/>
      <c r="FI636" s="119"/>
      <c r="FJ636" s="119"/>
      <c r="FK636" s="119"/>
      <c r="FL636" s="119"/>
      <c r="FM636" s="119"/>
      <c r="FN636" s="119"/>
      <c r="FO636" s="119"/>
      <c r="FP636" s="119"/>
      <c r="FQ636" s="119"/>
      <c r="FR636" s="119"/>
    </row>
    <row x14ac:dyDescent="0.25" r="637" customHeight="1" ht="15">
      <c r="A637" s="121"/>
      <c r="B637" s="121"/>
      <c r="C637" s="122"/>
      <c r="D637" s="122"/>
      <c r="E637" s="123"/>
      <c r="F637" s="123"/>
      <c r="G637" s="124"/>
      <c r="H637" s="125"/>
      <c r="I637" s="126"/>
      <c r="J637" s="127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19"/>
      <c r="BA637" s="119"/>
      <c r="BB637" s="119"/>
      <c r="BC637" s="119"/>
      <c r="BD637" s="119"/>
      <c r="BE637" s="119"/>
      <c r="BF637" s="119"/>
      <c r="BG637" s="119"/>
      <c r="BH637" s="119"/>
      <c r="BI637" s="119"/>
      <c r="BJ637" s="119"/>
      <c r="BK637" s="119"/>
      <c r="BL637" s="119"/>
      <c r="BM637" s="119"/>
      <c r="BN637" s="119"/>
      <c r="BO637" s="119"/>
      <c r="BP637" s="119"/>
      <c r="BQ637" s="119"/>
      <c r="BR637" s="119"/>
      <c r="BS637" s="119"/>
      <c r="BT637" s="119"/>
      <c r="BU637" s="119"/>
      <c r="BV637" s="119"/>
      <c r="BW637" s="119"/>
      <c r="BX637" s="119"/>
      <c r="BY637" s="119"/>
      <c r="BZ637" s="119"/>
      <c r="CA637" s="119"/>
      <c r="CB637" s="119"/>
      <c r="CC637" s="119"/>
      <c r="CD637" s="119"/>
      <c r="CE637" s="119"/>
      <c r="CF637" s="119"/>
      <c r="CG637" s="119"/>
      <c r="CH637" s="119"/>
      <c r="CI637" s="119"/>
      <c r="CJ637" s="119"/>
      <c r="CK637" s="119"/>
      <c r="CL637" s="119"/>
      <c r="CM637" s="119"/>
      <c r="CN637" s="119"/>
      <c r="CO637" s="119"/>
      <c r="CP637" s="119"/>
      <c r="CQ637" s="119"/>
      <c r="CR637" s="119"/>
      <c r="CS637" s="119"/>
      <c r="CT637" s="119"/>
      <c r="CU637" s="119"/>
      <c r="CV637" s="119"/>
      <c r="CW637" s="119"/>
      <c r="CX637" s="119"/>
      <c r="CY637" s="119"/>
      <c r="CZ637" s="119"/>
      <c r="DA637" s="119"/>
      <c r="DB637" s="119"/>
      <c r="DC637" s="119"/>
      <c r="DD637" s="119"/>
      <c r="DE637" s="119"/>
      <c r="DF637" s="119"/>
      <c r="DG637" s="119"/>
      <c r="DH637" s="119"/>
      <c r="DI637" s="119"/>
      <c r="DJ637" s="119"/>
      <c r="DK637" s="119"/>
      <c r="DL637" s="119"/>
      <c r="DM637" s="119"/>
      <c r="DN637" s="119"/>
      <c r="DO637" s="119"/>
      <c r="DP637" s="119"/>
      <c r="DQ637" s="119"/>
      <c r="DR637" s="119"/>
      <c r="DS637" s="119"/>
      <c r="DT637" s="119"/>
      <c r="DU637" s="119"/>
      <c r="DV637" s="119"/>
      <c r="DW637" s="119"/>
      <c r="DX637" s="119"/>
      <c r="DY637" s="119"/>
      <c r="DZ637" s="119"/>
      <c r="EA637" s="119"/>
      <c r="EB637" s="119"/>
      <c r="EC637" s="119"/>
      <c r="ED637" s="119"/>
      <c r="EE637" s="119"/>
      <c r="EF637" s="119"/>
      <c r="EG637" s="119"/>
      <c r="EH637" s="119"/>
      <c r="EI637" s="119"/>
      <c r="EJ637" s="119"/>
      <c r="EK637" s="119"/>
      <c r="EL637" s="119"/>
      <c r="EM637" s="119"/>
      <c r="EN637" s="119"/>
      <c r="EO637" s="119"/>
      <c r="EP637" s="119"/>
      <c r="EQ637" s="119"/>
      <c r="ER637" s="119"/>
      <c r="ES637" s="119"/>
      <c r="ET637" s="119"/>
      <c r="EU637" s="119"/>
      <c r="EV637" s="119"/>
      <c r="EW637" s="119"/>
      <c r="EX637" s="119"/>
      <c r="EY637" s="119"/>
      <c r="EZ637" s="119"/>
      <c r="FA637" s="119"/>
      <c r="FB637" s="119"/>
      <c r="FC637" s="119"/>
      <c r="FD637" s="119"/>
      <c r="FE637" s="119"/>
      <c r="FF637" s="119"/>
      <c r="FG637" s="119"/>
      <c r="FH637" s="119"/>
      <c r="FI637" s="119"/>
      <c r="FJ637" s="119"/>
      <c r="FK637" s="119"/>
      <c r="FL637" s="119"/>
      <c r="FM637" s="119"/>
      <c r="FN637" s="119"/>
      <c r="FO637" s="119"/>
      <c r="FP637" s="119"/>
      <c r="FQ637" s="119"/>
      <c r="FR637" s="119"/>
    </row>
    <row x14ac:dyDescent="0.25" r="638" customHeight="1" ht="15">
      <c r="A638" s="121"/>
      <c r="B638" s="121"/>
      <c r="C638" s="122"/>
      <c r="D638" s="122"/>
      <c r="E638" s="123"/>
      <c r="F638" s="123"/>
      <c r="G638" s="124"/>
      <c r="H638" s="125"/>
      <c r="I638" s="126"/>
      <c r="J638" s="127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19"/>
      <c r="BA638" s="119"/>
      <c r="BB638" s="119"/>
      <c r="BC638" s="119"/>
      <c r="BD638" s="119"/>
      <c r="BE638" s="119"/>
      <c r="BF638" s="119"/>
      <c r="BG638" s="119"/>
      <c r="BH638" s="119"/>
      <c r="BI638" s="119"/>
      <c r="BJ638" s="119"/>
      <c r="BK638" s="119"/>
      <c r="BL638" s="119"/>
      <c r="BM638" s="119"/>
      <c r="BN638" s="119"/>
      <c r="BO638" s="119"/>
      <c r="BP638" s="119"/>
      <c r="BQ638" s="119"/>
      <c r="BR638" s="119"/>
      <c r="BS638" s="119"/>
      <c r="BT638" s="119"/>
      <c r="BU638" s="119"/>
      <c r="BV638" s="119"/>
      <c r="BW638" s="119"/>
      <c r="BX638" s="119"/>
      <c r="BY638" s="119"/>
      <c r="BZ638" s="119"/>
      <c r="CA638" s="119"/>
      <c r="CB638" s="119"/>
      <c r="CC638" s="119"/>
      <c r="CD638" s="119"/>
      <c r="CE638" s="119"/>
      <c r="CF638" s="119"/>
      <c r="CG638" s="119"/>
      <c r="CH638" s="119"/>
      <c r="CI638" s="119"/>
      <c r="CJ638" s="119"/>
      <c r="CK638" s="119"/>
      <c r="CL638" s="119"/>
      <c r="CM638" s="119"/>
      <c r="CN638" s="119"/>
      <c r="CO638" s="119"/>
      <c r="CP638" s="119"/>
      <c r="CQ638" s="119"/>
      <c r="CR638" s="119"/>
      <c r="CS638" s="119"/>
      <c r="CT638" s="119"/>
      <c r="CU638" s="119"/>
      <c r="CV638" s="119"/>
      <c r="CW638" s="119"/>
      <c r="CX638" s="119"/>
      <c r="CY638" s="119"/>
      <c r="CZ638" s="119"/>
      <c r="DA638" s="119"/>
      <c r="DB638" s="119"/>
      <c r="DC638" s="119"/>
      <c r="DD638" s="119"/>
      <c r="DE638" s="119"/>
      <c r="DF638" s="119"/>
      <c r="DG638" s="119"/>
      <c r="DH638" s="119"/>
      <c r="DI638" s="119"/>
      <c r="DJ638" s="119"/>
      <c r="DK638" s="119"/>
      <c r="DL638" s="119"/>
      <c r="DM638" s="119"/>
      <c r="DN638" s="119"/>
      <c r="DO638" s="119"/>
      <c r="DP638" s="119"/>
      <c r="DQ638" s="119"/>
      <c r="DR638" s="119"/>
      <c r="DS638" s="119"/>
      <c r="DT638" s="119"/>
      <c r="DU638" s="119"/>
      <c r="DV638" s="119"/>
      <c r="DW638" s="119"/>
      <c r="DX638" s="119"/>
      <c r="DY638" s="119"/>
      <c r="DZ638" s="119"/>
      <c r="EA638" s="119"/>
      <c r="EB638" s="119"/>
      <c r="EC638" s="119"/>
      <c r="ED638" s="119"/>
      <c r="EE638" s="119"/>
      <c r="EF638" s="119"/>
      <c r="EG638" s="119"/>
      <c r="EH638" s="119"/>
      <c r="EI638" s="119"/>
      <c r="EJ638" s="119"/>
      <c r="EK638" s="119"/>
      <c r="EL638" s="119"/>
      <c r="EM638" s="119"/>
      <c r="EN638" s="119"/>
      <c r="EO638" s="119"/>
      <c r="EP638" s="119"/>
      <c r="EQ638" s="119"/>
      <c r="ER638" s="119"/>
      <c r="ES638" s="119"/>
      <c r="ET638" s="119"/>
      <c r="EU638" s="119"/>
      <c r="EV638" s="119"/>
      <c r="EW638" s="119"/>
      <c r="EX638" s="119"/>
      <c r="EY638" s="119"/>
      <c r="EZ638" s="119"/>
      <c r="FA638" s="119"/>
      <c r="FB638" s="119"/>
      <c r="FC638" s="119"/>
      <c r="FD638" s="119"/>
      <c r="FE638" s="119"/>
      <c r="FF638" s="119"/>
      <c r="FG638" s="119"/>
      <c r="FH638" s="119"/>
      <c r="FI638" s="119"/>
      <c r="FJ638" s="119"/>
      <c r="FK638" s="119"/>
      <c r="FL638" s="119"/>
      <c r="FM638" s="119"/>
      <c r="FN638" s="119"/>
      <c r="FO638" s="119"/>
      <c r="FP638" s="119"/>
      <c r="FQ638" s="119"/>
      <c r="FR638" s="119"/>
    </row>
    <row x14ac:dyDescent="0.25" r="639" customHeight="1" ht="15">
      <c r="A639" s="121"/>
      <c r="B639" s="121"/>
      <c r="C639" s="122"/>
      <c r="D639" s="122"/>
      <c r="E639" s="123"/>
      <c r="F639" s="123"/>
      <c r="G639" s="124"/>
      <c r="H639" s="125"/>
      <c r="I639" s="126"/>
      <c r="J639" s="127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19"/>
      <c r="BA639" s="119"/>
      <c r="BB639" s="119"/>
      <c r="BC639" s="119"/>
      <c r="BD639" s="119"/>
      <c r="BE639" s="119"/>
      <c r="BF639" s="119"/>
      <c r="BG639" s="119"/>
      <c r="BH639" s="119"/>
      <c r="BI639" s="119"/>
      <c r="BJ639" s="119"/>
      <c r="BK639" s="119"/>
      <c r="BL639" s="119"/>
      <c r="BM639" s="119"/>
      <c r="BN639" s="119"/>
      <c r="BO639" s="119"/>
      <c r="BP639" s="119"/>
      <c r="BQ639" s="119"/>
      <c r="BR639" s="119"/>
      <c r="BS639" s="119"/>
      <c r="BT639" s="119"/>
      <c r="BU639" s="119"/>
      <c r="BV639" s="119"/>
      <c r="BW639" s="119"/>
      <c r="BX639" s="119"/>
      <c r="BY639" s="119"/>
      <c r="BZ639" s="119"/>
      <c r="CA639" s="119"/>
      <c r="CB639" s="119"/>
      <c r="CC639" s="119"/>
      <c r="CD639" s="119"/>
      <c r="CE639" s="119"/>
      <c r="CF639" s="119"/>
      <c r="CG639" s="119"/>
      <c r="CH639" s="119"/>
      <c r="CI639" s="119"/>
      <c r="CJ639" s="119"/>
      <c r="CK639" s="119"/>
      <c r="CL639" s="119"/>
      <c r="CM639" s="119"/>
      <c r="CN639" s="119"/>
      <c r="CO639" s="119"/>
      <c r="CP639" s="119"/>
      <c r="CQ639" s="119"/>
      <c r="CR639" s="119"/>
      <c r="CS639" s="119"/>
      <c r="CT639" s="119"/>
      <c r="CU639" s="119"/>
      <c r="CV639" s="119"/>
      <c r="CW639" s="119"/>
      <c r="CX639" s="119"/>
      <c r="CY639" s="119"/>
      <c r="CZ639" s="119"/>
      <c r="DA639" s="119"/>
      <c r="DB639" s="119"/>
      <c r="DC639" s="119"/>
      <c r="DD639" s="119"/>
      <c r="DE639" s="119"/>
      <c r="DF639" s="119"/>
      <c r="DG639" s="119"/>
      <c r="DH639" s="119"/>
      <c r="DI639" s="119"/>
      <c r="DJ639" s="119"/>
      <c r="DK639" s="119"/>
      <c r="DL639" s="119"/>
      <c r="DM639" s="119"/>
      <c r="DN639" s="119"/>
      <c r="DO639" s="119"/>
      <c r="DP639" s="119"/>
      <c r="DQ639" s="119"/>
      <c r="DR639" s="119"/>
      <c r="DS639" s="119"/>
      <c r="DT639" s="119"/>
      <c r="DU639" s="119"/>
      <c r="DV639" s="119"/>
      <c r="DW639" s="119"/>
      <c r="DX639" s="119"/>
      <c r="DY639" s="119"/>
      <c r="DZ639" s="119"/>
      <c r="EA639" s="119"/>
      <c r="EB639" s="119"/>
      <c r="EC639" s="119"/>
      <c r="ED639" s="119"/>
      <c r="EE639" s="119"/>
      <c r="EF639" s="119"/>
      <c r="EG639" s="119"/>
      <c r="EH639" s="119"/>
      <c r="EI639" s="119"/>
      <c r="EJ639" s="119"/>
      <c r="EK639" s="119"/>
      <c r="EL639" s="119"/>
      <c r="EM639" s="119"/>
      <c r="EN639" s="119"/>
      <c r="EO639" s="119"/>
      <c r="EP639" s="119"/>
      <c r="EQ639" s="119"/>
      <c r="ER639" s="119"/>
      <c r="ES639" s="119"/>
      <c r="ET639" s="119"/>
      <c r="EU639" s="119"/>
      <c r="EV639" s="119"/>
      <c r="EW639" s="119"/>
      <c r="EX639" s="119"/>
      <c r="EY639" s="119"/>
      <c r="EZ639" s="119"/>
      <c r="FA639" s="119"/>
      <c r="FB639" s="119"/>
      <c r="FC639" s="119"/>
      <c r="FD639" s="119"/>
      <c r="FE639" s="119"/>
      <c r="FF639" s="119"/>
      <c r="FG639" s="119"/>
      <c r="FH639" s="119"/>
      <c r="FI639" s="119"/>
      <c r="FJ639" s="119"/>
      <c r="FK639" s="119"/>
      <c r="FL639" s="119"/>
      <c r="FM639" s="119"/>
      <c r="FN639" s="119"/>
      <c r="FO639" s="119"/>
      <c r="FP639" s="119"/>
      <c r="FQ639" s="119"/>
      <c r="FR639" s="119"/>
    </row>
    <row x14ac:dyDescent="0.25" r="640" customHeight="1" ht="15">
      <c r="A640" s="121"/>
      <c r="B640" s="121"/>
      <c r="C640" s="122"/>
      <c r="D640" s="122"/>
      <c r="E640" s="123"/>
      <c r="F640" s="123"/>
      <c r="G640" s="124"/>
      <c r="H640" s="125"/>
      <c r="I640" s="126"/>
      <c r="J640" s="127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19"/>
      <c r="BA640" s="119"/>
      <c r="BB640" s="119"/>
      <c r="BC640" s="119"/>
      <c r="BD640" s="119"/>
      <c r="BE640" s="119"/>
      <c r="BF640" s="119"/>
      <c r="BG640" s="119"/>
      <c r="BH640" s="119"/>
      <c r="BI640" s="119"/>
      <c r="BJ640" s="119"/>
      <c r="BK640" s="119"/>
      <c r="BL640" s="119"/>
      <c r="BM640" s="119"/>
      <c r="BN640" s="119"/>
      <c r="BO640" s="119"/>
      <c r="BP640" s="119"/>
      <c r="BQ640" s="119"/>
      <c r="BR640" s="119"/>
      <c r="BS640" s="119"/>
      <c r="BT640" s="119"/>
      <c r="BU640" s="119"/>
      <c r="BV640" s="119"/>
      <c r="BW640" s="119"/>
      <c r="BX640" s="119"/>
      <c r="BY640" s="119"/>
      <c r="BZ640" s="119"/>
      <c r="CA640" s="119"/>
      <c r="CB640" s="119"/>
      <c r="CC640" s="119"/>
      <c r="CD640" s="119"/>
      <c r="CE640" s="119"/>
      <c r="CF640" s="119"/>
      <c r="CG640" s="119"/>
      <c r="CH640" s="119"/>
      <c r="CI640" s="119"/>
      <c r="CJ640" s="119"/>
      <c r="CK640" s="119"/>
      <c r="CL640" s="119"/>
      <c r="CM640" s="119"/>
      <c r="CN640" s="119"/>
      <c r="CO640" s="119"/>
      <c r="CP640" s="119"/>
      <c r="CQ640" s="119"/>
      <c r="CR640" s="119"/>
      <c r="CS640" s="119"/>
      <c r="CT640" s="119"/>
      <c r="CU640" s="119"/>
      <c r="CV640" s="119"/>
      <c r="CW640" s="119"/>
      <c r="CX640" s="119"/>
      <c r="CY640" s="119"/>
      <c r="CZ640" s="119"/>
      <c r="DA640" s="119"/>
      <c r="DB640" s="119"/>
      <c r="DC640" s="119"/>
      <c r="DD640" s="119"/>
      <c r="DE640" s="119"/>
      <c r="DF640" s="119"/>
      <c r="DG640" s="119"/>
      <c r="DH640" s="119"/>
      <c r="DI640" s="119"/>
      <c r="DJ640" s="119"/>
      <c r="DK640" s="119"/>
      <c r="DL640" s="119"/>
      <c r="DM640" s="119"/>
      <c r="DN640" s="119"/>
      <c r="DO640" s="119"/>
      <c r="DP640" s="119"/>
      <c r="DQ640" s="119"/>
      <c r="DR640" s="119"/>
      <c r="DS640" s="119"/>
      <c r="DT640" s="119"/>
      <c r="DU640" s="119"/>
      <c r="DV640" s="119"/>
      <c r="DW640" s="119"/>
      <c r="DX640" s="119"/>
      <c r="DY640" s="119"/>
      <c r="DZ640" s="119"/>
      <c r="EA640" s="119"/>
      <c r="EB640" s="119"/>
      <c r="EC640" s="119"/>
      <c r="ED640" s="119"/>
      <c r="EE640" s="119"/>
      <c r="EF640" s="119"/>
      <c r="EG640" s="119"/>
      <c r="EH640" s="119"/>
      <c r="EI640" s="119"/>
      <c r="EJ640" s="119"/>
      <c r="EK640" s="119"/>
      <c r="EL640" s="119"/>
      <c r="EM640" s="119"/>
      <c r="EN640" s="119"/>
      <c r="EO640" s="119"/>
      <c r="EP640" s="119"/>
      <c r="EQ640" s="119"/>
      <c r="ER640" s="119"/>
      <c r="ES640" s="119"/>
      <c r="ET640" s="119"/>
      <c r="EU640" s="119"/>
      <c r="EV640" s="119"/>
      <c r="EW640" s="119"/>
      <c r="EX640" s="119"/>
      <c r="EY640" s="119"/>
      <c r="EZ640" s="119"/>
      <c r="FA640" s="119"/>
      <c r="FB640" s="119"/>
      <c r="FC640" s="119"/>
      <c r="FD640" s="119"/>
      <c r="FE640" s="119"/>
      <c r="FF640" s="119"/>
      <c r="FG640" s="119"/>
      <c r="FH640" s="119"/>
      <c r="FI640" s="119"/>
      <c r="FJ640" s="119"/>
      <c r="FK640" s="119"/>
      <c r="FL640" s="119"/>
      <c r="FM640" s="119"/>
      <c r="FN640" s="119"/>
      <c r="FO640" s="119"/>
      <c r="FP640" s="119"/>
      <c r="FQ640" s="119"/>
      <c r="FR640" s="119"/>
    </row>
    <row x14ac:dyDescent="0.25" r="641" customHeight="1" ht="15">
      <c r="A641" s="121"/>
      <c r="B641" s="121"/>
      <c r="C641" s="122"/>
      <c r="D641" s="122"/>
      <c r="E641" s="123"/>
      <c r="F641" s="123"/>
      <c r="G641" s="124"/>
      <c r="H641" s="125"/>
      <c r="I641" s="126"/>
      <c r="J641" s="127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19"/>
      <c r="BA641" s="119"/>
      <c r="BB641" s="119"/>
      <c r="BC641" s="119"/>
      <c r="BD641" s="119"/>
      <c r="BE641" s="119"/>
      <c r="BF641" s="119"/>
      <c r="BG641" s="119"/>
      <c r="BH641" s="119"/>
      <c r="BI641" s="119"/>
      <c r="BJ641" s="119"/>
      <c r="BK641" s="119"/>
      <c r="BL641" s="119"/>
      <c r="BM641" s="119"/>
      <c r="BN641" s="119"/>
      <c r="BO641" s="119"/>
      <c r="BP641" s="119"/>
      <c r="BQ641" s="119"/>
      <c r="BR641" s="119"/>
      <c r="BS641" s="119"/>
      <c r="BT641" s="119"/>
      <c r="BU641" s="119"/>
      <c r="BV641" s="119"/>
      <c r="BW641" s="119"/>
      <c r="BX641" s="119"/>
      <c r="BY641" s="119"/>
      <c r="BZ641" s="119"/>
      <c r="CA641" s="119"/>
      <c r="CB641" s="119"/>
      <c r="CC641" s="119"/>
      <c r="CD641" s="119"/>
      <c r="CE641" s="119"/>
      <c r="CF641" s="119"/>
      <c r="CG641" s="119"/>
      <c r="CH641" s="119"/>
      <c r="CI641" s="119"/>
      <c r="CJ641" s="119"/>
      <c r="CK641" s="119"/>
      <c r="CL641" s="119"/>
      <c r="CM641" s="119"/>
      <c r="CN641" s="119"/>
      <c r="CO641" s="119"/>
      <c r="CP641" s="119"/>
      <c r="CQ641" s="119"/>
      <c r="CR641" s="119"/>
      <c r="CS641" s="119"/>
      <c r="CT641" s="119"/>
      <c r="CU641" s="119"/>
      <c r="CV641" s="119"/>
      <c r="CW641" s="119"/>
      <c r="CX641" s="119"/>
      <c r="CY641" s="119"/>
      <c r="CZ641" s="119"/>
      <c r="DA641" s="119"/>
      <c r="DB641" s="119"/>
      <c r="DC641" s="119"/>
      <c r="DD641" s="119"/>
      <c r="DE641" s="119"/>
      <c r="DF641" s="119"/>
      <c r="DG641" s="119"/>
      <c r="DH641" s="119"/>
      <c r="DI641" s="119"/>
      <c r="DJ641" s="119"/>
      <c r="DK641" s="119"/>
      <c r="DL641" s="119"/>
      <c r="DM641" s="119"/>
      <c r="DN641" s="119"/>
      <c r="DO641" s="119"/>
      <c r="DP641" s="119"/>
      <c r="DQ641" s="119"/>
      <c r="DR641" s="119"/>
      <c r="DS641" s="119"/>
      <c r="DT641" s="119"/>
      <c r="DU641" s="119"/>
      <c r="DV641" s="119"/>
      <c r="DW641" s="119"/>
      <c r="DX641" s="119"/>
      <c r="DY641" s="119"/>
      <c r="DZ641" s="119"/>
      <c r="EA641" s="119"/>
      <c r="EB641" s="119"/>
      <c r="EC641" s="119"/>
      <c r="ED641" s="119"/>
      <c r="EE641" s="119"/>
      <c r="EF641" s="119"/>
      <c r="EG641" s="119"/>
      <c r="EH641" s="119"/>
      <c r="EI641" s="119"/>
      <c r="EJ641" s="119"/>
      <c r="EK641" s="119"/>
      <c r="EL641" s="119"/>
      <c r="EM641" s="119"/>
      <c r="EN641" s="119"/>
      <c r="EO641" s="119"/>
      <c r="EP641" s="119"/>
      <c r="EQ641" s="119"/>
      <c r="ER641" s="119"/>
      <c r="ES641" s="119"/>
      <c r="ET641" s="119"/>
      <c r="EU641" s="119"/>
      <c r="EV641" s="119"/>
      <c r="EW641" s="119"/>
      <c r="EX641" s="119"/>
      <c r="EY641" s="119"/>
      <c r="EZ641" s="119"/>
      <c r="FA641" s="119"/>
      <c r="FB641" s="119"/>
      <c r="FC641" s="119"/>
      <c r="FD641" s="119"/>
      <c r="FE641" s="119"/>
      <c r="FF641" s="119"/>
      <c r="FG641" s="119"/>
      <c r="FH641" s="119"/>
      <c r="FI641" s="119"/>
      <c r="FJ641" s="119"/>
      <c r="FK641" s="119"/>
      <c r="FL641" s="119"/>
      <c r="FM641" s="119"/>
      <c r="FN641" s="119"/>
      <c r="FO641" s="119"/>
      <c r="FP641" s="119"/>
      <c r="FQ641" s="119"/>
      <c r="FR641" s="119"/>
    </row>
    <row x14ac:dyDescent="0.25" r="642" customHeight="1" ht="15">
      <c r="A642" s="121"/>
      <c r="B642" s="121"/>
      <c r="C642" s="122"/>
      <c r="D642" s="122"/>
      <c r="E642" s="123"/>
      <c r="F642" s="123"/>
      <c r="G642" s="124"/>
      <c r="H642" s="125"/>
      <c r="I642" s="126"/>
      <c r="J642" s="127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19"/>
      <c r="BA642" s="119"/>
      <c r="BB642" s="119"/>
      <c r="BC642" s="119"/>
      <c r="BD642" s="119"/>
      <c r="BE642" s="119"/>
      <c r="BF642" s="119"/>
      <c r="BG642" s="119"/>
      <c r="BH642" s="119"/>
      <c r="BI642" s="119"/>
      <c r="BJ642" s="119"/>
      <c r="BK642" s="119"/>
      <c r="BL642" s="119"/>
      <c r="BM642" s="119"/>
      <c r="BN642" s="119"/>
      <c r="BO642" s="119"/>
      <c r="BP642" s="119"/>
      <c r="BQ642" s="119"/>
      <c r="BR642" s="119"/>
      <c r="BS642" s="119"/>
      <c r="BT642" s="119"/>
      <c r="BU642" s="119"/>
      <c r="BV642" s="119"/>
      <c r="BW642" s="119"/>
      <c r="BX642" s="119"/>
      <c r="BY642" s="119"/>
      <c r="BZ642" s="119"/>
      <c r="CA642" s="119"/>
      <c r="CB642" s="119"/>
      <c r="CC642" s="119"/>
      <c r="CD642" s="119"/>
      <c r="CE642" s="119"/>
      <c r="CF642" s="119"/>
      <c r="CG642" s="119"/>
      <c r="CH642" s="119"/>
      <c r="CI642" s="119"/>
      <c r="CJ642" s="119"/>
      <c r="CK642" s="119"/>
      <c r="CL642" s="119"/>
      <c r="CM642" s="119"/>
      <c r="CN642" s="119"/>
      <c r="CO642" s="119"/>
      <c r="CP642" s="119"/>
      <c r="CQ642" s="119"/>
      <c r="CR642" s="119"/>
      <c r="CS642" s="119"/>
      <c r="CT642" s="119"/>
      <c r="CU642" s="119"/>
      <c r="CV642" s="119"/>
      <c r="CW642" s="119"/>
      <c r="CX642" s="119"/>
      <c r="CY642" s="119"/>
      <c r="CZ642" s="119"/>
      <c r="DA642" s="119"/>
      <c r="DB642" s="119"/>
      <c r="DC642" s="119"/>
      <c r="DD642" s="119"/>
      <c r="DE642" s="119"/>
      <c r="DF642" s="119"/>
      <c r="DG642" s="119"/>
      <c r="DH642" s="119"/>
      <c r="DI642" s="119"/>
      <c r="DJ642" s="119"/>
      <c r="DK642" s="119"/>
      <c r="DL642" s="119"/>
      <c r="DM642" s="119"/>
      <c r="DN642" s="119"/>
      <c r="DO642" s="119"/>
      <c r="DP642" s="119"/>
      <c r="DQ642" s="119"/>
      <c r="DR642" s="119"/>
      <c r="DS642" s="119"/>
      <c r="DT642" s="119"/>
      <c r="DU642" s="119"/>
      <c r="DV642" s="119"/>
      <c r="DW642" s="119"/>
      <c r="DX642" s="119"/>
      <c r="DY642" s="119"/>
      <c r="DZ642" s="119"/>
      <c r="EA642" s="119"/>
      <c r="EB642" s="119"/>
      <c r="EC642" s="119"/>
      <c r="ED642" s="119"/>
      <c r="EE642" s="119"/>
      <c r="EF642" s="119"/>
      <c r="EG642" s="119"/>
      <c r="EH642" s="119"/>
      <c r="EI642" s="119"/>
      <c r="EJ642" s="119"/>
      <c r="EK642" s="119"/>
      <c r="EL642" s="119"/>
      <c r="EM642" s="119"/>
      <c r="EN642" s="119"/>
      <c r="EO642" s="119"/>
      <c r="EP642" s="119"/>
      <c r="EQ642" s="119"/>
      <c r="ER642" s="119"/>
      <c r="ES642" s="119"/>
      <c r="ET642" s="119"/>
      <c r="EU642" s="119"/>
      <c r="EV642" s="119"/>
      <c r="EW642" s="119"/>
      <c r="EX642" s="119"/>
      <c r="EY642" s="119"/>
      <c r="EZ642" s="119"/>
      <c r="FA642" s="119"/>
      <c r="FB642" s="119"/>
      <c r="FC642" s="119"/>
      <c r="FD642" s="119"/>
      <c r="FE642" s="119"/>
      <c r="FF642" s="119"/>
      <c r="FG642" s="119"/>
      <c r="FH642" s="119"/>
      <c r="FI642" s="119"/>
      <c r="FJ642" s="119"/>
      <c r="FK642" s="119"/>
      <c r="FL642" s="119"/>
      <c r="FM642" s="119"/>
      <c r="FN642" s="119"/>
      <c r="FO642" s="119"/>
      <c r="FP642" s="119"/>
      <c r="FQ642" s="119"/>
      <c r="FR642" s="119"/>
    </row>
    <row x14ac:dyDescent="0.25" r="643" customHeight="1" ht="15">
      <c r="A643" s="121"/>
      <c r="B643" s="121"/>
      <c r="C643" s="122"/>
      <c r="D643" s="122"/>
      <c r="E643" s="123"/>
      <c r="F643" s="123"/>
      <c r="G643" s="124"/>
      <c r="H643" s="125"/>
      <c r="I643" s="126"/>
      <c r="J643" s="127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19"/>
      <c r="BA643" s="119"/>
      <c r="BB643" s="119"/>
      <c r="BC643" s="119"/>
      <c r="BD643" s="119"/>
      <c r="BE643" s="119"/>
      <c r="BF643" s="119"/>
      <c r="BG643" s="119"/>
      <c r="BH643" s="119"/>
      <c r="BI643" s="119"/>
      <c r="BJ643" s="119"/>
      <c r="BK643" s="119"/>
      <c r="BL643" s="119"/>
      <c r="BM643" s="119"/>
      <c r="BN643" s="119"/>
      <c r="BO643" s="119"/>
      <c r="BP643" s="119"/>
      <c r="BQ643" s="119"/>
      <c r="BR643" s="119"/>
      <c r="BS643" s="119"/>
      <c r="BT643" s="119"/>
      <c r="BU643" s="119"/>
      <c r="BV643" s="119"/>
      <c r="BW643" s="119"/>
      <c r="BX643" s="119"/>
      <c r="BY643" s="119"/>
      <c r="BZ643" s="119"/>
      <c r="CA643" s="119"/>
      <c r="CB643" s="119"/>
      <c r="CC643" s="119"/>
      <c r="CD643" s="119"/>
      <c r="CE643" s="119"/>
      <c r="CF643" s="119"/>
      <c r="CG643" s="119"/>
      <c r="CH643" s="119"/>
      <c r="CI643" s="119"/>
      <c r="CJ643" s="119"/>
      <c r="CK643" s="119"/>
      <c r="CL643" s="119"/>
      <c r="CM643" s="119"/>
      <c r="CN643" s="119"/>
      <c r="CO643" s="119"/>
      <c r="CP643" s="119"/>
      <c r="CQ643" s="119"/>
      <c r="CR643" s="119"/>
      <c r="CS643" s="119"/>
      <c r="CT643" s="119"/>
      <c r="CU643" s="119"/>
      <c r="CV643" s="119"/>
      <c r="CW643" s="119"/>
      <c r="CX643" s="119"/>
      <c r="CY643" s="119"/>
      <c r="CZ643" s="119"/>
      <c r="DA643" s="119"/>
      <c r="DB643" s="119"/>
      <c r="DC643" s="119"/>
      <c r="DD643" s="119"/>
      <c r="DE643" s="119"/>
      <c r="DF643" s="119"/>
      <c r="DG643" s="119"/>
      <c r="DH643" s="119"/>
      <c r="DI643" s="119"/>
      <c r="DJ643" s="119"/>
      <c r="DK643" s="119"/>
      <c r="DL643" s="119"/>
      <c r="DM643" s="119"/>
      <c r="DN643" s="119"/>
      <c r="DO643" s="119"/>
      <c r="DP643" s="119"/>
      <c r="DQ643" s="119"/>
      <c r="DR643" s="119"/>
      <c r="DS643" s="119"/>
      <c r="DT643" s="119"/>
      <c r="DU643" s="119"/>
      <c r="DV643" s="119"/>
      <c r="DW643" s="119"/>
      <c r="DX643" s="119"/>
      <c r="DY643" s="119"/>
      <c r="DZ643" s="119"/>
      <c r="EA643" s="119"/>
      <c r="EB643" s="119"/>
      <c r="EC643" s="119"/>
      <c r="ED643" s="119"/>
      <c r="EE643" s="119"/>
      <c r="EF643" s="119"/>
      <c r="EG643" s="119"/>
      <c r="EH643" s="119"/>
      <c r="EI643" s="119"/>
      <c r="EJ643" s="119"/>
      <c r="EK643" s="119"/>
      <c r="EL643" s="119"/>
      <c r="EM643" s="119"/>
      <c r="EN643" s="119"/>
      <c r="EO643" s="119"/>
      <c r="EP643" s="119"/>
      <c r="EQ643" s="119"/>
      <c r="ER643" s="119"/>
      <c r="ES643" s="119"/>
      <c r="ET643" s="119"/>
      <c r="EU643" s="119"/>
      <c r="EV643" s="119"/>
      <c r="EW643" s="119"/>
      <c r="EX643" s="119"/>
      <c r="EY643" s="119"/>
      <c r="EZ643" s="119"/>
      <c r="FA643" s="119"/>
      <c r="FB643" s="119"/>
      <c r="FC643" s="119"/>
      <c r="FD643" s="119"/>
      <c r="FE643" s="119"/>
      <c r="FF643" s="119"/>
      <c r="FG643" s="119"/>
      <c r="FH643" s="119"/>
      <c r="FI643" s="119"/>
      <c r="FJ643" s="119"/>
      <c r="FK643" s="119"/>
      <c r="FL643" s="119"/>
      <c r="FM643" s="119"/>
      <c r="FN643" s="119"/>
      <c r="FO643" s="119"/>
      <c r="FP643" s="119"/>
      <c r="FQ643" s="119"/>
      <c r="FR643" s="119"/>
    </row>
    <row x14ac:dyDescent="0.25" r="644" customHeight="1" ht="15">
      <c r="A644" s="121"/>
      <c r="B644" s="121"/>
      <c r="C644" s="122"/>
      <c r="D644" s="122"/>
      <c r="E644" s="123"/>
      <c r="F644" s="123"/>
      <c r="G644" s="124"/>
      <c r="H644" s="125"/>
      <c r="I644" s="126"/>
      <c r="J644" s="127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19"/>
      <c r="BA644" s="119"/>
      <c r="BB644" s="119"/>
      <c r="BC644" s="119"/>
      <c r="BD644" s="119"/>
      <c r="BE644" s="119"/>
      <c r="BF644" s="119"/>
      <c r="BG644" s="119"/>
      <c r="BH644" s="119"/>
      <c r="BI644" s="119"/>
      <c r="BJ644" s="119"/>
      <c r="BK644" s="119"/>
      <c r="BL644" s="119"/>
      <c r="BM644" s="119"/>
      <c r="BN644" s="119"/>
      <c r="BO644" s="119"/>
      <c r="BP644" s="119"/>
      <c r="BQ644" s="119"/>
      <c r="BR644" s="119"/>
      <c r="BS644" s="119"/>
      <c r="BT644" s="119"/>
      <c r="BU644" s="119"/>
      <c r="BV644" s="119"/>
      <c r="BW644" s="119"/>
      <c r="BX644" s="119"/>
      <c r="BY644" s="119"/>
      <c r="BZ644" s="119"/>
      <c r="CA644" s="119"/>
      <c r="CB644" s="119"/>
      <c r="CC644" s="119"/>
      <c r="CD644" s="119"/>
      <c r="CE644" s="119"/>
      <c r="CF644" s="119"/>
      <c r="CG644" s="119"/>
      <c r="CH644" s="119"/>
      <c r="CI644" s="119"/>
      <c r="CJ644" s="119"/>
      <c r="CK644" s="119"/>
      <c r="CL644" s="119"/>
      <c r="CM644" s="119"/>
      <c r="CN644" s="119"/>
      <c r="CO644" s="119"/>
      <c r="CP644" s="119"/>
      <c r="CQ644" s="119"/>
      <c r="CR644" s="119"/>
      <c r="CS644" s="119"/>
      <c r="CT644" s="119"/>
      <c r="CU644" s="119"/>
      <c r="CV644" s="119"/>
      <c r="CW644" s="119"/>
      <c r="CX644" s="119"/>
      <c r="CY644" s="119"/>
      <c r="CZ644" s="119"/>
      <c r="DA644" s="119"/>
      <c r="DB644" s="119"/>
      <c r="DC644" s="119"/>
      <c r="DD644" s="119"/>
      <c r="DE644" s="119"/>
      <c r="DF644" s="119"/>
      <c r="DG644" s="119"/>
      <c r="DH644" s="119"/>
      <c r="DI644" s="119"/>
      <c r="DJ644" s="119"/>
      <c r="DK644" s="119"/>
      <c r="DL644" s="119"/>
      <c r="DM644" s="119"/>
      <c r="DN644" s="119"/>
      <c r="DO644" s="119"/>
      <c r="DP644" s="119"/>
      <c r="DQ644" s="119"/>
      <c r="DR644" s="119"/>
      <c r="DS644" s="119"/>
      <c r="DT644" s="119"/>
      <c r="DU644" s="119"/>
      <c r="DV644" s="119"/>
      <c r="DW644" s="119"/>
      <c r="DX644" s="119"/>
      <c r="DY644" s="119"/>
      <c r="DZ644" s="119"/>
      <c r="EA644" s="119"/>
      <c r="EB644" s="119"/>
      <c r="EC644" s="119"/>
      <c r="ED644" s="119"/>
      <c r="EE644" s="119"/>
      <c r="EF644" s="119"/>
      <c r="EG644" s="119"/>
      <c r="EH644" s="119"/>
      <c r="EI644" s="119"/>
      <c r="EJ644" s="119"/>
      <c r="EK644" s="119"/>
      <c r="EL644" s="119"/>
      <c r="EM644" s="119"/>
      <c r="EN644" s="119"/>
      <c r="EO644" s="119"/>
      <c r="EP644" s="119"/>
      <c r="EQ644" s="119"/>
      <c r="ER644" s="119"/>
      <c r="ES644" s="119"/>
      <c r="ET644" s="119"/>
      <c r="EU644" s="119"/>
      <c r="EV644" s="119"/>
      <c r="EW644" s="119"/>
      <c r="EX644" s="119"/>
      <c r="EY644" s="119"/>
      <c r="EZ644" s="119"/>
      <c r="FA644" s="119"/>
      <c r="FB644" s="119"/>
      <c r="FC644" s="119"/>
      <c r="FD644" s="119"/>
      <c r="FE644" s="119"/>
      <c r="FF644" s="119"/>
      <c r="FG644" s="119"/>
      <c r="FH644" s="119"/>
      <c r="FI644" s="119"/>
      <c r="FJ644" s="119"/>
      <c r="FK644" s="119"/>
      <c r="FL644" s="119"/>
      <c r="FM644" s="119"/>
      <c r="FN644" s="119"/>
      <c r="FO644" s="119"/>
      <c r="FP644" s="119"/>
      <c r="FQ644" s="119"/>
      <c r="FR644" s="119"/>
    </row>
    <row x14ac:dyDescent="0.25" r="645" customHeight="1" ht="15">
      <c r="A645" s="121"/>
      <c r="B645" s="121"/>
      <c r="C645" s="122"/>
      <c r="D645" s="122"/>
      <c r="E645" s="123"/>
      <c r="F645" s="123"/>
      <c r="G645" s="124"/>
      <c r="H645" s="125"/>
      <c r="I645" s="126"/>
      <c r="J645" s="127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19"/>
      <c r="BA645" s="119"/>
      <c r="BB645" s="119"/>
      <c r="BC645" s="119"/>
      <c r="BD645" s="119"/>
      <c r="BE645" s="119"/>
      <c r="BF645" s="119"/>
      <c r="BG645" s="119"/>
      <c r="BH645" s="119"/>
      <c r="BI645" s="119"/>
      <c r="BJ645" s="119"/>
      <c r="BK645" s="119"/>
      <c r="BL645" s="119"/>
      <c r="BM645" s="119"/>
      <c r="BN645" s="119"/>
      <c r="BO645" s="119"/>
      <c r="BP645" s="119"/>
      <c r="BQ645" s="119"/>
      <c r="BR645" s="119"/>
      <c r="BS645" s="119"/>
      <c r="BT645" s="119"/>
      <c r="BU645" s="119"/>
      <c r="BV645" s="119"/>
      <c r="BW645" s="119"/>
      <c r="BX645" s="119"/>
      <c r="BY645" s="119"/>
      <c r="BZ645" s="119"/>
      <c r="CA645" s="119"/>
      <c r="CB645" s="119"/>
      <c r="CC645" s="119"/>
      <c r="CD645" s="119"/>
      <c r="CE645" s="119"/>
      <c r="CF645" s="119"/>
      <c r="CG645" s="119"/>
      <c r="CH645" s="119"/>
      <c r="CI645" s="119"/>
      <c r="CJ645" s="119"/>
      <c r="CK645" s="119"/>
      <c r="CL645" s="119"/>
      <c r="CM645" s="119"/>
      <c r="CN645" s="119"/>
      <c r="CO645" s="119"/>
      <c r="CP645" s="119"/>
      <c r="CQ645" s="119"/>
      <c r="CR645" s="119"/>
      <c r="CS645" s="119"/>
      <c r="CT645" s="119"/>
      <c r="CU645" s="119"/>
      <c r="CV645" s="119"/>
      <c r="CW645" s="119"/>
      <c r="CX645" s="119"/>
      <c r="CY645" s="119"/>
      <c r="CZ645" s="119"/>
      <c r="DA645" s="119"/>
      <c r="DB645" s="119"/>
      <c r="DC645" s="119"/>
      <c r="DD645" s="119"/>
      <c r="DE645" s="119"/>
      <c r="DF645" s="119"/>
      <c r="DG645" s="119"/>
      <c r="DH645" s="119"/>
      <c r="DI645" s="119"/>
      <c r="DJ645" s="119"/>
      <c r="DK645" s="119"/>
      <c r="DL645" s="119"/>
      <c r="DM645" s="119"/>
      <c r="DN645" s="119"/>
      <c r="DO645" s="119"/>
      <c r="DP645" s="119"/>
      <c r="DQ645" s="119"/>
      <c r="DR645" s="119"/>
      <c r="DS645" s="119"/>
      <c r="DT645" s="119"/>
      <c r="DU645" s="119"/>
      <c r="DV645" s="119"/>
      <c r="DW645" s="119"/>
      <c r="DX645" s="119"/>
      <c r="DY645" s="119"/>
      <c r="DZ645" s="119"/>
      <c r="EA645" s="119"/>
      <c r="EB645" s="119"/>
      <c r="EC645" s="119"/>
      <c r="ED645" s="119"/>
      <c r="EE645" s="119"/>
      <c r="EF645" s="119"/>
      <c r="EG645" s="119"/>
      <c r="EH645" s="119"/>
      <c r="EI645" s="119"/>
      <c r="EJ645" s="119"/>
      <c r="EK645" s="119"/>
      <c r="EL645" s="119"/>
      <c r="EM645" s="119"/>
      <c r="EN645" s="119"/>
      <c r="EO645" s="119"/>
      <c r="EP645" s="119"/>
      <c r="EQ645" s="119"/>
      <c r="ER645" s="119"/>
      <c r="ES645" s="119"/>
      <c r="ET645" s="119"/>
      <c r="EU645" s="119"/>
      <c r="EV645" s="119"/>
      <c r="EW645" s="119"/>
      <c r="EX645" s="119"/>
      <c r="EY645" s="119"/>
      <c r="EZ645" s="119"/>
      <c r="FA645" s="119"/>
      <c r="FB645" s="119"/>
      <c r="FC645" s="119"/>
      <c r="FD645" s="119"/>
      <c r="FE645" s="119"/>
      <c r="FF645" s="119"/>
      <c r="FG645" s="119"/>
      <c r="FH645" s="119"/>
      <c r="FI645" s="119"/>
      <c r="FJ645" s="119"/>
      <c r="FK645" s="119"/>
      <c r="FL645" s="119"/>
      <c r="FM645" s="119"/>
      <c r="FN645" s="119"/>
      <c r="FO645" s="119"/>
      <c r="FP645" s="119"/>
      <c r="FQ645" s="119"/>
      <c r="FR645" s="119"/>
    </row>
    <row x14ac:dyDescent="0.25" r="646" customHeight="1" ht="15">
      <c r="A646" s="121"/>
      <c r="B646" s="121"/>
      <c r="C646" s="122"/>
      <c r="D646" s="122"/>
      <c r="E646" s="123"/>
      <c r="F646" s="123"/>
      <c r="G646" s="124"/>
      <c r="H646" s="125"/>
      <c r="I646" s="126"/>
      <c r="J646" s="127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19"/>
      <c r="BA646" s="119"/>
      <c r="BB646" s="119"/>
      <c r="BC646" s="119"/>
      <c r="BD646" s="119"/>
      <c r="BE646" s="119"/>
      <c r="BF646" s="119"/>
      <c r="BG646" s="119"/>
      <c r="BH646" s="119"/>
      <c r="BI646" s="119"/>
      <c r="BJ646" s="119"/>
      <c r="BK646" s="119"/>
      <c r="BL646" s="119"/>
      <c r="BM646" s="119"/>
      <c r="BN646" s="119"/>
      <c r="BO646" s="119"/>
      <c r="BP646" s="119"/>
      <c r="BQ646" s="119"/>
      <c r="BR646" s="119"/>
      <c r="BS646" s="119"/>
      <c r="BT646" s="119"/>
      <c r="BU646" s="119"/>
      <c r="BV646" s="119"/>
      <c r="BW646" s="119"/>
      <c r="BX646" s="119"/>
      <c r="BY646" s="119"/>
      <c r="BZ646" s="119"/>
      <c r="CA646" s="119"/>
      <c r="CB646" s="119"/>
      <c r="CC646" s="119"/>
      <c r="CD646" s="119"/>
      <c r="CE646" s="119"/>
      <c r="CF646" s="119"/>
      <c r="CG646" s="119"/>
      <c r="CH646" s="119"/>
      <c r="CI646" s="119"/>
      <c r="CJ646" s="119"/>
      <c r="CK646" s="119"/>
      <c r="CL646" s="119"/>
      <c r="CM646" s="119"/>
      <c r="CN646" s="119"/>
      <c r="CO646" s="119"/>
      <c r="CP646" s="119"/>
      <c r="CQ646" s="119"/>
      <c r="CR646" s="119"/>
      <c r="CS646" s="119"/>
      <c r="CT646" s="119"/>
      <c r="CU646" s="119"/>
      <c r="CV646" s="119"/>
      <c r="CW646" s="119"/>
      <c r="CX646" s="119"/>
      <c r="CY646" s="119"/>
      <c r="CZ646" s="119"/>
      <c r="DA646" s="119"/>
      <c r="DB646" s="119"/>
      <c r="DC646" s="119"/>
      <c r="DD646" s="119"/>
      <c r="DE646" s="119"/>
      <c r="DF646" s="119"/>
      <c r="DG646" s="119"/>
      <c r="DH646" s="119"/>
      <c r="DI646" s="119"/>
      <c r="DJ646" s="119"/>
      <c r="DK646" s="119"/>
      <c r="DL646" s="119"/>
      <c r="DM646" s="119"/>
      <c r="DN646" s="119"/>
      <c r="DO646" s="119"/>
      <c r="DP646" s="119"/>
      <c r="DQ646" s="119"/>
      <c r="DR646" s="119"/>
      <c r="DS646" s="119"/>
      <c r="DT646" s="119"/>
      <c r="DU646" s="119"/>
      <c r="DV646" s="119"/>
      <c r="DW646" s="119"/>
      <c r="DX646" s="119"/>
      <c r="DY646" s="119"/>
      <c r="DZ646" s="119"/>
      <c r="EA646" s="119"/>
      <c r="EB646" s="119"/>
      <c r="EC646" s="119"/>
      <c r="ED646" s="119"/>
      <c r="EE646" s="119"/>
      <c r="EF646" s="119"/>
      <c r="EG646" s="119"/>
      <c r="EH646" s="119"/>
      <c r="EI646" s="119"/>
      <c r="EJ646" s="119"/>
      <c r="EK646" s="119"/>
      <c r="EL646" s="119"/>
      <c r="EM646" s="119"/>
      <c r="EN646" s="119"/>
      <c r="EO646" s="119"/>
      <c r="EP646" s="119"/>
      <c r="EQ646" s="119"/>
      <c r="ER646" s="119"/>
      <c r="ES646" s="119"/>
      <c r="ET646" s="119"/>
      <c r="EU646" s="119"/>
      <c r="EV646" s="119"/>
      <c r="EW646" s="119"/>
      <c r="EX646" s="119"/>
      <c r="EY646" s="119"/>
      <c r="EZ646" s="119"/>
      <c r="FA646" s="119"/>
      <c r="FB646" s="119"/>
      <c r="FC646" s="119"/>
      <c r="FD646" s="119"/>
      <c r="FE646" s="119"/>
      <c r="FF646" s="119"/>
      <c r="FG646" s="119"/>
      <c r="FH646" s="119"/>
      <c r="FI646" s="119"/>
      <c r="FJ646" s="119"/>
      <c r="FK646" s="119"/>
      <c r="FL646" s="119"/>
      <c r="FM646" s="119"/>
      <c r="FN646" s="119"/>
      <c r="FO646" s="119"/>
      <c r="FP646" s="119"/>
      <c r="FQ646" s="119"/>
      <c r="FR646" s="119"/>
    </row>
    <row x14ac:dyDescent="0.25" r="647" customHeight="1" ht="15">
      <c r="A647" s="121"/>
      <c r="B647" s="121"/>
      <c r="C647" s="122"/>
      <c r="D647" s="122"/>
      <c r="E647" s="123"/>
      <c r="F647" s="123"/>
      <c r="G647" s="124"/>
      <c r="H647" s="125"/>
      <c r="I647" s="126"/>
      <c r="J647" s="127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19"/>
      <c r="BA647" s="119"/>
      <c r="BB647" s="119"/>
      <c r="BC647" s="119"/>
      <c r="BD647" s="119"/>
      <c r="BE647" s="119"/>
      <c r="BF647" s="119"/>
      <c r="BG647" s="119"/>
      <c r="BH647" s="119"/>
      <c r="BI647" s="119"/>
      <c r="BJ647" s="119"/>
      <c r="BK647" s="119"/>
      <c r="BL647" s="119"/>
      <c r="BM647" s="119"/>
      <c r="BN647" s="119"/>
      <c r="BO647" s="119"/>
      <c r="BP647" s="119"/>
      <c r="BQ647" s="119"/>
      <c r="BR647" s="119"/>
      <c r="BS647" s="119"/>
      <c r="BT647" s="119"/>
      <c r="BU647" s="119"/>
      <c r="BV647" s="119"/>
      <c r="BW647" s="119"/>
      <c r="BX647" s="119"/>
      <c r="BY647" s="119"/>
      <c r="BZ647" s="119"/>
      <c r="CA647" s="119"/>
      <c r="CB647" s="119"/>
      <c r="CC647" s="119"/>
      <c r="CD647" s="119"/>
      <c r="CE647" s="119"/>
      <c r="CF647" s="119"/>
      <c r="CG647" s="119"/>
      <c r="CH647" s="119"/>
      <c r="CI647" s="119"/>
      <c r="CJ647" s="119"/>
      <c r="CK647" s="119"/>
      <c r="CL647" s="119"/>
      <c r="CM647" s="119"/>
      <c r="CN647" s="119"/>
      <c r="CO647" s="119"/>
      <c r="CP647" s="119"/>
      <c r="CQ647" s="119"/>
      <c r="CR647" s="119"/>
      <c r="CS647" s="119"/>
      <c r="CT647" s="119"/>
      <c r="CU647" s="119"/>
      <c r="CV647" s="119"/>
      <c r="CW647" s="119"/>
      <c r="CX647" s="119"/>
      <c r="CY647" s="119"/>
      <c r="CZ647" s="119"/>
      <c r="DA647" s="119"/>
      <c r="DB647" s="119"/>
      <c r="DC647" s="119"/>
      <c r="DD647" s="119"/>
      <c r="DE647" s="119"/>
      <c r="DF647" s="119"/>
      <c r="DG647" s="119"/>
      <c r="DH647" s="119"/>
      <c r="DI647" s="119"/>
      <c r="DJ647" s="119"/>
      <c r="DK647" s="119"/>
      <c r="DL647" s="119"/>
      <c r="DM647" s="119"/>
      <c r="DN647" s="119"/>
      <c r="DO647" s="119"/>
      <c r="DP647" s="119"/>
      <c r="DQ647" s="119"/>
      <c r="DR647" s="119"/>
      <c r="DS647" s="119"/>
      <c r="DT647" s="119"/>
      <c r="DU647" s="119"/>
      <c r="DV647" s="119"/>
      <c r="DW647" s="119"/>
      <c r="DX647" s="119"/>
      <c r="DY647" s="119"/>
      <c r="DZ647" s="119"/>
      <c r="EA647" s="119"/>
      <c r="EB647" s="119"/>
      <c r="EC647" s="119"/>
      <c r="ED647" s="119"/>
      <c r="EE647" s="119"/>
      <c r="EF647" s="119"/>
      <c r="EG647" s="119"/>
      <c r="EH647" s="119"/>
      <c r="EI647" s="119"/>
      <c r="EJ647" s="119"/>
      <c r="EK647" s="119"/>
      <c r="EL647" s="119"/>
      <c r="EM647" s="119"/>
      <c r="EN647" s="119"/>
      <c r="EO647" s="119"/>
      <c r="EP647" s="119"/>
      <c r="EQ647" s="119"/>
      <c r="ER647" s="119"/>
      <c r="ES647" s="119"/>
      <c r="ET647" s="119"/>
      <c r="EU647" s="119"/>
      <c r="EV647" s="119"/>
      <c r="EW647" s="119"/>
      <c r="EX647" s="119"/>
      <c r="EY647" s="119"/>
      <c r="EZ647" s="119"/>
      <c r="FA647" s="119"/>
      <c r="FB647" s="119"/>
      <c r="FC647" s="119"/>
      <c r="FD647" s="119"/>
      <c r="FE647" s="119"/>
      <c r="FF647" s="119"/>
      <c r="FG647" s="119"/>
      <c r="FH647" s="119"/>
      <c r="FI647" s="119"/>
      <c r="FJ647" s="119"/>
      <c r="FK647" s="119"/>
      <c r="FL647" s="119"/>
      <c r="FM647" s="119"/>
      <c r="FN647" s="119"/>
      <c r="FO647" s="119"/>
      <c r="FP647" s="119"/>
      <c r="FQ647" s="119"/>
      <c r="FR647" s="119"/>
    </row>
    <row x14ac:dyDescent="0.25" r="648" customHeight="1" ht="15">
      <c r="A648" s="121"/>
      <c r="B648" s="121"/>
      <c r="C648" s="122"/>
      <c r="D648" s="122"/>
      <c r="E648" s="123"/>
      <c r="F648" s="123"/>
      <c r="G648" s="124"/>
      <c r="H648" s="125"/>
      <c r="I648" s="126"/>
      <c r="J648" s="127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19"/>
      <c r="BA648" s="119"/>
      <c r="BB648" s="119"/>
      <c r="BC648" s="119"/>
      <c r="BD648" s="119"/>
      <c r="BE648" s="119"/>
      <c r="BF648" s="119"/>
      <c r="BG648" s="119"/>
      <c r="BH648" s="119"/>
      <c r="BI648" s="119"/>
      <c r="BJ648" s="119"/>
      <c r="BK648" s="119"/>
      <c r="BL648" s="119"/>
      <c r="BM648" s="119"/>
      <c r="BN648" s="119"/>
      <c r="BO648" s="119"/>
      <c r="BP648" s="119"/>
      <c r="BQ648" s="119"/>
      <c r="BR648" s="119"/>
      <c r="BS648" s="119"/>
      <c r="BT648" s="119"/>
      <c r="BU648" s="119"/>
      <c r="BV648" s="119"/>
      <c r="BW648" s="119"/>
      <c r="BX648" s="119"/>
      <c r="BY648" s="119"/>
      <c r="BZ648" s="119"/>
      <c r="CA648" s="119"/>
      <c r="CB648" s="119"/>
      <c r="CC648" s="119"/>
      <c r="CD648" s="119"/>
      <c r="CE648" s="119"/>
      <c r="CF648" s="119"/>
      <c r="CG648" s="119"/>
      <c r="CH648" s="119"/>
      <c r="CI648" s="119"/>
      <c r="CJ648" s="119"/>
      <c r="CK648" s="119"/>
      <c r="CL648" s="119"/>
      <c r="CM648" s="119"/>
      <c r="CN648" s="119"/>
      <c r="CO648" s="119"/>
      <c r="CP648" s="119"/>
      <c r="CQ648" s="119"/>
      <c r="CR648" s="119"/>
      <c r="CS648" s="119"/>
      <c r="CT648" s="119"/>
      <c r="CU648" s="119"/>
      <c r="CV648" s="119"/>
      <c r="CW648" s="119"/>
      <c r="CX648" s="119"/>
      <c r="CY648" s="119"/>
      <c r="CZ648" s="119"/>
      <c r="DA648" s="119"/>
      <c r="DB648" s="119"/>
      <c r="DC648" s="119"/>
      <c r="DD648" s="119"/>
      <c r="DE648" s="119"/>
      <c r="DF648" s="119"/>
      <c r="DG648" s="119"/>
      <c r="DH648" s="119"/>
      <c r="DI648" s="119"/>
      <c r="DJ648" s="119"/>
      <c r="DK648" s="119"/>
      <c r="DL648" s="119"/>
      <c r="DM648" s="119"/>
      <c r="DN648" s="119"/>
      <c r="DO648" s="119"/>
      <c r="DP648" s="119"/>
      <c r="DQ648" s="119"/>
      <c r="DR648" s="119"/>
      <c r="DS648" s="119"/>
      <c r="DT648" s="119"/>
      <c r="DU648" s="119"/>
      <c r="DV648" s="119"/>
      <c r="DW648" s="119"/>
      <c r="DX648" s="119"/>
      <c r="DY648" s="119"/>
      <c r="DZ648" s="119"/>
      <c r="EA648" s="119"/>
      <c r="EB648" s="119"/>
      <c r="EC648" s="119"/>
      <c r="ED648" s="119"/>
      <c r="EE648" s="119"/>
      <c r="EF648" s="119"/>
      <c r="EG648" s="119"/>
      <c r="EH648" s="119"/>
      <c r="EI648" s="119"/>
      <c r="EJ648" s="119"/>
      <c r="EK648" s="119"/>
      <c r="EL648" s="119"/>
      <c r="EM648" s="119"/>
      <c r="EN648" s="119"/>
      <c r="EO648" s="119"/>
      <c r="EP648" s="119"/>
      <c r="EQ648" s="119"/>
      <c r="ER648" s="119"/>
      <c r="ES648" s="119"/>
      <c r="ET648" s="119"/>
      <c r="EU648" s="119"/>
      <c r="EV648" s="119"/>
      <c r="EW648" s="119"/>
      <c r="EX648" s="119"/>
      <c r="EY648" s="119"/>
      <c r="EZ648" s="119"/>
      <c r="FA648" s="119"/>
      <c r="FB648" s="119"/>
      <c r="FC648" s="119"/>
      <c r="FD648" s="119"/>
      <c r="FE648" s="119"/>
      <c r="FF648" s="119"/>
      <c r="FG648" s="119"/>
      <c r="FH648" s="119"/>
      <c r="FI648" s="119"/>
      <c r="FJ648" s="119"/>
      <c r="FK648" s="119"/>
      <c r="FL648" s="119"/>
      <c r="FM648" s="119"/>
      <c r="FN648" s="119"/>
      <c r="FO648" s="119"/>
      <c r="FP648" s="119"/>
      <c r="FQ648" s="119"/>
      <c r="FR648" s="119"/>
    </row>
    <row x14ac:dyDescent="0.25" r="649" customHeight="1" ht="15">
      <c r="A649" s="121"/>
      <c r="B649" s="121"/>
      <c r="C649" s="122"/>
      <c r="D649" s="122"/>
      <c r="E649" s="123"/>
      <c r="F649" s="123"/>
      <c r="G649" s="124"/>
      <c r="H649" s="125"/>
      <c r="I649" s="126"/>
      <c r="J649" s="127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19"/>
      <c r="BA649" s="119"/>
      <c r="BB649" s="119"/>
      <c r="BC649" s="119"/>
      <c r="BD649" s="119"/>
      <c r="BE649" s="119"/>
      <c r="BF649" s="119"/>
      <c r="BG649" s="119"/>
      <c r="BH649" s="119"/>
      <c r="BI649" s="119"/>
      <c r="BJ649" s="119"/>
      <c r="BK649" s="119"/>
      <c r="BL649" s="119"/>
      <c r="BM649" s="119"/>
      <c r="BN649" s="119"/>
      <c r="BO649" s="119"/>
      <c r="BP649" s="119"/>
      <c r="BQ649" s="119"/>
      <c r="BR649" s="119"/>
      <c r="BS649" s="119"/>
      <c r="BT649" s="119"/>
      <c r="BU649" s="119"/>
      <c r="BV649" s="119"/>
      <c r="BW649" s="119"/>
      <c r="BX649" s="119"/>
      <c r="BY649" s="119"/>
      <c r="BZ649" s="119"/>
      <c r="CA649" s="119"/>
      <c r="CB649" s="119"/>
      <c r="CC649" s="119"/>
      <c r="CD649" s="119"/>
      <c r="CE649" s="119"/>
      <c r="CF649" s="119"/>
      <c r="CG649" s="119"/>
      <c r="CH649" s="119"/>
      <c r="CI649" s="119"/>
      <c r="CJ649" s="119"/>
      <c r="CK649" s="119"/>
      <c r="CL649" s="119"/>
      <c r="CM649" s="119"/>
      <c r="CN649" s="119"/>
      <c r="CO649" s="119"/>
      <c r="CP649" s="119"/>
      <c r="CQ649" s="119"/>
      <c r="CR649" s="119"/>
      <c r="CS649" s="119"/>
      <c r="CT649" s="119"/>
      <c r="CU649" s="119"/>
      <c r="CV649" s="119"/>
      <c r="CW649" s="119"/>
      <c r="CX649" s="119"/>
      <c r="CY649" s="119"/>
      <c r="CZ649" s="119"/>
      <c r="DA649" s="119"/>
      <c r="DB649" s="119"/>
      <c r="DC649" s="119"/>
      <c r="DD649" s="119"/>
      <c r="DE649" s="119"/>
      <c r="DF649" s="119"/>
      <c r="DG649" s="119"/>
      <c r="DH649" s="119"/>
      <c r="DI649" s="119"/>
      <c r="DJ649" s="119"/>
      <c r="DK649" s="119"/>
      <c r="DL649" s="119"/>
      <c r="DM649" s="119"/>
      <c r="DN649" s="119"/>
      <c r="DO649" s="119"/>
      <c r="DP649" s="119"/>
      <c r="DQ649" s="119"/>
      <c r="DR649" s="119"/>
      <c r="DS649" s="119"/>
      <c r="DT649" s="119"/>
      <c r="DU649" s="119"/>
      <c r="DV649" s="119"/>
      <c r="DW649" s="119"/>
      <c r="DX649" s="119"/>
      <c r="DY649" s="119"/>
      <c r="DZ649" s="119"/>
      <c r="EA649" s="119"/>
      <c r="EB649" s="119"/>
      <c r="EC649" s="119"/>
      <c r="ED649" s="119"/>
      <c r="EE649" s="119"/>
      <c r="EF649" s="119"/>
      <c r="EG649" s="119"/>
      <c r="EH649" s="119"/>
      <c r="EI649" s="119"/>
      <c r="EJ649" s="119"/>
      <c r="EK649" s="119"/>
      <c r="EL649" s="119"/>
      <c r="EM649" s="119"/>
      <c r="EN649" s="119"/>
      <c r="EO649" s="119"/>
      <c r="EP649" s="119"/>
      <c r="EQ649" s="119"/>
      <c r="ER649" s="119"/>
      <c r="ES649" s="119"/>
      <c r="ET649" s="119"/>
      <c r="EU649" s="119"/>
      <c r="EV649" s="119"/>
      <c r="EW649" s="119"/>
      <c r="EX649" s="119"/>
      <c r="EY649" s="119"/>
      <c r="EZ649" s="119"/>
      <c r="FA649" s="119"/>
      <c r="FB649" s="119"/>
      <c r="FC649" s="119"/>
      <c r="FD649" s="119"/>
      <c r="FE649" s="119"/>
      <c r="FF649" s="119"/>
      <c r="FG649" s="119"/>
      <c r="FH649" s="119"/>
      <c r="FI649" s="119"/>
      <c r="FJ649" s="119"/>
      <c r="FK649" s="119"/>
      <c r="FL649" s="119"/>
      <c r="FM649" s="119"/>
      <c r="FN649" s="119"/>
      <c r="FO649" s="119"/>
      <c r="FP649" s="119"/>
      <c r="FQ649" s="119"/>
      <c r="FR649" s="119"/>
    </row>
    <row x14ac:dyDescent="0.25" r="650" customHeight="1" ht="15">
      <c r="A650" s="121"/>
      <c r="B650" s="121"/>
      <c r="C650" s="122"/>
      <c r="D650" s="122"/>
      <c r="E650" s="123"/>
      <c r="F650" s="123"/>
      <c r="G650" s="124"/>
      <c r="H650" s="125"/>
      <c r="I650" s="126"/>
      <c r="J650" s="127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19"/>
      <c r="BA650" s="119"/>
      <c r="BB650" s="119"/>
      <c r="BC650" s="119"/>
      <c r="BD650" s="119"/>
      <c r="BE650" s="119"/>
      <c r="BF650" s="119"/>
      <c r="BG650" s="119"/>
      <c r="BH650" s="119"/>
      <c r="BI650" s="119"/>
      <c r="BJ650" s="119"/>
      <c r="BK650" s="119"/>
      <c r="BL650" s="119"/>
      <c r="BM650" s="119"/>
      <c r="BN650" s="119"/>
      <c r="BO650" s="119"/>
      <c r="BP650" s="119"/>
      <c r="BQ650" s="119"/>
      <c r="BR650" s="119"/>
      <c r="BS650" s="119"/>
      <c r="BT650" s="119"/>
      <c r="BU650" s="119"/>
      <c r="BV650" s="119"/>
      <c r="BW650" s="119"/>
      <c r="BX650" s="119"/>
      <c r="BY650" s="119"/>
      <c r="BZ650" s="119"/>
      <c r="CA650" s="119"/>
      <c r="CB650" s="119"/>
      <c r="CC650" s="119"/>
      <c r="CD650" s="119"/>
      <c r="CE650" s="119"/>
      <c r="CF650" s="119"/>
      <c r="CG650" s="119"/>
      <c r="CH650" s="119"/>
      <c r="CI650" s="119"/>
      <c r="CJ650" s="119"/>
      <c r="CK650" s="119"/>
      <c r="CL650" s="119"/>
      <c r="CM650" s="119"/>
      <c r="CN650" s="119"/>
      <c r="CO650" s="119"/>
      <c r="CP650" s="119"/>
      <c r="CQ650" s="119"/>
      <c r="CR650" s="119"/>
      <c r="CS650" s="119"/>
      <c r="CT650" s="119"/>
      <c r="CU650" s="119"/>
      <c r="CV650" s="119"/>
      <c r="CW650" s="119"/>
      <c r="CX650" s="119"/>
      <c r="CY650" s="119"/>
      <c r="CZ650" s="119"/>
      <c r="DA650" s="119"/>
      <c r="DB650" s="119"/>
      <c r="DC650" s="119"/>
      <c r="DD650" s="119"/>
      <c r="DE650" s="119"/>
      <c r="DF650" s="119"/>
      <c r="DG650" s="119"/>
      <c r="DH650" s="119"/>
      <c r="DI650" s="119"/>
      <c r="DJ650" s="119"/>
      <c r="DK650" s="119"/>
      <c r="DL650" s="119"/>
      <c r="DM650" s="119"/>
      <c r="DN650" s="119"/>
      <c r="DO650" s="119"/>
      <c r="DP650" s="119"/>
      <c r="DQ650" s="119"/>
      <c r="DR650" s="119"/>
      <c r="DS650" s="119"/>
      <c r="DT650" s="119"/>
      <c r="DU650" s="119"/>
      <c r="DV650" s="119"/>
      <c r="DW650" s="119"/>
      <c r="DX650" s="119"/>
      <c r="DY650" s="119"/>
      <c r="DZ650" s="119"/>
      <c r="EA650" s="119"/>
      <c r="EB650" s="119"/>
      <c r="EC650" s="119"/>
      <c r="ED650" s="119"/>
      <c r="EE650" s="119"/>
      <c r="EF650" s="119"/>
      <c r="EG650" s="119"/>
      <c r="EH650" s="119"/>
      <c r="EI650" s="119"/>
      <c r="EJ650" s="119"/>
      <c r="EK650" s="119"/>
      <c r="EL650" s="119"/>
      <c r="EM650" s="119"/>
      <c r="EN650" s="119"/>
      <c r="EO650" s="119"/>
      <c r="EP650" s="119"/>
      <c r="EQ650" s="119"/>
      <c r="ER650" s="119"/>
      <c r="ES650" s="119"/>
      <c r="ET650" s="119"/>
      <c r="EU650" s="119"/>
      <c r="EV650" s="119"/>
      <c r="EW650" s="119"/>
      <c r="EX650" s="119"/>
      <c r="EY650" s="119"/>
      <c r="EZ650" s="119"/>
      <c r="FA650" s="119"/>
      <c r="FB650" s="119"/>
      <c r="FC650" s="119"/>
      <c r="FD650" s="119"/>
      <c r="FE650" s="119"/>
      <c r="FF650" s="119"/>
      <c r="FG650" s="119"/>
      <c r="FH650" s="119"/>
      <c r="FI650" s="119"/>
      <c r="FJ650" s="119"/>
      <c r="FK650" s="119"/>
      <c r="FL650" s="119"/>
      <c r="FM650" s="119"/>
      <c r="FN650" s="119"/>
      <c r="FO650" s="119"/>
      <c r="FP650" s="119"/>
      <c r="FQ650" s="119"/>
      <c r="FR650" s="119"/>
    </row>
    <row x14ac:dyDescent="0.25" r="651" customHeight="1" ht="15">
      <c r="A651" s="121"/>
      <c r="B651" s="121"/>
      <c r="C651" s="122"/>
      <c r="D651" s="122"/>
      <c r="E651" s="123"/>
      <c r="F651" s="123"/>
      <c r="G651" s="124"/>
      <c r="H651" s="125"/>
      <c r="I651" s="126"/>
      <c r="J651" s="127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19"/>
      <c r="BA651" s="119"/>
      <c r="BB651" s="119"/>
      <c r="BC651" s="119"/>
      <c r="BD651" s="119"/>
      <c r="BE651" s="119"/>
      <c r="BF651" s="119"/>
      <c r="BG651" s="119"/>
      <c r="BH651" s="119"/>
      <c r="BI651" s="119"/>
      <c r="BJ651" s="119"/>
      <c r="BK651" s="119"/>
      <c r="BL651" s="119"/>
      <c r="BM651" s="119"/>
      <c r="BN651" s="119"/>
      <c r="BO651" s="119"/>
      <c r="BP651" s="119"/>
      <c r="BQ651" s="119"/>
      <c r="BR651" s="119"/>
      <c r="BS651" s="119"/>
      <c r="BT651" s="119"/>
      <c r="BU651" s="119"/>
      <c r="BV651" s="119"/>
      <c r="BW651" s="119"/>
      <c r="BX651" s="119"/>
      <c r="BY651" s="119"/>
      <c r="BZ651" s="119"/>
      <c r="CA651" s="119"/>
      <c r="CB651" s="119"/>
      <c r="CC651" s="119"/>
      <c r="CD651" s="119"/>
      <c r="CE651" s="119"/>
      <c r="CF651" s="119"/>
      <c r="CG651" s="119"/>
      <c r="CH651" s="119"/>
      <c r="CI651" s="119"/>
      <c r="CJ651" s="119"/>
      <c r="CK651" s="119"/>
      <c r="CL651" s="119"/>
      <c r="CM651" s="119"/>
      <c r="CN651" s="119"/>
      <c r="CO651" s="119"/>
      <c r="CP651" s="119"/>
      <c r="CQ651" s="119"/>
      <c r="CR651" s="119"/>
      <c r="CS651" s="119"/>
      <c r="CT651" s="119"/>
      <c r="CU651" s="119"/>
      <c r="CV651" s="119"/>
      <c r="CW651" s="119"/>
      <c r="CX651" s="119"/>
      <c r="CY651" s="119"/>
      <c r="CZ651" s="119"/>
      <c r="DA651" s="119"/>
      <c r="DB651" s="119"/>
      <c r="DC651" s="119"/>
      <c r="DD651" s="119"/>
      <c r="DE651" s="119"/>
      <c r="DF651" s="119"/>
      <c r="DG651" s="119"/>
      <c r="DH651" s="119"/>
      <c r="DI651" s="119"/>
      <c r="DJ651" s="119"/>
      <c r="DK651" s="119"/>
      <c r="DL651" s="119"/>
      <c r="DM651" s="119"/>
      <c r="DN651" s="119"/>
      <c r="DO651" s="119"/>
      <c r="DP651" s="119"/>
      <c r="DQ651" s="119"/>
      <c r="DR651" s="119"/>
      <c r="DS651" s="119"/>
      <c r="DT651" s="119"/>
      <c r="DU651" s="119"/>
      <c r="DV651" s="119"/>
      <c r="DW651" s="119"/>
      <c r="DX651" s="119"/>
      <c r="DY651" s="119"/>
      <c r="DZ651" s="119"/>
      <c r="EA651" s="119"/>
      <c r="EB651" s="119"/>
      <c r="EC651" s="119"/>
      <c r="ED651" s="119"/>
      <c r="EE651" s="119"/>
      <c r="EF651" s="119"/>
      <c r="EG651" s="119"/>
      <c r="EH651" s="119"/>
      <c r="EI651" s="119"/>
      <c r="EJ651" s="119"/>
      <c r="EK651" s="119"/>
      <c r="EL651" s="119"/>
      <c r="EM651" s="119"/>
      <c r="EN651" s="119"/>
      <c r="EO651" s="119"/>
      <c r="EP651" s="119"/>
      <c r="EQ651" s="119"/>
      <c r="ER651" s="119"/>
      <c r="ES651" s="119"/>
      <c r="ET651" s="119"/>
      <c r="EU651" s="119"/>
      <c r="EV651" s="119"/>
      <c r="EW651" s="119"/>
      <c r="EX651" s="119"/>
      <c r="EY651" s="119"/>
      <c r="EZ651" s="119"/>
      <c r="FA651" s="119"/>
      <c r="FB651" s="119"/>
      <c r="FC651" s="119"/>
      <c r="FD651" s="119"/>
      <c r="FE651" s="119"/>
      <c r="FF651" s="119"/>
      <c r="FG651" s="119"/>
      <c r="FH651" s="119"/>
      <c r="FI651" s="119"/>
      <c r="FJ651" s="119"/>
      <c r="FK651" s="119"/>
      <c r="FL651" s="119"/>
      <c r="FM651" s="119"/>
      <c r="FN651" s="119"/>
      <c r="FO651" s="119"/>
      <c r="FP651" s="119"/>
      <c r="FQ651" s="119"/>
      <c r="FR651" s="119"/>
    </row>
    <row x14ac:dyDescent="0.25" r="652" customHeight="1" ht="15">
      <c r="A652" s="121"/>
      <c r="B652" s="121"/>
      <c r="C652" s="122"/>
      <c r="D652" s="122"/>
      <c r="E652" s="123"/>
      <c r="F652" s="123"/>
      <c r="G652" s="124"/>
      <c r="H652" s="125"/>
      <c r="I652" s="126"/>
      <c r="J652" s="127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19"/>
      <c r="BA652" s="119"/>
      <c r="BB652" s="119"/>
      <c r="BC652" s="119"/>
      <c r="BD652" s="119"/>
      <c r="BE652" s="119"/>
      <c r="BF652" s="119"/>
      <c r="BG652" s="119"/>
      <c r="BH652" s="119"/>
      <c r="BI652" s="119"/>
      <c r="BJ652" s="119"/>
      <c r="BK652" s="119"/>
      <c r="BL652" s="119"/>
      <c r="BM652" s="119"/>
      <c r="BN652" s="119"/>
      <c r="BO652" s="119"/>
      <c r="BP652" s="119"/>
      <c r="BQ652" s="119"/>
      <c r="BR652" s="119"/>
      <c r="BS652" s="119"/>
      <c r="BT652" s="119"/>
      <c r="BU652" s="119"/>
      <c r="BV652" s="119"/>
      <c r="BW652" s="119"/>
      <c r="BX652" s="119"/>
      <c r="BY652" s="119"/>
      <c r="BZ652" s="119"/>
      <c r="CA652" s="119"/>
      <c r="CB652" s="119"/>
      <c r="CC652" s="119"/>
      <c r="CD652" s="119"/>
      <c r="CE652" s="119"/>
      <c r="CF652" s="119"/>
      <c r="CG652" s="119"/>
      <c r="CH652" s="119"/>
      <c r="CI652" s="119"/>
      <c r="CJ652" s="119"/>
      <c r="CK652" s="119"/>
      <c r="CL652" s="119"/>
      <c r="CM652" s="119"/>
      <c r="CN652" s="119"/>
      <c r="CO652" s="119"/>
      <c r="CP652" s="119"/>
      <c r="CQ652" s="119"/>
      <c r="CR652" s="119"/>
      <c r="CS652" s="119"/>
      <c r="CT652" s="119"/>
      <c r="CU652" s="119"/>
      <c r="CV652" s="119"/>
      <c r="CW652" s="119"/>
      <c r="CX652" s="119"/>
      <c r="CY652" s="119"/>
      <c r="CZ652" s="119"/>
      <c r="DA652" s="119"/>
      <c r="DB652" s="119"/>
      <c r="DC652" s="119"/>
      <c r="DD652" s="119"/>
      <c r="DE652" s="119"/>
      <c r="DF652" s="119"/>
      <c r="DG652" s="119"/>
      <c r="DH652" s="119"/>
      <c r="DI652" s="119"/>
      <c r="DJ652" s="119"/>
      <c r="DK652" s="119"/>
      <c r="DL652" s="119"/>
      <c r="DM652" s="119"/>
      <c r="DN652" s="119"/>
      <c r="DO652" s="119"/>
      <c r="DP652" s="119"/>
      <c r="DQ652" s="119"/>
      <c r="DR652" s="119"/>
      <c r="DS652" s="119"/>
      <c r="DT652" s="119"/>
      <c r="DU652" s="119"/>
      <c r="DV652" s="119"/>
      <c r="DW652" s="119"/>
      <c r="DX652" s="119"/>
      <c r="DY652" s="119"/>
      <c r="DZ652" s="119"/>
      <c r="EA652" s="119"/>
      <c r="EB652" s="119"/>
      <c r="EC652" s="119"/>
      <c r="ED652" s="119"/>
      <c r="EE652" s="119"/>
      <c r="EF652" s="119"/>
      <c r="EG652" s="119"/>
      <c r="EH652" s="119"/>
      <c r="EI652" s="119"/>
      <c r="EJ652" s="119"/>
      <c r="EK652" s="119"/>
      <c r="EL652" s="119"/>
      <c r="EM652" s="119"/>
      <c r="EN652" s="119"/>
      <c r="EO652" s="119"/>
      <c r="EP652" s="119"/>
      <c r="EQ652" s="119"/>
      <c r="ER652" s="119"/>
      <c r="ES652" s="119"/>
      <c r="ET652" s="119"/>
      <c r="EU652" s="119"/>
      <c r="EV652" s="119"/>
      <c r="EW652" s="119"/>
      <c r="EX652" s="119"/>
      <c r="EY652" s="119"/>
      <c r="EZ652" s="119"/>
      <c r="FA652" s="119"/>
      <c r="FB652" s="119"/>
      <c r="FC652" s="119"/>
      <c r="FD652" s="119"/>
      <c r="FE652" s="119"/>
      <c r="FF652" s="119"/>
      <c r="FG652" s="119"/>
      <c r="FH652" s="119"/>
      <c r="FI652" s="119"/>
      <c r="FJ652" s="119"/>
      <c r="FK652" s="119"/>
      <c r="FL652" s="119"/>
      <c r="FM652" s="119"/>
      <c r="FN652" s="119"/>
      <c r="FO652" s="119"/>
      <c r="FP652" s="119"/>
      <c r="FQ652" s="119"/>
      <c r="FR652" s="119"/>
    </row>
    <row x14ac:dyDescent="0.25" r="653" customHeight="1" ht="15">
      <c r="A653" s="121"/>
      <c r="B653" s="121"/>
      <c r="C653" s="122"/>
      <c r="D653" s="122"/>
      <c r="E653" s="123"/>
      <c r="F653" s="123"/>
      <c r="G653" s="124"/>
      <c r="H653" s="125"/>
      <c r="I653" s="126"/>
      <c r="J653" s="127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19"/>
      <c r="BA653" s="119"/>
      <c r="BB653" s="119"/>
      <c r="BC653" s="119"/>
      <c r="BD653" s="119"/>
      <c r="BE653" s="119"/>
      <c r="BF653" s="119"/>
      <c r="BG653" s="119"/>
      <c r="BH653" s="119"/>
      <c r="BI653" s="119"/>
      <c r="BJ653" s="119"/>
      <c r="BK653" s="119"/>
      <c r="BL653" s="119"/>
      <c r="BM653" s="119"/>
      <c r="BN653" s="119"/>
      <c r="BO653" s="119"/>
      <c r="BP653" s="119"/>
      <c r="BQ653" s="119"/>
      <c r="BR653" s="119"/>
      <c r="BS653" s="119"/>
      <c r="BT653" s="119"/>
      <c r="BU653" s="119"/>
      <c r="BV653" s="119"/>
      <c r="BW653" s="119"/>
      <c r="BX653" s="119"/>
      <c r="BY653" s="119"/>
      <c r="BZ653" s="119"/>
      <c r="CA653" s="119"/>
      <c r="CB653" s="119"/>
      <c r="CC653" s="119"/>
      <c r="CD653" s="119"/>
      <c r="CE653" s="119"/>
      <c r="CF653" s="119"/>
      <c r="CG653" s="119"/>
      <c r="CH653" s="119"/>
      <c r="CI653" s="119"/>
      <c r="CJ653" s="119"/>
      <c r="CK653" s="119"/>
      <c r="CL653" s="119"/>
      <c r="CM653" s="119"/>
      <c r="CN653" s="119"/>
      <c r="CO653" s="119"/>
      <c r="CP653" s="119"/>
      <c r="CQ653" s="119"/>
      <c r="CR653" s="119"/>
      <c r="CS653" s="119"/>
      <c r="CT653" s="119"/>
      <c r="CU653" s="119"/>
      <c r="CV653" s="119"/>
      <c r="CW653" s="119"/>
      <c r="CX653" s="119"/>
      <c r="CY653" s="119"/>
      <c r="CZ653" s="119"/>
      <c r="DA653" s="119"/>
      <c r="DB653" s="119"/>
      <c r="DC653" s="119"/>
      <c r="DD653" s="119"/>
      <c r="DE653" s="119"/>
      <c r="DF653" s="119"/>
      <c r="DG653" s="119"/>
      <c r="DH653" s="119"/>
      <c r="DI653" s="119"/>
      <c r="DJ653" s="119"/>
      <c r="DK653" s="119"/>
      <c r="DL653" s="119"/>
      <c r="DM653" s="119"/>
      <c r="DN653" s="119"/>
      <c r="DO653" s="119"/>
      <c r="DP653" s="119"/>
      <c r="DQ653" s="119"/>
      <c r="DR653" s="119"/>
      <c r="DS653" s="119"/>
      <c r="DT653" s="119"/>
      <c r="DU653" s="119"/>
      <c r="DV653" s="119"/>
      <c r="DW653" s="119"/>
      <c r="DX653" s="119"/>
      <c r="DY653" s="119"/>
      <c r="DZ653" s="119"/>
      <c r="EA653" s="119"/>
      <c r="EB653" s="119"/>
      <c r="EC653" s="119"/>
      <c r="ED653" s="119"/>
      <c r="EE653" s="119"/>
      <c r="EF653" s="119"/>
      <c r="EG653" s="119"/>
      <c r="EH653" s="119"/>
      <c r="EI653" s="119"/>
      <c r="EJ653" s="119"/>
      <c r="EK653" s="119"/>
      <c r="EL653" s="119"/>
      <c r="EM653" s="119"/>
      <c r="EN653" s="119"/>
      <c r="EO653" s="119"/>
      <c r="EP653" s="119"/>
      <c r="EQ653" s="119"/>
      <c r="ER653" s="119"/>
      <c r="ES653" s="119"/>
      <c r="ET653" s="119"/>
      <c r="EU653" s="119"/>
      <c r="EV653" s="119"/>
      <c r="EW653" s="119"/>
      <c r="EX653" s="119"/>
      <c r="EY653" s="119"/>
      <c r="EZ653" s="119"/>
      <c r="FA653" s="119"/>
      <c r="FB653" s="119"/>
      <c r="FC653" s="119"/>
      <c r="FD653" s="119"/>
      <c r="FE653" s="119"/>
      <c r="FF653" s="119"/>
      <c r="FG653" s="119"/>
      <c r="FH653" s="119"/>
      <c r="FI653" s="119"/>
      <c r="FJ653" s="119"/>
      <c r="FK653" s="119"/>
      <c r="FL653" s="119"/>
      <c r="FM653" s="119"/>
      <c r="FN653" s="119"/>
      <c r="FO653" s="119"/>
      <c r="FP653" s="119"/>
      <c r="FQ653" s="119"/>
      <c r="FR653" s="119"/>
    </row>
    <row x14ac:dyDescent="0.25" r="654" customHeight="1" ht="15">
      <c r="A654" s="121"/>
      <c r="B654" s="121"/>
      <c r="C654" s="122"/>
      <c r="D654" s="122"/>
      <c r="E654" s="123"/>
      <c r="F654" s="123"/>
      <c r="G654" s="124"/>
      <c r="H654" s="125"/>
      <c r="I654" s="126"/>
      <c r="J654" s="127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19"/>
      <c r="BA654" s="119"/>
      <c r="BB654" s="119"/>
      <c r="BC654" s="119"/>
      <c r="BD654" s="119"/>
      <c r="BE654" s="119"/>
      <c r="BF654" s="119"/>
      <c r="BG654" s="119"/>
      <c r="BH654" s="119"/>
      <c r="BI654" s="119"/>
      <c r="BJ654" s="119"/>
      <c r="BK654" s="119"/>
      <c r="BL654" s="119"/>
      <c r="BM654" s="119"/>
      <c r="BN654" s="119"/>
      <c r="BO654" s="119"/>
      <c r="BP654" s="119"/>
      <c r="BQ654" s="119"/>
      <c r="BR654" s="119"/>
      <c r="BS654" s="119"/>
      <c r="BT654" s="119"/>
      <c r="BU654" s="119"/>
      <c r="BV654" s="119"/>
      <c r="BW654" s="119"/>
      <c r="BX654" s="119"/>
      <c r="BY654" s="119"/>
      <c r="BZ654" s="119"/>
      <c r="CA654" s="119"/>
      <c r="CB654" s="119"/>
      <c r="CC654" s="119"/>
      <c r="CD654" s="119"/>
      <c r="CE654" s="119"/>
      <c r="CF654" s="119"/>
      <c r="CG654" s="119"/>
      <c r="CH654" s="119"/>
      <c r="CI654" s="119"/>
      <c r="CJ654" s="119"/>
      <c r="CK654" s="119"/>
      <c r="CL654" s="119"/>
      <c r="CM654" s="119"/>
      <c r="CN654" s="119"/>
      <c r="CO654" s="119"/>
      <c r="CP654" s="119"/>
      <c r="CQ654" s="119"/>
      <c r="CR654" s="119"/>
      <c r="CS654" s="119"/>
      <c r="CT654" s="119"/>
      <c r="CU654" s="119"/>
      <c r="CV654" s="119"/>
      <c r="CW654" s="119"/>
      <c r="CX654" s="119"/>
      <c r="CY654" s="119"/>
      <c r="CZ654" s="119"/>
      <c r="DA654" s="119"/>
      <c r="DB654" s="119"/>
      <c r="DC654" s="119"/>
      <c r="DD654" s="119"/>
      <c r="DE654" s="119"/>
      <c r="DF654" s="119"/>
      <c r="DG654" s="119"/>
      <c r="DH654" s="119"/>
      <c r="DI654" s="119"/>
      <c r="DJ654" s="119"/>
      <c r="DK654" s="119"/>
      <c r="DL654" s="119"/>
      <c r="DM654" s="119"/>
      <c r="DN654" s="119"/>
      <c r="DO654" s="119"/>
      <c r="DP654" s="119"/>
      <c r="DQ654" s="119"/>
      <c r="DR654" s="119"/>
      <c r="DS654" s="119"/>
      <c r="DT654" s="119"/>
      <c r="DU654" s="119"/>
      <c r="DV654" s="119"/>
      <c r="DW654" s="119"/>
      <c r="DX654" s="119"/>
      <c r="DY654" s="119"/>
      <c r="DZ654" s="119"/>
      <c r="EA654" s="119"/>
      <c r="EB654" s="119"/>
      <c r="EC654" s="119"/>
      <c r="ED654" s="119"/>
      <c r="EE654" s="119"/>
      <c r="EF654" s="119"/>
      <c r="EG654" s="119"/>
      <c r="EH654" s="119"/>
      <c r="EI654" s="119"/>
      <c r="EJ654" s="119"/>
      <c r="EK654" s="119"/>
      <c r="EL654" s="119"/>
      <c r="EM654" s="119"/>
      <c r="EN654" s="119"/>
      <c r="EO654" s="119"/>
      <c r="EP654" s="119"/>
      <c r="EQ654" s="119"/>
      <c r="ER654" s="119"/>
      <c r="ES654" s="119"/>
      <c r="ET654" s="119"/>
      <c r="EU654" s="119"/>
      <c r="EV654" s="119"/>
      <c r="EW654" s="119"/>
      <c r="EX654" s="119"/>
      <c r="EY654" s="119"/>
      <c r="EZ654" s="119"/>
      <c r="FA654" s="119"/>
      <c r="FB654" s="119"/>
      <c r="FC654" s="119"/>
      <c r="FD654" s="119"/>
      <c r="FE654" s="119"/>
      <c r="FF654" s="119"/>
      <c r="FG654" s="119"/>
      <c r="FH654" s="119"/>
      <c r="FI654" s="119"/>
      <c r="FJ654" s="119"/>
      <c r="FK654" s="119"/>
      <c r="FL654" s="119"/>
      <c r="FM654" s="119"/>
      <c r="FN654" s="119"/>
      <c r="FO654" s="119"/>
      <c r="FP654" s="119"/>
      <c r="FQ654" s="119"/>
      <c r="FR654" s="119"/>
    </row>
    <row x14ac:dyDescent="0.25" r="655" customHeight="1" ht="15">
      <c r="A655" s="121"/>
      <c r="B655" s="121"/>
      <c r="C655" s="122"/>
      <c r="D655" s="122"/>
      <c r="E655" s="123"/>
      <c r="F655" s="123"/>
      <c r="G655" s="124"/>
      <c r="H655" s="125"/>
      <c r="I655" s="126"/>
      <c r="J655" s="127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19"/>
      <c r="BA655" s="119"/>
      <c r="BB655" s="119"/>
      <c r="BC655" s="119"/>
      <c r="BD655" s="119"/>
      <c r="BE655" s="119"/>
      <c r="BF655" s="119"/>
      <c r="BG655" s="119"/>
      <c r="BH655" s="119"/>
      <c r="BI655" s="119"/>
      <c r="BJ655" s="119"/>
      <c r="BK655" s="119"/>
      <c r="BL655" s="119"/>
      <c r="BM655" s="119"/>
      <c r="BN655" s="119"/>
      <c r="BO655" s="119"/>
      <c r="BP655" s="119"/>
      <c r="BQ655" s="119"/>
      <c r="BR655" s="119"/>
      <c r="BS655" s="119"/>
      <c r="BT655" s="119"/>
      <c r="BU655" s="119"/>
      <c r="BV655" s="119"/>
      <c r="BW655" s="119"/>
      <c r="BX655" s="119"/>
      <c r="BY655" s="119"/>
      <c r="BZ655" s="119"/>
      <c r="CA655" s="119"/>
      <c r="CB655" s="119"/>
      <c r="CC655" s="119"/>
      <c r="CD655" s="119"/>
      <c r="CE655" s="119"/>
      <c r="CF655" s="119"/>
      <c r="CG655" s="119"/>
      <c r="CH655" s="119"/>
      <c r="CI655" s="119"/>
      <c r="CJ655" s="119"/>
      <c r="CK655" s="119"/>
      <c r="CL655" s="119"/>
      <c r="CM655" s="119"/>
      <c r="CN655" s="119"/>
      <c r="CO655" s="119"/>
      <c r="CP655" s="119"/>
      <c r="CQ655" s="119"/>
      <c r="CR655" s="119"/>
      <c r="CS655" s="119"/>
      <c r="CT655" s="119"/>
      <c r="CU655" s="119"/>
      <c r="CV655" s="119"/>
      <c r="CW655" s="119"/>
      <c r="CX655" s="119"/>
      <c r="CY655" s="119"/>
      <c r="CZ655" s="119"/>
      <c r="DA655" s="119"/>
      <c r="DB655" s="119"/>
      <c r="DC655" s="119"/>
      <c r="DD655" s="119"/>
      <c r="DE655" s="119"/>
      <c r="DF655" s="119"/>
      <c r="DG655" s="119"/>
      <c r="DH655" s="119"/>
      <c r="DI655" s="119"/>
      <c r="DJ655" s="119"/>
      <c r="DK655" s="119"/>
      <c r="DL655" s="119"/>
      <c r="DM655" s="119"/>
      <c r="DN655" s="119"/>
      <c r="DO655" s="119"/>
      <c r="DP655" s="119"/>
      <c r="DQ655" s="119"/>
      <c r="DR655" s="119"/>
      <c r="DS655" s="119"/>
      <c r="DT655" s="119"/>
      <c r="DU655" s="119"/>
      <c r="DV655" s="119"/>
      <c r="DW655" s="119"/>
      <c r="DX655" s="119"/>
      <c r="DY655" s="119"/>
      <c r="DZ655" s="119"/>
      <c r="EA655" s="119"/>
      <c r="EB655" s="119"/>
      <c r="EC655" s="119"/>
      <c r="ED655" s="119"/>
      <c r="EE655" s="119"/>
      <c r="EF655" s="119"/>
      <c r="EG655" s="119"/>
      <c r="EH655" s="119"/>
      <c r="EI655" s="119"/>
      <c r="EJ655" s="119"/>
      <c r="EK655" s="119"/>
      <c r="EL655" s="119"/>
      <c r="EM655" s="119"/>
      <c r="EN655" s="119"/>
      <c r="EO655" s="119"/>
      <c r="EP655" s="119"/>
      <c r="EQ655" s="119"/>
      <c r="ER655" s="119"/>
      <c r="ES655" s="119"/>
      <c r="ET655" s="119"/>
      <c r="EU655" s="119"/>
      <c r="EV655" s="119"/>
      <c r="EW655" s="119"/>
      <c r="EX655" s="119"/>
      <c r="EY655" s="119"/>
      <c r="EZ655" s="119"/>
      <c r="FA655" s="119"/>
      <c r="FB655" s="119"/>
      <c r="FC655" s="119"/>
      <c r="FD655" s="119"/>
      <c r="FE655" s="119"/>
      <c r="FF655" s="119"/>
      <c r="FG655" s="119"/>
      <c r="FH655" s="119"/>
      <c r="FI655" s="119"/>
      <c r="FJ655" s="119"/>
      <c r="FK655" s="119"/>
      <c r="FL655" s="119"/>
      <c r="FM655" s="119"/>
      <c r="FN655" s="119"/>
      <c r="FO655" s="119"/>
      <c r="FP655" s="119"/>
      <c r="FQ655" s="119"/>
      <c r="FR655" s="119"/>
    </row>
    <row x14ac:dyDescent="0.25" r="656" customHeight="1" ht="15">
      <c r="A656" s="121"/>
      <c r="B656" s="121"/>
      <c r="C656" s="122"/>
      <c r="D656" s="122"/>
      <c r="E656" s="123"/>
      <c r="F656" s="123"/>
      <c r="G656" s="124"/>
      <c r="H656" s="125"/>
      <c r="I656" s="126"/>
      <c r="J656" s="127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19"/>
      <c r="BA656" s="119"/>
      <c r="BB656" s="119"/>
      <c r="BC656" s="119"/>
      <c r="BD656" s="119"/>
      <c r="BE656" s="119"/>
      <c r="BF656" s="119"/>
      <c r="BG656" s="119"/>
      <c r="BH656" s="119"/>
      <c r="BI656" s="119"/>
      <c r="BJ656" s="119"/>
      <c r="BK656" s="119"/>
      <c r="BL656" s="119"/>
      <c r="BM656" s="119"/>
      <c r="BN656" s="119"/>
      <c r="BO656" s="119"/>
      <c r="BP656" s="119"/>
      <c r="BQ656" s="119"/>
      <c r="BR656" s="119"/>
      <c r="BS656" s="119"/>
      <c r="BT656" s="119"/>
      <c r="BU656" s="119"/>
      <c r="BV656" s="119"/>
      <c r="BW656" s="119"/>
      <c r="BX656" s="119"/>
      <c r="BY656" s="119"/>
      <c r="BZ656" s="119"/>
      <c r="CA656" s="119"/>
      <c r="CB656" s="119"/>
      <c r="CC656" s="119"/>
      <c r="CD656" s="119"/>
      <c r="CE656" s="119"/>
      <c r="CF656" s="119"/>
      <c r="CG656" s="119"/>
      <c r="CH656" s="119"/>
      <c r="CI656" s="119"/>
      <c r="CJ656" s="119"/>
      <c r="CK656" s="119"/>
      <c r="CL656" s="119"/>
      <c r="CM656" s="119"/>
      <c r="CN656" s="119"/>
      <c r="CO656" s="119"/>
      <c r="CP656" s="119"/>
      <c r="CQ656" s="119"/>
      <c r="CR656" s="119"/>
      <c r="CS656" s="119"/>
      <c r="CT656" s="119"/>
      <c r="CU656" s="119"/>
      <c r="CV656" s="119"/>
      <c r="CW656" s="119"/>
      <c r="CX656" s="119"/>
      <c r="CY656" s="119"/>
      <c r="CZ656" s="119"/>
      <c r="DA656" s="119"/>
      <c r="DB656" s="119"/>
      <c r="DC656" s="119"/>
      <c r="DD656" s="119"/>
      <c r="DE656" s="119"/>
      <c r="DF656" s="119"/>
      <c r="DG656" s="119"/>
      <c r="DH656" s="119"/>
      <c r="DI656" s="119"/>
      <c r="DJ656" s="119"/>
      <c r="DK656" s="119"/>
      <c r="DL656" s="119"/>
      <c r="DM656" s="119"/>
      <c r="DN656" s="119"/>
      <c r="DO656" s="119"/>
      <c r="DP656" s="119"/>
      <c r="DQ656" s="119"/>
      <c r="DR656" s="119"/>
      <c r="DS656" s="119"/>
      <c r="DT656" s="119"/>
      <c r="DU656" s="119"/>
      <c r="DV656" s="119"/>
      <c r="DW656" s="119"/>
      <c r="DX656" s="119"/>
      <c r="DY656" s="119"/>
      <c r="DZ656" s="119"/>
      <c r="EA656" s="119"/>
      <c r="EB656" s="119"/>
      <c r="EC656" s="119"/>
      <c r="ED656" s="119"/>
      <c r="EE656" s="119"/>
      <c r="EF656" s="119"/>
      <c r="EG656" s="119"/>
      <c r="EH656" s="119"/>
      <c r="EI656" s="119"/>
      <c r="EJ656" s="119"/>
      <c r="EK656" s="119"/>
      <c r="EL656" s="119"/>
      <c r="EM656" s="119"/>
      <c r="EN656" s="119"/>
      <c r="EO656" s="119"/>
      <c r="EP656" s="119"/>
      <c r="EQ656" s="119"/>
      <c r="ER656" s="119"/>
      <c r="ES656" s="119"/>
      <c r="ET656" s="119"/>
      <c r="EU656" s="119"/>
      <c r="EV656" s="119"/>
      <c r="EW656" s="119"/>
      <c r="EX656" s="119"/>
      <c r="EY656" s="119"/>
      <c r="EZ656" s="119"/>
      <c r="FA656" s="119"/>
      <c r="FB656" s="119"/>
      <c r="FC656" s="119"/>
      <c r="FD656" s="119"/>
      <c r="FE656" s="119"/>
      <c r="FF656" s="119"/>
      <c r="FG656" s="119"/>
      <c r="FH656" s="119"/>
      <c r="FI656" s="119"/>
      <c r="FJ656" s="119"/>
      <c r="FK656" s="119"/>
      <c r="FL656" s="119"/>
      <c r="FM656" s="119"/>
      <c r="FN656" s="119"/>
      <c r="FO656" s="119"/>
      <c r="FP656" s="119"/>
      <c r="FQ656" s="119"/>
      <c r="FR656" s="119"/>
    </row>
    <row x14ac:dyDescent="0.25" r="657" customHeight="1" ht="15">
      <c r="A657" s="121"/>
      <c r="B657" s="121"/>
      <c r="C657" s="122"/>
      <c r="D657" s="122"/>
      <c r="E657" s="123"/>
      <c r="F657" s="123"/>
      <c r="G657" s="124"/>
      <c r="H657" s="125"/>
      <c r="I657" s="126"/>
      <c r="J657" s="127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19"/>
      <c r="BA657" s="119"/>
      <c r="BB657" s="119"/>
      <c r="BC657" s="119"/>
      <c r="BD657" s="119"/>
      <c r="BE657" s="119"/>
      <c r="BF657" s="119"/>
      <c r="BG657" s="119"/>
      <c r="BH657" s="119"/>
      <c r="BI657" s="119"/>
      <c r="BJ657" s="119"/>
      <c r="BK657" s="119"/>
      <c r="BL657" s="119"/>
      <c r="BM657" s="119"/>
      <c r="BN657" s="119"/>
      <c r="BO657" s="119"/>
      <c r="BP657" s="119"/>
      <c r="BQ657" s="119"/>
      <c r="BR657" s="119"/>
      <c r="BS657" s="119"/>
      <c r="BT657" s="119"/>
      <c r="BU657" s="119"/>
      <c r="BV657" s="119"/>
      <c r="BW657" s="119"/>
      <c r="BX657" s="119"/>
      <c r="BY657" s="119"/>
      <c r="BZ657" s="119"/>
      <c r="CA657" s="119"/>
      <c r="CB657" s="119"/>
      <c r="CC657" s="119"/>
      <c r="CD657" s="119"/>
      <c r="CE657" s="119"/>
      <c r="CF657" s="119"/>
      <c r="CG657" s="119"/>
      <c r="CH657" s="119"/>
      <c r="CI657" s="119"/>
      <c r="CJ657" s="119"/>
      <c r="CK657" s="119"/>
      <c r="CL657" s="119"/>
      <c r="CM657" s="119"/>
      <c r="CN657" s="119"/>
      <c r="CO657" s="119"/>
      <c r="CP657" s="119"/>
      <c r="CQ657" s="119"/>
      <c r="CR657" s="119"/>
      <c r="CS657" s="119"/>
      <c r="CT657" s="119"/>
      <c r="CU657" s="119"/>
      <c r="CV657" s="119"/>
      <c r="CW657" s="119"/>
      <c r="CX657" s="119"/>
      <c r="CY657" s="119"/>
      <c r="CZ657" s="119"/>
      <c r="DA657" s="119"/>
      <c r="DB657" s="119"/>
      <c r="DC657" s="119"/>
      <c r="DD657" s="119"/>
      <c r="DE657" s="119"/>
      <c r="DF657" s="119"/>
      <c r="DG657" s="119"/>
      <c r="DH657" s="119"/>
      <c r="DI657" s="119"/>
      <c r="DJ657" s="119"/>
      <c r="DK657" s="119"/>
      <c r="DL657" s="119"/>
      <c r="DM657" s="119"/>
      <c r="DN657" s="119"/>
      <c r="DO657" s="119"/>
      <c r="DP657" s="119"/>
      <c r="DQ657" s="119"/>
      <c r="DR657" s="119"/>
      <c r="DS657" s="119"/>
      <c r="DT657" s="119"/>
      <c r="DU657" s="119"/>
      <c r="DV657" s="119"/>
      <c r="DW657" s="119"/>
      <c r="DX657" s="119"/>
      <c r="DY657" s="119"/>
      <c r="DZ657" s="119"/>
      <c r="EA657" s="119"/>
      <c r="EB657" s="119"/>
      <c r="EC657" s="119"/>
      <c r="ED657" s="119"/>
      <c r="EE657" s="119"/>
      <c r="EF657" s="119"/>
      <c r="EG657" s="119"/>
      <c r="EH657" s="119"/>
      <c r="EI657" s="119"/>
      <c r="EJ657" s="119"/>
      <c r="EK657" s="119"/>
      <c r="EL657" s="119"/>
      <c r="EM657" s="119"/>
      <c r="EN657" s="119"/>
      <c r="EO657" s="119"/>
      <c r="EP657" s="119"/>
      <c r="EQ657" s="119"/>
      <c r="ER657" s="119"/>
      <c r="ES657" s="119"/>
      <c r="ET657" s="119"/>
      <c r="EU657" s="119"/>
      <c r="EV657" s="119"/>
      <c r="EW657" s="119"/>
      <c r="EX657" s="119"/>
      <c r="EY657" s="119"/>
      <c r="EZ657" s="119"/>
      <c r="FA657" s="119"/>
      <c r="FB657" s="119"/>
      <c r="FC657" s="119"/>
      <c r="FD657" s="119"/>
      <c r="FE657" s="119"/>
      <c r="FF657" s="119"/>
      <c r="FG657" s="119"/>
      <c r="FH657" s="119"/>
      <c r="FI657" s="119"/>
      <c r="FJ657" s="119"/>
      <c r="FK657" s="119"/>
      <c r="FL657" s="119"/>
      <c r="FM657" s="119"/>
      <c r="FN657" s="119"/>
      <c r="FO657" s="119"/>
      <c r="FP657" s="119"/>
      <c r="FQ657" s="119"/>
      <c r="FR657" s="119"/>
    </row>
    <row x14ac:dyDescent="0.25" r="658" customHeight="1" ht="15">
      <c r="A658" s="121"/>
      <c r="B658" s="121"/>
      <c r="C658" s="122"/>
      <c r="D658" s="122"/>
      <c r="E658" s="123"/>
      <c r="F658" s="123"/>
      <c r="G658" s="124"/>
      <c r="H658" s="125"/>
      <c r="I658" s="126"/>
      <c r="J658" s="127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19"/>
      <c r="BA658" s="119"/>
      <c r="BB658" s="119"/>
      <c r="BC658" s="119"/>
      <c r="BD658" s="119"/>
      <c r="BE658" s="119"/>
      <c r="BF658" s="119"/>
      <c r="BG658" s="119"/>
      <c r="BH658" s="119"/>
      <c r="BI658" s="119"/>
      <c r="BJ658" s="119"/>
      <c r="BK658" s="119"/>
      <c r="BL658" s="119"/>
      <c r="BM658" s="119"/>
      <c r="BN658" s="119"/>
      <c r="BO658" s="119"/>
      <c r="BP658" s="119"/>
      <c r="BQ658" s="119"/>
      <c r="BR658" s="119"/>
      <c r="BS658" s="119"/>
      <c r="BT658" s="119"/>
      <c r="BU658" s="119"/>
      <c r="BV658" s="119"/>
      <c r="BW658" s="119"/>
      <c r="BX658" s="119"/>
      <c r="BY658" s="119"/>
      <c r="BZ658" s="119"/>
      <c r="CA658" s="119"/>
      <c r="CB658" s="119"/>
      <c r="CC658" s="119"/>
      <c r="CD658" s="119"/>
      <c r="CE658" s="119"/>
      <c r="CF658" s="119"/>
      <c r="CG658" s="119"/>
      <c r="CH658" s="119"/>
      <c r="CI658" s="119"/>
      <c r="CJ658" s="119"/>
      <c r="CK658" s="119"/>
      <c r="CL658" s="119"/>
      <c r="CM658" s="119"/>
      <c r="CN658" s="119"/>
      <c r="CO658" s="119"/>
      <c r="CP658" s="119"/>
      <c r="CQ658" s="119"/>
      <c r="CR658" s="119"/>
      <c r="CS658" s="119"/>
      <c r="CT658" s="119"/>
      <c r="CU658" s="119"/>
      <c r="CV658" s="119"/>
      <c r="CW658" s="119"/>
      <c r="CX658" s="119"/>
      <c r="CY658" s="119"/>
      <c r="CZ658" s="119"/>
      <c r="DA658" s="119"/>
      <c r="DB658" s="119"/>
      <c r="DC658" s="119"/>
      <c r="DD658" s="119"/>
      <c r="DE658" s="119"/>
      <c r="DF658" s="119"/>
      <c r="DG658" s="119"/>
      <c r="DH658" s="119"/>
      <c r="DI658" s="119"/>
      <c r="DJ658" s="119"/>
      <c r="DK658" s="119"/>
      <c r="DL658" s="119"/>
      <c r="DM658" s="119"/>
      <c r="DN658" s="119"/>
      <c r="DO658" s="119"/>
      <c r="DP658" s="119"/>
      <c r="DQ658" s="119"/>
      <c r="DR658" s="119"/>
      <c r="DS658" s="119"/>
      <c r="DT658" s="119"/>
      <c r="DU658" s="119"/>
      <c r="DV658" s="119"/>
      <c r="DW658" s="119"/>
      <c r="DX658" s="119"/>
      <c r="DY658" s="119"/>
      <c r="DZ658" s="119"/>
      <c r="EA658" s="119"/>
      <c r="EB658" s="119"/>
      <c r="EC658" s="119"/>
      <c r="ED658" s="119"/>
      <c r="EE658" s="119"/>
      <c r="EF658" s="119"/>
      <c r="EG658" s="119"/>
      <c r="EH658" s="119"/>
      <c r="EI658" s="119"/>
      <c r="EJ658" s="119"/>
      <c r="EK658" s="119"/>
      <c r="EL658" s="119"/>
      <c r="EM658" s="119"/>
      <c r="EN658" s="119"/>
      <c r="EO658" s="119"/>
      <c r="EP658" s="119"/>
      <c r="EQ658" s="119"/>
      <c r="ER658" s="119"/>
      <c r="ES658" s="119"/>
      <c r="ET658" s="119"/>
      <c r="EU658" s="119"/>
      <c r="EV658" s="119"/>
      <c r="EW658" s="119"/>
      <c r="EX658" s="119"/>
      <c r="EY658" s="119"/>
      <c r="EZ658" s="119"/>
      <c r="FA658" s="119"/>
      <c r="FB658" s="119"/>
      <c r="FC658" s="119"/>
      <c r="FD658" s="119"/>
      <c r="FE658" s="119"/>
      <c r="FF658" s="119"/>
      <c r="FG658" s="119"/>
      <c r="FH658" s="119"/>
      <c r="FI658" s="119"/>
      <c r="FJ658" s="119"/>
      <c r="FK658" s="119"/>
      <c r="FL658" s="119"/>
      <c r="FM658" s="119"/>
      <c r="FN658" s="119"/>
      <c r="FO658" s="119"/>
      <c r="FP658" s="119"/>
      <c r="FQ658" s="119"/>
      <c r="FR658" s="119"/>
    </row>
    <row x14ac:dyDescent="0.25" r="659" customHeight="1" ht="15">
      <c r="A659" s="121"/>
      <c r="B659" s="121"/>
      <c r="C659" s="122"/>
      <c r="D659" s="122"/>
      <c r="E659" s="123"/>
      <c r="F659" s="123"/>
      <c r="G659" s="124"/>
      <c r="H659" s="125"/>
      <c r="I659" s="126"/>
      <c r="J659" s="127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19"/>
      <c r="BA659" s="119"/>
      <c r="BB659" s="119"/>
      <c r="BC659" s="119"/>
      <c r="BD659" s="119"/>
      <c r="BE659" s="119"/>
      <c r="BF659" s="119"/>
      <c r="BG659" s="119"/>
      <c r="BH659" s="119"/>
      <c r="BI659" s="119"/>
      <c r="BJ659" s="119"/>
      <c r="BK659" s="119"/>
      <c r="BL659" s="119"/>
      <c r="BM659" s="119"/>
      <c r="BN659" s="119"/>
      <c r="BO659" s="119"/>
      <c r="BP659" s="119"/>
      <c r="BQ659" s="119"/>
      <c r="BR659" s="119"/>
      <c r="BS659" s="119"/>
      <c r="BT659" s="119"/>
      <c r="BU659" s="119"/>
      <c r="BV659" s="119"/>
      <c r="BW659" s="119"/>
      <c r="BX659" s="119"/>
      <c r="BY659" s="119"/>
      <c r="BZ659" s="119"/>
      <c r="CA659" s="119"/>
      <c r="CB659" s="119"/>
      <c r="CC659" s="119"/>
      <c r="CD659" s="119"/>
      <c r="CE659" s="119"/>
      <c r="CF659" s="119"/>
      <c r="CG659" s="119"/>
      <c r="CH659" s="119"/>
      <c r="CI659" s="119"/>
      <c r="CJ659" s="119"/>
      <c r="CK659" s="119"/>
      <c r="CL659" s="119"/>
      <c r="CM659" s="119"/>
      <c r="CN659" s="119"/>
      <c r="CO659" s="119"/>
      <c r="CP659" s="119"/>
      <c r="CQ659" s="119"/>
      <c r="CR659" s="119"/>
      <c r="CS659" s="119"/>
      <c r="CT659" s="119"/>
      <c r="CU659" s="119"/>
      <c r="CV659" s="119"/>
      <c r="CW659" s="119"/>
      <c r="CX659" s="119"/>
      <c r="CY659" s="119"/>
      <c r="CZ659" s="119"/>
      <c r="DA659" s="119"/>
      <c r="DB659" s="119"/>
      <c r="DC659" s="119"/>
      <c r="DD659" s="119"/>
      <c r="DE659" s="119"/>
      <c r="DF659" s="119"/>
      <c r="DG659" s="119"/>
      <c r="DH659" s="119"/>
      <c r="DI659" s="119"/>
      <c r="DJ659" s="119"/>
      <c r="DK659" s="119"/>
      <c r="DL659" s="119"/>
      <c r="DM659" s="119"/>
      <c r="DN659" s="119"/>
      <c r="DO659" s="119"/>
      <c r="DP659" s="119"/>
      <c r="DQ659" s="119"/>
      <c r="DR659" s="119"/>
      <c r="DS659" s="119"/>
      <c r="DT659" s="119"/>
      <c r="DU659" s="119"/>
      <c r="DV659" s="119"/>
      <c r="DW659" s="119"/>
      <c r="DX659" s="119"/>
      <c r="DY659" s="119"/>
      <c r="DZ659" s="119"/>
      <c r="EA659" s="119"/>
      <c r="EB659" s="119"/>
      <c r="EC659" s="119"/>
      <c r="ED659" s="119"/>
      <c r="EE659" s="119"/>
      <c r="EF659" s="119"/>
      <c r="EG659" s="119"/>
      <c r="EH659" s="119"/>
      <c r="EI659" s="119"/>
      <c r="EJ659" s="119"/>
      <c r="EK659" s="119"/>
      <c r="EL659" s="119"/>
      <c r="EM659" s="119"/>
      <c r="EN659" s="119"/>
      <c r="EO659" s="119"/>
      <c r="EP659" s="119"/>
      <c r="EQ659" s="119"/>
      <c r="ER659" s="119"/>
      <c r="ES659" s="119"/>
      <c r="ET659" s="119"/>
      <c r="EU659" s="119"/>
      <c r="EV659" s="119"/>
      <c r="EW659" s="119"/>
      <c r="EX659" s="119"/>
      <c r="EY659" s="119"/>
      <c r="EZ659" s="119"/>
      <c r="FA659" s="119"/>
      <c r="FB659" s="119"/>
      <c r="FC659" s="119"/>
      <c r="FD659" s="119"/>
      <c r="FE659" s="119"/>
      <c r="FF659" s="119"/>
      <c r="FG659" s="119"/>
      <c r="FH659" s="119"/>
      <c r="FI659" s="119"/>
      <c r="FJ659" s="119"/>
      <c r="FK659" s="119"/>
      <c r="FL659" s="119"/>
      <c r="FM659" s="119"/>
      <c r="FN659" s="119"/>
      <c r="FO659" s="119"/>
      <c r="FP659" s="119"/>
      <c r="FQ659" s="119"/>
      <c r="FR659" s="119"/>
    </row>
    <row x14ac:dyDescent="0.25" r="660" customHeight="1" ht="15">
      <c r="A660" s="121"/>
      <c r="B660" s="121"/>
      <c r="C660" s="122"/>
      <c r="D660" s="122"/>
      <c r="E660" s="123"/>
      <c r="F660" s="123"/>
      <c r="G660" s="124"/>
      <c r="H660" s="125"/>
      <c r="I660" s="126"/>
      <c r="J660" s="127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19"/>
      <c r="BA660" s="119"/>
      <c r="BB660" s="119"/>
      <c r="BC660" s="119"/>
      <c r="BD660" s="119"/>
      <c r="BE660" s="119"/>
      <c r="BF660" s="119"/>
      <c r="BG660" s="119"/>
      <c r="BH660" s="119"/>
      <c r="BI660" s="119"/>
      <c r="BJ660" s="119"/>
      <c r="BK660" s="119"/>
      <c r="BL660" s="119"/>
      <c r="BM660" s="119"/>
      <c r="BN660" s="119"/>
      <c r="BO660" s="119"/>
      <c r="BP660" s="119"/>
      <c r="BQ660" s="119"/>
      <c r="BR660" s="119"/>
      <c r="BS660" s="119"/>
      <c r="BT660" s="119"/>
      <c r="BU660" s="119"/>
      <c r="BV660" s="119"/>
      <c r="BW660" s="119"/>
      <c r="BX660" s="119"/>
      <c r="BY660" s="119"/>
      <c r="BZ660" s="119"/>
      <c r="CA660" s="119"/>
      <c r="CB660" s="119"/>
      <c r="CC660" s="119"/>
      <c r="CD660" s="119"/>
      <c r="CE660" s="119"/>
      <c r="CF660" s="119"/>
      <c r="CG660" s="119"/>
      <c r="CH660" s="119"/>
      <c r="CI660" s="119"/>
      <c r="CJ660" s="119"/>
      <c r="CK660" s="119"/>
      <c r="CL660" s="119"/>
      <c r="CM660" s="119"/>
      <c r="CN660" s="119"/>
      <c r="CO660" s="119"/>
      <c r="CP660" s="119"/>
      <c r="CQ660" s="119"/>
      <c r="CR660" s="119"/>
      <c r="CS660" s="119"/>
      <c r="CT660" s="119"/>
      <c r="CU660" s="119"/>
      <c r="CV660" s="119"/>
      <c r="CW660" s="119"/>
      <c r="CX660" s="119"/>
      <c r="CY660" s="119"/>
      <c r="CZ660" s="119"/>
      <c r="DA660" s="119"/>
      <c r="DB660" s="119"/>
      <c r="DC660" s="119"/>
      <c r="DD660" s="119"/>
      <c r="DE660" s="119"/>
      <c r="DF660" s="119"/>
      <c r="DG660" s="119"/>
      <c r="DH660" s="119"/>
      <c r="DI660" s="119"/>
      <c r="DJ660" s="119"/>
      <c r="DK660" s="119"/>
      <c r="DL660" s="119"/>
      <c r="DM660" s="119"/>
      <c r="DN660" s="119"/>
      <c r="DO660" s="119"/>
      <c r="DP660" s="119"/>
      <c r="DQ660" s="119"/>
      <c r="DR660" s="119"/>
      <c r="DS660" s="119"/>
      <c r="DT660" s="119"/>
      <c r="DU660" s="119"/>
      <c r="DV660" s="119"/>
      <c r="DW660" s="119"/>
      <c r="DX660" s="119"/>
      <c r="DY660" s="119"/>
      <c r="DZ660" s="119"/>
      <c r="EA660" s="119"/>
      <c r="EB660" s="119"/>
      <c r="EC660" s="119"/>
      <c r="ED660" s="119"/>
      <c r="EE660" s="119"/>
      <c r="EF660" s="119"/>
      <c r="EG660" s="119"/>
      <c r="EH660" s="119"/>
      <c r="EI660" s="119"/>
      <c r="EJ660" s="119"/>
      <c r="EK660" s="119"/>
      <c r="EL660" s="119"/>
      <c r="EM660" s="119"/>
      <c r="EN660" s="119"/>
      <c r="EO660" s="119"/>
      <c r="EP660" s="119"/>
      <c r="EQ660" s="119"/>
      <c r="ER660" s="119"/>
      <c r="ES660" s="119"/>
      <c r="ET660" s="119"/>
      <c r="EU660" s="119"/>
      <c r="EV660" s="119"/>
      <c r="EW660" s="119"/>
      <c r="EX660" s="119"/>
      <c r="EY660" s="119"/>
      <c r="EZ660" s="119"/>
      <c r="FA660" s="119"/>
      <c r="FB660" s="119"/>
      <c r="FC660" s="119"/>
      <c r="FD660" s="119"/>
      <c r="FE660" s="119"/>
      <c r="FF660" s="119"/>
      <c r="FG660" s="119"/>
      <c r="FH660" s="119"/>
      <c r="FI660" s="119"/>
      <c r="FJ660" s="119"/>
      <c r="FK660" s="119"/>
      <c r="FL660" s="119"/>
      <c r="FM660" s="119"/>
      <c r="FN660" s="119"/>
      <c r="FO660" s="119"/>
      <c r="FP660" s="119"/>
      <c r="FQ660" s="119"/>
      <c r="FR660" s="119"/>
    </row>
    <row x14ac:dyDescent="0.25" r="661" customHeight="1" ht="15">
      <c r="A661" s="121"/>
      <c r="B661" s="121"/>
      <c r="C661" s="122"/>
      <c r="D661" s="122"/>
      <c r="E661" s="123"/>
      <c r="F661" s="123"/>
      <c r="G661" s="124"/>
      <c r="H661" s="125"/>
      <c r="I661" s="126"/>
      <c r="J661" s="127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19"/>
      <c r="BA661" s="119"/>
      <c r="BB661" s="119"/>
      <c r="BC661" s="119"/>
      <c r="BD661" s="119"/>
      <c r="BE661" s="119"/>
      <c r="BF661" s="119"/>
      <c r="BG661" s="119"/>
      <c r="BH661" s="119"/>
      <c r="BI661" s="119"/>
      <c r="BJ661" s="119"/>
      <c r="BK661" s="119"/>
      <c r="BL661" s="119"/>
      <c r="BM661" s="119"/>
      <c r="BN661" s="119"/>
      <c r="BO661" s="119"/>
      <c r="BP661" s="119"/>
      <c r="BQ661" s="119"/>
      <c r="BR661" s="119"/>
      <c r="BS661" s="119"/>
      <c r="BT661" s="119"/>
      <c r="BU661" s="119"/>
      <c r="BV661" s="119"/>
      <c r="BW661" s="119"/>
      <c r="BX661" s="119"/>
      <c r="BY661" s="119"/>
      <c r="BZ661" s="119"/>
      <c r="CA661" s="119"/>
      <c r="CB661" s="119"/>
      <c r="CC661" s="119"/>
      <c r="CD661" s="119"/>
      <c r="CE661" s="119"/>
      <c r="CF661" s="119"/>
      <c r="CG661" s="119"/>
      <c r="CH661" s="119"/>
      <c r="CI661" s="119"/>
      <c r="CJ661" s="119"/>
      <c r="CK661" s="119"/>
      <c r="CL661" s="119"/>
      <c r="CM661" s="119"/>
      <c r="CN661" s="119"/>
      <c r="CO661" s="119"/>
      <c r="CP661" s="119"/>
      <c r="CQ661" s="119"/>
      <c r="CR661" s="119"/>
      <c r="CS661" s="119"/>
      <c r="CT661" s="119"/>
      <c r="CU661" s="119"/>
      <c r="CV661" s="119"/>
      <c r="CW661" s="119"/>
      <c r="CX661" s="119"/>
      <c r="CY661" s="119"/>
      <c r="CZ661" s="119"/>
      <c r="DA661" s="119"/>
      <c r="DB661" s="119"/>
      <c r="DC661" s="119"/>
      <c r="DD661" s="119"/>
      <c r="DE661" s="119"/>
      <c r="DF661" s="119"/>
      <c r="DG661" s="119"/>
      <c r="DH661" s="119"/>
      <c r="DI661" s="119"/>
      <c r="DJ661" s="119"/>
      <c r="DK661" s="119"/>
      <c r="DL661" s="119"/>
      <c r="DM661" s="119"/>
      <c r="DN661" s="119"/>
      <c r="DO661" s="119"/>
      <c r="DP661" s="119"/>
      <c r="DQ661" s="119"/>
      <c r="DR661" s="119"/>
      <c r="DS661" s="119"/>
      <c r="DT661" s="119"/>
      <c r="DU661" s="119"/>
      <c r="DV661" s="119"/>
      <c r="DW661" s="119"/>
      <c r="DX661" s="119"/>
      <c r="DY661" s="119"/>
      <c r="DZ661" s="119"/>
      <c r="EA661" s="119"/>
      <c r="EB661" s="119"/>
      <c r="EC661" s="119"/>
      <c r="ED661" s="119"/>
      <c r="EE661" s="119"/>
      <c r="EF661" s="119"/>
      <c r="EG661" s="119"/>
      <c r="EH661" s="119"/>
      <c r="EI661" s="119"/>
      <c r="EJ661" s="119"/>
      <c r="EK661" s="119"/>
      <c r="EL661" s="119"/>
      <c r="EM661" s="119"/>
      <c r="EN661" s="119"/>
      <c r="EO661" s="119"/>
      <c r="EP661" s="119"/>
      <c r="EQ661" s="119"/>
      <c r="ER661" s="119"/>
      <c r="ES661" s="119"/>
      <c r="ET661" s="119"/>
      <c r="EU661" s="119"/>
      <c r="EV661" s="119"/>
      <c r="EW661" s="119"/>
      <c r="EX661" s="119"/>
      <c r="EY661" s="119"/>
      <c r="EZ661" s="119"/>
      <c r="FA661" s="119"/>
      <c r="FB661" s="119"/>
      <c r="FC661" s="119"/>
      <c r="FD661" s="119"/>
      <c r="FE661" s="119"/>
      <c r="FF661" s="119"/>
      <c r="FG661" s="119"/>
      <c r="FH661" s="119"/>
      <c r="FI661" s="119"/>
      <c r="FJ661" s="119"/>
      <c r="FK661" s="119"/>
      <c r="FL661" s="119"/>
      <c r="FM661" s="119"/>
      <c r="FN661" s="119"/>
      <c r="FO661" s="119"/>
      <c r="FP661" s="119"/>
      <c r="FQ661" s="119"/>
      <c r="FR661" s="119"/>
    </row>
    <row x14ac:dyDescent="0.25" r="662" customHeight="1" ht="15">
      <c r="A662" s="121"/>
      <c r="B662" s="121"/>
      <c r="C662" s="122"/>
      <c r="D662" s="122"/>
      <c r="E662" s="123"/>
      <c r="F662" s="123"/>
      <c r="G662" s="124"/>
      <c r="H662" s="125"/>
      <c r="I662" s="126"/>
      <c r="J662" s="127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19"/>
      <c r="BA662" s="119"/>
      <c r="BB662" s="119"/>
      <c r="BC662" s="119"/>
      <c r="BD662" s="119"/>
      <c r="BE662" s="119"/>
      <c r="BF662" s="119"/>
      <c r="BG662" s="119"/>
      <c r="BH662" s="119"/>
      <c r="BI662" s="119"/>
      <c r="BJ662" s="119"/>
      <c r="BK662" s="119"/>
      <c r="BL662" s="119"/>
      <c r="BM662" s="119"/>
      <c r="BN662" s="119"/>
      <c r="BO662" s="119"/>
      <c r="BP662" s="119"/>
      <c r="BQ662" s="119"/>
      <c r="BR662" s="119"/>
      <c r="BS662" s="119"/>
      <c r="BT662" s="119"/>
      <c r="BU662" s="119"/>
      <c r="BV662" s="119"/>
      <c r="BW662" s="119"/>
      <c r="BX662" s="119"/>
      <c r="BY662" s="119"/>
      <c r="BZ662" s="119"/>
      <c r="CA662" s="119"/>
      <c r="CB662" s="119"/>
      <c r="CC662" s="119"/>
      <c r="CD662" s="119"/>
      <c r="CE662" s="119"/>
      <c r="CF662" s="119"/>
      <c r="CG662" s="119"/>
      <c r="CH662" s="119"/>
      <c r="CI662" s="119"/>
      <c r="CJ662" s="119"/>
      <c r="CK662" s="119"/>
      <c r="CL662" s="119"/>
      <c r="CM662" s="119"/>
      <c r="CN662" s="119"/>
      <c r="CO662" s="119"/>
      <c r="CP662" s="119"/>
      <c r="CQ662" s="119"/>
      <c r="CR662" s="119"/>
      <c r="CS662" s="119"/>
      <c r="CT662" s="119"/>
      <c r="CU662" s="119"/>
      <c r="CV662" s="119"/>
      <c r="CW662" s="119"/>
      <c r="CX662" s="119"/>
      <c r="CY662" s="119"/>
      <c r="CZ662" s="119"/>
      <c r="DA662" s="119"/>
      <c r="DB662" s="119"/>
      <c r="DC662" s="119"/>
      <c r="DD662" s="119"/>
      <c r="DE662" s="119"/>
      <c r="DF662" s="119"/>
      <c r="DG662" s="119"/>
      <c r="DH662" s="119"/>
      <c r="DI662" s="119"/>
      <c r="DJ662" s="119"/>
      <c r="DK662" s="119"/>
      <c r="DL662" s="119"/>
      <c r="DM662" s="119"/>
      <c r="DN662" s="119"/>
      <c r="DO662" s="119"/>
      <c r="DP662" s="119"/>
      <c r="DQ662" s="119"/>
      <c r="DR662" s="119"/>
      <c r="DS662" s="119"/>
      <c r="DT662" s="119"/>
      <c r="DU662" s="119"/>
      <c r="DV662" s="119"/>
      <c r="DW662" s="119"/>
      <c r="DX662" s="119"/>
      <c r="DY662" s="119"/>
      <c r="DZ662" s="119"/>
      <c r="EA662" s="119"/>
      <c r="EB662" s="119"/>
      <c r="EC662" s="119"/>
      <c r="ED662" s="119"/>
      <c r="EE662" s="119"/>
      <c r="EF662" s="119"/>
      <c r="EG662" s="119"/>
      <c r="EH662" s="119"/>
      <c r="EI662" s="119"/>
      <c r="EJ662" s="119"/>
      <c r="EK662" s="119"/>
      <c r="EL662" s="119"/>
      <c r="EM662" s="119"/>
      <c r="EN662" s="119"/>
      <c r="EO662" s="119"/>
      <c r="EP662" s="119"/>
      <c r="EQ662" s="119"/>
      <c r="ER662" s="119"/>
      <c r="ES662" s="119"/>
      <c r="ET662" s="119"/>
      <c r="EU662" s="119"/>
      <c r="EV662" s="119"/>
      <c r="EW662" s="119"/>
      <c r="EX662" s="119"/>
      <c r="EY662" s="119"/>
      <c r="EZ662" s="119"/>
      <c r="FA662" s="119"/>
      <c r="FB662" s="119"/>
      <c r="FC662" s="119"/>
      <c r="FD662" s="119"/>
      <c r="FE662" s="119"/>
      <c r="FF662" s="119"/>
      <c r="FG662" s="119"/>
      <c r="FH662" s="119"/>
      <c r="FI662" s="119"/>
      <c r="FJ662" s="119"/>
      <c r="FK662" s="119"/>
      <c r="FL662" s="119"/>
      <c r="FM662" s="119"/>
      <c r="FN662" s="119"/>
      <c r="FO662" s="119"/>
      <c r="FP662" s="119"/>
      <c r="FQ662" s="119"/>
      <c r="FR662" s="119"/>
    </row>
    <row x14ac:dyDescent="0.25" r="663" customHeight="1" ht="15">
      <c r="A663" s="121"/>
      <c r="B663" s="121"/>
      <c r="C663" s="122"/>
      <c r="D663" s="122"/>
      <c r="E663" s="123"/>
      <c r="F663" s="123"/>
      <c r="G663" s="124"/>
      <c r="H663" s="125"/>
      <c r="I663" s="126"/>
      <c r="J663" s="127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19"/>
      <c r="BA663" s="119"/>
      <c r="BB663" s="119"/>
      <c r="BC663" s="119"/>
      <c r="BD663" s="119"/>
      <c r="BE663" s="119"/>
      <c r="BF663" s="119"/>
      <c r="BG663" s="119"/>
      <c r="BH663" s="119"/>
      <c r="BI663" s="119"/>
      <c r="BJ663" s="119"/>
      <c r="BK663" s="119"/>
      <c r="BL663" s="119"/>
      <c r="BM663" s="119"/>
      <c r="BN663" s="119"/>
      <c r="BO663" s="119"/>
      <c r="BP663" s="119"/>
      <c r="BQ663" s="119"/>
      <c r="BR663" s="119"/>
      <c r="BS663" s="119"/>
      <c r="BT663" s="119"/>
      <c r="BU663" s="119"/>
      <c r="BV663" s="119"/>
      <c r="BW663" s="119"/>
      <c r="BX663" s="119"/>
      <c r="BY663" s="119"/>
      <c r="BZ663" s="119"/>
      <c r="CA663" s="119"/>
      <c r="CB663" s="119"/>
      <c r="CC663" s="119"/>
      <c r="CD663" s="119"/>
      <c r="CE663" s="119"/>
      <c r="CF663" s="119"/>
      <c r="CG663" s="119"/>
      <c r="CH663" s="119"/>
      <c r="CI663" s="119"/>
      <c r="CJ663" s="119"/>
      <c r="CK663" s="119"/>
      <c r="CL663" s="119"/>
      <c r="CM663" s="119"/>
      <c r="CN663" s="119"/>
      <c r="CO663" s="119"/>
      <c r="CP663" s="119"/>
      <c r="CQ663" s="119"/>
      <c r="CR663" s="119"/>
      <c r="CS663" s="119"/>
      <c r="CT663" s="119"/>
      <c r="CU663" s="119"/>
      <c r="CV663" s="119"/>
      <c r="CW663" s="119"/>
      <c r="CX663" s="119"/>
      <c r="CY663" s="119"/>
      <c r="CZ663" s="119"/>
      <c r="DA663" s="119"/>
      <c r="DB663" s="119"/>
      <c r="DC663" s="119"/>
      <c r="DD663" s="119"/>
      <c r="DE663" s="119"/>
      <c r="DF663" s="119"/>
      <c r="DG663" s="119"/>
      <c r="DH663" s="119"/>
      <c r="DI663" s="119"/>
      <c r="DJ663" s="119"/>
      <c r="DK663" s="119"/>
      <c r="DL663" s="119"/>
      <c r="DM663" s="119"/>
      <c r="DN663" s="119"/>
      <c r="DO663" s="119"/>
      <c r="DP663" s="119"/>
      <c r="DQ663" s="119"/>
      <c r="DR663" s="119"/>
      <c r="DS663" s="119"/>
      <c r="DT663" s="119"/>
      <c r="DU663" s="119"/>
      <c r="DV663" s="119"/>
      <c r="DW663" s="119"/>
      <c r="DX663" s="119"/>
      <c r="DY663" s="119"/>
      <c r="DZ663" s="119"/>
      <c r="EA663" s="119"/>
      <c r="EB663" s="119"/>
      <c r="EC663" s="119"/>
      <c r="ED663" s="119"/>
      <c r="EE663" s="119"/>
      <c r="EF663" s="119"/>
      <c r="EG663" s="119"/>
      <c r="EH663" s="119"/>
      <c r="EI663" s="119"/>
      <c r="EJ663" s="119"/>
      <c r="EK663" s="119"/>
      <c r="EL663" s="119"/>
      <c r="EM663" s="119"/>
      <c r="EN663" s="119"/>
      <c r="EO663" s="119"/>
      <c r="EP663" s="119"/>
      <c r="EQ663" s="119"/>
      <c r="ER663" s="119"/>
      <c r="ES663" s="119"/>
      <c r="ET663" s="119"/>
      <c r="EU663" s="119"/>
      <c r="EV663" s="119"/>
      <c r="EW663" s="119"/>
      <c r="EX663" s="119"/>
      <c r="EY663" s="119"/>
      <c r="EZ663" s="119"/>
      <c r="FA663" s="119"/>
      <c r="FB663" s="119"/>
      <c r="FC663" s="119"/>
      <c r="FD663" s="119"/>
      <c r="FE663" s="119"/>
      <c r="FF663" s="119"/>
      <c r="FG663" s="119"/>
      <c r="FH663" s="119"/>
      <c r="FI663" s="119"/>
      <c r="FJ663" s="119"/>
      <c r="FK663" s="119"/>
      <c r="FL663" s="119"/>
      <c r="FM663" s="119"/>
      <c r="FN663" s="119"/>
      <c r="FO663" s="119"/>
      <c r="FP663" s="119"/>
      <c r="FQ663" s="119"/>
      <c r="FR663" s="119"/>
    </row>
    <row x14ac:dyDescent="0.25" r="664" customHeight="1" ht="15">
      <c r="A664" s="121"/>
      <c r="B664" s="121"/>
      <c r="C664" s="122"/>
      <c r="D664" s="122"/>
      <c r="E664" s="123"/>
      <c r="F664" s="123"/>
      <c r="G664" s="124"/>
      <c r="H664" s="125"/>
      <c r="I664" s="126"/>
      <c r="J664" s="127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19"/>
      <c r="BA664" s="119"/>
      <c r="BB664" s="119"/>
      <c r="BC664" s="119"/>
      <c r="BD664" s="119"/>
      <c r="BE664" s="119"/>
      <c r="BF664" s="119"/>
      <c r="BG664" s="119"/>
      <c r="BH664" s="119"/>
      <c r="BI664" s="119"/>
      <c r="BJ664" s="119"/>
      <c r="BK664" s="119"/>
      <c r="BL664" s="119"/>
      <c r="BM664" s="119"/>
      <c r="BN664" s="119"/>
      <c r="BO664" s="119"/>
      <c r="BP664" s="119"/>
      <c r="BQ664" s="119"/>
      <c r="BR664" s="119"/>
      <c r="BS664" s="119"/>
      <c r="BT664" s="119"/>
      <c r="BU664" s="119"/>
      <c r="BV664" s="119"/>
      <c r="BW664" s="119"/>
      <c r="BX664" s="119"/>
      <c r="BY664" s="119"/>
      <c r="BZ664" s="119"/>
      <c r="CA664" s="119"/>
      <c r="CB664" s="119"/>
      <c r="CC664" s="119"/>
      <c r="CD664" s="119"/>
      <c r="CE664" s="119"/>
      <c r="CF664" s="119"/>
      <c r="CG664" s="119"/>
      <c r="CH664" s="119"/>
      <c r="CI664" s="119"/>
      <c r="CJ664" s="119"/>
      <c r="CK664" s="119"/>
      <c r="CL664" s="119"/>
      <c r="CM664" s="119"/>
      <c r="CN664" s="119"/>
      <c r="CO664" s="119"/>
      <c r="CP664" s="119"/>
      <c r="CQ664" s="119"/>
      <c r="CR664" s="119"/>
      <c r="CS664" s="119"/>
      <c r="CT664" s="119"/>
      <c r="CU664" s="119"/>
      <c r="CV664" s="119"/>
      <c r="CW664" s="119"/>
      <c r="CX664" s="119"/>
      <c r="CY664" s="119"/>
      <c r="CZ664" s="119"/>
      <c r="DA664" s="119"/>
      <c r="DB664" s="119"/>
      <c r="DC664" s="119"/>
      <c r="DD664" s="119"/>
      <c r="DE664" s="119"/>
      <c r="DF664" s="119"/>
      <c r="DG664" s="119"/>
      <c r="DH664" s="119"/>
      <c r="DI664" s="119"/>
      <c r="DJ664" s="119"/>
      <c r="DK664" s="119"/>
      <c r="DL664" s="119"/>
      <c r="DM664" s="119"/>
      <c r="DN664" s="119"/>
      <c r="DO664" s="119"/>
      <c r="DP664" s="119"/>
      <c r="DQ664" s="119"/>
      <c r="DR664" s="119"/>
      <c r="DS664" s="119"/>
      <c r="DT664" s="119"/>
      <c r="DU664" s="119"/>
      <c r="DV664" s="119"/>
      <c r="DW664" s="119"/>
      <c r="DX664" s="119"/>
      <c r="DY664" s="119"/>
      <c r="DZ664" s="119"/>
      <c r="EA664" s="119"/>
      <c r="EB664" s="119"/>
      <c r="EC664" s="119"/>
      <c r="ED664" s="119"/>
      <c r="EE664" s="119"/>
      <c r="EF664" s="119"/>
      <c r="EG664" s="119"/>
      <c r="EH664" s="119"/>
      <c r="EI664" s="119"/>
      <c r="EJ664" s="119"/>
      <c r="EK664" s="119"/>
      <c r="EL664" s="119"/>
      <c r="EM664" s="119"/>
      <c r="EN664" s="119"/>
      <c r="EO664" s="119"/>
      <c r="EP664" s="119"/>
      <c r="EQ664" s="119"/>
      <c r="ER664" s="119"/>
      <c r="ES664" s="119"/>
      <c r="ET664" s="119"/>
      <c r="EU664" s="119"/>
      <c r="EV664" s="119"/>
      <c r="EW664" s="119"/>
      <c r="EX664" s="119"/>
      <c r="EY664" s="119"/>
      <c r="EZ664" s="119"/>
      <c r="FA664" s="119"/>
      <c r="FB664" s="119"/>
      <c r="FC664" s="119"/>
      <c r="FD664" s="119"/>
      <c r="FE664" s="119"/>
      <c r="FF664" s="119"/>
      <c r="FG664" s="119"/>
      <c r="FH664" s="119"/>
      <c r="FI664" s="119"/>
      <c r="FJ664" s="119"/>
      <c r="FK664" s="119"/>
      <c r="FL664" s="119"/>
      <c r="FM664" s="119"/>
      <c r="FN664" s="119"/>
      <c r="FO664" s="119"/>
      <c r="FP664" s="119"/>
      <c r="FQ664" s="119"/>
      <c r="FR664" s="119"/>
    </row>
    <row x14ac:dyDescent="0.25" r="665" customHeight="1" ht="15">
      <c r="A665" s="121"/>
      <c r="B665" s="121"/>
      <c r="C665" s="122"/>
      <c r="D665" s="122"/>
      <c r="E665" s="123"/>
      <c r="F665" s="123"/>
      <c r="G665" s="124"/>
      <c r="H665" s="125"/>
      <c r="I665" s="126"/>
      <c r="J665" s="127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19"/>
      <c r="BA665" s="119"/>
      <c r="BB665" s="119"/>
      <c r="BC665" s="119"/>
      <c r="BD665" s="119"/>
      <c r="BE665" s="119"/>
      <c r="BF665" s="119"/>
      <c r="BG665" s="119"/>
      <c r="BH665" s="119"/>
      <c r="BI665" s="119"/>
      <c r="BJ665" s="119"/>
      <c r="BK665" s="119"/>
      <c r="BL665" s="119"/>
      <c r="BM665" s="119"/>
      <c r="BN665" s="119"/>
      <c r="BO665" s="119"/>
      <c r="BP665" s="119"/>
      <c r="BQ665" s="119"/>
      <c r="BR665" s="119"/>
      <c r="BS665" s="119"/>
      <c r="BT665" s="119"/>
      <c r="BU665" s="119"/>
      <c r="BV665" s="119"/>
      <c r="BW665" s="119"/>
      <c r="BX665" s="119"/>
      <c r="BY665" s="119"/>
      <c r="BZ665" s="119"/>
      <c r="CA665" s="119"/>
      <c r="CB665" s="119"/>
      <c r="CC665" s="119"/>
      <c r="CD665" s="119"/>
      <c r="CE665" s="119"/>
      <c r="CF665" s="119"/>
      <c r="CG665" s="119"/>
      <c r="CH665" s="119"/>
      <c r="CI665" s="119"/>
      <c r="CJ665" s="119"/>
      <c r="CK665" s="119"/>
      <c r="CL665" s="119"/>
      <c r="CM665" s="119"/>
      <c r="CN665" s="119"/>
      <c r="CO665" s="119"/>
      <c r="CP665" s="119"/>
      <c r="CQ665" s="119"/>
      <c r="CR665" s="119"/>
      <c r="CS665" s="119"/>
      <c r="CT665" s="119"/>
      <c r="CU665" s="119"/>
      <c r="CV665" s="119"/>
      <c r="CW665" s="119"/>
      <c r="CX665" s="119"/>
      <c r="CY665" s="119"/>
      <c r="CZ665" s="119"/>
      <c r="DA665" s="119"/>
      <c r="DB665" s="119"/>
      <c r="DC665" s="119"/>
      <c r="DD665" s="119"/>
      <c r="DE665" s="119"/>
      <c r="DF665" s="119"/>
      <c r="DG665" s="119"/>
      <c r="DH665" s="119"/>
      <c r="DI665" s="119"/>
      <c r="DJ665" s="119"/>
      <c r="DK665" s="119"/>
      <c r="DL665" s="119"/>
      <c r="DM665" s="119"/>
      <c r="DN665" s="119"/>
      <c r="DO665" s="119"/>
      <c r="DP665" s="119"/>
      <c r="DQ665" s="119"/>
      <c r="DR665" s="119"/>
      <c r="DS665" s="119"/>
      <c r="DT665" s="119"/>
      <c r="DU665" s="119"/>
      <c r="DV665" s="119"/>
      <c r="DW665" s="119"/>
      <c r="DX665" s="119"/>
      <c r="DY665" s="119"/>
      <c r="DZ665" s="119"/>
      <c r="EA665" s="119"/>
      <c r="EB665" s="119"/>
      <c r="EC665" s="119"/>
      <c r="ED665" s="119"/>
      <c r="EE665" s="119"/>
      <c r="EF665" s="119"/>
      <c r="EG665" s="119"/>
      <c r="EH665" s="119"/>
      <c r="EI665" s="119"/>
      <c r="EJ665" s="119"/>
      <c r="EK665" s="119"/>
      <c r="EL665" s="119"/>
      <c r="EM665" s="119"/>
      <c r="EN665" s="119"/>
      <c r="EO665" s="119"/>
      <c r="EP665" s="119"/>
      <c r="EQ665" s="119"/>
      <c r="ER665" s="119"/>
      <c r="ES665" s="119"/>
      <c r="ET665" s="119"/>
      <c r="EU665" s="119"/>
      <c r="EV665" s="119"/>
      <c r="EW665" s="119"/>
      <c r="EX665" s="119"/>
      <c r="EY665" s="119"/>
      <c r="EZ665" s="119"/>
      <c r="FA665" s="119"/>
      <c r="FB665" s="119"/>
      <c r="FC665" s="119"/>
      <c r="FD665" s="119"/>
      <c r="FE665" s="119"/>
      <c r="FF665" s="119"/>
      <c r="FG665" s="119"/>
      <c r="FH665" s="119"/>
      <c r="FI665" s="119"/>
      <c r="FJ665" s="119"/>
      <c r="FK665" s="119"/>
      <c r="FL665" s="119"/>
      <c r="FM665" s="119"/>
      <c r="FN665" s="119"/>
      <c r="FO665" s="119"/>
      <c r="FP665" s="119"/>
      <c r="FQ665" s="119"/>
      <c r="FR665" s="119"/>
    </row>
    <row x14ac:dyDescent="0.25" r="666" customHeight="1" ht="15">
      <c r="A666" s="121"/>
      <c r="B666" s="121"/>
      <c r="C666" s="122"/>
      <c r="D666" s="122"/>
      <c r="E666" s="123"/>
      <c r="F666" s="123"/>
      <c r="G666" s="124"/>
      <c r="H666" s="125"/>
      <c r="I666" s="126"/>
      <c r="J666" s="127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19"/>
      <c r="BA666" s="119"/>
      <c r="BB666" s="119"/>
      <c r="BC666" s="119"/>
      <c r="BD666" s="119"/>
      <c r="BE666" s="119"/>
      <c r="BF666" s="119"/>
      <c r="BG666" s="119"/>
      <c r="BH666" s="119"/>
      <c r="BI666" s="119"/>
      <c r="BJ666" s="119"/>
      <c r="BK666" s="119"/>
      <c r="BL666" s="119"/>
      <c r="BM666" s="119"/>
      <c r="BN666" s="119"/>
      <c r="BO666" s="119"/>
      <c r="BP666" s="119"/>
      <c r="BQ666" s="119"/>
      <c r="BR666" s="119"/>
      <c r="BS666" s="119"/>
      <c r="BT666" s="119"/>
      <c r="BU666" s="119"/>
      <c r="BV666" s="119"/>
      <c r="BW666" s="119"/>
      <c r="BX666" s="119"/>
      <c r="BY666" s="119"/>
      <c r="BZ666" s="119"/>
      <c r="CA666" s="119"/>
      <c r="CB666" s="119"/>
      <c r="CC666" s="119"/>
      <c r="CD666" s="119"/>
      <c r="CE666" s="119"/>
      <c r="CF666" s="119"/>
      <c r="CG666" s="119"/>
      <c r="CH666" s="119"/>
      <c r="CI666" s="119"/>
      <c r="CJ666" s="119"/>
      <c r="CK666" s="119"/>
      <c r="CL666" s="119"/>
      <c r="CM666" s="119"/>
      <c r="CN666" s="119"/>
      <c r="CO666" s="119"/>
      <c r="CP666" s="119"/>
      <c r="CQ666" s="119"/>
      <c r="CR666" s="119"/>
      <c r="CS666" s="119"/>
      <c r="CT666" s="119"/>
      <c r="CU666" s="119"/>
      <c r="CV666" s="119"/>
      <c r="CW666" s="119"/>
      <c r="CX666" s="119"/>
      <c r="CY666" s="119"/>
      <c r="CZ666" s="119"/>
      <c r="DA666" s="119"/>
      <c r="DB666" s="119"/>
      <c r="DC666" s="119"/>
      <c r="DD666" s="119"/>
      <c r="DE666" s="119"/>
      <c r="DF666" s="119"/>
      <c r="DG666" s="119"/>
      <c r="DH666" s="119"/>
      <c r="DI666" s="119"/>
      <c r="DJ666" s="119"/>
      <c r="DK666" s="119"/>
      <c r="DL666" s="119"/>
      <c r="DM666" s="119"/>
      <c r="DN666" s="119"/>
      <c r="DO666" s="119"/>
      <c r="DP666" s="119"/>
      <c r="DQ666" s="119"/>
      <c r="DR666" s="119"/>
      <c r="DS666" s="119"/>
      <c r="DT666" s="119"/>
      <c r="DU666" s="119"/>
      <c r="DV666" s="119"/>
      <c r="DW666" s="119"/>
      <c r="DX666" s="119"/>
      <c r="DY666" s="119"/>
      <c r="DZ666" s="119"/>
      <c r="EA666" s="119"/>
      <c r="EB666" s="119"/>
      <c r="EC666" s="119"/>
      <c r="ED666" s="119"/>
      <c r="EE666" s="119"/>
      <c r="EF666" s="119"/>
      <c r="EG666" s="119"/>
      <c r="EH666" s="119"/>
      <c r="EI666" s="119"/>
      <c r="EJ666" s="119"/>
      <c r="EK666" s="119"/>
      <c r="EL666" s="119"/>
      <c r="EM666" s="119"/>
      <c r="EN666" s="119"/>
      <c r="EO666" s="119"/>
      <c r="EP666" s="119"/>
      <c r="EQ666" s="119"/>
      <c r="ER666" s="119"/>
      <c r="ES666" s="119"/>
      <c r="ET666" s="119"/>
      <c r="EU666" s="119"/>
      <c r="EV666" s="119"/>
      <c r="EW666" s="119"/>
      <c r="EX666" s="119"/>
      <c r="EY666" s="119"/>
      <c r="EZ666" s="119"/>
      <c r="FA666" s="119"/>
      <c r="FB666" s="119"/>
      <c r="FC666" s="119"/>
      <c r="FD666" s="119"/>
      <c r="FE666" s="119"/>
      <c r="FF666" s="119"/>
      <c r="FG666" s="119"/>
      <c r="FH666" s="119"/>
      <c r="FI666" s="119"/>
      <c r="FJ666" s="119"/>
      <c r="FK666" s="119"/>
      <c r="FL666" s="119"/>
      <c r="FM666" s="119"/>
      <c r="FN666" s="119"/>
      <c r="FO666" s="119"/>
      <c r="FP666" s="119"/>
      <c r="FQ666" s="119"/>
      <c r="FR666" s="119"/>
    </row>
    <row x14ac:dyDescent="0.25" r="667" customHeight="1" ht="15">
      <c r="A667" s="121"/>
      <c r="B667" s="121"/>
      <c r="C667" s="122"/>
      <c r="D667" s="122"/>
      <c r="E667" s="123"/>
      <c r="F667" s="123"/>
      <c r="G667" s="124"/>
      <c r="H667" s="125"/>
      <c r="I667" s="126"/>
      <c r="J667" s="127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19"/>
      <c r="BA667" s="119"/>
      <c r="BB667" s="119"/>
      <c r="BC667" s="119"/>
      <c r="BD667" s="119"/>
      <c r="BE667" s="119"/>
      <c r="BF667" s="119"/>
      <c r="BG667" s="119"/>
      <c r="BH667" s="119"/>
      <c r="BI667" s="119"/>
      <c r="BJ667" s="119"/>
      <c r="BK667" s="119"/>
      <c r="BL667" s="119"/>
      <c r="BM667" s="119"/>
      <c r="BN667" s="119"/>
      <c r="BO667" s="119"/>
      <c r="BP667" s="119"/>
      <c r="BQ667" s="119"/>
      <c r="BR667" s="119"/>
      <c r="BS667" s="119"/>
      <c r="BT667" s="119"/>
      <c r="BU667" s="119"/>
      <c r="BV667" s="119"/>
      <c r="BW667" s="119"/>
      <c r="BX667" s="119"/>
      <c r="BY667" s="119"/>
      <c r="BZ667" s="119"/>
      <c r="CA667" s="119"/>
      <c r="CB667" s="119"/>
      <c r="CC667" s="119"/>
      <c r="CD667" s="119"/>
      <c r="CE667" s="119"/>
      <c r="CF667" s="119"/>
      <c r="CG667" s="119"/>
      <c r="CH667" s="119"/>
      <c r="CI667" s="119"/>
      <c r="CJ667" s="119"/>
      <c r="CK667" s="119"/>
      <c r="CL667" s="119"/>
      <c r="CM667" s="119"/>
      <c r="CN667" s="119"/>
      <c r="CO667" s="119"/>
      <c r="CP667" s="119"/>
      <c r="CQ667" s="119"/>
      <c r="CR667" s="119"/>
      <c r="CS667" s="119"/>
      <c r="CT667" s="119"/>
      <c r="CU667" s="119"/>
      <c r="CV667" s="119"/>
      <c r="CW667" s="119"/>
      <c r="CX667" s="119"/>
      <c r="CY667" s="119"/>
      <c r="CZ667" s="119"/>
      <c r="DA667" s="119"/>
      <c r="DB667" s="119"/>
      <c r="DC667" s="119"/>
      <c r="DD667" s="119"/>
      <c r="DE667" s="119"/>
      <c r="DF667" s="119"/>
      <c r="DG667" s="119"/>
      <c r="DH667" s="119"/>
      <c r="DI667" s="119"/>
      <c r="DJ667" s="119"/>
      <c r="DK667" s="119"/>
      <c r="DL667" s="119"/>
      <c r="DM667" s="119"/>
      <c r="DN667" s="119"/>
      <c r="DO667" s="119"/>
      <c r="DP667" s="119"/>
      <c r="DQ667" s="119"/>
      <c r="DR667" s="119"/>
      <c r="DS667" s="119"/>
      <c r="DT667" s="119"/>
      <c r="DU667" s="119"/>
      <c r="DV667" s="119"/>
      <c r="DW667" s="119"/>
      <c r="DX667" s="119"/>
      <c r="DY667" s="119"/>
      <c r="DZ667" s="119"/>
      <c r="EA667" s="119"/>
      <c r="EB667" s="119"/>
      <c r="EC667" s="119"/>
      <c r="ED667" s="119"/>
      <c r="EE667" s="119"/>
      <c r="EF667" s="119"/>
      <c r="EG667" s="119"/>
      <c r="EH667" s="119"/>
      <c r="EI667" s="119"/>
      <c r="EJ667" s="119"/>
      <c r="EK667" s="119"/>
      <c r="EL667" s="119"/>
      <c r="EM667" s="119"/>
      <c r="EN667" s="119"/>
      <c r="EO667" s="119"/>
      <c r="EP667" s="119"/>
      <c r="EQ667" s="119"/>
      <c r="ER667" s="119"/>
      <c r="ES667" s="119"/>
      <c r="ET667" s="119"/>
      <c r="EU667" s="119"/>
      <c r="EV667" s="119"/>
      <c r="EW667" s="119"/>
      <c r="EX667" s="119"/>
      <c r="EY667" s="119"/>
      <c r="EZ667" s="119"/>
      <c r="FA667" s="119"/>
      <c r="FB667" s="119"/>
      <c r="FC667" s="119"/>
      <c r="FD667" s="119"/>
      <c r="FE667" s="119"/>
      <c r="FF667" s="119"/>
      <c r="FG667" s="119"/>
      <c r="FH667" s="119"/>
      <c r="FI667" s="119"/>
      <c r="FJ667" s="119"/>
      <c r="FK667" s="119"/>
      <c r="FL667" s="119"/>
      <c r="FM667" s="119"/>
      <c r="FN667" s="119"/>
      <c r="FO667" s="119"/>
      <c r="FP667" s="119"/>
      <c r="FQ667" s="119"/>
      <c r="FR667" s="119"/>
    </row>
    <row x14ac:dyDescent="0.25" r="668" customHeight="1" ht="15">
      <c r="A668" s="121"/>
      <c r="B668" s="121"/>
      <c r="C668" s="122"/>
      <c r="D668" s="122"/>
      <c r="E668" s="123"/>
      <c r="F668" s="123"/>
      <c r="G668" s="124"/>
      <c r="H668" s="125"/>
      <c r="I668" s="126"/>
      <c r="J668" s="127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19"/>
      <c r="BA668" s="119"/>
      <c r="BB668" s="119"/>
      <c r="BC668" s="119"/>
      <c r="BD668" s="119"/>
      <c r="BE668" s="119"/>
      <c r="BF668" s="119"/>
      <c r="BG668" s="119"/>
      <c r="BH668" s="119"/>
      <c r="BI668" s="119"/>
      <c r="BJ668" s="119"/>
      <c r="BK668" s="119"/>
      <c r="BL668" s="119"/>
      <c r="BM668" s="119"/>
      <c r="BN668" s="119"/>
      <c r="BO668" s="119"/>
      <c r="BP668" s="119"/>
      <c r="BQ668" s="119"/>
      <c r="BR668" s="119"/>
      <c r="BS668" s="119"/>
      <c r="BT668" s="119"/>
      <c r="BU668" s="119"/>
      <c r="BV668" s="119"/>
      <c r="BW668" s="119"/>
      <c r="BX668" s="119"/>
      <c r="BY668" s="119"/>
      <c r="BZ668" s="119"/>
      <c r="CA668" s="119"/>
      <c r="CB668" s="119"/>
      <c r="CC668" s="119"/>
      <c r="CD668" s="119"/>
      <c r="CE668" s="119"/>
      <c r="CF668" s="119"/>
      <c r="CG668" s="119"/>
      <c r="CH668" s="119"/>
      <c r="CI668" s="119"/>
      <c r="CJ668" s="119"/>
      <c r="CK668" s="119"/>
      <c r="CL668" s="119"/>
      <c r="CM668" s="119"/>
      <c r="CN668" s="119"/>
      <c r="CO668" s="119"/>
      <c r="CP668" s="119"/>
      <c r="CQ668" s="119"/>
      <c r="CR668" s="119"/>
      <c r="CS668" s="119"/>
      <c r="CT668" s="119"/>
      <c r="CU668" s="119"/>
      <c r="CV668" s="119"/>
      <c r="CW668" s="119"/>
      <c r="CX668" s="119"/>
      <c r="CY668" s="119"/>
      <c r="CZ668" s="119"/>
      <c r="DA668" s="119"/>
      <c r="DB668" s="119"/>
      <c r="DC668" s="119"/>
      <c r="DD668" s="119"/>
      <c r="DE668" s="119"/>
      <c r="DF668" s="119"/>
      <c r="DG668" s="119"/>
      <c r="DH668" s="119"/>
      <c r="DI668" s="119"/>
      <c r="DJ668" s="119"/>
      <c r="DK668" s="119"/>
      <c r="DL668" s="119"/>
      <c r="DM668" s="119"/>
      <c r="DN668" s="119"/>
      <c r="DO668" s="119"/>
      <c r="DP668" s="119"/>
      <c r="DQ668" s="119"/>
      <c r="DR668" s="119"/>
      <c r="DS668" s="119"/>
      <c r="DT668" s="119"/>
      <c r="DU668" s="119"/>
      <c r="DV668" s="119"/>
      <c r="DW668" s="119"/>
      <c r="DX668" s="119"/>
      <c r="DY668" s="119"/>
      <c r="DZ668" s="119"/>
      <c r="EA668" s="119"/>
      <c r="EB668" s="119"/>
      <c r="EC668" s="119"/>
      <c r="ED668" s="119"/>
      <c r="EE668" s="119"/>
      <c r="EF668" s="119"/>
      <c r="EG668" s="119"/>
      <c r="EH668" s="119"/>
      <c r="EI668" s="119"/>
      <c r="EJ668" s="119"/>
      <c r="EK668" s="119"/>
      <c r="EL668" s="119"/>
      <c r="EM668" s="119"/>
      <c r="EN668" s="119"/>
      <c r="EO668" s="119"/>
      <c r="EP668" s="119"/>
      <c r="EQ668" s="119"/>
      <c r="ER668" s="119"/>
      <c r="ES668" s="119"/>
      <c r="ET668" s="119"/>
      <c r="EU668" s="119"/>
      <c r="EV668" s="119"/>
      <c r="EW668" s="119"/>
      <c r="EX668" s="119"/>
      <c r="EY668" s="119"/>
      <c r="EZ668" s="119"/>
      <c r="FA668" s="119"/>
      <c r="FB668" s="119"/>
      <c r="FC668" s="119"/>
      <c r="FD668" s="119"/>
      <c r="FE668" s="119"/>
      <c r="FF668" s="119"/>
      <c r="FG668" s="119"/>
      <c r="FH668" s="119"/>
      <c r="FI668" s="119"/>
      <c r="FJ668" s="119"/>
      <c r="FK668" s="119"/>
      <c r="FL668" s="119"/>
      <c r="FM668" s="119"/>
      <c r="FN668" s="119"/>
      <c r="FO668" s="119"/>
      <c r="FP668" s="119"/>
      <c r="FQ668" s="119"/>
      <c r="FR668" s="119"/>
    </row>
    <row x14ac:dyDescent="0.25" r="669" customHeight="1" ht="15">
      <c r="A669" s="121"/>
      <c r="B669" s="121"/>
      <c r="C669" s="122"/>
      <c r="D669" s="122"/>
      <c r="E669" s="123"/>
      <c r="F669" s="123"/>
      <c r="G669" s="124"/>
      <c r="H669" s="125"/>
      <c r="I669" s="126"/>
      <c r="J669" s="127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19"/>
      <c r="BA669" s="119"/>
      <c r="BB669" s="119"/>
      <c r="BC669" s="119"/>
      <c r="BD669" s="119"/>
      <c r="BE669" s="119"/>
      <c r="BF669" s="119"/>
      <c r="BG669" s="119"/>
      <c r="BH669" s="119"/>
      <c r="BI669" s="119"/>
      <c r="BJ669" s="119"/>
      <c r="BK669" s="119"/>
      <c r="BL669" s="119"/>
      <c r="BM669" s="119"/>
      <c r="BN669" s="119"/>
      <c r="BO669" s="119"/>
      <c r="BP669" s="119"/>
      <c r="BQ669" s="119"/>
      <c r="BR669" s="119"/>
      <c r="BS669" s="119"/>
      <c r="BT669" s="119"/>
      <c r="BU669" s="119"/>
      <c r="BV669" s="119"/>
      <c r="BW669" s="119"/>
      <c r="BX669" s="119"/>
      <c r="BY669" s="119"/>
      <c r="BZ669" s="119"/>
      <c r="CA669" s="119"/>
      <c r="CB669" s="119"/>
      <c r="CC669" s="119"/>
      <c r="CD669" s="119"/>
      <c r="CE669" s="119"/>
      <c r="CF669" s="119"/>
      <c r="CG669" s="119"/>
      <c r="CH669" s="119"/>
      <c r="CI669" s="119"/>
      <c r="CJ669" s="119"/>
      <c r="CK669" s="119"/>
      <c r="CL669" s="119"/>
      <c r="CM669" s="119"/>
      <c r="CN669" s="119"/>
      <c r="CO669" s="119"/>
      <c r="CP669" s="119"/>
      <c r="CQ669" s="119"/>
      <c r="CR669" s="119"/>
      <c r="CS669" s="119"/>
      <c r="CT669" s="119"/>
      <c r="CU669" s="119"/>
      <c r="CV669" s="119"/>
      <c r="CW669" s="119"/>
      <c r="CX669" s="119"/>
      <c r="CY669" s="119"/>
      <c r="CZ669" s="119"/>
      <c r="DA669" s="119"/>
      <c r="DB669" s="119"/>
      <c r="DC669" s="119"/>
      <c r="DD669" s="119"/>
      <c r="DE669" s="119"/>
      <c r="DF669" s="119"/>
      <c r="DG669" s="119"/>
      <c r="DH669" s="119"/>
      <c r="DI669" s="119"/>
      <c r="DJ669" s="119"/>
      <c r="DK669" s="119"/>
      <c r="DL669" s="119"/>
      <c r="DM669" s="119"/>
      <c r="DN669" s="119"/>
      <c r="DO669" s="119"/>
      <c r="DP669" s="119"/>
      <c r="DQ669" s="119"/>
      <c r="DR669" s="119"/>
      <c r="DS669" s="119"/>
      <c r="DT669" s="119"/>
      <c r="DU669" s="119"/>
      <c r="DV669" s="119"/>
      <c r="DW669" s="119"/>
      <c r="DX669" s="119"/>
      <c r="DY669" s="119"/>
      <c r="DZ669" s="119"/>
      <c r="EA669" s="119"/>
      <c r="EB669" s="119"/>
      <c r="EC669" s="119"/>
      <c r="ED669" s="119"/>
      <c r="EE669" s="119"/>
      <c r="EF669" s="119"/>
      <c r="EG669" s="119"/>
      <c r="EH669" s="119"/>
      <c r="EI669" s="119"/>
      <c r="EJ669" s="119"/>
      <c r="EK669" s="119"/>
      <c r="EL669" s="119"/>
      <c r="EM669" s="119"/>
      <c r="EN669" s="119"/>
      <c r="EO669" s="119"/>
      <c r="EP669" s="119"/>
      <c r="EQ669" s="119"/>
      <c r="ER669" s="119"/>
      <c r="ES669" s="119"/>
      <c r="ET669" s="119"/>
      <c r="EU669" s="119"/>
      <c r="EV669" s="119"/>
      <c r="EW669" s="119"/>
      <c r="EX669" s="119"/>
      <c r="EY669" s="119"/>
      <c r="EZ669" s="119"/>
      <c r="FA669" s="119"/>
      <c r="FB669" s="119"/>
      <c r="FC669" s="119"/>
      <c r="FD669" s="119"/>
      <c r="FE669" s="119"/>
      <c r="FF669" s="119"/>
      <c r="FG669" s="119"/>
      <c r="FH669" s="119"/>
      <c r="FI669" s="119"/>
      <c r="FJ669" s="119"/>
      <c r="FK669" s="119"/>
      <c r="FL669" s="119"/>
      <c r="FM669" s="119"/>
      <c r="FN669" s="119"/>
      <c r="FO669" s="119"/>
      <c r="FP669" s="119"/>
      <c r="FQ669" s="119"/>
      <c r="FR669" s="119"/>
    </row>
    <row x14ac:dyDescent="0.25" r="670" customHeight="1" ht="15">
      <c r="A670" s="121"/>
      <c r="B670" s="121"/>
      <c r="C670" s="122"/>
      <c r="D670" s="122"/>
      <c r="E670" s="123"/>
      <c r="F670" s="123"/>
      <c r="G670" s="124"/>
      <c r="H670" s="125"/>
      <c r="I670" s="126"/>
      <c r="J670" s="127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19"/>
      <c r="BA670" s="119"/>
      <c r="BB670" s="119"/>
      <c r="BC670" s="119"/>
      <c r="BD670" s="119"/>
      <c r="BE670" s="119"/>
      <c r="BF670" s="119"/>
      <c r="BG670" s="119"/>
      <c r="BH670" s="119"/>
      <c r="BI670" s="119"/>
      <c r="BJ670" s="119"/>
      <c r="BK670" s="119"/>
      <c r="BL670" s="119"/>
      <c r="BM670" s="119"/>
      <c r="BN670" s="119"/>
      <c r="BO670" s="119"/>
      <c r="BP670" s="119"/>
      <c r="BQ670" s="119"/>
      <c r="BR670" s="119"/>
      <c r="BS670" s="119"/>
      <c r="BT670" s="119"/>
      <c r="BU670" s="119"/>
      <c r="BV670" s="119"/>
      <c r="BW670" s="119"/>
      <c r="BX670" s="119"/>
      <c r="BY670" s="119"/>
      <c r="BZ670" s="119"/>
      <c r="CA670" s="119"/>
      <c r="CB670" s="119"/>
      <c r="CC670" s="119"/>
      <c r="CD670" s="119"/>
      <c r="CE670" s="119"/>
      <c r="CF670" s="119"/>
      <c r="CG670" s="119"/>
      <c r="CH670" s="119"/>
      <c r="CI670" s="119"/>
      <c r="CJ670" s="119"/>
      <c r="CK670" s="119"/>
      <c r="CL670" s="119"/>
      <c r="CM670" s="119"/>
      <c r="CN670" s="119"/>
      <c r="CO670" s="119"/>
      <c r="CP670" s="119"/>
      <c r="CQ670" s="119"/>
      <c r="CR670" s="119"/>
      <c r="CS670" s="119"/>
      <c r="CT670" s="119"/>
      <c r="CU670" s="119"/>
      <c r="CV670" s="119"/>
      <c r="CW670" s="119"/>
      <c r="CX670" s="119"/>
      <c r="CY670" s="119"/>
      <c r="CZ670" s="119"/>
      <c r="DA670" s="119"/>
      <c r="DB670" s="119"/>
      <c r="DC670" s="119"/>
      <c r="DD670" s="119"/>
      <c r="DE670" s="119"/>
      <c r="DF670" s="119"/>
      <c r="DG670" s="119"/>
      <c r="DH670" s="119"/>
      <c r="DI670" s="119"/>
      <c r="DJ670" s="119"/>
      <c r="DK670" s="119"/>
      <c r="DL670" s="119"/>
      <c r="DM670" s="119"/>
      <c r="DN670" s="119"/>
      <c r="DO670" s="119"/>
      <c r="DP670" s="119"/>
      <c r="DQ670" s="119"/>
      <c r="DR670" s="119"/>
      <c r="DS670" s="119"/>
      <c r="DT670" s="119"/>
      <c r="DU670" s="119"/>
      <c r="DV670" s="119"/>
      <c r="DW670" s="119"/>
      <c r="DX670" s="119"/>
      <c r="DY670" s="119"/>
      <c r="DZ670" s="119"/>
      <c r="EA670" s="119"/>
      <c r="EB670" s="119"/>
      <c r="EC670" s="119"/>
      <c r="ED670" s="119"/>
      <c r="EE670" s="119"/>
      <c r="EF670" s="119"/>
      <c r="EG670" s="119"/>
      <c r="EH670" s="119"/>
      <c r="EI670" s="119"/>
      <c r="EJ670" s="119"/>
      <c r="EK670" s="119"/>
      <c r="EL670" s="119"/>
      <c r="EM670" s="119"/>
      <c r="EN670" s="119"/>
      <c r="EO670" s="119"/>
      <c r="EP670" s="119"/>
      <c r="EQ670" s="119"/>
      <c r="ER670" s="119"/>
      <c r="ES670" s="119"/>
      <c r="ET670" s="119"/>
      <c r="EU670" s="119"/>
      <c r="EV670" s="119"/>
      <c r="EW670" s="119"/>
      <c r="EX670" s="119"/>
      <c r="EY670" s="119"/>
      <c r="EZ670" s="119"/>
      <c r="FA670" s="119"/>
      <c r="FB670" s="119"/>
      <c r="FC670" s="119"/>
      <c r="FD670" s="119"/>
      <c r="FE670" s="119"/>
      <c r="FF670" s="119"/>
      <c r="FG670" s="119"/>
      <c r="FH670" s="119"/>
      <c r="FI670" s="119"/>
      <c r="FJ670" s="119"/>
      <c r="FK670" s="119"/>
      <c r="FL670" s="119"/>
      <c r="FM670" s="119"/>
      <c r="FN670" s="119"/>
      <c r="FO670" s="119"/>
      <c r="FP670" s="119"/>
      <c r="FQ670" s="119"/>
      <c r="FR670" s="119"/>
    </row>
    <row x14ac:dyDescent="0.25" r="671" customHeight="1" ht="15">
      <c r="A671" s="121"/>
      <c r="B671" s="121"/>
      <c r="C671" s="122"/>
      <c r="D671" s="122"/>
      <c r="E671" s="123"/>
      <c r="F671" s="123"/>
      <c r="G671" s="124"/>
      <c r="H671" s="125"/>
      <c r="I671" s="126"/>
      <c r="J671" s="127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19"/>
      <c r="BA671" s="119"/>
      <c r="BB671" s="119"/>
      <c r="BC671" s="119"/>
      <c r="BD671" s="119"/>
      <c r="BE671" s="119"/>
      <c r="BF671" s="119"/>
      <c r="BG671" s="119"/>
      <c r="BH671" s="119"/>
      <c r="BI671" s="119"/>
      <c r="BJ671" s="119"/>
      <c r="BK671" s="119"/>
      <c r="BL671" s="119"/>
      <c r="BM671" s="119"/>
      <c r="BN671" s="119"/>
      <c r="BO671" s="119"/>
      <c r="BP671" s="119"/>
      <c r="BQ671" s="119"/>
      <c r="BR671" s="119"/>
      <c r="BS671" s="119"/>
      <c r="BT671" s="119"/>
      <c r="BU671" s="119"/>
      <c r="BV671" s="119"/>
      <c r="BW671" s="119"/>
      <c r="BX671" s="119"/>
      <c r="BY671" s="119"/>
      <c r="BZ671" s="119"/>
      <c r="CA671" s="119"/>
      <c r="CB671" s="119"/>
      <c r="CC671" s="119"/>
      <c r="CD671" s="119"/>
      <c r="CE671" s="119"/>
      <c r="CF671" s="119"/>
      <c r="CG671" s="119"/>
      <c r="CH671" s="119"/>
      <c r="CI671" s="119"/>
      <c r="CJ671" s="119"/>
      <c r="CK671" s="119"/>
      <c r="CL671" s="119"/>
      <c r="CM671" s="119"/>
      <c r="CN671" s="119"/>
      <c r="CO671" s="119"/>
      <c r="CP671" s="119"/>
      <c r="CQ671" s="119"/>
      <c r="CR671" s="119"/>
      <c r="CS671" s="119"/>
      <c r="CT671" s="119"/>
      <c r="CU671" s="119"/>
      <c r="CV671" s="119"/>
      <c r="CW671" s="119"/>
      <c r="CX671" s="119"/>
      <c r="CY671" s="119"/>
      <c r="CZ671" s="119"/>
      <c r="DA671" s="119"/>
      <c r="DB671" s="119"/>
      <c r="DC671" s="119"/>
      <c r="DD671" s="119"/>
      <c r="DE671" s="119"/>
      <c r="DF671" s="119"/>
      <c r="DG671" s="119"/>
      <c r="DH671" s="119"/>
      <c r="DI671" s="119"/>
      <c r="DJ671" s="119"/>
      <c r="DK671" s="119"/>
      <c r="DL671" s="119"/>
      <c r="DM671" s="119"/>
      <c r="DN671" s="119"/>
      <c r="DO671" s="119"/>
      <c r="DP671" s="119"/>
      <c r="DQ671" s="119"/>
      <c r="DR671" s="119"/>
      <c r="DS671" s="119"/>
      <c r="DT671" s="119"/>
      <c r="DU671" s="119"/>
      <c r="DV671" s="119"/>
      <c r="DW671" s="119"/>
      <c r="DX671" s="119"/>
      <c r="DY671" s="119"/>
      <c r="DZ671" s="119"/>
      <c r="EA671" s="119"/>
      <c r="EB671" s="119"/>
      <c r="EC671" s="119"/>
      <c r="ED671" s="119"/>
      <c r="EE671" s="119"/>
      <c r="EF671" s="119"/>
      <c r="EG671" s="119"/>
      <c r="EH671" s="119"/>
      <c r="EI671" s="119"/>
      <c r="EJ671" s="119"/>
      <c r="EK671" s="119"/>
      <c r="EL671" s="119"/>
      <c r="EM671" s="119"/>
      <c r="EN671" s="119"/>
      <c r="EO671" s="119"/>
      <c r="EP671" s="119"/>
      <c r="EQ671" s="119"/>
      <c r="ER671" s="119"/>
      <c r="ES671" s="119"/>
      <c r="ET671" s="119"/>
      <c r="EU671" s="119"/>
      <c r="EV671" s="119"/>
      <c r="EW671" s="119"/>
      <c r="EX671" s="119"/>
      <c r="EY671" s="119"/>
      <c r="EZ671" s="119"/>
      <c r="FA671" s="119"/>
      <c r="FB671" s="119"/>
      <c r="FC671" s="119"/>
      <c r="FD671" s="119"/>
      <c r="FE671" s="119"/>
      <c r="FF671" s="119"/>
      <c r="FG671" s="119"/>
      <c r="FH671" s="119"/>
      <c r="FI671" s="119"/>
      <c r="FJ671" s="119"/>
      <c r="FK671" s="119"/>
      <c r="FL671" s="119"/>
      <c r="FM671" s="119"/>
      <c r="FN671" s="119"/>
      <c r="FO671" s="119"/>
      <c r="FP671" s="119"/>
      <c r="FQ671" s="119"/>
      <c r="FR671" s="119"/>
    </row>
    <row x14ac:dyDescent="0.25" r="672" customHeight="1" ht="15">
      <c r="A672" s="121"/>
      <c r="B672" s="121"/>
      <c r="C672" s="122"/>
      <c r="D672" s="122"/>
      <c r="E672" s="123"/>
      <c r="F672" s="123"/>
      <c r="G672" s="124"/>
      <c r="H672" s="125"/>
      <c r="I672" s="126"/>
      <c r="J672" s="127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19"/>
      <c r="BA672" s="119"/>
      <c r="BB672" s="119"/>
      <c r="BC672" s="119"/>
      <c r="BD672" s="119"/>
      <c r="BE672" s="119"/>
      <c r="BF672" s="119"/>
      <c r="BG672" s="119"/>
      <c r="BH672" s="119"/>
      <c r="BI672" s="119"/>
      <c r="BJ672" s="119"/>
      <c r="BK672" s="119"/>
      <c r="BL672" s="119"/>
      <c r="BM672" s="119"/>
      <c r="BN672" s="119"/>
      <c r="BO672" s="119"/>
      <c r="BP672" s="119"/>
      <c r="BQ672" s="119"/>
      <c r="BR672" s="119"/>
      <c r="BS672" s="119"/>
      <c r="BT672" s="119"/>
      <c r="BU672" s="119"/>
      <c r="BV672" s="119"/>
      <c r="BW672" s="119"/>
      <c r="BX672" s="119"/>
      <c r="BY672" s="119"/>
      <c r="BZ672" s="119"/>
      <c r="CA672" s="119"/>
      <c r="CB672" s="119"/>
      <c r="CC672" s="119"/>
      <c r="CD672" s="119"/>
      <c r="CE672" s="119"/>
      <c r="CF672" s="119"/>
      <c r="CG672" s="119"/>
      <c r="CH672" s="119"/>
      <c r="CI672" s="119"/>
      <c r="CJ672" s="119"/>
      <c r="CK672" s="119"/>
      <c r="CL672" s="119"/>
      <c r="CM672" s="119"/>
      <c r="CN672" s="119"/>
      <c r="CO672" s="119"/>
      <c r="CP672" s="119"/>
      <c r="CQ672" s="119"/>
      <c r="CR672" s="119"/>
      <c r="CS672" s="119"/>
      <c r="CT672" s="119"/>
      <c r="CU672" s="119"/>
      <c r="CV672" s="119"/>
      <c r="CW672" s="119"/>
      <c r="CX672" s="119"/>
      <c r="CY672" s="119"/>
      <c r="CZ672" s="119"/>
      <c r="DA672" s="119"/>
      <c r="DB672" s="119"/>
      <c r="DC672" s="119"/>
      <c r="DD672" s="119"/>
      <c r="DE672" s="119"/>
      <c r="DF672" s="119"/>
      <c r="DG672" s="119"/>
      <c r="DH672" s="119"/>
      <c r="DI672" s="119"/>
      <c r="DJ672" s="119"/>
      <c r="DK672" s="119"/>
      <c r="DL672" s="119"/>
      <c r="DM672" s="119"/>
      <c r="DN672" s="119"/>
      <c r="DO672" s="119"/>
      <c r="DP672" s="119"/>
      <c r="DQ672" s="119"/>
      <c r="DR672" s="119"/>
      <c r="DS672" s="119"/>
      <c r="DT672" s="119"/>
      <c r="DU672" s="119"/>
      <c r="DV672" s="119"/>
      <c r="DW672" s="119"/>
      <c r="DX672" s="119"/>
      <c r="DY672" s="119"/>
      <c r="DZ672" s="119"/>
      <c r="EA672" s="119"/>
      <c r="EB672" s="119"/>
      <c r="EC672" s="119"/>
      <c r="ED672" s="119"/>
      <c r="EE672" s="119"/>
      <c r="EF672" s="119"/>
      <c r="EG672" s="119"/>
      <c r="EH672" s="119"/>
      <c r="EI672" s="119"/>
      <c r="EJ672" s="119"/>
      <c r="EK672" s="119"/>
      <c r="EL672" s="119"/>
      <c r="EM672" s="119"/>
      <c r="EN672" s="119"/>
      <c r="EO672" s="119"/>
      <c r="EP672" s="119"/>
      <c r="EQ672" s="119"/>
      <c r="ER672" s="119"/>
      <c r="ES672" s="119"/>
      <c r="ET672" s="119"/>
      <c r="EU672" s="119"/>
      <c r="EV672" s="119"/>
      <c r="EW672" s="119"/>
      <c r="EX672" s="119"/>
      <c r="EY672" s="119"/>
      <c r="EZ672" s="119"/>
      <c r="FA672" s="119"/>
      <c r="FB672" s="119"/>
      <c r="FC672" s="119"/>
      <c r="FD672" s="119"/>
      <c r="FE672" s="119"/>
      <c r="FF672" s="119"/>
      <c r="FG672" s="119"/>
      <c r="FH672" s="119"/>
      <c r="FI672" s="119"/>
      <c r="FJ672" s="119"/>
      <c r="FK672" s="119"/>
      <c r="FL672" s="119"/>
      <c r="FM672" s="119"/>
      <c r="FN672" s="119"/>
      <c r="FO672" s="119"/>
      <c r="FP672" s="119"/>
      <c r="FQ672" s="119"/>
      <c r="FR672" s="119"/>
    </row>
    <row x14ac:dyDescent="0.25" r="673" customHeight="1" ht="15">
      <c r="A673" s="121"/>
      <c r="B673" s="121"/>
      <c r="C673" s="122"/>
      <c r="D673" s="122"/>
      <c r="E673" s="123"/>
      <c r="F673" s="123"/>
      <c r="G673" s="124"/>
      <c r="H673" s="125"/>
      <c r="I673" s="126"/>
      <c r="J673" s="127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19"/>
      <c r="BA673" s="119"/>
      <c r="BB673" s="119"/>
      <c r="BC673" s="119"/>
      <c r="BD673" s="119"/>
      <c r="BE673" s="119"/>
      <c r="BF673" s="119"/>
      <c r="BG673" s="119"/>
      <c r="BH673" s="119"/>
      <c r="BI673" s="119"/>
      <c r="BJ673" s="119"/>
      <c r="BK673" s="119"/>
      <c r="BL673" s="119"/>
      <c r="BM673" s="119"/>
      <c r="BN673" s="119"/>
      <c r="BO673" s="119"/>
      <c r="BP673" s="119"/>
      <c r="BQ673" s="119"/>
      <c r="BR673" s="119"/>
      <c r="BS673" s="119"/>
      <c r="BT673" s="119"/>
      <c r="BU673" s="119"/>
      <c r="BV673" s="119"/>
      <c r="BW673" s="119"/>
      <c r="BX673" s="119"/>
      <c r="BY673" s="119"/>
      <c r="BZ673" s="119"/>
      <c r="CA673" s="119"/>
      <c r="CB673" s="119"/>
      <c r="CC673" s="119"/>
      <c r="CD673" s="119"/>
      <c r="CE673" s="119"/>
      <c r="CF673" s="119"/>
      <c r="CG673" s="119"/>
      <c r="CH673" s="119"/>
      <c r="CI673" s="119"/>
      <c r="CJ673" s="119"/>
      <c r="CK673" s="119"/>
      <c r="CL673" s="119"/>
      <c r="CM673" s="119"/>
      <c r="CN673" s="119"/>
      <c r="CO673" s="119"/>
      <c r="CP673" s="119"/>
      <c r="CQ673" s="119"/>
      <c r="CR673" s="119"/>
      <c r="CS673" s="119"/>
      <c r="CT673" s="119"/>
      <c r="CU673" s="119"/>
      <c r="CV673" s="119"/>
      <c r="CW673" s="119"/>
      <c r="CX673" s="119"/>
      <c r="CY673" s="119"/>
      <c r="CZ673" s="119"/>
      <c r="DA673" s="119"/>
      <c r="DB673" s="119"/>
      <c r="DC673" s="119"/>
      <c r="DD673" s="119"/>
      <c r="DE673" s="119"/>
      <c r="DF673" s="119"/>
      <c r="DG673" s="119"/>
      <c r="DH673" s="119"/>
      <c r="DI673" s="119"/>
      <c r="DJ673" s="119"/>
      <c r="DK673" s="119"/>
      <c r="DL673" s="119"/>
      <c r="DM673" s="119"/>
      <c r="DN673" s="119"/>
      <c r="DO673" s="119"/>
      <c r="DP673" s="119"/>
      <c r="DQ673" s="119"/>
      <c r="DR673" s="119"/>
      <c r="DS673" s="119"/>
      <c r="DT673" s="119"/>
      <c r="DU673" s="119"/>
      <c r="DV673" s="119"/>
      <c r="DW673" s="119"/>
      <c r="DX673" s="119"/>
      <c r="DY673" s="119"/>
      <c r="DZ673" s="119"/>
      <c r="EA673" s="119"/>
      <c r="EB673" s="119"/>
      <c r="EC673" s="119"/>
      <c r="ED673" s="119"/>
      <c r="EE673" s="119"/>
      <c r="EF673" s="119"/>
      <c r="EG673" s="119"/>
      <c r="EH673" s="119"/>
      <c r="EI673" s="119"/>
      <c r="EJ673" s="119"/>
      <c r="EK673" s="119"/>
      <c r="EL673" s="119"/>
      <c r="EM673" s="119"/>
      <c r="EN673" s="119"/>
      <c r="EO673" s="119"/>
      <c r="EP673" s="119"/>
      <c r="EQ673" s="119"/>
      <c r="ER673" s="119"/>
      <c r="ES673" s="119"/>
      <c r="ET673" s="119"/>
      <c r="EU673" s="119"/>
      <c r="EV673" s="119"/>
      <c r="EW673" s="119"/>
      <c r="EX673" s="119"/>
      <c r="EY673" s="119"/>
      <c r="EZ673" s="119"/>
      <c r="FA673" s="119"/>
      <c r="FB673" s="119"/>
      <c r="FC673" s="119"/>
      <c r="FD673" s="119"/>
      <c r="FE673" s="119"/>
      <c r="FF673" s="119"/>
      <c r="FG673" s="119"/>
      <c r="FH673" s="119"/>
      <c r="FI673" s="119"/>
      <c r="FJ673" s="119"/>
      <c r="FK673" s="119"/>
      <c r="FL673" s="119"/>
      <c r="FM673" s="119"/>
      <c r="FN673" s="119"/>
      <c r="FO673" s="119"/>
      <c r="FP673" s="119"/>
      <c r="FQ673" s="119"/>
      <c r="FR673" s="119"/>
    </row>
    <row x14ac:dyDescent="0.25" r="674" customHeight="1" ht="15">
      <c r="A674" s="121"/>
      <c r="B674" s="121"/>
      <c r="C674" s="122"/>
      <c r="D674" s="122"/>
      <c r="E674" s="123"/>
      <c r="F674" s="123"/>
      <c r="G674" s="124"/>
      <c r="H674" s="125"/>
      <c r="I674" s="126"/>
      <c r="J674" s="127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19"/>
      <c r="BA674" s="119"/>
      <c r="BB674" s="119"/>
      <c r="BC674" s="119"/>
      <c r="BD674" s="119"/>
      <c r="BE674" s="119"/>
      <c r="BF674" s="119"/>
      <c r="BG674" s="119"/>
      <c r="BH674" s="119"/>
      <c r="BI674" s="119"/>
      <c r="BJ674" s="119"/>
      <c r="BK674" s="119"/>
      <c r="BL674" s="119"/>
      <c r="BM674" s="119"/>
      <c r="BN674" s="119"/>
      <c r="BO674" s="119"/>
      <c r="BP674" s="119"/>
      <c r="BQ674" s="119"/>
      <c r="BR674" s="119"/>
      <c r="BS674" s="119"/>
      <c r="BT674" s="119"/>
      <c r="BU674" s="119"/>
      <c r="BV674" s="119"/>
      <c r="BW674" s="119"/>
      <c r="BX674" s="119"/>
      <c r="BY674" s="119"/>
      <c r="BZ674" s="119"/>
      <c r="CA674" s="119"/>
      <c r="CB674" s="119"/>
      <c r="CC674" s="119"/>
      <c r="CD674" s="119"/>
      <c r="CE674" s="119"/>
      <c r="CF674" s="119"/>
      <c r="CG674" s="119"/>
      <c r="CH674" s="119"/>
      <c r="CI674" s="119"/>
      <c r="CJ674" s="119"/>
      <c r="CK674" s="119"/>
      <c r="CL674" s="119"/>
      <c r="CM674" s="119"/>
      <c r="CN674" s="119"/>
      <c r="CO674" s="119"/>
      <c r="CP674" s="119"/>
      <c r="CQ674" s="119"/>
      <c r="CR674" s="119"/>
      <c r="CS674" s="119"/>
      <c r="CT674" s="119"/>
      <c r="CU674" s="119"/>
      <c r="CV674" s="119"/>
      <c r="CW674" s="119"/>
      <c r="CX674" s="119"/>
      <c r="CY674" s="119"/>
      <c r="CZ674" s="119"/>
      <c r="DA674" s="119"/>
      <c r="DB674" s="119"/>
      <c r="DC674" s="119"/>
      <c r="DD674" s="119"/>
      <c r="DE674" s="119"/>
      <c r="DF674" s="119"/>
      <c r="DG674" s="119"/>
      <c r="DH674" s="119"/>
      <c r="DI674" s="119"/>
      <c r="DJ674" s="119"/>
      <c r="DK674" s="119"/>
      <c r="DL674" s="119"/>
      <c r="DM674" s="119"/>
      <c r="DN674" s="119"/>
      <c r="DO674" s="119"/>
      <c r="DP674" s="119"/>
      <c r="DQ674" s="119"/>
      <c r="DR674" s="119"/>
      <c r="DS674" s="119"/>
      <c r="DT674" s="119"/>
      <c r="DU674" s="119"/>
      <c r="DV674" s="119"/>
      <c r="DW674" s="119"/>
      <c r="DX674" s="119"/>
      <c r="DY674" s="119"/>
      <c r="DZ674" s="119"/>
      <c r="EA674" s="119"/>
      <c r="EB674" s="119"/>
      <c r="EC674" s="119"/>
      <c r="ED674" s="119"/>
      <c r="EE674" s="119"/>
      <c r="EF674" s="119"/>
      <c r="EG674" s="119"/>
      <c r="EH674" s="119"/>
      <c r="EI674" s="119"/>
      <c r="EJ674" s="119"/>
      <c r="EK674" s="119"/>
      <c r="EL674" s="119"/>
      <c r="EM674" s="119"/>
      <c r="EN674" s="119"/>
      <c r="EO674" s="119"/>
      <c r="EP674" s="119"/>
      <c r="EQ674" s="119"/>
      <c r="ER674" s="119"/>
      <c r="ES674" s="119"/>
      <c r="ET674" s="119"/>
      <c r="EU674" s="119"/>
      <c r="EV674" s="119"/>
      <c r="EW674" s="119"/>
      <c r="EX674" s="119"/>
      <c r="EY674" s="119"/>
      <c r="EZ674" s="119"/>
      <c r="FA674" s="119"/>
      <c r="FB674" s="119"/>
      <c r="FC674" s="119"/>
      <c r="FD674" s="119"/>
      <c r="FE674" s="119"/>
      <c r="FF674" s="119"/>
      <c r="FG674" s="119"/>
      <c r="FH674" s="119"/>
      <c r="FI674" s="119"/>
      <c r="FJ674" s="119"/>
      <c r="FK674" s="119"/>
      <c r="FL674" s="119"/>
      <c r="FM674" s="119"/>
      <c r="FN674" s="119"/>
      <c r="FO674" s="119"/>
      <c r="FP674" s="119"/>
      <c r="FQ674" s="119"/>
      <c r="FR674" s="119"/>
    </row>
    <row x14ac:dyDescent="0.25" r="675" customHeight="1" ht="15">
      <c r="A675" s="121"/>
      <c r="B675" s="121"/>
      <c r="C675" s="122"/>
      <c r="D675" s="122"/>
      <c r="E675" s="123"/>
      <c r="F675" s="123"/>
      <c r="G675" s="124"/>
      <c r="H675" s="125"/>
      <c r="I675" s="126"/>
      <c r="J675" s="127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19"/>
      <c r="BA675" s="119"/>
      <c r="BB675" s="119"/>
      <c r="BC675" s="119"/>
      <c r="BD675" s="119"/>
      <c r="BE675" s="119"/>
      <c r="BF675" s="119"/>
      <c r="BG675" s="119"/>
      <c r="BH675" s="119"/>
      <c r="BI675" s="119"/>
      <c r="BJ675" s="119"/>
      <c r="BK675" s="119"/>
      <c r="BL675" s="119"/>
      <c r="BM675" s="119"/>
      <c r="BN675" s="119"/>
      <c r="BO675" s="119"/>
      <c r="BP675" s="119"/>
      <c r="BQ675" s="119"/>
      <c r="BR675" s="119"/>
      <c r="BS675" s="119"/>
      <c r="BT675" s="119"/>
      <c r="BU675" s="119"/>
      <c r="BV675" s="119"/>
      <c r="BW675" s="119"/>
      <c r="BX675" s="119"/>
      <c r="BY675" s="119"/>
      <c r="BZ675" s="119"/>
      <c r="CA675" s="119"/>
      <c r="CB675" s="119"/>
      <c r="CC675" s="119"/>
      <c r="CD675" s="119"/>
      <c r="CE675" s="119"/>
      <c r="CF675" s="119"/>
      <c r="CG675" s="119"/>
      <c r="CH675" s="119"/>
      <c r="CI675" s="119"/>
      <c r="CJ675" s="119"/>
      <c r="CK675" s="119"/>
      <c r="CL675" s="119"/>
      <c r="CM675" s="119"/>
      <c r="CN675" s="119"/>
      <c r="CO675" s="119"/>
      <c r="CP675" s="119"/>
      <c r="CQ675" s="119"/>
      <c r="CR675" s="119"/>
      <c r="CS675" s="119"/>
      <c r="CT675" s="119"/>
      <c r="CU675" s="119"/>
      <c r="CV675" s="119"/>
      <c r="CW675" s="119"/>
      <c r="CX675" s="119"/>
      <c r="CY675" s="119"/>
      <c r="CZ675" s="119"/>
      <c r="DA675" s="119"/>
      <c r="DB675" s="119"/>
      <c r="DC675" s="119"/>
      <c r="DD675" s="119"/>
      <c r="DE675" s="119"/>
      <c r="DF675" s="119"/>
      <c r="DG675" s="119"/>
      <c r="DH675" s="119"/>
      <c r="DI675" s="119"/>
      <c r="DJ675" s="119"/>
      <c r="DK675" s="119"/>
      <c r="DL675" s="119"/>
      <c r="DM675" s="119"/>
      <c r="DN675" s="119"/>
      <c r="DO675" s="119"/>
      <c r="DP675" s="119"/>
      <c r="DQ675" s="119"/>
      <c r="DR675" s="119"/>
      <c r="DS675" s="119"/>
      <c r="DT675" s="119"/>
      <c r="DU675" s="119"/>
      <c r="DV675" s="119"/>
      <c r="DW675" s="119"/>
      <c r="DX675" s="119"/>
      <c r="DY675" s="119"/>
      <c r="DZ675" s="119"/>
      <c r="EA675" s="119"/>
      <c r="EB675" s="119"/>
      <c r="EC675" s="119"/>
      <c r="ED675" s="119"/>
      <c r="EE675" s="119"/>
      <c r="EF675" s="119"/>
      <c r="EG675" s="119"/>
      <c r="EH675" s="119"/>
      <c r="EI675" s="119"/>
      <c r="EJ675" s="119"/>
      <c r="EK675" s="119"/>
      <c r="EL675" s="119"/>
      <c r="EM675" s="119"/>
      <c r="EN675" s="119"/>
      <c r="EO675" s="119"/>
      <c r="EP675" s="119"/>
      <c r="EQ675" s="119"/>
      <c r="ER675" s="119"/>
      <c r="ES675" s="119"/>
      <c r="ET675" s="119"/>
      <c r="EU675" s="119"/>
      <c r="EV675" s="119"/>
      <c r="EW675" s="119"/>
      <c r="EX675" s="119"/>
      <c r="EY675" s="119"/>
      <c r="EZ675" s="119"/>
      <c r="FA675" s="119"/>
      <c r="FB675" s="119"/>
      <c r="FC675" s="119"/>
      <c r="FD675" s="119"/>
      <c r="FE675" s="119"/>
      <c r="FF675" s="119"/>
      <c r="FG675" s="119"/>
      <c r="FH675" s="119"/>
      <c r="FI675" s="119"/>
      <c r="FJ675" s="119"/>
      <c r="FK675" s="119"/>
      <c r="FL675" s="119"/>
      <c r="FM675" s="119"/>
      <c r="FN675" s="119"/>
      <c r="FO675" s="119"/>
      <c r="FP675" s="119"/>
      <c r="FQ675" s="119"/>
      <c r="FR675" s="119"/>
    </row>
    <row x14ac:dyDescent="0.25" r="676" customHeight="1" ht="15">
      <c r="A676" s="121"/>
      <c r="B676" s="121"/>
      <c r="C676" s="122"/>
      <c r="D676" s="122"/>
      <c r="E676" s="123"/>
      <c r="F676" s="123"/>
      <c r="G676" s="124"/>
      <c r="H676" s="125"/>
      <c r="I676" s="126"/>
      <c r="J676" s="127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19"/>
      <c r="BA676" s="119"/>
      <c r="BB676" s="119"/>
      <c r="BC676" s="119"/>
      <c r="BD676" s="119"/>
      <c r="BE676" s="119"/>
      <c r="BF676" s="119"/>
      <c r="BG676" s="119"/>
      <c r="BH676" s="119"/>
      <c r="BI676" s="119"/>
      <c r="BJ676" s="119"/>
      <c r="BK676" s="119"/>
      <c r="BL676" s="119"/>
      <c r="BM676" s="119"/>
      <c r="BN676" s="119"/>
      <c r="BO676" s="119"/>
      <c r="BP676" s="119"/>
      <c r="BQ676" s="119"/>
      <c r="BR676" s="119"/>
      <c r="BS676" s="119"/>
      <c r="BT676" s="119"/>
      <c r="BU676" s="119"/>
      <c r="BV676" s="119"/>
      <c r="BW676" s="119"/>
      <c r="BX676" s="119"/>
      <c r="BY676" s="119"/>
      <c r="BZ676" s="119"/>
      <c r="CA676" s="119"/>
      <c r="CB676" s="119"/>
      <c r="CC676" s="119"/>
      <c r="CD676" s="119"/>
      <c r="CE676" s="119"/>
      <c r="CF676" s="119"/>
      <c r="CG676" s="119"/>
      <c r="CH676" s="119"/>
      <c r="CI676" s="119"/>
      <c r="CJ676" s="119"/>
      <c r="CK676" s="119"/>
      <c r="CL676" s="119"/>
      <c r="CM676" s="119"/>
      <c r="CN676" s="119"/>
      <c r="CO676" s="119"/>
      <c r="CP676" s="119"/>
      <c r="CQ676" s="119"/>
      <c r="CR676" s="119"/>
      <c r="CS676" s="119"/>
      <c r="CT676" s="119"/>
      <c r="CU676" s="119"/>
      <c r="CV676" s="119"/>
      <c r="CW676" s="119"/>
      <c r="CX676" s="119"/>
      <c r="CY676" s="119"/>
      <c r="CZ676" s="119"/>
      <c r="DA676" s="119"/>
      <c r="DB676" s="119"/>
      <c r="DC676" s="119"/>
      <c r="DD676" s="119"/>
      <c r="DE676" s="119"/>
      <c r="DF676" s="119"/>
      <c r="DG676" s="119"/>
      <c r="DH676" s="119"/>
      <c r="DI676" s="119"/>
      <c r="DJ676" s="119"/>
      <c r="DK676" s="119"/>
      <c r="DL676" s="119"/>
      <c r="DM676" s="119"/>
      <c r="DN676" s="119"/>
      <c r="DO676" s="119"/>
      <c r="DP676" s="119"/>
      <c r="DQ676" s="119"/>
      <c r="DR676" s="119"/>
      <c r="DS676" s="119"/>
      <c r="DT676" s="119"/>
      <c r="DU676" s="119"/>
      <c r="DV676" s="119"/>
      <c r="DW676" s="119"/>
      <c r="DX676" s="119"/>
      <c r="DY676" s="119"/>
      <c r="DZ676" s="119"/>
      <c r="EA676" s="119"/>
      <c r="EB676" s="119"/>
      <c r="EC676" s="119"/>
      <c r="ED676" s="119"/>
      <c r="EE676" s="119"/>
      <c r="EF676" s="119"/>
      <c r="EG676" s="119"/>
      <c r="EH676" s="119"/>
      <c r="EI676" s="119"/>
      <c r="EJ676" s="119"/>
      <c r="EK676" s="119"/>
      <c r="EL676" s="119"/>
      <c r="EM676" s="119"/>
      <c r="EN676" s="119"/>
      <c r="EO676" s="119"/>
      <c r="EP676" s="119"/>
      <c r="EQ676" s="119"/>
      <c r="ER676" s="119"/>
      <c r="ES676" s="119"/>
      <c r="ET676" s="119"/>
      <c r="EU676" s="119"/>
      <c r="EV676" s="119"/>
      <c r="EW676" s="119"/>
      <c r="EX676" s="119"/>
      <c r="EY676" s="119"/>
      <c r="EZ676" s="119"/>
      <c r="FA676" s="119"/>
      <c r="FB676" s="119"/>
      <c r="FC676" s="119"/>
      <c r="FD676" s="119"/>
      <c r="FE676" s="119"/>
      <c r="FF676" s="119"/>
      <c r="FG676" s="119"/>
      <c r="FH676" s="119"/>
      <c r="FI676" s="119"/>
      <c r="FJ676" s="119"/>
      <c r="FK676" s="119"/>
      <c r="FL676" s="119"/>
      <c r="FM676" s="119"/>
      <c r="FN676" s="119"/>
      <c r="FO676" s="119"/>
      <c r="FP676" s="119"/>
      <c r="FQ676" s="119"/>
      <c r="FR676" s="119"/>
    </row>
    <row x14ac:dyDescent="0.25" r="677" customHeight="1" ht="15">
      <c r="A677" s="121"/>
      <c r="B677" s="121"/>
      <c r="C677" s="122"/>
      <c r="D677" s="122"/>
      <c r="E677" s="123"/>
      <c r="F677" s="123"/>
      <c r="G677" s="124"/>
      <c r="H677" s="125"/>
      <c r="I677" s="126"/>
      <c r="J677" s="127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19"/>
      <c r="BA677" s="119"/>
      <c r="BB677" s="119"/>
      <c r="BC677" s="119"/>
      <c r="BD677" s="119"/>
      <c r="BE677" s="119"/>
      <c r="BF677" s="119"/>
      <c r="BG677" s="119"/>
      <c r="BH677" s="119"/>
      <c r="BI677" s="119"/>
      <c r="BJ677" s="119"/>
      <c r="BK677" s="119"/>
      <c r="BL677" s="119"/>
      <c r="BM677" s="119"/>
      <c r="BN677" s="119"/>
      <c r="BO677" s="119"/>
      <c r="BP677" s="119"/>
      <c r="BQ677" s="119"/>
      <c r="BR677" s="119"/>
      <c r="BS677" s="119"/>
      <c r="BT677" s="119"/>
      <c r="BU677" s="119"/>
      <c r="BV677" s="119"/>
      <c r="BW677" s="119"/>
      <c r="BX677" s="119"/>
      <c r="BY677" s="119"/>
      <c r="BZ677" s="119"/>
      <c r="CA677" s="119"/>
      <c r="CB677" s="119"/>
      <c r="CC677" s="119"/>
      <c r="CD677" s="119"/>
      <c r="CE677" s="119"/>
      <c r="CF677" s="119"/>
      <c r="CG677" s="119"/>
      <c r="CH677" s="119"/>
      <c r="CI677" s="119"/>
      <c r="CJ677" s="119"/>
      <c r="CK677" s="119"/>
      <c r="CL677" s="119"/>
      <c r="CM677" s="119"/>
      <c r="CN677" s="119"/>
      <c r="CO677" s="119"/>
      <c r="CP677" s="119"/>
      <c r="CQ677" s="119"/>
      <c r="CR677" s="119"/>
      <c r="CS677" s="119"/>
      <c r="CT677" s="119"/>
      <c r="CU677" s="119"/>
      <c r="CV677" s="119"/>
      <c r="CW677" s="119"/>
      <c r="CX677" s="119"/>
      <c r="CY677" s="119"/>
      <c r="CZ677" s="119"/>
      <c r="DA677" s="119"/>
      <c r="DB677" s="119"/>
      <c r="DC677" s="119"/>
      <c r="DD677" s="119"/>
      <c r="DE677" s="119"/>
      <c r="DF677" s="119"/>
      <c r="DG677" s="119"/>
      <c r="DH677" s="119"/>
      <c r="DI677" s="119"/>
      <c r="DJ677" s="119"/>
      <c r="DK677" s="119"/>
      <c r="DL677" s="119"/>
      <c r="DM677" s="119"/>
      <c r="DN677" s="119"/>
      <c r="DO677" s="119"/>
      <c r="DP677" s="119"/>
      <c r="DQ677" s="119"/>
      <c r="DR677" s="119"/>
      <c r="DS677" s="119"/>
      <c r="DT677" s="119"/>
      <c r="DU677" s="119"/>
      <c r="DV677" s="119"/>
      <c r="DW677" s="119"/>
      <c r="DX677" s="119"/>
      <c r="DY677" s="119"/>
      <c r="DZ677" s="119"/>
      <c r="EA677" s="119"/>
      <c r="EB677" s="119"/>
      <c r="EC677" s="119"/>
      <c r="ED677" s="119"/>
      <c r="EE677" s="119"/>
      <c r="EF677" s="119"/>
      <c r="EG677" s="119"/>
      <c r="EH677" s="119"/>
      <c r="EI677" s="119"/>
      <c r="EJ677" s="119"/>
      <c r="EK677" s="119"/>
      <c r="EL677" s="119"/>
      <c r="EM677" s="119"/>
      <c r="EN677" s="119"/>
      <c r="EO677" s="119"/>
      <c r="EP677" s="119"/>
      <c r="EQ677" s="119"/>
      <c r="ER677" s="119"/>
      <c r="ES677" s="119"/>
      <c r="ET677" s="119"/>
      <c r="EU677" s="119"/>
      <c r="EV677" s="119"/>
      <c r="EW677" s="119"/>
      <c r="EX677" s="119"/>
      <c r="EY677" s="119"/>
      <c r="EZ677" s="119"/>
      <c r="FA677" s="119"/>
      <c r="FB677" s="119"/>
      <c r="FC677" s="119"/>
      <c r="FD677" s="119"/>
      <c r="FE677" s="119"/>
      <c r="FF677" s="119"/>
      <c r="FG677" s="119"/>
      <c r="FH677" s="119"/>
      <c r="FI677" s="119"/>
      <c r="FJ677" s="119"/>
      <c r="FK677" s="119"/>
      <c r="FL677" s="119"/>
      <c r="FM677" s="119"/>
      <c r="FN677" s="119"/>
      <c r="FO677" s="119"/>
      <c r="FP677" s="119"/>
      <c r="FQ677" s="119"/>
      <c r="FR677" s="119"/>
    </row>
    <row x14ac:dyDescent="0.25" r="678" customHeight="1" ht="15">
      <c r="A678" s="121"/>
      <c r="B678" s="121"/>
      <c r="C678" s="122"/>
      <c r="D678" s="122"/>
      <c r="E678" s="123"/>
      <c r="F678" s="123"/>
      <c r="G678" s="124"/>
      <c r="H678" s="125"/>
      <c r="I678" s="126"/>
      <c r="J678" s="127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19"/>
      <c r="BA678" s="119"/>
      <c r="BB678" s="119"/>
      <c r="BC678" s="119"/>
      <c r="BD678" s="119"/>
      <c r="BE678" s="119"/>
      <c r="BF678" s="119"/>
      <c r="BG678" s="119"/>
      <c r="BH678" s="119"/>
      <c r="BI678" s="119"/>
      <c r="BJ678" s="119"/>
      <c r="BK678" s="119"/>
      <c r="BL678" s="119"/>
      <c r="BM678" s="119"/>
      <c r="BN678" s="119"/>
      <c r="BO678" s="119"/>
      <c r="BP678" s="119"/>
      <c r="BQ678" s="119"/>
      <c r="BR678" s="119"/>
      <c r="BS678" s="119"/>
      <c r="BT678" s="119"/>
      <c r="BU678" s="119"/>
      <c r="BV678" s="119"/>
      <c r="BW678" s="119"/>
      <c r="BX678" s="119"/>
      <c r="BY678" s="119"/>
      <c r="BZ678" s="119"/>
      <c r="CA678" s="119"/>
      <c r="CB678" s="119"/>
      <c r="CC678" s="119"/>
      <c r="CD678" s="119"/>
      <c r="CE678" s="119"/>
      <c r="CF678" s="119"/>
      <c r="CG678" s="119"/>
      <c r="CH678" s="119"/>
      <c r="CI678" s="119"/>
      <c r="CJ678" s="119"/>
      <c r="CK678" s="119"/>
      <c r="CL678" s="119"/>
      <c r="CM678" s="119"/>
      <c r="CN678" s="119"/>
      <c r="CO678" s="119"/>
      <c r="CP678" s="119"/>
      <c r="CQ678" s="119"/>
      <c r="CR678" s="119"/>
      <c r="CS678" s="119"/>
      <c r="CT678" s="119"/>
      <c r="CU678" s="119"/>
      <c r="CV678" s="119"/>
      <c r="CW678" s="119"/>
      <c r="CX678" s="119"/>
      <c r="CY678" s="119"/>
      <c r="CZ678" s="119"/>
      <c r="DA678" s="119"/>
      <c r="DB678" s="119"/>
      <c r="DC678" s="119"/>
      <c r="DD678" s="119"/>
      <c r="DE678" s="119"/>
      <c r="DF678" s="119"/>
      <c r="DG678" s="119"/>
      <c r="DH678" s="119"/>
      <c r="DI678" s="119"/>
      <c r="DJ678" s="119"/>
      <c r="DK678" s="119"/>
      <c r="DL678" s="119"/>
      <c r="DM678" s="119"/>
      <c r="DN678" s="119"/>
      <c r="DO678" s="119"/>
      <c r="DP678" s="119"/>
      <c r="DQ678" s="119"/>
      <c r="DR678" s="119"/>
      <c r="DS678" s="119"/>
      <c r="DT678" s="119"/>
      <c r="DU678" s="119"/>
      <c r="DV678" s="119"/>
      <c r="DW678" s="119"/>
      <c r="DX678" s="119"/>
      <c r="DY678" s="119"/>
      <c r="DZ678" s="119"/>
      <c r="EA678" s="119"/>
      <c r="EB678" s="119"/>
      <c r="EC678" s="119"/>
      <c r="ED678" s="119"/>
      <c r="EE678" s="119"/>
      <c r="EF678" s="119"/>
      <c r="EG678" s="119"/>
      <c r="EH678" s="119"/>
      <c r="EI678" s="119"/>
      <c r="EJ678" s="119"/>
      <c r="EK678" s="119"/>
      <c r="EL678" s="119"/>
      <c r="EM678" s="119"/>
      <c r="EN678" s="119"/>
      <c r="EO678" s="119"/>
      <c r="EP678" s="119"/>
      <c r="EQ678" s="119"/>
      <c r="ER678" s="119"/>
      <c r="ES678" s="119"/>
      <c r="ET678" s="119"/>
      <c r="EU678" s="119"/>
      <c r="EV678" s="119"/>
      <c r="EW678" s="119"/>
      <c r="EX678" s="119"/>
      <c r="EY678" s="119"/>
      <c r="EZ678" s="119"/>
      <c r="FA678" s="119"/>
      <c r="FB678" s="119"/>
      <c r="FC678" s="119"/>
      <c r="FD678" s="119"/>
      <c r="FE678" s="119"/>
      <c r="FF678" s="119"/>
      <c r="FG678" s="119"/>
      <c r="FH678" s="119"/>
      <c r="FI678" s="119"/>
      <c r="FJ678" s="119"/>
      <c r="FK678" s="119"/>
      <c r="FL678" s="119"/>
      <c r="FM678" s="119"/>
      <c r="FN678" s="119"/>
      <c r="FO678" s="119"/>
      <c r="FP678" s="119"/>
      <c r="FQ678" s="119"/>
      <c r="FR678" s="119"/>
    </row>
    <row x14ac:dyDescent="0.25" r="679" customHeight="1" ht="15">
      <c r="A679" s="121"/>
      <c r="B679" s="121"/>
      <c r="C679" s="122"/>
      <c r="D679" s="122"/>
      <c r="E679" s="123"/>
      <c r="F679" s="123"/>
      <c r="G679" s="124"/>
      <c r="H679" s="125"/>
      <c r="I679" s="126"/>
      <c r="J679" s="127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19"/>
      <c r="BA679" s="119"/>
      <c r="BB679" s="119"/>
      <c r="BC679" s="119"/>
      <c r="BD679" s="119"/>
      <c r="BE679" s="119"/>
      <c r="BF679" s="119"/>
      <c r="BG679" s="119"/>
      <c r="BH679" s="119"/>
      <c r="BI679" s="119"/>
      <c r="BJ679" s="119"/>
      <c r="BK679" s="119"/>
      <c r="BL679" s="119"/>
      <c r="BM679" s="119"/>
      <c r="BN679" s="119"/>
      <c r="BO679" s="119"/>
      <c r="BP679" s="119"/>
      <c r="BQ679" s="119"/>
      <c r="BR679" s="119"/>
      <c r="BS679" s="119"/>
      <c r="BT679" s="119"/>
      <c r="BU679" s="119"/>
      <c r="BV679" s="119"/>
      <c r="BW679" s="119"/>
      <c r="BX679" s="119"/>
      <c r="BY679" s="119"/>
      <c r="BZ679" s="119"/>
      <c r="CA679" s="119"/>
      <c r="CB679" s="119"/>
      <c r="CC679" s="119"/>
      <c r="CD679" s="119"/>
      <c r="CE679" s="119"/>
      <c r="CF679" s="119"/>
      <c r="CG679" s="119"/>
      <c r="CH679" s="119"/>
      <c r="CI679" s="119"/>
      <c r="CJ679" s="119"/>
      <c r="CK679" s="119"/>
      <c r="CL679" s="119"/>
      <c r="CM679" s="119"/>
      <c r="CN679" s="119"/>
      <c r="CO679" s="119"/>
      <c r="CP679" s="119"/>
      <c r="CQ679" s="119"/>
      <c r="CR679" s="119"/>
      <c r="CS679" s="119"/>
      <c r="CT679" s="119"/>
      <c r="CU679" s="119"/>
      <c r="CV679" s="119"/>
      <c r="CW679" s="119"/>
      <c r="CX679" s="119"/>
      <c r="CY679" s="119"/>
      <c r="CZ679" s="119"/>
      <c r="DA679" s="119"/>
      <c r="DB679" s="119"/>
      <c r="DC679" s="119"/>
      <c r="DD679" s="119"/>
      <c r="DE679" s="119"/>
      <c r="DF679" s="119"/>
      <c r="DG679" s="119"/>
      <c r="DH679" s="119"/>
      <c r="DI679" s="119"/>
      <c r="DJ679" s="119"/>
      <c r="DK679" s="119"/>
      <c r="DL679" s="119"/>
      <c r="DM679" s="119"/>
      <c r="DN679" s="119"/>
      <c r="DO679" s="119"/>
      <c r="DP679" s="119"/>
      <c r="DQ679" s="119"/>
      <c r="DR679" s="119"/>
      <c r="DS679" s="119"/>
      <c r="DT679" s="119"/>
      <c r="DU679" s="119"/>
      <c r="DV679" s="119"/>
      <c r="DW679" s="119"/>
      <c r="DX679" s="119"/>
      <c r="DY679" s="119"/>
      <c r="DZ679" s="119"/>
      <c r="EA679" s="119"/>
      <c r="EB679" s="119"/>
      <c r="EC679" s="119"/>
      <c r="ED679" s="119"/>
      <c r="EE679" s="119"/>
      <c r="EF679" s="119"/>
      <c r="EG679" s="119"/>
      <c r="EH679" s="119"/>
      <c r="EI679" s="119"/>
      <c r="EJ679" s="119"/>
      <c r="EK679" s="119"/>
      <c r="EL679" s="119"/>
      <c r="EM679" s="119"/>
      <c r="EN679" s="119"/>
      <c r="EO679" s="119"/>
      <c r="EP679" s="119"/>
      <c r="EQ679" s="119"/>
      <c r="ER679" s="119"/>
      <c r="ES679" s="119"/>
      <c r="ET679" s="119"/>
      <c r="EU679" s="119"/>
      <c r="EV679" s="119"/>
      <c r="EW679" s="119"/>
      <c r="EX679" s="119"/>
      <c r="EY679" s="119"/>
      <c r="EZ679" s="119"/>
      <c r="FA679" s="119"/>
      <c r="FB679" s="119"/>
      <c r="FC679" s="119"/>
      <c r="FD679" s="119"/>
      <c r="FE679" s="119"/>
      <c r="FF679" s="119"/>
      <c r="FG679" s="119"/>
      <c r="FH679" s="119"/>
      <c r="FI679" s="119"/>
      <c r="FJ679" s="119"/>
      <c r="FK679" s="119"/>
      <c r="FL679" s="119"/>
      <c r="FM679" s="119"/>
      <c r="FN679" s="119"/>
      <c r="FO679" s="119"/>
      <c r="FP679" s="119"/>
      <c r="FQ679" s="119"/>
      <c r="FR679" s="119"/>
    </row>
    <row x14ac:dyDescent="0.25" r="680" customHeight="1" ht="15">
      <c r="A680" s="121"/>
      <c r="B680" s="121"/>
      <c r="C680" s="122"/>
      <c r="D680" s="122"/>
      <c r="E680" s="123"/>
      <c r="F680" s="123"/>
      <c r="G680" s="124"/>
      <c r="H680" s="125"/>
      <c r="I680" s="126"/>
      <c r="J680" s="127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19"/>
      <c r="BA680" s="119"/>
      <c r="BB680" s="119"/>
      <c r="BC680" s="119"/>
      <c r="BD680" s="119"/>
      <c r="BE680" s="119"/>
      <c r="BF680" s="119"/>
      <c r="BG680" s="119"/>
      <c r="BH680" s="119"/>
      <c r="BI680" s="119"/>
      <c r="BJ680" s="119"/>
      <c r="BK680" s="119"/>
      <c r="BL680" s="119"/>
      <c r="BM680" s="119"/>
      <c r="BN680" s="119"/>
      <c r="BO680" s="119"/>
      <c r="BP680" s="119"/>
      <c r="BQ680" s="119"/>
      <c r="BR680" s="119"/>
      <c r="BS680" s="119"/>
      <c r="BT680" s="119"/>
      <c r="BU680" s="119"/>
      <c r="BV680" s="119"/>
      <c r="BW680" s="119"/>
      <c r="BX680" s="119"/>
      <c r="BY680" s="119"/>
      <c r="BZ680" s="119"/>
      <c r="CA680" s="119"/>
      <c r="CB680" s="119"/>
      <c r="CC680" s="119"/>
      <c r="CD680" s="119"/>
      <c r="CE680" s="119"/>
      <c r="CF680" s="119"/>
      <c r="CG680" s="119"/>
      <c r="CH680" s="119"/>
      <c r="CI680" s="119"/>
      <c r="CJ680" s="119"/>
      <c r="CK680" s="119"/>
      <c r="CL680" s="119"/>
      <c r="CM680" s="119"/>
      <c r="CN680" s="119"/>
      <c r="CO680" s="119"/>
      <c r="CP680" s="119"/>
      <c r="CQ680" s="119"/>
      <c r="CR680" s="119"/>
      <c r="CS680" s="119"/>
      <c r="CT680" s="119"/>
      <c r="CU680" s="119"/>
      <c r="CV680" s="119"/>
      <c r="CW680" s="119"/>
      <c r="CX680" s="119"/>
      <c r="CY680" s="119"/>
      <c r="CZ680" s="119"/>
      <c r="DA680" s="119"/>
      <c r="DB680" s="119"/>
      <c r="DC680" s="119"/>
      <c r="DD680" s="119"/>
      <c r="DE680" s="119"/>
      <c r="DF680" s="119"/>
      <c r="DG680" s="119"/>
      <c r="DH680" s="119"/>
      <c r="DI680" s="119"/>
      <c r="DJ680" s="119"/>
      <c r="DK680" s="119"/>
      <c r="DL680" s="119"/>
      <c r="DM680" s="119"/>
      <c r="DN680" s="119"/>
      <c r="DO680" s="119"/>
      <c r="DP680" s="119"/>
      <c r="DQ680" s="119"/>
      <c r="DR680" s="119"/>
      <c r="DS680" s="119"/>
      <c r="DT680" s="119"/>
      <c r="DU680" s="119"/>
      <c r="DV680" s="119"/>
      <c r="DW680" s="119"/>
      <c r="DX680" s="119"/>
      <c r="DY680" s="119"/>
      <c r="DZ680" s="119"/>
      <c r="EA680" s="119"/>
      <c r="EB680" s="119"/>
      <c r="EC680" s="119"/>
      <c r="ED680" s="119"/>
      <c r="EE680" s="119"/>
      <c r="EF680" s="119"/>
      <c r="EG680" s="119"/>
      <c r="EH680" s="119"/>
      <c r="EI680" s="119"/>
      <c r="EJ680" s="119"/>
      <c r="EK680" s="119"/>
      <c r="EL680" s="119"/>
      <c r="EM680" s="119"/>
      <c r="EN680" s="119"/>
      <c r="EO680" s="119"/>
      <c r="EP680" s="119"/>
      <c r="EQ680" s="119"/>
      <c r="ER680" s="119"/>
      <c r="ES680" s="119"/>
      <c r="ET680" s="119"/>
      <c r="EU680" s="119"/>
      <c r="EV680" s="119"/>
      <c r="EW680" s="119"/>
      <c r="EX680" s="119"/>
      <c r="EY680" s="119"/>
      <c r="EZ680" s="119"/>
      <c r="FA680" s="119"/>
      <c r="FB680" s="119"/>
      <c r="FC680" s="119"/>
      <c r="FD680" s="119"/>
      <c r="FE680" s="119"/>
      <c r="FF680" s="119"/>
      <c r="FG680" s="119"/>
      <c r="FH680" s="119"/>
      <c r="FI680" s="119"/>
      <c r="FJ680" s="119"/>
      <c r="FK680" s="119"/>
      <c r="FL680" s="119"/>
      <c r="FM680" s="119"/>
      <c r="FN680" s="119"/>
      <c r="FO680" s="119"/>
      <c r="FP680" s="119"/>
      <c r="FQ680" s="119"/>
      <c r="FR680" s="119"/>
    </row>
    <row x14ac:dyDescent="0.25" r="681" customHeight="1" ht="15">
      <c r="A681" s="121"/>
      <c r="B681" s="121"/>
      <c r="C681" s="122"/>
      <c r="D681" s="122"/>
      <c r="E681" s="123"/>
      <c r="F681" s="123"/>
      <c r="G681" s="124"/>
      <c r="H681" s="125"/>
      <c r="I681" s="126"/>
      <c r="J681" s="127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19"/>
      <c r="BA681" s="119"/>
      <c r="BB681" s="119"/>
      <c r="BC681" s="119"/>
      <c r="BD681" s="119"/>
      <c r="BE681" s="119"/>
      <c r="BF681" s="119"/>
      <c r="BG681" s="119"/>
      <c r="BH681" s="119"/>
      <c r="BI681" s="119"/>
      <c r="BJ681" s="119"/>
      <c r="BK681" s="119"/>
      <c r="BL681" s="119"/>
      <c r="BM681" s="119"/>
      <c r="BN681" s="119"/>
      <c r="BO681" s="119"/>
      <c r="BP681" s="119"/>
      <c r="BQ681" s="119"/>
      <c r="BR681" s="119"/>
      <c r="BS681" s="119"/>
      <c r="BT681" s="119"/>
      <c r="BU681" s="119"/>
      <c r="BV681" s="119"/>
      <c r="BW681" s="119"/>
      <c r="BX681" s="119"/>
      <c r="BY681" s="119"/>
      <c r="BZ681" s="119"/>
      <c r="CA681" s="119"/>
      <c r="CB681" s="119"/>
      <c r="CC681" s="119"/>
      <c r="CD681" s="119"/>
      <c r="CE681" s="119"/>
      <c r="CF681" s="119"/>
      <c r="CG681" s="119"/>
      <c r="CH681" s="119"/>
      <c r="CI681" s="119"/>
      <c r="CJ681" s="119"/>
      <c r="CK681" s="119"/>
      <c r="CL681" s="119"/>
      <c r="CM681" s="119"/>
      <c r="CN681" s="119"/>
      <c r="CO681" s="119"/>
      <c r="CP681" s="119"/>
      <c r="CQ681" s="119"/>
      <c r="CR681" s="119"/>
      <c r="CS681" s="119"/>
      <c r="CT681" s="119"/>
      <c r="CU681" s="119"/>
      <c r="CV681" s="119"/>
      <c r="CW681" s="119"/>
      <c r="CX681" s="119"/>
      <c r="CY681" s="119"/>
      <c r="CZ681" s="119"/>
      <c r="DA681" s="119"/>
      <c r="DB681" s="119"/>
      <c r="DC681" s="119"/>
      <c r="DD681" s="119"/>
      <c r="DE681" s="119"/>
      <c r="DF681" s="119"/>
      <c r="DG681" s="119"/>
      <c r="DH681" s="119"/>
      <c r="DI681" s="119"/>
      <c r="DJ681" s="119"/>
      <c r="DK681" s="119"/>
      <c r="DL681" s="119"/>
      <c r="DM681" s="119"/>
      <c r="DN681" s="119"/>
      <c r="DO681" s="119"/>
      <c r="DP681" s="119"/>
      <c r="DQ681" s="119"/>
      <c r="DR681" s="119"/>
      <c r="DS681" s="119"/>
      <c r="DT681" s="119"/>
      <c r="DU681" s="119"/>
      <c r="DV681" s="119"/>
      <c r="DW681" s="119"/>
      <c r="DX681" s="119"/>
      <c r="DY681" s="119"/>
      <c r="DZ681" s="119"/>
      <c r="EA681" s="119"/>
      <c r="EB681" s="119"/>
      <c r="EC681" s="119"/>
      <c r="ED681" s="119"/>
      <c r="EE681" s="119"/>
      <c r="EF681" s="119"/>
      <c r="EG681" s="119"/>
      <c r="EH681" s="119"/>
      <c r="EI681" s="119"/>
      <c r="EJ681" s="119"/>
      <c r="EK681" s="119"/>
      <c r="EL681" s="119"/>
      <c r="EM681" s="119"/>
      <c r="EN681" s="119"/>
      <c r="EO681" s="119"/>
      <c r="EP681" s="119"/>
      <c r="EQ681" s="119"/>
      <c r="ER681" s="119"/>
      <c r="ES681" s="119"/>
      <c r="ET681" s="119"/>
      <c r="EU681" s="119"/>
      <c r="EV681" s="119"/>
      <c r="EW681" s="119"/>
      <c r="EX681" s="119"/>
      <c r="EY681" s="119"/>
      <c r="EZ681" s="119"/>
      <c r="FA681" s="119"/>
      <c r="FB681" s="119"/>
      <c r="FC681" s="119"/>
      <c r="FD681" s="119"/>
      <c r="FE681" s="119"/>
      <c r="FF681" s="119"/>
      <c r="FG681" s="119"/>
      <c r="FH681" s="119"/>
      <c r="FI681" s="119"/>
      <c r="FJ681" s="119"/>
      <c r="FK681" s="119"/>
      <c r="FL681" s="119"/>
      <c r="FM681" s="119"/>
      <c r="FN681" s="119"/>
      <c r="FO681" s="119"/>
      <c r="FP681" s="119"/>
      <c r="FQ681" s="119"/>
      <c r="FR681" s="119"/>
    </row>
    <row x14ac:dyDescent="0.25" r="682" customHeight="1" ht="15">
      <c r="A682" s="121"/>
      <c r="B682" s="121"/>
      <c r="C682" s="122"/>
      <c r="D682" s="122"/>
      <c r="E682" s="123"/>
      <c r="F682" s="123"/>
      <c r="G682" s="124"/>
      <c r="H682" s="125"/>
      <c r="I682" s="126"/>
      <c r="J682" s="127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19"/>
      <c r="BA682" s="119"/>
      <c r="BB682" s="119"/>
      <c r="BC682" s="119"/>
      <c r="BD682" s="119"/>
      <c r="BE682" s="119"/>
      <c r="BF682" s="119"/>
      <c r="BG682" s="119"/>
      <c r="BH682" s="119"/>
      <c r="BI682" s="119"/>
      <c r="BJ682" s="119"/>
      <c r="BK682" s="119"/>
      <c r="BL682" s="119"/>
      <c r="BM682" s="119"/>
      <c r="BN682" s="119"/>
      <c r="BO682" s="119"/>
      <c r="BP682" s="119"/>
      <c r="BQ682" s="119"/>
      <c r="BR682" s="119"/>
      <c r="BS682" s="119"/>
      <c r="BT682" s="119"/>
      <c r="BU682" s="119"/>
      <c r="BV682" s="119"/>
      <c r="BW682" s="119"/>
      <c r="BX682" s="119"/>
      <c r="BY682" s="119"/>
      <c r="BZ682" s="119"/>
      <c r="CA682" s="119"/>
      <c r="CB682" s="119"/>
      <c r="CC682" s="119"/>
      <c r="CD682" s="119"/>
      <c r="CE682" s="119"/>
      <c r="CF682" s="119"/>
      <c r="CG682" s="119"/>
      <c r="CH682" s="119"/>
      <c r="CI682" s="119"/>
      <c r="CJ682" s="119"/>
      <c r="CK682" s="119"/>
      <c r="CL682" s="119"/>
      <c r="CM682" s="119"/>
      <c r="CN682" s="119"/>
      <c r="CO682" s="119"/>
      <c r="CP682" s="119"/>
      <c r="CQ682" s="119"/>
      <c r="CR682" s="119"/>
      <c r="CS682" s="119"/>
      <c r="CT682" s="119"/>
      <c r="CU682" s="119"/>
      <c r="CV682" s="119"/>
      <c r="CW682" s="119"/>
      <c r="CX682" s="119"/>
      <c r="CY682" s="119"/>
      <c r="CZ682" s="119"/>
      <c r="DA682" s="119"/>
      <c r="DB682" s="119"/>
      <c r="DC682" s="119"/>
      <c r="DD682" s="119"/>
      <c r="DE682" s="119"/>
      <c r="DF682" s="119"/>
      <c r="DG682" s="119"/>
      <c r="DH682" s="119"/>
      <c r="DI682" s="119"/>
      <c r="DJ682" s="119"/>
      <c r="DK682" s="119"/>
      <c r="DL682" s="119"/>
      <c r="DM682" s="119"/>
      <c r="DN682" s="119"/>
      <c r="DO682" s="119"/>
      <c r="DP682" s="119"/>
      <c r="DQ682" s="119"/>
      <c r="DR682" s="119"/>
      <c r="DS682" s="119"/>
      <c r="DT682" s="119"/>
      <c r="DU682" s="119"/>
      <c r="DV682" s="119"/>
      <c r="DW682" s="119"/>
      <c r="DX682" s="119"/>
      <c r="DY682" s="119"/>
      <c r="DZ682" s="119"/>
      <c r="EA682" s="119"/>
      <c r="EB682" s="119"/>
      <c r="EC682" s="119"/>
      <c r="ED682" s="119"/>
      <c r="EE682" s="119"/>
      <c r="EF682" s="119"/>
      <c r="EG682" s="119"/>
      <c r="EH682" s="119"/>
      <c r="EI682" s="119"/>
      <c r="EJ682" s="119"/>
      <c r="EK682" s="119"/>
      <c r="EL682" s="119"/>
      <c r="EM682" s="119"/>
      <c r="EN682" s="119"/>
      <c r="EO682" s="119"/>
      <c r="EP682" s="119"/>
      <c r="EQ682" s="119"/>
      <c r="ER682" s="119"/>
      <c r="ES682" s="119"/>
      <c r="ET682" s="119"/>
      <c r="EU682" s="119"/>
      <c r="EV682" s="119"/>
      <c r="EW682" s="119"/>
      <c r="EX682" s="119"/>
      <c r="EY682" s="119"/>
      <c r="EZ682" s="119"/>
      <c r="FA682" s="119"/>
      <c r="FB682" s="119"/>
      <c r="FC682" s="119"/>
      <c r="FD682" s="119"/>
      <c r="FE682" s="119"/>
      <c r="FF682" s="119"/>
      <c r="FG682" s="119"/>
      <c r="FH682" s="119"/>
      <c r="FI682" s="119"/>
      <c r="FJ682" s="119"/>
      <c r="FK682" s="119"/>
      <c r="FL682" s="119"/>
      <c r="FM682" s="119"/>
      <c r="FN682" s="119"/>
      <c r="FO682" s="119"/>
      <c r="FP682" s="119"/>
      <c r="FQ682" s="119"/>
      <c r="FR682" s="119"/>
    </row>
    <row x14ac:dyDescent="0.25" r="683" customHeight="1" ht="15">
      <c r="A683" s="121"/>
      <c r="B683" s="121"/>
      <c r="C683" s="122"/>
      <c r="D683" s="122"/>
      <c r="E683" s="123"/>
      <c r="F683" s="123"/>
      <c r="G683" s="124"/>
      <c r="H683" s="125"/>
      <c r="I683" s="126"/>
      <c r="J683" s="127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19"/>
      <c r="BA683" s="119"/>
      <c r="BB683" s="119"/>
      <c r="BC683" s="119"/>
      <c r="BD683" s="119"/>
      <c r="BE683" s="119"/>
      <c r="BF683" s="119"/>
      <c r="BG683" s="119"/>
      <c r="BH683" s="119"/>
      <c r="BI683" s="119"/>
      <c r="BJ683" s="119"/>
      <c r="BK683" s="119"/>
      <c r="BL683" s="119"/>
      <c r="BM683" s="119"/>
      <c r="BN683" s="119"/>
      <c r="BO683" s="119"/>
      <c r="BP683" s="119"/>
      <c r="BQ683" s="119"/>
      <c r="BR683" s="119"/>
      <c r="BS683" s="119"/>
      <c r="BT683" s="119"/>
      <c r="BU683" s="119"/>
      <c r="BV683" s="119"/>
      <c r="BW683" s="119"/>
      <c r="BX683" s="119"/>
      <c r="BY683" s="119"/>
      <c r="BZ683" s="119"/>
      <c r="CA683" s="119"/>
      <c r="CB683" s="119"/>
      <c r="CC683" s="119"/>
      <c r="CD683" s="119"/>
      <c r="CE683" s="119"/>
      <c r="CF683" s="119"/>
      <c r="CG683" s="119"/>
      <c r="CH683" s="119"/>
      <c r="CI683" s="119"/>
      <c r="CJ683" s="119"/>
      <c r="CK683" s="119"/>
      <c r="CL683" s="119"/>
      <c r="CM683" s="119"/>
      <c r="CN683" s="119"/>
      <c r="CO683" s="119"/>
      <c r="CP683" s="119"/>
      <c r="CQ683" s="119"/>
      <c r="CR683" s="119"/>
      <c r="CS683" s="119"/>
      <c r="CT683" s="119"/>
      <c r="CU683" s="119"/>
      <c r="CV683" s="119"/>
      <c r="CW683" s="119"/>
      <c r="CX683" s="119"/>
      <c r="CY683" s="119"/>
      <c r="CZ683" s="119"/>
      <c r="DA683" s="119"/>
      <c r="DB683" s="119"/>
      <c r="DC683" s="119"/>
      <c r="DD683" s="119"/>
      <c r="DE683" s="119"/>
      <c r="DF683" s="119"/>
      <c r="DG683" s="119"/>
      <c r="DH683" s="119"/>
      <c r="DI683" s="119"/>
      <c r="DJ683" s="119"/>
      <c r="DK683" s="119"/>
      <c r="DL683" s="119"/>
      <c r="DM683" s="119"/>
      <c r="DN683" s="119"/>
      <c r="DO683" s="119"/>
      <c r="DP683" s="119"/>
      <c r="DQ683" s="119"/>
      <c r="DR683" s="119"/>
      <c r="DS683" s="119"/>
      <c r="DT683" s="119"/>
      <c r="DU683" s="119"/>
      <c r="DV683" s="119"/>
      <c r="DW683" s="119"/>
      <c r="DX683" s="119"/>
      <c r="DY683" s="119"/>
      <c r="DZ683" s="119"/>
      <c r="EA683" s="119"/>
      <c r="EB683" s="119"/>
      <c r="EC683" s="119"/>
      <c r="ED683" s="119"/>
      <c r="EE683" s="119"/>
      <c r="EF683" s="119"/>
      <c r="EG683" s="119"/>
      <c r="EH683" s="119"/>
      <c r="EI683" s="119"/>
      <c r="EJ683" s="119"/>
      <c r="EK683" s="119"/>
      <c r="EL683" s="119"/>
      <c r="EM683" s="119"/>
      <c r="EN683" s="119"/>
      <c r="EO683" s="119"/>
      <c r="EP683" s="119"/>
      <c r="EQ683" s="119"/>
      <c r="ER683" s="119"/>
      <c r="ES683" s="119"/>
      <c r="ET683" s="119"/>
      <c r="EU683" s="119"/>
      <c r="EV683" s="119"/>
      <c r="EW683" s="119"/>
      <c r="EX683" s="119"/>
      <c r="EY683" s="119"/>
      <c r="EZ683" s="119"/>
      <c r="FA683" s="119"/>
      <c r="FB683" s="119"/>
      <c r="FC683" s="119"/>
      <c r="FD683" s="119"/>
      <c r="FE683" s="119"/>
      <c r="FF683" s="119"/>
      <c r="FG683" s="119"/>
      <c r="FH683" s="119"/>
      <c r="FI683" s="119"/>
      <c r="FJ683" s="119"/>
      <c r="FK683" s="119"/>
      <c r="FL683" s="119"/>
      <c r="FM683" s="119"/>
      <c r="FN683" s="119"/>
      <c r="FO683" s="119"/>
      <c r="FP683" s="119"/>
      <c r="FQ683" s="119"/>
      <c r="FR683" s="119"/>
    </row>
    <row x14ac:dyDescent="0.25" r="684" customHeight="1" ht="15">
      <c r="A684" s="121"/>
      <c r="B684" s="121"/>
      <c r="C684" s="122"/>
      <c r="D684" s="122"/>
      <c r="E684" s="123"/>
      <c r="F684" s="123"/>
      <c r="G684" s="124"/>
      <c r="H684" s="125"/>
      <c r="I684" s="126"/>
      <c r="J684" s="127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19"/>
      <c r="BA684" s="119"/>
      <c r="BB684" s="119"/>
      <c r="BC684" s="119"/>
      <c r="BD684" s="119"/>
      <c r="BE684" s="119"/>
      <c r="BF684" s="119"/>
      <c r="BG684" s="119"/>
      <c r="BH684" s="119"/>
      <c r="BI684" s="119"/>
      <c r="BJ684" s="119"/>
      <c r="BK684" s="119"/>
      <c r="BL684" s="119"/>
      <c r="BM684" s="119"/>
      <c r="BN684" s="119"/>
      <c r="BO684" s="119"/>
      <c r="BP684" s="119"/>
      <c r="BQ684" s="119"/>
      <c r="BR684" s="119"/>
      <c r="BS684" s="119"/>
      <c r="BT684" s="119"/>
      <c r="BU684" s="119"/>
      <c r="BV684" s="119"/>
      <c r="BW684" s="119"/>
      <c r="BX684" s="119"/>
      <c r="BY684" s="119"/>
      <c r="BZ684" s="119"/>
      <c r="CA684" s="119"/>
      <c r="CB684" s="119"/>
      <c r="CC684" s="119"/>
      <c r="CD684" s="119"/>
      <c r="CE684" s="119"/>
      <c r="CF684" s="119"/>
      <c r="CG684" s="119"/>
      <c r="CH684" s="119"/>
      <c r="CI684" s="119"/>
      <c r="CJ684" s="119"/>
      <c r="CK684" s="119"/>
      <c r="CL684" s="119"/>
      <c r="CM684" s="119"/>
      <c r="CN684" s="119"/>
      <c r="CO684" s="119"/>
      <c r="CP684" s="119"/>
      <c r="CQ684" s="119"/>
      <c r="CR684" s="119"/>
      <c r="CS684" s="119"/>
      <c r="CT684" s="119"/>
      <c r="CU684" s="119"/>
      <c r="CV684" s="119"/>
      <c r="CW684" s="119"/>
      <c r="CX684" s="119"/>
      <c r="CY684" s="119"/>
      <c r="CZ684" s="119"/>
      <c r="DA684" s="119"/>
      <c r="DB684" s="119"/>
      <c r="DC684" s="119"/>
      <c r="DD684" s="119"/>
      <c r="DE684" s="119"/>
      <c r="DF684" s="119"/>
      <c r="DG684" s="119"/>
      <c r="DH684" s="119"/>
      <c r="DI684" s="119"/>
      <c r="DJ684" s="119"/>
      <c r="DK684" s="119"/>
      <c r="DL684" s="119"/>
      <c r="DM684" s="119"/>
      <c r="DN684" s="119"/>
      <c r="DO684" s="119"/>
      <c r="DP684" s="119"/>
      <c r="DQ684" s="119"/>
      <c r="DR684" s="119"/>
      <c r="DS684" s="119"/>
      <c r="DT684" s="119"/>
      <c r="DU684" s="119"/>
      <c r="DV684" s="119"/>
      <c r="DW684" s="119"/>
      <c r="DX684" s="119"/>
      <c r="DY684" s="119"/>
      <c r="DZ684" s="119"/>
      <c r="EA684" s="119"/>
      <c r="EB684" s="119"/>
      <c r="EC684" s="119"/>
      <c r="ED684" s="119"/>
      <c r="EE684" s="119"/>
      <c r="EF684" s="119"/>
      <c r="EG684" s="119"/>
      <c r="EH684" s="119"/>
      <c r="EI684" s="119"/>
      <c r="EJ684" s="119"/>
      <c r="EK684" s="119"/>
      <c r="EL684" s="119"/>
      <c r="EM684" s="119"/>
      <c r="EN684" s="119"/>
      <c r="EO684" s="119"/>
      <c r="EP684" s="119"/>
      <c r="EQ684" s="119"/>
      <c r="ER684" s="119"/>
      <c r="ES684" s="119"/>
      <c r="ET684" s="119"/>
      <c r="EU684" s="119"/>
      <c r="EV684" s="119"/>
      <c r="EW684" s="119"/>
      <c r="EX684" s="119"/>
      <c r="EY684" s="119"/>
      <c r="EZ684" s="119"/>
      <c r="FA684" s="119"/>
      <c r="FB684" s="119"/>
      <c r="FC684" s="119"/>
      <c r="FD684" s="119"/>
      <c r="FE684" s="119"/>
      <c r="FF684" s="119"/>
      <c r="FG684" s="119"/>
      <c r="FH684" s="119"/>
      <c r="FI684" s="119"/>
      <c r="FJ684" s="119"/>
      <c r="FK684" s="119"/>
      <c r="FL684" s="119"/>
      <c r="FM684" s="119"/>
      <c r="FN684" s="119"/>
      <c r="FO684" s="119"/>
      <c r="FP684" s="119"/>
      <c r="FQ684" s="119"/>
      <c r="FR684" s="119"/>
    </row>
    <row x14ac:dyDescent="0.25" r="685" customHeight="1" ht="15">
      <c r="A685" s="121"/>
      <c r="B685" s="121"/>
      <c r="C685" s="122"/>
      <c r="D685" s="122"/>
      <c r="E685" s="123"/>
      <c r="F685" s="123"/>
      <c r="G685" s="124"/>
      <c r="H685" s="125"/>
      <c r="I685" s="126"/>
      <c r="J685" s="127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19"/>
      <c r="BA685" s="119"/>
      <c r="BB685" s="119"/>
      <c r="BC685" s="119"/>
      <c r="BD685" s="119"/>
      <c r="BE685" s="119"/>
      <c r="BF685" s="119"/>
      <c r="BG685" s="119"/>
      <c r="BH685" s="119"/>
      <c r="BI685" s="119"/>
      <c r="BJ685" s="119"/>
      <c r="BK685" s="119"/>
      <c r="BL685" s="119"/>
      <c r="BM685" s="119"/>
      <c r="BN685" s="119"/>
      <c r="BO685" s="119"/>
      <c r="BP685" s="119"/>
      <c r="BQ685" s="119"/>
      <c r="BR685" s="119"/>
      <c r="BS685" s="119"/>
      <c r="BT685" s="119"/>
      <c r="BU685" s="119"/>
      <c r="BV685" s="119"/>
      <c r="BW685" s="119"/>
      <c r="BX685" s="119"/>
      <c r="BY685" s="119"/>
      <c r="BZ685" s="119"/>
      <c r="CA685" s="119"/>
      <c r="CB685" s="119"/>
      <c r="CC685" s="119"/>
      <c r="CD685" s="119"/>
      <c r="CE685" s="119"/>
      <c r="CF685" s="119"/>
      <c r="CG685" s="119"/>
      <c r="CH685" s="119"/>
      <c r="CI685" s="119"/>
      <c r="CJ685" s="119"/>
      <c r="CK685" s="119"/>
      <c r="CL685" s="119"/>
      <c r="CM685" s="119"/>
      <c r="CN685" s="119"/>
      <c r="CO685" s="119"/>
      <c r="CP685" s="119"/>
      <c r="CQ685" s="119"/>
      <c r="CR685" s="119"/>
      <c r="CS685" s="119"/>
      <c r="CT685" s="119"/>
      <c r="CU685" s="119"/>
      <c r="CV685" s="119"/>
      <c r="CW685" s="119"/>
      <c r="CX685" s="119"/>
      <c r="CY685" s="119"/>
      <c r="CZ685" s="119"/>
      <c r="DA685" s="119"/>
      <c r="DB685" s="119"/>
      <c r="DC685" s="119"/>
      <c r="DD685" s="119"/>
      <c r="DE685" s="119"/>
      <c r="DF685" s="119"/>
      <c r="DG685" s="119"/>
      <c r="DH685" s="119"/>
      <c r="DI685" s="119"/>
      <c r="DJ685" s="119"/>
      <c r="DK685" s="119"/>
      <c r="DL685" s="119"/>
      <c r="DM685" s="119"/>
      <c r="DN685" s="119"/>
      <c r="DO685" s="119"/>
      <c r="DP685" s="119"/>
      <c r="DQ685" s="119"/>
      <c r="DR685" s="119"/>
      <c r="DS685" s="119"/>
      <c r="DT685" s="119"/>
      <c r="DU685" s="119"/>
      <c r="DV685" s="119"/>
      <c r="DW685" s="119"/>
      <c r="DX685" s="119"/>
      <c r="DY685" s="119"/>
      <c r="DZ685" s="119"/>
      <c r="EA685" s="119"/>
      <c r="EB685" s="119"/>
      <c r="EC685" s="119"/>
      <c r="ED685" s="119"/>
      <c r="EE685" s="119"/>
      <c r="EF685" s="119"/>
      <c r="EG685" s="119"/>
      <c r="EH685" s="119"/>
      <c r="EI685" s="119"/>
      <c r="EJ685" s="119"/>
      <c r="EK685" s="119"/>
      <c r="EL685" s="119"/>
      <c r="EM685" s="119"/>
      <c r="EN685" s="119"/>
      <c r="EO685" s="119"/>
      <c r="EP685" s="119"/>
      <c r="EQ685" s="119"/>
      <c r="ER685" s="119"/>
      <c r="ES685" s="119"/>
      <c r="ET685" s="119"/>
      <c r="EU685" s="119"/>
      <c r="EV685" s="119"/>
      <c r="EW685" s="119"/>
      <c r="EX685" s="119"/>
      <c r="EY685" s="119"/>
      <c r="EZ685" s="119"/>
      <c r="FA685" s="119"/>
      <c r="FB685" s="119"/>
      <c r="FC685" s="119"/>
      <c r="FD685" s="119"/>
      <c r="FE685" s="119"/>
      <c r="FF685" s="119"/>
      <c r="FG685" s="119"/>
      <c r="FH685" s="119"/>
      <c r="FI685" s="119"/>
      <c r="FJ685" s="119"/>
      <c r="FK685" s="119"/>
      <c r="FL685" s="119"/>
      <c r="FM685" s="119"/>
      <c r="FN685" s="119"/>
      <c r="FO685" s="119"/>
      <c r="FP685" s="119"/>
      <c r="FQ685" s="119"/>
      <c r="FR685" s="119"/>
    </row>
    <row x14ac:dyDescent="0.25" r="686" customHeight="1" ht="15">
      <c r="A686" s="121"/>
      <c r="B686" s="121"/>
      <c r="C686" s="122"/>
      <c r="D686" s="122"/>
      <c r="E686" s="123"/>
      <c r="F686" s="123"/>
      <c r="G686" s="124"/>
      <c r="H686" s="125"/>
      <c r="I686" s="126"/>
      <c r="J686" s="127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19"/>
      <c r="BA686" s="119"/>
      <c r="BB686" s="119"/>
      <c r="BC686" s="119"/>
      <c r="BD686" s="119"/>
      <c r="BE686" s="119"/>
      <c r="BF686" s="119"/>
      <c r="BG686" s="119"/>
      <c r="BH686" s="119"/>
      <c r="BI686" s="119"/>
      <c r="BJ686" s="119"/>
      <c r="BK686" s="119"/>
      <c r="BL686" s="119"/>
      <c r="BM686" s="119"/>
      <c r="BN686" s="119"/>
      <c r="BO686" s="119"/>
      <c r="BP686" s="119"/>
      <c r="BQ686" s="119"/>
      <c r="BR686" s="119"/>
      <c r="BS686" s="119"/>
      <c r="BT686" s="119"/>
      <c r="BU686" s="119"/>
      <c r="BV686" s="119"/>
      <c r="BW686" s="119"/>
      <c r="BX686" s="119"/>
      <c r="BY686" s="119"/>
      <c r="BZ686" s="119"/>
      <c r="CA686" s="119"/>
      <c r="CB686" s="119"/>
      <c r="CC686" s="119"/>
      <c r="CD686" s="119"/>
      <c r="CE686" s="119"/>
      <c r="CF686" s="119"/>
      <c r="CG686" s="119"/>
      <c r="CH686" s="119"/>
      <c r="CI686" s="119"/>
      <c r="CJ686" s="119"/>
      <c r="CK686" s="119"/>
      <c r="CL686" s="119"/>
      <c r="CM686" s="119"/>
      <c r="CN686" s="119"/>
      <c r="CO686" s="119"/>
      <c r="CP686" s="119"/>
      <c r="CQ686" s="119"/>
      <c r="CR686" s="119"/>
      <c r="CS686" s="119"/>
      <c r="CT686" s="119"/>
      <c r="CU686" s="119"/>
      <c r="CV686" s="119"/>
      <c r="CW686" s="119"/>
      <c r="CX686" s="119"/>
      <c r="CY686" s="119"/>
      <c r="CZ686" s="119"/>
      <c r="DA686" s="119"/>
      <c r="DB686" s="119"/>
      <c r="DC686" s="119"/>
      <c r="DD686" s="119"/>
      <c r="DE686" s="119"/>
      <c r="DF686" s="119"/>
      <c r="DG686" s="119"/>
      <c r="DH686" s="119"/>
      <c r="DI686" s="119"/>
      <c r="DJ686" s="119"/>
      <c r="DK686" s="119"/>
      <c r="DL686" s="119"/>
      <c r="DM686" s="119"/>
      <c r="DN686" s="119"/>
      <c r="DO686" s="119"/>
      <c r="DP686" s="119"/>
      <c r="DQ686" s="119"/>
      <c r="DR686" s="119"/>
      <c r="DS686" s="119"/>
      <c r="DT686" s="119"/>
      <c r="DU686" s="119"/>
      <c r="DV686" s="119"/>
      <c r="DW686" s="119"/>
      <c r="DX686" s="119"/>
      <c r="DY686" s="119"/>
      <c r="DZ686" s="119"/>
      <c r="EA686" s="119"/>
      <c r="EB686" s="119"/>
      <c r="EC686" s="119"/>
      <c r="ED686" s="119"/>
      <c r="EE686" s="119"/>
      <c r="EF686" s="119"/>
      <c r="EG686" s="119"/>
      <c r="EH686" s="119"/>
      <c r="EI686" s="119"/>
      <c r="EJ686" s="119"/>
      <c r="EK686" s="119"/>
      <c r="EL686" s="119"/>
      <c r="EM686" s="119"/>
      <c r="EN686" s="119"/>
      <c r="EO686" s="119"/>
      <c r="EP686" s="119"/>
      <c r="EQ686" s="119"/>
      <c r="ER686" s="119"/>
      <c r="ES686" s="119"/>
      <c r="ET686" s="119"/>
      <c r="EU686" s="119"/>
      <c r="EV686" s="119"/>
      <c r="EW686" s="119"/>
      <c r="EX686" s="119"/>
      <c r="EY686" s="119"/>
      <c r="EZ686" s="119"/>
      <c r="FA686" s="119"/>
      <c r="FB686" s="119"/>
      <c r="FC686" s="119"/>
      <c r="FD686" s="119"/>
      <c r="FE686" s="119"/>
      <c r="FF686" s="119"/>
      <c r="FG686" s="119"/>
      <c r="FH686" s="119"/>
      <c r="FI686" s="119"/>
      <c r="FJ686" s="119"/>
      <c r="FK686" s="119"/>
      <c r="FL686" s="119"/>
      <c r="FM686" s="119"/>
      <c r="FN686" s="119"/>
      <c r="FO686" s="119"/>
      <c r="FP686" s="119"/>
      <c r="FQ686" s="119"/>
      <c r="FR686" s="119"/>
    </row>
    <row x14ac:dyDescent="0.25" r="687" customHeight="1" ht="15">
      <c r="A687" s="121"/>
      <c r="B687" s="121"/>
      <c r="C687" s="122"/>
      <c r="D687" s="122"/>
      <c r="E687" s="123"/>
      <c r="F687" s="123"/>
      <c r="G687" s="124"/>
      <c r="H687" s="125"/>
      <c r="I687" s="126"/>
      <c r="J687" s="127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19"/>
      <c r="BA687" s="119"/>
      <c r="BB687" s="119"/>
      <c r="BC687" s="119"/>
      <c r="BD687" s="119"/>
      <c r="BE687" s="119"/>
      <c r="BF687" s="119"/>
      <c r="BG687" s="119"/>
      <c r="BH687" s="119"/>
      <c r="BI687" s="119"/>
      <c r="BJ687" s="119"/>
      <c r="BK687" s="119"/>
      <c r="BL687" s="119"/>
      <c r="BM687" s="119"/>
      <c r="BN687" s="119"/>
      <c r="BO687" s="119"/>
      <c r="BP687" s="119"/>
      <c r="BQ687" s="119"/>
      <c r="BR687" s="119"/>
      <c r="BS687" s="119"/>
      <c r="BT687" s="119"/>
      <c r="BU687" s="119"/>
      <c r="BV687" s="119"/>
      <c r="BW687" s="119"/>
      <c r="BX687" s="119"/>
      <c r="BY687" s="119"/>
      <c r="BZ687" s="119"/>
      <c r="CA687" s="119"/>
      <c r="CB687" s="119"/>
      <c r="CC687" s="119"/>
      <c r="CD687" s="119"/>
      <c r="CE687" s="119"/>
      <c r="CF687" s="119"/>
      <c r="CG687" s="119"/>
      <c r="CH687" s="119"/>
      <c r="CI687" s="119"/>
      <c r="CJ687" s="119"/>
      <c r="CK687" s="119"/>
      <c r="CL687" s="119"/>
      <c r="CM687" s="119"/>
      <c r="CN687" s="119"/>
      <c r="CO687" s="119"/>
      <c r="CP687" s="119"/>
      <c r="CQ687" s="119"/>
      <c r="CR687" s="119"/>
      <c r="CS687" s="119"/>
      <c r="CT687" s="119"/>
      <c r="CU687" s="119"/>
      <c r="CV687" s="119"/>
      <c r="CW687" s="119"/>
      <c r="CX687" s="119"/>
      <c r="CY687" s="119"/>
      <c r="CZ687" s="119"/>
      <c r="DA687" s="119"/>
      <c r="DB687" s="119"/>
      <c r="DC687" s="119"/>
      <c r="DD687" s="119"/>
      <c r="DE687" s="119"/>
      <c r="DF687" s="119"/>
      <c r="DG687" s="119"/>
      <c r="DH687" s="119"/>
      <c r="DI687" s="119"/>
      <c r="DJ687" s="119"/>
      <c r="DK687" s="119"/>
      <c r="DL687" s="119"/>
      <c r="DM687" s="119"/>
      <c r="DN687" s="119"/>
      <c r="DO687" s="119"/>
      <c r="DP687" s="119"/>
      <c r="DQ687" s="119"/>
      <c r="DR687" s="119"/>
      <c r="DS687" s="119"/>
      <c r="DT687" s="119"/>
      <c r="DU687" s="119"/>
      <c r="DV687" s="119"/>
      <c r="DW687" s="119"/>
      <c r="DX687" s="119"/>
      <c r="DY687" s="119"/>
      <c r="DZ687" s="119"/>
      <c r="EA687" s="119"/>
      <c r="EB687" s="119"/>
      <c r="EC687" s="119"/>
      <c r="ED687" s="119"/>
      <c r="EE687" s="119"/>
      <c r="EF687" s="119"/>
      <c r="EG687" s="119"/>
      <c r="EH687" s="119"/>
      <c r="EI687" s="119"/>
      <c r="EJ687" s="119"/>
      <c r="EK687" s="119"/>
      <c r="EL687" s="119"/>
      <c r="EM687" s="119"/>
      <c r="EN687" s="119"/>
      <c r="EO687" s="119"/>
      <c r="EP687" s="119"/>
      <c r="EQ687" s="119"/>
      <c r="ER687" s="119"/>
      <c r="ES687" s="119"/>
      <c r="ET687" s="119"/>
      <c r="EU687" s="119"/>
      <c r="EV687" s="119"/>
      <c r="EW687" s="119"/>
      <c r="EX687" s="119"/>
      <c r="EY687" s="119"/>
      <c r="EZ687" s="119"/>
      <c r="FA687" s="119"/>
      <c r="FB687" s="119"/>
      <c r="FC687" s="119"/>
      <c r="FD687" s="119"/>
      <c r="FE687" s="119"/>
      <c r="FF687" s="119"/>
      <c r="FG687" s="119"/>
      <c r="FH687" s="119"/>
      <c r="FI687" s="119"/>
      <c r="FJ687" s="119"/>
      <c r="FK687" s="119"/>
      <c r="FL687" s="119"/>
      <c r="FM687" s="119"/>
      <c r="FN687" s="119"/>
      <c r="FO687" s="119"/>
      <c r="FP687" s="119"/>
      <c r="FQ687" s="119"/>
      <c r="FR687" s="119"/>
    </row>
    <row x14ac:dyDescent="0.25" r="688" customHeight="1" ht="15">
      <c r="A688" s="121"/>
      <c r="B688" s="121"/>
      <c r="C688" s="122"/>
      <c r="D688" s="122"/>
      <c r="E688" s="123"/>
      <c r="F688" s="123"/>
      <c r="G688" s="124"/>
      <c r="H688" s="125"/>
      <c r="I688" s="126"/>
      <c r="J688" s="127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  <c r="AA688" s="119"/>
      <c r="AB688" s="119"/>
      <c r="AC688" s="119"/>
      <c r="AD688" s="119"/>
      <c r="AE688" s="119"/>
      <c r="AF688" s="119"/>
      <c r="AG688" s="119"/>
      <c r="AH688" s="119"/>
      <c r="AI688" s="119"/>
      <c r="AJ688" s="119"/>
      <c r="AK688" s="119"/>
      <c r="AL688" s="119"/>
      <c r="AM688" s="119"/>
      <c r="AN688" s="119"/>
      <c r="AO688" s="119"/>
      <c r="AP688" s="119"/>
      <c r="AQ688" s="119"/>
      <c r="AR688" s="119"/>
      <c r="AS688" s="119"/>
      <c r="AT688" s="119"/>
      <c r="AU688" s="119"/>
      <c r="AV688" s="119"/>
      <c r="AW688" s="119"/>
      <c r="AX688" s="119"/>
      <c r="AY688" s="119"/>
      <c r="AZ688" s="119"/>
      <c r="BA688" s="119"/>
      <c r="BB688" s="119"/>
      <c r="BC688" s="119"/>
      <c r="BD688" s="119"/>
      <c r="BE688" s="119"/>
      <c r="BF688" s="119"/>
      <c r="BG688" s="119"/>
      <c r="BH688" s="119"/>
      <c r="BI688" s="119"/>
      <c r="BJ688" s="119"/>
      <c r="BK688" s="119"/>
      <c r="BL688" s="119"/>
      <c r="BM688" s="119"/>
      <c r="BN688" s="119"/>
      <c r="BO688" s="119"/>
      <c r="BP688" s="119"/>
      <c r="BQ688" s="119"/>
      <c r="BR688" s="119"/>
      <c r="BS688" s="119"/>
      <c r="BT688" s="119"/>
      <c r="BU688" s="119"/>
      <c r="BV688" s="119"/>
      <c r="BW688" s="119"/>
      <c r="BX688" s="119"/>
      <c r="BY688" s="119"/>
      <c r="BZ688" s="119"/>
      <c r="CA688" s="119"/>
      <c r="CB688" s="119"/>
      <c r="CC688" s="119"/>
      <c r="CD688" s="119"/>
      <c r="CE688" s="119"/>
      <c r="CF688" s="119"/>
      <c r="CG688" s="119"/>
      <c r="CH688" s="119"/>
      <c r="CI688" s="119"/>
      <c r="CJ688" s="119"/>
      <c r="CK688" s="119"/>
      <c r="CL688" s="119"/>
      <c r="CM688" s="119"/>
      <c r="CN688" s="119"/>
      <c r="CO688" s="119"/>
      <c r="CP688" s="119"/>
      <c r="CQ688" s="119"/>
      <c r="CR688" s="119"/>
      <c r="CS688" s="119"/>
      <c r="CT688" s="119"/>
      <c r="CU688" s="119"/>
      <c r="CV688" s="119"/>
      <c r="CW688" s="119"/>
      <c r="CX688" s="119"/>
      <c r="CY688" s="119"/>
      <c r="CZ688" s="119"/>
      <c r="DA688" s="119"/>
      <c r="DB688" s="119"/>
      <c r="DC688" s="119"/>
      <c r="DD688" s="119"/>
      <c r="DE688" s="119"/>
      <c r="DF688" s="119"/>
      <c r="DG688" s="119"/>
      <c r="DH688" s="119"/>
      <c r="DI688" s="119"/>
      <c r="DJ688" s="119"/>
      <c r="DK688" s="119"/>
      <c r="DL688" s="119"/>
      <c r="DM688" s="119"/>
      <c r="DN688" s="119"/>
      <c r="DO688" s="119"/>
      <c r="DP688" s="119"/>
      <c r="DQ688" s="119"/>
      <c r="DR688" s="119"/>
      <c r="DS688" s="119"/>
      <c r="DT688" s="119"/>
      <c r="DU688" s="119"/>
      <c r="DV688" s="119"/>
      <c r="DW688" s="119"/>
      <c r="DX688" s="119"/>
      <c r="DY688" s="119"/>
      <c r="DZ688" s="119"/>
      <c r="EA688" s="119"/>
      <c r="EB688" s="119"/>
      <c r="EC688" s="119"/>
      <c r="ED688" s="119"/>
      <c r="EE688" s="119"/>
      <c r="EF688" s="119"/>
      <c r="EG688" s="119"/>
      <c r="EH688" s="119"/>
      <c r="EI688" s="119"/>
      <c r="EJ688" s="119"/>
      <c r="EK688" s="119"/>
      <c r="EL688" s="119"/>
      <c r="EM688" s="119"/>
      <c r="EN688" s="119"/>
      <c r="EO688" s="119"/>
      <c r="EP688" s="119"/>
      <c r="EQ688" s="119"/>
      <c r="ER688" s="119"/>
      <c r="ES688" s="119"/>
      <c r="ET688" s="119"/>
      <c r="EU688" s="119"/>
      <c r="EV688" s="119"/>
      <c r="EW688" s="119"/>
      <c r="EX688" s="119"/>
      <c r="EY688" s="119"/>
      <c r="EZ688" s="119"/>
      <c r="FA688" s="119"/>
      <c r="FB688" s="119"/>
      <c r="FC688" s="119"/>
      <c r="FD688" s="119"/>
      <c r="FE688" s="119"/>
      <c r="FF688" s="119"/>
      <c r="FG688" s="119"/>
      <c r="FH688" s="119"/>
      <c r="FI688" s="119"/>
      <c r="FJ688" s="119"/>
      <c r="FK688" s="119"/>
      <c r="FL688" s="119"/>
      <c r="FM688" s="119"/>
      <c r="FN688" s="119"/>
      <c r="FO688" s="119"/>
      <c r="FP688" s="119"/>
      <c r="FQ688" s="119"/>
      <c r="FR688" s="119"/>
    </row>
    <row x14ac:dyDescent="0.25" r="689" customHeight="1" ht="15">
      <c r="A689" s="121"/>
      <c r="B689" s="121"/>
      <c r="C689" s="122"/>
      <c r="D689" s="122"/>
      <c r="E689" s="123"/>
      <c r="F689" s="123"/>
      <c r="G689" s="124"/>
      <c r="H689" s="125"/>
      <c r="I689" s="126"/>
      <c r="J689" s="127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  <c r="AA689" s="119"/>
      <c r="AB689" s="119"/>
      <c r="AC689" s="119"/>
      <c r="AD689" s="119"/>
      <c r="AE689" s="119"/>
      <c r="AF689" s="119"/>
      <c r="AG689" s="119"/>
      <c r="AH689" s="119"/>
      <c r="AI689" s="119"/>
      <c r="AJ689" s="119"/>
      <c r="AK689" s="119"/>
      <c r="AL689" s="119"/>
      <c r="AM689" s="119"/>
      <c r="AN689" s="119"/>
      <c r="AO689" s="119"/>
      <c r="AP689" s="119"/>
      <c r="AQ689" s="119"/>
      <c r="AR689" s="119"/>
      <c r="AS689" s="119"/>
      <c r="AT689" s="119"/>
      <c r="AU689" s="119"/>
      <c r="AV689" s="119"/>
      <c r="AW689" s="119"/>
      <c r="AX689" s="119"/>
      <c r="AY689" s="119"/>
      <c r="AZ689" s="119"/>
      <c r="BA689" s="119"/>
      <c r="BB689" s="119"/>
      <c r="BC689" s="119"/>
      <c r="BD689" s="119"/>
      <c r="BE689" s="119"/>
      <c r="BF689" s="119"/>
      <c r="BG689" s="119"/>
      <c r="BH689" s="119"/>
      <c r="BI689" s="119"/>
      <c r="BJ689" s="119"/>
      <c r="BK689" s="119"/>
      <c r="BL689" s="119"/>
      <c r="BM689" s="119"/>
      <c r="BN689" s="119"/>
      <c r="BO689" s="119"/>
      <c r="BP689" s="119"/>
      <c r="BQ689" s="119"/>
      <c r="BR689" s="119"/>
      <c r="BS689" s="119"/>
      <c r="BT689" s="119"/>
      <c r="BU689" s="119"/>
      <c r="BV689" s="119"/>
      <c r="BW689" s="119"/>
      <c r="BX689" s="119"/>
      <c r="BY689" s="119"/>
      <c r="BZ689" s="119"/>
      <c r="CA689" s="119"/>
      <c r="CB689" s="119"/>
      <c r="CC689" s="119"/>
      <c r="CD689" s="119"/>
      <c r="CE689" s="119"/>
      <c r="CF689" s="119"/>
      <c r="CG689" s="119"/>
      <c r="CH689" s="119"/>
      <c r="CI689" s="119"/>
      <c r="CJ689" s="119"/>
      <c r="CK689" s="119"/>
      <c r="CL689" s="119"/>
      <c r="CM689" s="119"/>
      <c r="CN689" s="119"/>
      <c r="CO689" s="119"/>
      <c r="CP689" s="119"/>
      <c r="CQ689" s="119"/>
      <c r="CR689" s="119"/>
      <c r="CS689" s="119"/>
      <c r="CT689" s="119"/>
      <c r="CU689" s="119"/>
      <c r="CV689" s="119"/>
      <c r="CW689" s="119"/>
      <c r="CX689" s="119"/>
      <c r="CY689" s="119"/>
      <c r="CZ689" s="119"/>
      <c r="DA689" s="119"/>
      <c r="DB689" s="119"/>
      <c r="DC689" s="119"/>
      <c r="DD689" s="119"/>
      <c r="DE689" s="119"/>
      <c r="DF689" s="119"/>
      <c r="DG689" s="119"/>
      <c r="DH689" s="119"/>
      <c r="DI689" s="119"/>
      <c r="DJ689" s="119"/>
      <c r="DK689" s="119"/>
      <c r="DL689" s="119"/>
      <c r="DM689" s="119"/>
      <c r="DN689" s="119"/>
      <c r="DO689" s="119"/>
      <c r="DP689" s="119"/>
      <c r="DQ689" s="119"/>
      <c r="DR689" s="119"/>
      <c r="DS689" s="119"/>
      <c r="DT689" s="119"/>
      <c r="DU689" s="119"/>
      <c r="DV689" s="119"/>
      <c r="DW689" s="119"/>
      <c r="DX689" s="119"/>
      <c r="DY689" s="119"/>
      <c r="DZ689" s="119"/>
      <c r="EA689" s="119"/>
      <c r="EB689" s="119"/>
      <c r="EC689" s="119"/>
      <c r="ED689" s="119"/>
      <c r="EE689" s="119"/>
      <c r="EF689" s="119"/>
      <c r="EG689" s="119"/>
      <c r="EH689" s="119"/>
      <c r="EI689" s="119"/>
      <c r="EJ689" s="119"/>
      <c r="EK689" s="119"/>
      <c r="EL689" s="119"/>
      <c r="EM689" s="119"/>
      <c r="EN689" s="119"/>
      <c r="EO689" s="119"/>
      <c r="EP689" s="119"/>
      <c r="EQ689" s="119"/>
      <c r="ER689" s="119"/>
      <c r="ES689" s="119"/>
      <c r="ET689" s="119"/>
      <c r="EU689" s="119"/>
      <c r="EV689" s="119"/>
      <c r="EW689" s="119"/>
      <c r="EX689" s="119"/>
      <c r="EY689" s="119"/>
      <c r="EZ689" s="119"/>
      <c r="FA689" s="119"/>
      <c r="FB689" s="119"/>
      <c r="FC689" s="119"/>
      <c r="FD689" s="119"/>
      <c r="FE689" s="119"/>
      <c r="FF689" s="119"/>
      <c r="FG689" s="119"/>
      <c r="FH689" s="119"/>
      <c r="FI689" s="119"/>
      <c r="FJ689" s="119"/>
      <c r="FK689" s="119"/>
      <c r="FL689" s="119"/>
      <c r="FM689" s="119"/>
      <c r="FN689" s="119"/>
      <c r="FO689" s="119"/>
      <c r="FP689" s="119"/>
      <c r="FQ689" s="119"/>
      <c r="FR689" s="119"/>
    </row>
    <row x14ac:dyDescent="0.25" r="690" customHeight="1" ht="15">
      <c r="A690" s="121"/>
      <c r="B690" s="121"/>
      <c r="C690" s="122"/>
      <c r="D690" s="122"/>
      <c r="E690" s="123"/>
      <c r="F690" s="123"/>
      <c r="G690" s="124"/>
      <c r="H690" s="125"/>
      <c r="I690" s="126"/>
      <c r="J690" s="127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  <c r="AA690" s="119"/>
      <c r="AB690" s="119"/>
      <c r="AC690" s="119"/>
      <c r="AD690" s="119"/>
      <c r="AE690" s="119"/>
      <c r="AF690" s="119"/>
      <c r="AG690" s="119"/>
      <c r="AH690" s="119"/>
      <c r="AI690" s="119"/>
      <c r="AJ690" s="119"/>
      <c r="AK690" s="119"/>
      <c r="AL690" s="119"/>
      <c r="AM690" s="119"/>
      <c r="AN690" s="119"/>
      <c r="AO690" s="119"/>
      <c r="AP690" s="119"/>
      <c r="AQ690" s="119"/>
      <c r="AR690" s="119"/>
      <c r="AS690" s="119"/>
      <c r="AT690" s="119"/>
      <c r="AU690" s="119"/>
      <c r="AV690" s="119"/>
      <c r="AW690" s="119"/>
      <c r="AX690" s="119"/>
      <c r="AY690" s="119"/>
      <c r="AZ690" s="119"/>
      <c r="BA690" s="119"/>
      <c r="BB690" s="119"/>
      <c r="BC690" s="119"/>
      <c r="BD690" s="119"/>
      <c r="BE690" s="119"/>
      <c r="BF690" s="119"/>
      <c r="BG690" s="119"/>
      <c r="BH690" s="119"/>
      <c r="BI690" s="119"/>
      <c r="BJ690" s="119"/>
      <c r="BK690" s="119"/>
      <c r="BL690" s="119"/>
      <c r="BM690" s="119"/>
      <c r="BN690" s="119"/>
      <c r="BO690" s="119"/>
      <c r="BP690" s="119"/>
      <c r="BQ690" s="119"/>
      <c r="BR690" s="119"/>
      <c r="BS690" s="119"/>
      <c r="BT690" s="119"/>
      <c r="BU690" s="119"/>
      <c r="BV690" s="119"/>
      <c r="BW690" s="119"/>
      <c r="BX690" s="119"/>
      <c r="BY690" s="119"/>
      <c r="BZ690" s="119"/>
      <c r="CA690" s="119"/>
      <c r="CB690" s="119"/>
      <c r="CC690" s="119"/>
      <c r="CD690" s="119"/>
      <c r="CE690" s="119"/>
      <c r="CF690" s="119"/>
      <c r="CG690" s="119"/>
      <c r="CH690" s="119"/>
      <c r="CI690" s="119"/>
      <c r="CJ690" s="119"/>
      <c r="CK690" s="119"/>
      <c r="CL690" s="119"/>
      <c r="CM690" s="119"/>
      <c r="CN690" s="119"/>
      <c r="CO690" s="119"/>
      <c r="CP690" s="119"/>
      <c r="CQ690" s="119"/>
      <c r="CR690" s="119"/>
      <c r="CS690" s="119"/>
      <c r="CT690" s="119"/>
      <c r="CU690" s="119"/>
      <c r="CV690" s="119"/>
      <c r="CW690" s="119"/>
      <c r="CX690" s="119"/>
      <c r="CY690" s="119"/>
      <c r="CZ690" s="119"/>
      <c r="DA690" s="119"/>
      <c r="DB690" s="119"/>
      <c r="DC690" s="119"/>
      <c r="DD690" s="119"/>
      <c r="DE690" s="119"/>
      <c r="DF690" s="119"/>
      <c r="DG690" s="119"/>
      <c r="DH690" s="119"/>
      <c r="DI690" s="119"/>
      <c r="DJ690" s="119"/>
      <c r="DK690" s="119"/>
      <c r="DL690" s="119"/>
      <c r="DM690" s="119"/>
      <c r="DN690" s="119"/>
      <c r="DO690" s="119"/>
      <c r="DP690" s="119"/>
      <c r="DQ690" s="119"/>
      <c r="DR690" s="119"/>
      <c r="DS690" s="119"/>
      <c r="DT690" s="119"/>
      <c r="DU690" s="119"/>
      <c r="DV690" s="119"/>
      <c r="DW690" s="119"/>
      <c r="DX690" s="119"/>
      <c r="DY690" s="119"/>
      <c r="DZ690" s="119"/>
      <c r="EA690" s="119"/>
      <c r="EB690" s="119"/>
      <c r="EC690" s="119"/>
      <c r="ED690" s="119"/>
      <c r="EE690" s="119"/>
      <c r="EF690" s="119"/>
      <c r="EG690" s="119"/>
      <c r="EH690" s="119"/>
      <c r="EI690" s="119"/>
      <c r="EJ690" s="119"/>
      <c r="EK690" s="119"/>
      <c r="EL690" s="119"/>
      <c r="EM690" s="119"/>
      <c r="EN690" s="119"/>
      <c r="EO690" s="119"/>
      <c r="EP690" s="119"/>
      <c r="EQ690" s="119"/>
      <c r="ER690" s="119"/>
      <c r="ES690" s="119"/>
      <c r="ET690" s="119"/>
      <c r="EU690" s="119"/>
      <c r="EV690" s="119"/>
      <c r="EW690" s="119"/>
      <c r="EX690" s="119"/>
      <c r="EY690" s="119"/>
      <c r="EZ690" s="119"/>
      <c r="FA690" s="119"/>
      <c r="FB690" s="119"/>
      <c r="FC690" s="119"/>
      <c r="FD690" s="119"/>
      <c r="FE690" s="119"/>
      <c r="FF690" s="119"/>
      <c r="FG690" s="119"/>
      <c r="FH690" s="119"/>
      <c r="FI690" s="119"/>
      <c r="FJ690" s="119"/>
      <c r="FK690" s="119"/>
      <c r="FL690" s="119"/>
      <c r="FM690" s="119"/>
      <c r="FN690" s="119"/>
      <c r="FO690" s="119"/>
      <c r="FP690" s="119"/>
      <c r="FQ690" s="119"/>
      <c r="FR690" s="119"/>
    </row>
    <row x14ac:dyDescent="0.25" r="691" customHeight="1" ht="15">
      <c r="A691" s="121"/>
      <c r="B691" s="121"/>
      <c r="C691" s="122"/>
      <c r="D691" s="122"/>
      <c r="E691" s="123"/>
      <c r="F691" s="123"/>
      <c r="G691" s="124"/>
      <c r="H691" s="125"/>
      <c r="I691" s="126"/>
      <c r="J691" s="127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  <c r="AA691" s="119"/>
      <c r="AB691" s="119"/>
      <c r="AC691" s="119"/>
      <c r="AD691" s="119"/>
      <c r="AE691" s="119"/>
      <c r="AF691" s="119"/>
      <c r="AG691" s="119"/>
      <c r="AH691" s="119"/>
      <c r="AI691" s="119"/>
      <c r="AJ691" s="119"/>
      <c r="AK691" s="119"/>
      <c r="AL691" s="119"/>
      <c r="AM691" s="119"/>
      <c r="AN691" s="119"/>
      <c r="AO691" s="119"/>
      <c r="AP691" s="119"/>
      <c r="AQ691" s="119"/>
      <c r="AR691" s="119"/>
      <c r="AS691" s="119"/>
      <c r="AT691" s="119"/>
      <c r="AU691" s="119"/>
      <c r="AV691" s="119"/>
      <c r="AW691" s="119"/>
      <c r="AX691" s="119"/>
      <c r="AY691" s="119"/>
      <c r="AZ691" s="119"/>
      <c r="BA691" s="119"/>
      <c r="BB691" s="119"/>
      <c r="BC691" s="119"/>
      <c r="BD691" s="119"/>
      <c r="BE691" s="119"/>
      <c r="BF691" s="119"/>
      <c r="BG691" s="119"/>
      <c r="BH691" s="119"/>
      <c r="BI691" s="119"/>
      <c r="BJ691" s="119"/>
      <c r="BK691" s="119"/>
      <c r="BL691" s="119"/>
      <c r="BM691" s="119"/>
      <c r="BN691" s="119"/>
      <c r="BO691" s="119"/>
      <c r="BP691" s="119"/>
      <c r="BQ691" s="119"/>
      <c r="BR691" s="119"/>
      <c r="BS691" s="119"/>
      <c r="BT691" s="119"/>
      <c r="BU691" s="119"/>
      <c r="BV691" s="119"/>
      <c r="BW691" s="119"/>
      <c r="BX691" s="119"/>
      <c r="BY691" s="119"/>
      <c r="BZ691" s="119"/>
      <c r="CA691" s="119"/>
      <c r="CB691" s="119"/>
      <c r="CC691" s="119"/>
      <c r="CD691" s="119"/>
      <c r="CE691" s="119"/>
      <c r="CF691" s="119"/>
      <c r="CG691" s="119"/>
      <c r="CH691" s="119"/>
      <c r="CI691" s="119"/>
      <c r="CJ691" s="119"/>
      <c r="CK691" s="119"/>
      <c r="CL691" s="119"/>
      <c r="CM691" s="119"/>
      <c r="CN691" s="119"/>
      <c r="CO691" s="119"/>
      <c r="CP691" s="119"/>
      <c r="CQ691" s="119"/>
      <c r="CR691" s="119"/>
      <c r="CS691" s="119"/>
      <c r="CT691" s="119"/>
      <c r="CU691" s="119"/>
      <c r="CV691" s="119"/>
      <c r="CW691" s="119"/>
      <c r="CX691" s="119"/>
      <c r="CY691" s="119"/>
      <c r="CZ691" s="119"/>
      <c r="DA691" s="119"/>
      <c r="DB691" s="119"/>
      <c r="DC691" s="119"/>
      <c r="DD691" s="119"/>
      <c r="DE691" s="119"/>
      <c r="DF691" s="119"/>
      <c r="DG691" s="119"/>
      <c r="DH691" s="119"/>
      <c r="DI691" s="119"/>
      <c r="DJ691" s="119"/>
      <c r="DK691" s="119"/>
      <c r="DL691" s="119"/>
      <c r="DM691" s="119"/>
      <c r="DN691" s="119"/>
      <c r="DO691" s="119"/>
      <c r="DP691" s="119"/>
      <c r="DQ691" s="119"/>
      <c r="DR691" s="119"/>
      <c r="DS691" s="119"/>
      <c r="DT691" s="119"/>
      <c r="DU691" s="119"/>
      <c r="DV691" s="119"/>
      <c r="DW691" s="119"/>
      <c r="DX691" s="119"/>
      <c r="DY691" s="119"/>
      <c r="DZ691" s="119"/>
      <c r="EA691" s="119"/>
      <c r="EB691" s="119"/>
      <c r="EC691" s="119"/>
      <c r="ED691" s="119"/>
      <c r="EE691" s="119"/>
      <c r="EF691" s="119"/>
      <c r="EG691" s="119"/>
      <c r="EH691" s="119"/>
      <c r="EI691" s="119"/>
      <c r="EJ691" s="119"/>
      <c r="EK691" s="119"/>
      <c r="EL691" s="119"/>
      <c r="EM691" s="119"/>
      <c r="EN691" s="119"/>
      <c r="EO691" s="119"/>
      <c r="EP691" s="119"/>
      <c r="EQ691" s="119"/>
      <c r="ER691" s="119"/>
      <c r="ES691" s="119"/>
      <c r="ET691" s="119"/>
      <c r="EU691" s="119"/>
      <c r="EV691" s="119"/>
      <c r="EW691" s="119"/>
      <c r="EX691" s="119"/>
      <c r="EY691" s="119"/>
      <c r="EZ691" s="119"/>
      <c r="FA691" s="119"/>
      <c r="FB691" s="119"/>
      <c r="FC691" s="119"/>
      <c r="FD691" s="119"/>
      <c r="FE691" s="119"/>
      <c r="FF691" s="119"/>
      <c r="FG691" s="119"/>
      <c r="FH691" s="119"/>
      <c r="FI691" s="119"/>
      <c r="FJ691" s="119"/>
      <c r="FK691" s="119"/>
      <c r="FL691" s="119"/>
      <c r="FM691" s="119"/>
      <c r="FN691" s="119"/>
      <c r="FO691" s="119"/>
      <c r="FP691" s="119"/>
      <c r="FQ691" s="119"/>
      <c r="FR691" s="119"/>
    </row>
    <row x14ac:dyDescent="0.25" r="692" customHeight="1" ht="15">
      <c r="A692" s="121"/>
      <c r="B692" s="121"/>
      <c r="C692" s="122"/>
      <c r="D692" s="122"/>
      <c r="E692" s="123"/>
      <c r="F692" s="123"/>
      <c r="G692" s="124"/>
      <c r="H692" s="125"/>
      <c r="I692" s="126"/>
      <c r="J692" s="127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  <c r="AA692" s="119"/>
      <c r="AB692" s="119"/>
      <c r="AC692" s="119"/>
      <c r="AD692" s="119"/>
      <c r="AE692" s="119"/>
      <c r="AF692" s="119"/>
      <c r="AG692" s="119"/>
      <c r="AH692" s="119"/>
      <c r="AI692" s="119"/>
      <c r="AJ692" s="119"/>
      <c r="AK692" s="119"/>
      <c r="AL692" s="119"/>
      <c r="AM692" s="119"/>
      <c r="AN692" s="119"/>
      <c r="AO692" s="119"/>
      <c r="AP692" s="119"/>
      <c r="AQ692" s="119"/>
      <c r="AR692" s="119"/>
      <c r="AS692" s="119"/>
      <c r="AT692" s="119"/>
      <c r="AU692" s="119"/>
      <c r="AV692" s="119"/>
      <c r="AW692" s="119"/>
      <c r="AX692" s="119"/>
      <c r="AY692" s="119"/>
      <c r="AZ692" s="119"/>
      <c r="BA692" s="119"/>
      <c r="BB692" s="119"/>
      <c r="BC692" s="119"/>
      <c r="BD692" s="119"/>
      <c r="BE692" s="119"/>
      <c r="BF692" s="119"/>
      <c r="BG692" s="119"/>
      <c r="BH692" s="119"/>
      <c r="BI692" s="119"/>
      <c r="BJ692" s="119"/>
      <c r="BK692" s="119"/>
      <c r="BL692" s="119"/>
      <c r="BM692" s="119"/>
      <c r="BN692" s="119"/>
      <c r="BO692" s="119"/>
      <c r="BP692" s="119"/>
      <c r="BQ692" s="119"/>
      <c r="BR692" s="119"/>
      <c r="BS692" s="119"/>
      <c r="BT692" s="119"/>
      <c r="BU692" s="119"/>
      <c r="BV692" s="119"/>
      <c r="BW692" s="119"/>
      <c r="BX692" s="119"/>
      <c r="BY692" s="119"/>
      <c r="BZ692" s="119"/>
      <c r="CA692" s="119"/>
      <c r="CB692" s="119"/>
      <c r="CC692" s="119"/>
      <c r="CD692" s="119"/>
      <c r="CE692" s="119"/>
      <c r="CF692" s="119"/>
      <c r="CG692" s="119"/>
      <c r="CH692" s="119"/>
      <c r="CI692" s="119"/>
      <c r="CJ692" s="119"/>
      <c r="CK692" s="119"/>
      <c r="CL692" s="119"/>
      <c r="CM692" s="119"/>
      <c r="CN692" s="119"/>
      <c r="CO692" s="119"/>
      <c r="CP692" s="119"/>
      <c r="CQ692" s="119"/>
      <c r="CR692" s="119"/>
      <c r="CS692" s="119"/>
      <c r="CT692" s="119"/>
      <c r="CU692" s="119"/>
      <c r="CV692" s="119"/>
      <c r="CW692" s="119"/>
      <c r="CX692" s="119"/>
      <c r="CY692" s="119"/>
      <c r="CZ692" s="119"/>
      <c r="DA692" s="119"/>
      <c r="DB692" s="119"/>
      <c r="DC692" s="119"/>
      <c r="DD692" s="119"/>
      <c r="DE692" s="119"/>
      <c r="DF692" s="119"/>
      <c r="DG692" s="119"/>
      <c r="DH692" s="119"/>
      <c r="DI692" s="119"/>
      <c r="DJ692" s="119"/>
      <c r="DK692" s="119"/>
      <c r="DL692" s="119"/>
      <c r="DM692" s="119"/>
      <c r="DN692" s="119"/>
      <c r="DO692" s="119"/>
      <c r="DP692" s="119"/>
      <c r="DQ692" s="119"/>
      <c r="DR692" s="119"/>
      <c r="DS692" s="119"/>
      <c r="DT692" s="119"/>
      <c r="DU692" s="119"/>
      <c r="DV692" s="119"/>
      <c r="DW692" s="119"/>
      <c r="DX692" s="119"/>
      <c r="DY692" s="119"/>
      <c r="DZ692" s="119"/>
      <c r="EA692" s="119"/>
      <c r="EB692" s="119"/>
      <c r="EC692" s="119"/>
      <c r="ED692" s="119"/>
      <c r="EE692" s="119"/>
      <c r="EF692" s="119"/>
      <c r="EG692" s="119"/>
      <c r="EH692" s="119"/>
      <c r="EI692" s="119"/>
      <c r="EJ692" s="119"/>
      <c r="EK692" s="119"/>
      <c r="EL692" s="119"/>
      <c r="EM692" s="119"/>
      <c r="EN692" s="119"/>
      <c r="EO692" s="119"/>
      <c r="EP692" s="119"/>
      <c r="EQ692" s="119"/>
      <c r="ER692" s="119"/>
      <c r="ES692" s="119"/>
      <c r="ET692" s="119"/>
      <c r="EU692" s="119"/>
      <c r="EV692" s="119"/>
      <c r="EW692" s="119"/>
      <c r="EX692" s="119"/>
      <c r="EY692" s="119"/>
      <c r="EZ692" s="119"/>
      <c r="FA692" s="119"/>
      <c r="FB692" s="119"/>
      <c r="FC692" s="119"/>
      <c r="FD692" s="119"/>
      <c r="FE692" s="119"/>
      <c r="FF692" s="119"/>
      <c r="FG692" s="119"/>
      <c r="FH692" s="119"/>
      <c r="FI692" s="119"/>
      <c r="FJ692" s="119"/>
      <c r="FK692" s="119"/>
      <c r="FL692" s="119"/>
      <c r="FM692" s="119"/>
      <c r="FN692" s="119"/>
      <c r="FO692" s="119"/>
      <c r="FP692" s="119"/>
      <c r="FQ692" s="119"/>
      <c r="FR692" s="119"/>
    </row>
    <row x14ac:dyDescent="0.25" r="693" customHeight="1" ht="15">
      <c r="A693" s="121"/>
      <c r="B693" s="121"/>
      <c r="C693" s="122"/>
      <c r="D693" s="122"/>
      <c r="E693" s="123"/>
      <c r="F693" s="123"/>
      <c r="G693" s="124"/>
      <c r="H693" s="125"/>
      <c r="I693" s="126"/>
      <c r="J693" s="127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  <c r="AA693" s="119"/>
      <c r="AB693" s="119"/>
      <c r="AC693" s="119"/>
      <c r="AD693" s="119"/>
      <c r="AE693" s="119"/>
      <c r="AF693" s="119"/>
      <c r="AG693" s="119"/>
      <c r="AH693" s="119"/>
      <c r="AI693" s="119"/>
      <c r="AJ693" s="119"/>
      <c r="AK693" s="119"/>
      <c r="AL693" s="119"/>
      <c r="AM693" s="119"/>
      <c r="AN693" s="119"/>
      <c r="AO693" s="119"/>
      <c r="AP693" s="119"/>
      <c r="AQ693" s="119"/>
      <c r="AR693" s="119"/>
      <c r="AS693" s="119"/>
      <c r="AT693" s="119"/>
      <c r="AU693" s="119"/>
      <c r="AV693" s="119"/>
      <c r="AW693" s="119"/>
      <c r="AX693" s="119"/>
      <c r="AY693" s="119"/>
      <c r="AZ693" s="119"/>
      <c r="BA693" s="119"/>
      <c r="BB693" s="119"/>
      <c r="BC693" s="119"/>
      <c r="BD693" s="119"/>
      <c r="BE693" s="119"/>
      <c r="BF693" s="119"/>
      <c r="BG693" s="119"/>
      <c r="BH693" s="119"/>
      <c r="BI693" s="119"/>
      <c r="BJ693" s="119"/>
      <c r="BK693" s="119"/>
      <c r="BL693" s="119"/>
      <c r="BM693" s="119"/>
      <c r="BN693" s="119"/>
      <c r="BO693" s="119"/>
      <c r="BP693" s="119"/>
      <c r="BQ693" s="119"/>
      <c r="BR693" s="119"/>
      <c r="BS693" s="119"/>
      <c r="BT693" s="119"/>
      <c r="BU693" s="119"/>
      <c r="BV693" s="119"/>
      <c r="BW693" s="119"/>
      <c r="BX693" s="119"/>
      <c r="BY693" s="119"/>
      <c r="BZ693" s="119"/>
      <c r="CA693" s="119"/>
      <c r="CB693" s="119"/>
      <c r="CC693" s="119"/>
      <c r="CD693" s="119"/>
      <c r="CE693" s="119"/>
      <c r="CF693" s="119"/>
      <c r="CG693" s="119"/>
      <c r="CH693" s="119"/>
      <c r="CI693" s="119"/>
      <c r="CJ693" s="119"/>
      <c r="CK693" s="119"/>
      <c r="CL693" s="119"/>
      <c r="CM693" s="119"/>
      <c r="CN693" s="119"/>
      <c r="CO693" s="119"/>
      <c r="CP693" s="119"/>
      <c r="CQ693" s="119"/>
      <c r="CR693" s="119"/>
      <c r="CS693" s="119"/>
      <c r="CT693" s="119"/>
      <c r="CU693" s="119"/>
      <c r="CV693" s="119"/>
      <c r="CW693" s="119"/>
      <c r="CX693" s="119"/>
      <c r="CY693" s="119"/>
      <c r="CZ693" s="119"/>
      <c r="DA693" s="119"/>
      <c r="DB693" s="119"/>
      <c r="DC693" s="119"/>
      <c r="DD693" s="119"/>
      <c r="DE693" s="119"/>
      <c r="DF693" s="119"/>
      <c r="DG693" s="119"/>
      <c r="DH693" s="119"/>
      <c r="DI693" s="119"/>
      <c r="DJ693" s="119"/>
      <c r="DK693" s="119"/>
      <c r="DL693" s="119"/>
      <c r="DM693" s="119"/>
      <c r="DN693" s="119"/>
      <c r="DO693" s="119"/>
      <c r="DP693" s="119"/>
      <c r="DQ693" s="119"/>
      <c r="DR693" s="119"/>
      <c r="DS693" s="119"/>
      <c r="DT693" s="119"/>
      <c r="DU693" s="119"/>
      <c r="DV693" s="119"/>
      <c r="DW693" s="119"/>
      <c r="DX693" s="119"/>
      <c r="DY693" s="119"/>
      <c r="DZ693" s="119"/>
      <c r="EA693" s="119"/>
      <c r="EB693" s="119"/>
      <c r="EC693" s="119"/>
      <c r="ED693" s="119"/>
      <c r="EE693" s="119"/>
      <c r="EF693" s="119"/>
      <c r="EG693" s="119"/>
      <c r="EH693" s="119"/>
      <c r="EI693" s="119"/>
      <c r="EJ693" s="119"/>
      <c r="EK693" s="119"/>
      <c r="EL693" s="119"/>
      <c r="EM693" s="119"/>
      <c r="EN693" s="119"/>
      <c r="EO693" s="119"/>
      <c r="EP693" s="119"/>
      <c r="EQ693" s="119"/>
      <c r="ER693" s="119"/>
      <c r="ES693" s="119"/>
      <c r="ET693" s="119"/>
      <c r="EU693" s="119"/>
      <c r="EV693" s="119"/>
      <c r="EW693" s="119"/>
      <c r="EX693" s="119"/>
      <c r="EY693" s="119"/>
      <c r="EZ693" s="119"/>
      <c r="FA693" s="119"/>
      <c r="FB693" s="119"/>
      <c r="FC693" s="119"/>
      <c r="FD693" s="119"/>
      <c r="FE693" s="119"/>
      <c r="FF693" s="119"/>
      <c r="FG693" s="119"/>
      <c r="FH693" s="119"/>
      <c r="FI693" s="119"/>
      <c r="FJ693" s="119"/>
      <c r="FK693" s="119"/>
      <c r="FL693" s="119"/>
      <c r="FM693" s="119"/>
      <c r="FN693" s="119"/>
      <c r="FO693" s="119"/>
      <c r="FP693" s="119"/>
      <c r="FQ693" s="119"/>
      <c r="FR693" s="119"/>
    </row>
    <row x14ac:dyDescent="0.25" r="694" customHeight="1" ht="15">
      <c r="A694" s="121"/>
      <c r="B694" s="121"/>
      <c r="C694" s="122"/>
      <c r="D694" s="122"/>
      <c r="E694" s="123"/>
      <c r="F694" s="123"/>
      <c r="G694" s="124"/>
      <c r="H694" s="125"/>
      <c r="I694" s="126"/>
      <c r="J694" s="127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  <c r="AA694" s="119"/>
      <c r="AB694" s="119"/>
      <c r="AC694" s="119"/>
      <c r="AD694" s="119"/>
      <c r="AE694" s="119"/>
      <c r="AF694" s="119"/>
      <c r="AG694" s="119"/>
      <c r="AH694" s="119"/>
      <c r="AI694" s="119"/>
      <c r="AJ694" s="119"/>
      <c r="AK694" s="119"/>
      <c r="AL694" s="119"/>
      <c r="AM694" s="119"/>
      <c r="AN694" s="119"/>
      <c r="AO694" s="119"/>
      <c r="AP694" s="119"/>
      <c r="AQ694" s="119"/>
      <c r="AR694" s="119"/>
      <c r="AS694" s="119"/>
      <c r="AT694" s="119"/>
      <c r="AU694" s="119"/>
      <c r="AV694" s="119"/>
      <c r="AW694" s="119"/>
      <c r="AX694" s="119"/>
      <c r="AY694" s="119"/>
      <c r="AZ694" s="119"/>
      <c r="BA694" s="119"/>
      <c r="BB694" s="119"/>
      <c r="BC694" s="119"/>
      <c r="BD694" s="119"/>
      <c r="BE694" s="119"/>
      <c r="BF694" s="119"/>
      <c r="BG694" s="119"/>
      <c r="BH694" s="119"/>
      <c r="BI694" s="119"/>
      <c r="BJ694" s="119"/>
      <c r="BK694" s="119"/>
      <c r="BL694" s="119"/>
      <c r="BM694" s="119"/>
      <c r="BN694" s="119"/>
      <c r="BO694" s="119"/>
      <c r="BP694" s="119"/>
      <c r="BQ694" s="119"/>
      <c r="BR694" s="119"/>
      <c r="BS694" s="119"/>
      <c r="BT694" s="119"/>
      <c r="BU694" s="119"/>
      <c r="BV694" s="119"/>
      <c r="BW694" s="119"/>
      <c r="BX694" s="119"/>
      <c r="BY694" s="119"/>
      <c r="BZ694" s="119"/>
      <c r="CA694" s="119"/>
      <c r="CB694" s="119"/>
      <c r="CC694" s="119"/>
      <c r="CD694" s="119"/>
      <c r="CE694" s="119"/>
      <c r="CF694" s="119"/>
      <c r="CG694" s="119"/>
      <c r="CH694" s="119"/>
      <c r="CI694" s="119"/>
      <c r="CJ694" s="119"/>
      <c r="CK694" s="119"/>
      <c r="CL694" s="119"/>
      <c r="CM694" s="119"/>
      <c r="CN694" s="119"/>
      <c r="CO694" s="119"/>
      <c r="CP694" s="119"/>
      <c r="CQ694" s="119"/>
      <c r="CR694" s="119"/>
      <c r="CS694" s="119"/>
      <c r="CT694" s="119"/>
      <c r="CU694" s="119"/>
      <c r="CV694" s="119"/>
      <c r="CW694" s="119"/>
      <c r="CX694" s="119"/>
      <c r="CY694" s="119"/>
      <c r="CZ694" s="119"/>
      <c r="DA694" s="119"/>
      <c r="DB694" s="119"/>
      <c r="DC694" s="119"/>
      <c r="DD694" s="119"/>
      <c r="DE694" s="119"/>
      <c r="DF694" s="119"/>
      <c r="DG694" s="119"/>
      <c r="DH694" s="119"/>
      <c r="DI694" s="119"/>
      <c r="DJ694" s="119"/>
      <c r="DK694" s="119"/>
      <c r="DL694" s="119"/>
      <c r="DM694" s="119"/>
      <c r="DN694" s="119"/>
      <c r="DO694" s="119"/>
      <c r="DP694" s="119"/>
      <c r="DQ694" s="119"/>
      <c r="DR694" s="119"/>
      <c r="DS694" s="119"/>
      <c r="DT694" s="119"/>
      <c r="DU694" s="119"/>
      <c r="DV694" s="119"/>
      <c r="DW694" s="119"/>
      <c r="DX694" s="119"/>
      <c r="DY694" s="119"/>
      <c r="DZ694" s="119"/>
      <c r="EA694" s="119"/>
      <c r="EB694" s="119"/>
      <c r="EC694" s="119"/>
      <c r="ED694" s="119"/>
      <c r="EE694" s="119"/>
      <c r="EF694" s="119"/>
      <c r="EG694" s="119"/>
      <c r="EH694" s="119"/>
      <c r="EI694" s="119"/>
      <c r="EJ694" s="119"/>
      <c r="EK694" s="119"/>
      <c r="EL694" s="119"/>
      <c r="EM694" s="119"/>
      <c r="EN694" s="119"/>
      <c r="EO694" s="119"/>
      <c r="EP694" s="119"/>
      <c r="EQ694" s="119"/>
      <c r="ER694" s="119"/>
      <c r="ES694" s="119"/>
      <c r="ET694" s="119"/>
      <c r="EU694" s="119"/>
      <c r="EV694" s="119"/>
      <c r="EW694" s="119"/>
      <c r="EX694" s="119"/>
      <c r="EY694" s="119"/>
      <c r="EZ694" s="119"/>
      <c r="FA694" s="119"/>
      <c r="FB694" s="119"/>
      <c r="FC694" s="119"/>
      <c r="FD694" s="119"/>
      <c r="FE694" s="119"/>
      <c r="FF694" s="119"/>
      <c r="FG694" s="119"/>
      <c r="FH694" s="119"/>
      <c r="FI694" s="119"/>
      <c r="FJ694" s="119"/>
      <c r="FK694" s="119"/>
      <c r="FL694" s="119"/>
      <c r="FM694" s="119"/>
      <c r="FN694" s="119"/>
      <c r="FO694" s="119"/>
      <c r="FP694" s="119"/>
      <c r="FQ694" s="119"/>
      <c r="FR694" s="119"/>
    </row>
    <row x14ac:dyDescent="0.25" r="695" customHeight="1" ht="15">
      <c r="A695" s="121"/>
      <c r="B695" s="121"/>
      <c r="C695" s="122"/>
      <c r="D695" s="122"/>
      <c r="E695" s="123"/>
      <c r="F695" s="123"/>
      <c r="G695" s="124"/>
      <c r="H695" s="125"/>
      <c r="I695" s="126"/>
      <c r="J695" s="127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  <c r="AA695" s="119"/>
      <c r="AB695" s="119"/>
      <c r="AC695" s="119"/>
      <c r="AD695" s="119"/>
      <c r="AE695" s="119"/>
      <c r="AF695" s="119"/>
      <c r="AG695" s="119"/>
      <c r="AH695" s="119"/>
      <c r="AI695" s="119"/>
      <c r="AJ695" s="119"/>
      <c r="AK695" s="119"/>
      <c r="AL695" s="119"/>
      <c r="AM695" s="119"/>
      <c r="AN695" s="119"/>
      <c r="AO695" s="119"/>
      <c r="AP695" s="119"/>
      <c r="AQ695" s="119"/>
      <c r="AR695" s="119"/>
      <c r="AS695" s="119"/>
      <c r="AT695" s="119"/>
      <c r="AU695" s="119"/>
      <c r="AV695" s="119"/>
      <c r="AW695" s="119"/>
      <c r="AX695" s="119"/>
      <c r="AY695" s="119"/>
      <c r="AZ695" s="119"/>
      <c r="BA695" s="119"/>
      <c r="BB695" s="119"/>
      <c r="BC695" s="119"/>
      <c r="BD695" s="119"/>
      <c r="BE695" s="119"/>
      <c r="BF695" s="119"/>
      <c r="BG695" s="119"/>
      <c r="BH695" s="119"/>
      <c r="BI695" s="119"/>
      <c r="BJ695" s="119"/>
      <c r="BK695" s="119"/>
      <c r="BL695" s="119"/>
      <c r="BM695" s="119"/>
      <c r="BN695" s="119"/>
      <c r="BO695" s="119"/>
      <c r="BP695" s="119"/>
      <c r="BQ695" s="119"/>
      <c r="BR695" s="119"/>
      <c r="BS695" s="119"/>
      <c r="BT695" s="119"/>
      <c r="BU695" s="119"/>
      <c r="BV695" s="119"/>
      <c r="BW695" s="119"/>
      <c r="BX695" s="119"/>
      <c r="BY695" s="119"/>
      <c r="BZ695" s="119"/>
      <c r="CA695" s="119"/>
      <c r="CB695" s="119"/>
      <c r="CC695" s="119"/>
      <c r="CD695" s="119"/>
      <c r="CE695" s="119"/>
      <c r="CF695" s="119"/>
      <c r="CG695" s="119"/>
      <c r="CH695" s="119"/>
      <c r="CI695" s="119"/>
      <c r="CJ695" s="119"/>
      <c r="CK695" s="119"/>
      <c r="CL695" s="119"/>
      <c r="CM695" s="119"/>
      <c r="CN695" s="119"/>
      <c r="CO695" s="119"/>
      <c r="CP695" s="119"/>
      <c r="CQ695" s="119"/>
      <c r="CR695" s="119"/>
      <c r="CS695" s="119"/>
      <c r="CT695" s="119"/>
      <c r="CU695" s="119"/>
      <c r="CV695" s="119"/>
      <c r="CW695" s="119"/>
      <c r="CX695" s="119"/>
      <c r="CY695" s="119"/>
      <c r="CZ695" s="119"/>
      <c r="DA695" s="119"/>
      <c r="DB695" s="119"/>
      <c r="DC695" s="119"/>
      <c r="DD695" s="119"/>
      <c r="DE695" s="119"/>
      <c r="DF695" s="119"/>
      <c r="DG695" s="119"/>
      <c r="DH695" s="119"/>
      <c r="DI695" s="119"/>
      <c r="DJ695" s="119"/>
      <c r="DK695" s="119"/>
      <c r="DL695" s="119"/>
      <c r="DM695" s="119"/>
      <c r="DN695" s="119"/>
      <c r="DO695" s="119"/>
      <c r="DP695" s="119"/>
      <c r="DQ695" s="119"/>
      <c r="DR695" s="119"/>
      <c r="DS695" s="119"/>
      <c r="DT695" s="119"/>
      <c r="DU695" s="119"/>
      <c r="DV695" s="119"/>
      <c r="DW695" s="119"/>
      <c r="DX695" s="119"/>
      <c r="DY695" s="119"/>
      <c r="DZ695" s="119"/>
      <c r="EA695" s="119"/>
      <c r="EB695" s="119"/>
      <c r="EC695" s="119"/>
      <c r="ED695" s="119"/>
      <c r="EE695" s="119"/>
      <c r="EF695" s="119"/>
      <c r="EG695" s="119"/>
      <c r="EH695" s="119"/>
      <c r="EI695" s="119"/>
      <c r="EJ695" s="119"/>
      <c r="EK695" s="119"/>
      <c r="EL695" s="119"/>
      <c r="EM695" s="119"/>
      <c r="EN695" s="119"/>
      <c r="EO695" s="119"/>
      <c r="EP695" s="119"/>
      <c r="EQ695" s="119"/>
      <c r="ER695" s="119"/>
      <c r="ES695" s="119"/>
      <c r="ET695" s="119"/>
      <c r="EU695" s="119"/>
      <c r="EV695" s="119"/>
      <c r="EW695" s="119"/>
      <c r="EX695" s="119"/>
      <c r="EY695" s="119"/>
      <c r="EZ695" s="119"/>
      <c r="FA695" s="119"/>
      <c r="FB695" s="119"/>
      <c r="FC695" s="119"/>
      <c r="FD695" s="119"/>
      <c r="FE695" s="119"/>
      <c r="FF695" s="119"/>
      <c r="FG695" s="119"/>
      <c r="FH695" s="119"/>
      <c r="FI695" s="119"/>
      <c r="FJ695" s="119"/>
      <c r="FK695" s="119"/>
      <c r="FL695" s="119"/>
      <c r="FM695" s="119"/>
      <c r="FN695" s="119"/>
      <c r="FO695" s="119"/>
      <c r="FP695" s="119"/>
      <c r="FQ695" s="119"/>
      <c r="FR695" s="119"/>
    </row>
    <row x14ac:dyDescent="0.25" r="696" customHeight="1" ht="15">
      <c r="A696" s="121"/>
      <c r="B696" s="121"/>
      <c r="C696" s="122"/>
      <c r="D696" s="122"/>
      <c r="E696" s="123"/>
      <c r="F696" s="123"/>
      <c r="G696" s="124"/>
      <c r="H696" s="125"/>
      <c r="I696" s="126"/>
      <c r="J696" s="127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  <c r="AA696" s="119"/>
      <c r="AB696" s="119"/>
      <c r="AC696" s="119"/>
      <c r="AD696" s="119"/>
      <c r="AE696" s="119"/>
      <c r="AF696" s="119"/>
      <c r="AG696" s="119"/>
      <c r="AH696" s="119"/>
      <c r="AI696" s="119"/>
      <c r="AJ696" s="119"/>
      <c r="AK696" s="119"/>
      <c r="AL696" s="119"/>
      <c r="AM696" s="119"/>
      <c r="AN696" s="119"/>
      <c r="AO696" s="119"/>
      <c r="AP696" s="119"/>
      <c r="AQ696" s="119"/>
      <c r="AR696" s="119"/>
      <c r="AS696" s="119"/>
      <c r="AT696" s="119"/>
      <c r="AU696" s="119"/>
      <c r="AV696" s="119"/>
      <c r="AW696" s="119"/>
      <c r="AX696" s="119"/>
      <c r="AY696" s="119"/>
      <c r="AZ696" s="119"/>
      <c r="BA696" s="119"/>
      <c r="BB696" s="119"/>
      <c r="BC696" s="119"/>
      <c r="BD696" s="119"/>
      <c r="BE696" s="119"/>
      <c r="BF696" s="119"/>
      <c r="BG696" s="119"/>
      <c r="BH696" s="119"/>
      <c r="BI696" s="119"/>
      <c r="BJ696" s="119"/>
      <c r="BK696" s="119"/>
      <c r="BL696" s="119"/>
      <c r="BM696" s="119"/>
      <c r="BN696" s="119"/>
      <c r="BO696" s="119"/>
      <c r="BP696" s="119"/>
      <c r="BQ696" s="119"/>
      <c r="BR696" s="119"/>
      <c r="BS696" s="119"/>
      <c r="BT696" s="119"/>
      <c r="BU696" s="119"/>
      <c r="BV696" s="119"/>
      <c r="BW696" s="119"/>
      <c r="BX696" s="119"/>
      <c r="BY696" s="119"/>
      <c r="BZ696" s="119"/>
      <c r="CA696" s="119"/>
      <c r="CB696" s="119"/>
      <c r="CC696" s="119"/>
      <c r="CD696" s="119"/>
      <c r="CE696" s="119"/>
      <c r="CF696" s="119"/>
      <c r="CG696" s="119"/>
      <c r="CH696" s="119"/>
      <c r="CI696" s="119"/>
      <c r="CJ696" s="119"/>
      <c r="CK696" s="119"/>
      <c r="CL696" s="119"/>
      <c r="CM696" s="119"/>
      <c r="CN696" s="119"/>
      <c r="CO696" s="119"/>
      <c r="CP696" s="119"/>
      <c r="CQ696" s="119"/>
      <c r="CR696" s="119"/>
      <c r="CS696" s="119"/>
      <c r="CT696" s="119"/>
      <c r="CU696" s="119"/>
      <c r="CV696" s="119"/>
      <c r="CW696" s="119"/>
      <c r="CX696" s="119"/>
      <c r="CY696" s="119"/>
      <c r="CZ696" s="119"/>
      <c r="DA696" s="119"/>
      <c r="DB696" s="119"/>
      <c r="DC696" s="119"/>
      <c r="DD696" s="119"/>
      <c r="DE696" s="119"/>
      <c r="DF696" s="119"/>
      <c r="DG696" s="119"/>
      <c r="DH696" s="119"/>
      <c r="DI696" s="119"/>
      <c r="DJ696" s="119"/>
      <c r="DK696" s="119"/>
      <c r="DL696" s="119"/>
      <c r="DM696" s="119"/>
      <c r="DN696" s="119"/>
      <c r="DO696" s="119"/>
      <c r="DP696" s="119"/>
      <c r="DQ696" s="119"/>
      <c r="DR696" s="119"/>
      <c r="DS696" s="119"/>
      <c r="DT696" s="119"/>
      <c r="DU696" s="119"/>
      <c r="DV696" s="119"/>
      <c r="DW696" s="119"/>
      <c r="DX696" s="119"/>
      <c r="DY696" s="119"/>
      <c r="DZ696" s="119"/>
      <c r="EA696" s="119"/>
      <c r="EB696" s="119"/>
      <c r="EC696" s="119"/>
      <c r="ED696" s="119"/>
      <c r="EE696" s="119"/>
      <c r="EF696" s="119"/>
      <c r="EG696" s="119"/>
      <c r="EH696" s="119"/>
      <c r="EI696" s="119"/>
      <c r="EJ696" s="119"/>
      <c r="EK696" s="119"/>
      <c r="EL696" s="119"/>
      <c r="EM696" s="119"/>
      <c r="EN696" s="119"/>
      <c r="EO696" s="119"/>
      <c r="EP696" s="119"/>
      <c r="EQ696" s="119"/>
      <c r="ER696" s="119"/>
      <c r="ES696" s="119"/>
      <c r="ET696" s="119"/>
      <c r="EU696" s="119"/>
      <c r="EV696" s="119"/>
      <c r="EW696" s="119"/>
      <c r="EX696" s="119"/>
      <c r="EY696" s="119"/>
      <c r="EZ696" s="119"/>
      <c r="FA696" s="119"/>
      <c r="FB696" s="119"/>
      <c r="FC696" s="119"/>
      <c r="FD696" s="119"/>
      <c r="FE696" s="119"/>
      <c r="FF696" s="119"/>
      <c r="FG696" s="119"/>
      <c r="FH696" s="119"/>
      <c r="FI696" s="119"/>
      <c r="FJ696" s="119"/>
      <c r="FK696" s="119"/>
      <c r="FL696" s="119"/>
      <c r="FM696" s="119"/>
      <c r="FN696" s="119"/>
      <c r="FO696" s="119"/>
      <c r="FP696" s="119"/>
      <c r="FQ696" s="119"/>
      <c r="FR696" s="119"/>
    </row>
    <row x14ac:dyDescent="0.25" r="697" customHeight="1" ht="15">
      <c r="A697" s="121"/>
      <c r="B697" s="121"/>
      <c r="C697" s="122"/>
      <c r="D697" s="122"/>
      <c r="E697" s="123"/>
      <c r="F697" s="123"/>
      <c r="G697" s="124"/>
      <c r="H697" s="125"/>
      <c r="I697" s="126"/>
      <c r="J697" s="127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  <c r="AA697" s="119"/>
      <c r="AB697" s="119"/>
      <c r="AC697" s="119"/>
      <c r="AD697" s="119"/>
      <c r="AE697" s="119"/>
      <c r="AF697" s="119"/>
      <c r="AG697" s="119"/>
      <c r="AH697" s="119"/>
      <c r="AI697" s="119"/>
      <c r="AJ697" s="119"/>
      <c r="AK697" s="119"/>
      <c r="AL697" s="119"/>
      <c r="AM697" s="119"/>
      <c r="AN697" s="119"/>
      <c r="AO697" s="119"/>
      <c r="AP697" s="119"/>
      <c r="AQ697" s="119"/>
      <c r="AR697" s="119"/>
      <c r="AS697" s="119"/>
      <c r="AT697" s="119"/>
      <c r="AU697" s="119"/>
      <c r="AV697" s="119"/>
      <c r="AW697" s="119"/>
      <c r="AX697" s="119"/>
      <c r="AY697" s="119"/>
      <c r="AZ697" s="119"/>
      <c r="BA697" s="119"/>
      <c r="BB697" s="119"/>
      <c r="BC697" s="119"/>
      <c r="BD697" s="119"/>
      <c r="BE697" s="119"/>
      <c r="BF697" s="119"/>
      <c r="BG697" s="119"/>
      <c r="BH697" s="119"/>
      <c r="BI697" s="119"/>
      <c r="BJ697" s="119"/>
      <c r="BK697" s="119"/>
      <c r="BL697" s="119"/>
      <c r="BM697" s="119"/>
      <c r="BN697" s="119"/>
      <c r="BO697" s="119"/>
      <c r="BP697" s="119"/>
      <c r="BQ697" s="119"/>
      <c r="BR697" s="119"/>
      <c r="BS697" s="119"/>
      <c r="BT697" s="119"/>
      <c r="BU697" s="119"/>
      <c r="BV697" s="119"/>
      <c r="BW697" s="119"/>
      <c r="BX697" s="119"/>
      <c r="BY697" s="119"/>
      <c r="BZ697" s="119"/>
      <c r="CA697" s="119"/>
      <c r="CB697" s="119"/>
      <c r="CC697" s="119"/>
      <c r="CD697" s="119"/>
      <c r="CE697" s="119"/>
      <c r="CF697" s="119"/>
      <c r="CG697" s="119"/>
      <c r="CH697" s="119"/>
      <c r="CI697" s="119"/>
      <c r="CJ697" s="119"/>
      <c r="CK697" s="119"/>
      <c r="CL697" s="119"/>
      <c r="CM697" s="119"/>
      <c r="CN697" s="119"/>
      <c r="CO697" s="119"/>
      <c r="CP697" s="119"/>
      <c r="CQ697" s="119"/>
      <c r="CR697" s="119"/>
      <c r="CS697" s="119"/>
      <c r="CT697" s="119"/>
      <c r="CU697" s="119"/>
      <c r="CV697" s="119"/>
      <c r="CW697" s="119"/>
      <c r="CX697" s="119"/>
      <c r="CY697" s="119"/>
      <c r="CZ697" s="119"/>
      <c r="DA697" s="119"/>
      <c r="DB697" s="119"/>
      <c r="DC697" s="119"/>
      <c r="DD697" s="119"/>
      <c r="DE697" s="119"/>
      <c r="DF697" s="119"/>
      <c r="DG697" s="119"/>
      <c r="DH697" s="119"/>
      <c r="DI697" s="119"/>
      <c r="DJ697" s="119"/>
      <c r="DK697" s="119"/>
      <c r="DL697" s="119"/>
      <c r="DM697" s="119"/>
      <c r="DN697" s="119"/>
      <c r="DO697" s="119"/>
      <c r="DP697" s="119"/>
      <c r="DQ697" s="119"/>
      <c r="DR697" s="119"/>
      <c r="DS697" s="119"/>
      <c r="DT697" s="119"/>
      <c r="DU697" s="119"/>
      <c r="DV697" s="119"/>
      <c r="DW697" s="119"/>
      <c r="DX697" s="119"/>
      <c r="DY697" s="119"/>
      <c r="DZ697" s="119"/>
      <c r="EA697" s="119"/>
      <c r="EB697" s="119"/>
      <c r="EC697" s="119"/>
      <c r="ED697" s="119"/>
      <c r="EE697" s="119"/>
      <c r="EF697" s="119"/>
      <c r="EG697" s="119"/>
      <c r="EH697" s="119"/>
      <c r="EI697" s="119"/>
      <c r="EJ697" s="119"/>
      <c r="EK697" s="119"/>
      <c r="EL697" s="119"/>
      <c r="EM697" s="119"/>
      <c r="EN697" s="119"/>
      <c r="EO697" s="119"/>
      <c r="EP697" s="119"/>
      <c r="EQ697" s="119"/>
      <c r="ER697" s="119"/>
      <c r="ES697" s="119"/>
      <c r="ET697" s="119"/>
      <c r="EU697" s="119"/>
      <c r="EV697" s="119"/>
      <c r="EW697" s="119"/>
      <c r="EX697" s="119"/>
      <c r="EY697" s="119"/>
      <c r="EZ697" s="119"/>
      <c r="FA697" s="119"/>
      <c r="FB697" s="119"/>
      <c r="FC697" s="119"/>
      <c r="FD697" s="119"/>
      <c r="FE697" s="119"/>
      <c r="FF697" s="119"/>
      <c r="FG697" s="119"/>
      <c r="FH697" s="119"/>
      <c r="FI697" s="119"/>
      <c r="FJ697" s="119"/>
      <c r="FK697" s="119"/>
      <c r="FL697" s="119"/>
      <c r="FM697" s="119"/>
      <c r="FN697" s="119"/>
      <c r="FO697" s="119"/>
      <c r="FP697" s="119"/>
      <c r="FQ697" s="119"/>
      <c r="FR697" s="119"/>
    </row>
    <row x14ac:dyDescent="0.25" r="698" customHeight="1" ht="15">
      <c r="A698" s="121"/>
      <c r="B698" s="121"/>
      <c r="C698" s="122"/>
      <c r="D698" s="122"/>
      <c r="E698" s="123"/>
      <c r="F698" s="123"/>
      <c r="G698" s="124"/>
      <c r="H698" s="125"/>
      <c r="I698" s="126"/>
      <c r="J698" s="127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  <c r="AA698" s="119"/>
      <c r="AB698" s="119"/>
      <c r="AC698" s="119"/>
      <c r="AD698" s="119"/>
      <c r="AE698" s="119"/>
      <c r="AF698" s="119"/>
      <c r="AG698" s="119"/>
      <c r="AH698" s="119"/>
      <c r="AI698" s="119"/>
      <c r="AJ698" s="119"/>
      <c r="AK698" s="119"/>
      <c r="AL698" s="119"/>
      <c r="AM698" s="119"/>
      <c r="AN698" s="119"/>
      <c r="AO698" s="119"/>
      <c r="AP698" s="119"/>
      <c r="AQ698" s="119"/>
      <c r="AR698" s="119"/>
      <c r="AS698" s="119"/>
      <c r="AT698" s="119"/>
      <c r="AU698" s="119"/>
      <c r="AV698" s="119"/>
      <c r="AW698" s="119"/>
      <c r="AX698" s="119"/>
      <c r="AY698" s="119"/>
      <c r="AZ698" s="119"/>
      <c r="BA698" s="119"/>
      <c r="BB698" s="119"/>
      <c r="BC698" s="119"/>
      <c r="BD698" s="119"/>
      <c r="BE698" s="119"/>
      <c r="BF698" s="119"/>
      <c r="BG698" s="119"/>
      <c r="BH698" s="119"/>
      <c r="BI698" s="119"/>
      <c r="BJ698" s="119"/>
      <c r="BK698" s="119"/>
      <c r="BL698" s="119"/>
      <c r="BM698" s="119"/>
      <c r="BN698" s="119"/>
      <c r="BO698" s="119"/>
      <c r="BP698" s="119"/>
      <c r="BQ698" s="119"/>
      <c r="BR698" s="119"/>
      <c r="BS698" s="119"/>
      <c r="BT698" s="119"/>
      <c r="BU698" s="119"/>
      <c r="BV698" s="119"/>
      <c r="BW698" s="119"/>
      <c r="BX698" s="119"/>
      <c r="BY698" s="119"/>
      <c r="BZ698" s="119"/>
      <c r="CA698" s="119"/>
      <c r="CB698" s="119"/>
      <c r="CC698" s="119"/>
      <c r="CD698" s="119"/>
      <c r="CE698" s="119"/>
      <c r="CF698" s="119"/>
      <c r="CG698" s="119"/>
      <c r="CH698" s="119"/>
      <c r="CI698" s="119"/>
      <c r="CJ698" s="119"/>
      <c r="CK698" s="119"/>
      <c r="CL698" s="119"/>
      <c r="CM698" s="119"/>
      <c r="CN698" s="119"/>
      <c r="CO698" s="119"/>
      <c r="CP698" s="119"/>
      <c r="CQ698" s="119"/>
      <c r="CR698" s="119"/>
      <c r="CS698" s="119"/>
      <c r="CT698" s="119"/>
      <c r="CU698" s="119"/>
      <c r="CV698" s="119"/>
      <c r="CW698" s="119"/>
      <c r="CX698" s="119"/>
      <c r="CY698" s="119"/>
      <c r="CZ698" s="119"/>
      <c r="DA698" s="119"/>
      <c r="DB698" s="119"/>
      <c r="DC698" s="119"/>
      <c r="DD698" s="119"/>
      <c r="DE698" s="119"/>
      <c r="DF698" s="119"/>
      <c r="DG698" s="119"/>
      <c r="DH698" s="119"/>
      <c r="DI698" s="119"/>
      <c r="DJ698" s="119"/>
      <c r="DK698" s="119"/>
      <c r="DL698" s="119"/>
      <c r="DM698" s="119"/>
      <c r="DN698" s="119"/>
      <c r="DO698" s="119"/>
      <c r="DP698" s="119"/>
      <c r="DQ698" s="119"/>
      <c r="DR698" s="119"/>
      <c r="DS698" s="119"/>
      <c r="DT698" s="119"/>
      <c r="DU698" s="119"/>
      <c r="DV698" s="119"/>
      <c r="DW698" s="119"/>
      <c r="DX698" s="119"/>
      <c r="DY698" s="119"/>
      <c r="DZ698" s="119"/>
      <c r="EA698" s="119"/>
      <c r="EB698" s="119"/>
      <c r="EC698" s="119"/>
      <c r="ED698" s="119"/>
      <c r="EE698" s="119"/>
      <c r="EF698" s="119"/>
      <c r="EG698" s="119"/>
      <c r="EH698" s="119"/>
      <c r="EI698" s="119"/>
      <c r="EJ698" s="119"/>
      <c r="EK698" s="119"/>
      <c r="EL698" s="119"/>
      <c r="EM698" s="119"/>
      <c r="EN698" s="119"/>
      <c r="EO698" s="119"/>
      <c r="EP698" s="119"/>
      <c r="EQ698" s="119"/>
      <c r="ER698" s="119"/>
      <c r="ES698" s="119"/>
      <c r="ET698" s="119"/>
      <c r="EU698" s="119"/>
      <c r="EV698" s="119"/>
      <c r="EW698" s="119"/>
      <c r="EX698" s="119"/>
      <c r="EY698" s="119"/>
      <c r="EZ698" s="119"/>
      <c r="FA698" s="119"/>
      <c r="FB698" s="119"/>
      <c r="FC698" s="119"/>
      <c r="FD698" s="119"/>
      <c r="FE698" s="119"/>
      <c r="FF698" s="119"/>
      <c r="FG698" s="119"/>
      <c r="FH698" s="119"/>
      <c r="FI698" s="119"/>
      <c r="FJ698" s="119"/>
      <c r="FK698" s="119"/>
      <c r="FL698" s="119"/>
      <c r="FM698" s="119"/>
      <c r="FN698" s="119"/>
      <c r="FO698" s="119"/>
      <c r="FP698" s="119"/>
      <c r="FQ698" s="119"/>
      <c r="FR698" s="119"/>
    </row>
    <row x14ac:dyDescent="0.25" r="699" customHeight="1" ht="15">
      <c r="A699" s="121"/>
      <c r="B699" s="121"/>
      <c r="C699" s="122"/>
      <c r="D699" s="122"/>
      <c r="E699" s="123"/>
      <c r="F699" s="123"/>
      <c r="G699" s="124"/>
      <c r="H699" s="125"/>
      <c r="I699" s="126"/>
      <c r="J699" s="127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  <c r="AA699" s="119"/>
      <c r="AB699" s="119"/>
      <c r="AC699" s="119"/>
      <c r="AD699" s="119"/>
      <c r="AE699" s="119"/>
      <c r="AF699" s="119"/>
      <c r="AG699" s="119"/>
      <c r="AH699" s="119"/>
      <c r="AI699" s="119"/>
      <c r="AJ699" s="119"/>
      <c r="AK699" s="119"/>
      <c r="AL699" s="119"/>
      <c r="AM699" s="119"/>
      <c r="AN699" s="119"/>
      <c r="AO699" s="119"/>
      <c r="AP699" s="119"/>
      <c r="AQ699" s="119"/>
      <c r="AR699" s="119"/>
      <c r="AS699" s="119"/>
      <c r="AT699" s="119"/>
      <c r="AU699" s="119"/>
      <c r="AV699" s="119"/>
      <c r="AW699" s="119"/>
      <c r="AX699" s="119"/>
      <c r="AY699" s="119"/>
      <c r="AZ699" s="119"/>
      <c r="BA699" s="119"/>
      <c r="BB699" s="119"/>
      <c r="BC699" s="119"/>
      <c r="BD699" s="119"/>
      <c r="BE699" s="119"/>
      <c r="BF699" s="119"/>
      <c r="BG699" s="119"/>
      <c r="BH699" s="119"/>
      <c r="BI699" s="119"/>
      <c r="BJ699" s="119"/>
      <c r="BK699" s="119"/>
      <c r="BL699" s="119"/>
      <c r="BM699" s="119"/>
      <c r="BN699" s="119"/>
      <c r="BO699" s="119"/>
      <c r="BP699" s="119"/>
      <c r="BQ699" s="119"/>
      <c r="BR699" s="119"/>
      <c r="BS699" s="119"/>
      <c r="BT699" s="119"/>
      <c r="BU699" s="119"/>
      <c r="BV699" s="119"/>
      <c r="BW699" s="119"/>
      <c r="BX699" s="119"/>
      <c r="BY699" s="119"/>
      <c r="BZ699" s="119"/>
      <c r="CA699" s="119"/>
      <c r="CB699" s="119"/>
      <c r="CC699" s="119"/>
      <c r="CD699" s="119"/>
      <c r="CE699" s="119"/>
      <c r="CF699" s="119"/>
      <c r="CG699" s="119"/>
      <c r="CH699" s="119"/>
      <c r="CI699" s="119"/>
      <c r="CJ699" s="119"/>
      <c r="CK699" s="119"/>
      <c r="CL699" s="119"/>
      <c r="CM699" s="119"/>
      <c r="CN699" s="119"/>
      <c r="CO699" s="119"/>
      <c r="CP699" s="119"/>
      <c r="CQ699" s="119"/>
      <c r="CR699" s="119"/>
      <c r="CS699" s="119"/>
      <c r="CT699" s="119"/>
      <c r="CU699" s="119"/>
      <c r="CV699" s="119"/>
      <c r="CW699" s="119"/>
      <c r="CX699" s="119"/>
      <c r="CY699" s="119"/>
      <c r="CZ699" s="119"/>
      <c r="DA699" s="119"/>
      <c r="DB699" s="119"/>
      <c r="DC699" s="119"/>
      <c r="DD699" s="119"/>
      <c r="DE699" s="119"/>
      <c r="DF699" s="119"/>
      <c r="DG699" s="119"/>
      <c r="DH699" s="119"/>
      <c r="DI699" s="119"/>
      <c r="DJ699" s="119"/>
      <c r="DK699" s="119"/>
      <c r="DL699" s="119"/>
      <c r="DM699" s="119"/>
      <c r="DN699" s="119"/>
      <c r="DO699" s="119"/>
      <c r="DP699" s="119"/>
      <c r="DQ699" s="119"/>
      <c r="DR699" s="119"/>
      <c r="DS699" s="119"/>
      <c r="DT699" s="119"/>
      <c r="DU699" s="119"/>
      <c r="DV699" s="119"/>
      <c r="DW699" s="119"/>
      <c r="DX699" s="119"/>
      <c r="DY699" s="119"/>
      <c r="DZ699" s="119"/>
      <c r="EA699" s="119"/>
      <c r="EB699" s="119"/>
      <c r="EC699" s="119"/>
      <c r="ED699" s="119"/>
      <c r="EE699" s="119"/>
      <c r="EF699" s="119"/>
      <c r="EG699" s="119"/>
      <c r="EH699" s="119"/>
      <c r="EI699" s="119"/>
      <c r="EJ699" s="119"/>
      <c r="EK699" s="119"/>
      <c r="EL699" s="119"/>
      <c r="EM699" s="119"/>
      <c r="EN699" s="119"/>
      <c r="EO699" s="119"/>
      <c r="EP699" s="119"/>
      <c r="EQ699" s="119"/>
      <c r="ER699" s="119"/>
      <c r="ES699" s="119"/>
      <c r="ET699" s="119"/>
      <c r="EU699" s="119"/>
      <c r="EV699" s="119"/>
      <c r="EW699" s="119"/>
      <c r="EX699" s="119"/>
      <c r="EY699" s="119"/>
      <c r="EZ699" s="119"/>
      <c r="FA699" s="119"/>
      <c r="FB699" s="119"/>
      <c r="FC699" s="119"/>
      <c r="FD699" s="119"/>
      <c r="FE699" s="119"/>
      <c r="FF699" s="119"/>
      <c r="FG699" s="119"/>
      <c r="FH699" s="119"/>
      <c r="FI699" s="119"/>
      <c r="FJ699" s="119"/>
      <c r="FK699" s="119"/>
      <c r="FL699" s="119"/>
      <c r="FM699" s="119"/>
      <c r="FN699" s="119"/>
      <c r="FO699" s="119"/>
      <c r="FP699" s="119"/>
      <c r="FQ699" s="119"/>
      <c r="FR699" s="119"/>
    </row>
    <row x14ac:dyDescent="0.25" r="700" customHeight="1" ht="15">
      <c r="A700" s="121"/>
      <c r="B700" s="121"/>
      <c r="C700" s="122"/>
      <c r="D700" s="122"/>
      <c r="E700" s="123"/>
      <c r="F700" s="123"/>
      <c r="G700" s="124"/>
      <c r="H700" s="125"/>
      <c r="I700" s="126"/>
      <c r="J700" s="127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  <c r="AA700" s="119"/>
      <c r="AB700" s="119"/>
      <c r="AC700" s="119"/>
      <c r="AD700" s="119"/>
      <c r="AE700" s="119"/>
      <c r="AF700" s="119"/>
      <c r="AG700" s="119"/>
      <c r="AH700" s="119"/>
      <c r="AI700" s="119"/>
      <c r="AJ700" s="119"/>
      <c r="AK700" s="119"/>
      <c r="AL700" s="119"/>
      <c r="AM700" s="119"/>
      <c r="AN700" s="119"/>
      <c r="AO700" s="119"/>
      <c r="AP700" s="119"/>
      <c r="AQ700" s="119"/>
      <c r="AR700" s="119"/>
      <c r="AS700" s="119"/>
      <c r="AT700" s="119"/>
      <c r="AU700" s="119"/>
      <c r="AV700" s="119"/>
      <c r="AW700" s="119"/>
      <c r="AX700" s="119"/>
      <c r="AY700" s="119"/>
      <c r="AZ700" s="119"/>
      <c r="BA700" s="119"/>
      <c r="BB700" s="119"/>
      <c r="BC700" s="119"/>
      <c r="BD700" s="119"/>
      <c r="BE700" s="119"/>
      <c r="BF700" s="119"/>
      <c r="BG700" s="119"/>
      <c r="BH700" s="119"/>
      <c r="BI700" s="119"/>
      <c r="BJ700" s="119"/>
      <c r="BK700" s="119"/>
      <c r="BL700" s="119"/>
      <c r="BM700" s="119"/>
      <c r="BN700" s="119"/>
      <c r="BO700" s="119"/>
      <c r="BP700" s="119"/>
      <c r="BQ700" s="119"/>
      <c r="BR700" s="119"/>
      <c r="BS700" s="119"/>
      <c r="BT700" s="119"/>
      <c r="BU700" s="119"/>
      <c r="BV700" s="119"/>
      <c r="BW700" s="119"/>
      <c r="BX700" s="119"/>
      <c r="BY700" s="119"/>
      <c r="BZ700" s="119"/>
      <c r="CA700" s="119"/>
      <c r="CB700" s="119"/>
      <c r="CC700" s="119"/>
      <c r="CD700" s="119"/>
      <c r="CE700" s="119"/>
      <c r="CF700" s="119"/>
      <c r="CG700" s="119"/>
      <c r="CH700" s="119"/>
      <c r="CI700" s="119"/>
      <c r="CJ700" s="119"/>
      <c r="CK700" s="119"/>
      <c r="CL700" s="119"/>
      <c r="CM700" s="119"/>
      <c r="CN700" s="119"/>
      <c r="CO700" s="119"/>
      <c r="CP700" s="119"/>
      <c r="CQ700" s="119"/>
      <c r="CR700" s="119"/>
      <c r="CS700" s="119"/>
      <c r="CT700" s="119"/>
      <c r="CU700" s="119"/>
      <c r="CV700" s="119"/>
      <c r="CW700" s="119"/>
      <c r="CX700" s="119"/>
      <c r="CY700" s="119"/>
      <c r="CZ700" s="119"/>
      <c r="DA700" s="119"/>
      <c r="DB700" s="119"/>
      <c r="DC700" s="119"/>
      <c r="DD700" s="119"/>
      <c r="DE700" s="119"/>
      <c r="DF700" s="119"/>
      <c r="DG700" s="119"/>
      <c r="DH700" s="119"/>
      <c r="DI700" s="119"/>
      <c r="DJ700" s="119"/>
      <c r="DK700" s="119"/>
      <c r="DL700" s="119"/>
      <c r="DM700" s="119"/>
      <c r="DN700" s="119"/>
      <c r="DO700" s="119"/>
      <c r="DP700" s="119"/>
      <c r="DQ700" s="119"/>
      <c r="DR700" s="119"/>
      <c r="DS700" s="119"/>
      <c r="DT700" s="119"/>
      <c r="DU700" s="119"/>
      <c r="DV700" s="119"/>
      <c r="DW700" s="119"/>
      <c r="DX700" s="119"/>
      <c r="DY700" s="119"/>
      <c r="DZ700" s="119"/>
      <c r="EA700" s="119"/>
      <c r="EB700" s="119"/>
      <c r="EC700" s="119"/>
      <c r="ED700" s="119"/>
      <c r="EE700" s="119"/>
      <c r="EF700" s="119"/>
      <c r="EG700" s="119"/>
      <c r="EH700" s="119"/>
      <c r="EI700" s="119"/>
      <c r="EJ700" s="119"/>
      <c r="EK700" s="119"/>
      <c r="EL700" s="119"/>
      <c r="EM700" s="119"/>
      <c r="EN700" s="119"/>
      <c r="EO700" s="119"/>
      <c r="EP700" s="119"/>
      <c r="EQ700" s="119"/>
      <c r="ER700" s="119"/>
      <c r="ES700" s="119"/>
      <c r="ET700" s="119"/>
      <c r="EU700" s="119"/>
      <c r="EV700" s="119"/>
      <c r="EW700" s="119"/>
      <c r="EX700" s="119"/>
      <c r="EY700" s="119"/>
      <c r="EZ700" s="119"/>
      <c r="FA700" s="119"/>
      <c r="FB700" s="119"/>
      <c r="FC700" s="119"/>
      <c r="FD700" s="119"/>
      <c r="FE700" s="119"/>
      <c r="FF700" s="119"/>
      <c r="FG700" s="119"/>
      <c r="FH700" s="119"/>
      <c r="FI700" s="119"/>
      <c r="FJ700" s="119"/>
      <c r="FK700" s="119"/>
      <c r="FL700" s="119"/>
      <c r="FM700" s="119"/>
      <c r="FN700" s="119"/>
      <c r="FO700" s="119"/>
      <c r="FP700" s="119"/>
      <c r="FQ700" s="119"/>
      <c r="FR700" s="119"/>
    </row>
    <row x14ac:dyDescent="0.25" r="701" customHeight="1" ht="15">
      <c r="A701" s="121"/>
      <c r="B701" s="121"/>
      <c r="C701" s="122"/>
      <c r="D701" s="122"/>
      <c r="E701" s="123"/>
      <c r="F701" s="123"/>
      <c r="G701" s="124"/>
      <c r="H701" s="125"/>
      <c r="I701" s="126"/>
      <c r="J701" s="127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  <c r="AA701" s="119"/>
      <c r="AB701" s="119"/>
      <c r="AC701" s="119"/>
      <c r="AD701" s="119"/>
      <c r="AE701" s="119"/>
      <c r="AF701" s="119"/>
      <c r="AG701" s="119"/>
      <c r="AH701" s="119"/>
      <c r="AI701" s="119"/>
      <c r="AJ701" s="119"/>
      <c r="AK701" s="119"/>
      <c r="AL701" s="119"/>
      <c r="AM701" s="119"/>
      <c r="AN701" s="119"/>
      <c r="AO701" s="119"/>
      <c r="AP701" s="119"/>
      <c r="AQ701" s="119"/>
      <c r="AR701" s="119"/>
      <c r="AS701" s="119"/>
      <c r="AT701" s="119"/>
      <c r="AU701" s="119"/>
      <c r="AV701" s="119"/>
      <c r="AW701" s="119"/>
      <c r="AX701" s="119"/>
      <c r="AY701" s="119"/>
      <c r="AZ701" s="119"/>
      <c r="BA701" s="119"/>
      <c r="BB701" s="119"/>
      <c r="BC701" s="119"/>
      <c r="BD701" s="119"/>
      <c r="BE701" s="119"/>
      <c r="BF701" s="119"/>
      <c r="BG701" s="119"/>
      <c r="BH701" s="119"/>
      <c r="BI701" s="119"/>
      <c r="BJ701" s="119"/>
      <c r="BK701" s="119"/>
      <c r="BL701" s="119"/>
      <c r="BM701" s="119"/>
      <c r="BN701" s="119"/>
      <c r="BO701" s="119"/>
      <c r="BP701" s="119"/>
      <c r="BQ701" s="119"/>
      <c r="BR701" s="119"/>
      <c r="BS701" s="119"/>
      <c r="BT701" s="119"/>
      <c r="BU701" s="119"/>
      <c r="BV701" s="119"/>
      <c r="BW701" s="119"/>
      <c r="BX701" s="119"/>
      <c r="BY701" s="119"/>
      <c r="BZ701" s="119"/>
      <c r="CA701" s="119"/>
      <c r="CB701" s="119"/>
      <c r="CC701" s="119"/>
      <c r="CD701" s="119"/>
      <c r="CE701" s="119"/>
      <c r="CF701" s="119"/>
      <c r="CG701" s="119"/>
      <c r="CH701" s="119"/>
      <c r="CI701" s="119"/>
      <c r="CJ701" s="119"/>
      <c r="CK701" s="119"/>
      <c r="CL701" s="119"/>
      <c r="CM701" s="119"/>
      <c r="CN701" s="119"/>
      <c r="CO701" s="119"/>
      <c r="CP701" s="119"/>
      <c r="CQ701" s="119"/>
      <c r="CR701" s="119"/>
      <c r="CS701" s="119"/>
      <c r="CT701" s="119"/>
      <c r="CU701" s="119"/>
      <c r="CV701" s="119"/>
      <c r="CW701" s="119"/>
      <c r="CX701" s="119"/>
      <c r="CY701" s="119"/>
      <c r="CZ701" s="119"/>
      <c r="DA701" s="119"/>
      <c r="DB701" s="119"/>
      <c r="DC701" s="119"/>
      <c r="DD701" s="119"/>
      <c r="DE701" s="119"/>
      <c r="DF701" s="119"/>
      <c r="DG701" s="119"/>
      <c r="DH701" s="119"/>
      <c r="DI701" s="119"/>
      <c r="DJ701" s="119"/>
      <c r="DK701" s="119"/>
      <c r="DL701" s="119"/>
      <c r="DM701" s="119"/>
      <c r="DN701" s="119"/>
      <c r="DO701" s="119"/>
      <c r="DP701" s="119"/>
      <c r="DQ701" s="119"/>
      <c r="DR701" s="119"/>
      <c r="DS701" s="119"/>
      <c r="DT701" s="119"/>
      <c r="DU701" s="119"/>
      <c r="DV701" s="119"/>
      <c r="DW701" s="119"/>
      <c r="DX701" s="119"/>
      <c r="DY701" s="119"/>
      <c r="DZ701" s="119"/>
      <c r="EA701" s="119"/>
      <c r="EB701" s="119"/>
      <c r="EC701" s="119"/>
      <c r="ED701" s="119"/>
      <c r="EE701" s="119"/>
      <c r="EF701" s="119"/>
      <c r="EG701" s="119"/>
      <c r="EH701" s="119"/>
      <c r="EI701" s="119"/>
      <c r="EJ701" s="119"/>
      <c r="EK701" s="119"/>
      <c r="EL701" s="119"/>
      <c r="EM701" s="119"/>
      <c r="EN701" s="119"/>
      <c r="EO701" s="119"/>
      <c r="EP701" s="119"/>
      <c r="EQ701" s="119"/>
      <c r="ER701" s="119"/>
      <c r="ES701" s="119"/>
      <c r="ET701" s="119"/>
      <c r="EU701" s="119"/>
      <c r="EV701" s="119"/>
      <c r="EW701" s="119"/>
      <c r="EX701" s="119"/>
      <c r="EY701" s="119"/>
      <c r="EZ701" s="119"/>
      <c r="FA701" s="119"/>
      <c r="FB701" s="119"/>
      <c r="FC701" s="119"/>
      <c r="FD701" s="119"/>
      <c r="FE701" s="119"/>
      <c r="FF701" s="119"/>
      <c r="FG701" s="119"/>
      <c r="FH701" s="119"/>
      <c r="FI701" s="119"/>
      <c r="FJ701" s="119"/>
      <c r="FK701" s="119"/>
      <c r="FL701" s="119"/>
      <c r="FM701" s="119"/>
      <c r="FN701" s="119"/>
      <c r="FO701" s="119"/>
      <c r="FP701" s="119"/>
      <c r="FQ701" s="119"/>
      <c r="FR701" s="119"/>
    </row>
    <row x14ac:dyDescent="0.25" r="702" customHeight="1" ht="15">
      <c r="A702" s="121"/>
      <c r="B702" s="121"/>
      <c r="C702" s="122"/>
      <c r="D702" s="122"/>
      <c r="E702" s="123"/>
      <c r="F702" s="123"/>
      <c r="G702" s="124"/>
      <c r="H702" s="125"/>
      <c r="I702" s="126"/>
      <c r="J702" s="127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  <c r="AA702" s="119"/>
      <c r="AB702" s="119"/>
      <c r="AC702" s="119"/>
      <c r="AD702" s="119"/>
      <c r="AE702" s="119"/>
      <c r="AF702" s="119"/>
      <c r="AG702" s="119"/>
      <c r="AH702" s="119"/>
      <c r="AI702" s="119"/>
      <c r="AJ702" s="119"/>
      <c r="AK702" s="119"/>
      <c r="AL702" s="119"/>
      <c r="AM702" s="119"/>
      <c r="AN702" s="119"/>
      <c r="AO702" s="119"/>
      <c r="AP702" s="119"/>
      <c r="AQ702" s="119"/>
      <c r="AR702" s="119"/>
      <c r="AS702" s="119"/>
      <c r="AT702" s="119"/>
      <c r="AU702" s="119"/>
      <c r="AV702" s="119"/>
      <c r="AW702" s="119"/>
      <c r="AX702" s="119"/>
      <c r="AY702" s="119"/>
      <c r="AZ702" s="119"/>
      <c r="BA702" s="119"/>
      <c r="BB702" s="119"/>
      <c r="BC702" s="119"/>
      <c r="BD702" s="119"/>
      <c r="BE702" s="119"/>
      <c r="BF702" s="119"/>
      <c r="BG702" s="119"/>
      <c r="BH702" s="119"/>
      <c r="BI702" s="119"/>
      <c r="BJ702" s="119"/>
      <c r="BK702" s="119"/>
      <c r="BL702" s="119"/>
      <c r="BM702" s="119"/>
      <c r="BN702" s="119"/>
      <c r="BO702" s="119"/>
      <c r="BP702" s="119"/>
      <c r="BQ702" s="119"/>
      <c r="BR702" s="119"/>
      <c r="BS702" s="119"/>
      <c r="BT702" s="119"/>
      <c r="BU702" s="119"/>
      <c r="BV702" s="119"/>
      <c r="BW702" s="119"/>
      <c r="BX702" s="119"/>
      <c r="BY702" s="119"/>
      <c r="BZ702" s="119"/>
      <c r="CA702" s="119"/>
      <c r="CB702" s="119"/>
      <c r="CC702" s="119"/>
      <c r="CD702" s="119"/>
      <c r="CE702" s="119"/>
      <c r="CF702" s="119"/>
      <c r="CG702" s="119"/>
      <c r="CH702" s="119"/>
      <c r="CI702" s="119"/>
      <c r="CJ702" s="119"/>
      <c r="CK702" s="119"/>
      <c r="CL702" s="119"/>
      <c r="CM702" s="119"/>
      <c r="CN702" s="119"/>
      <c r="CO702" s="119"/>
      <c r="CP702" s="119"/>
      <c r="CQ702" s="119"/>
      <c r="CR702" s="119"/>
      <c r="CS702" s="119"/>
      <c r="CT702" s="119"/>
      <c r="CU702" s="119"/>
      <c r="CV702" s="119"/>
      <c r="CW702" s="119"/>
      <c r="CX702" s="119"/>
      <c r="CY702" s="119"/>
      <c r="CZ702" s="119"/>
      <c r="DA702" s="119"/>
      <c r="DB702" s="119"/>
      <c r="DC702" s="119"/>
      <c r="DD702" s="119"/>
      <c r="DE702" s="119"/>
      <c r="DF702" s="119"/>
      <c r="DG702" s="119"/>
      <c r="DH702" s="119"/>
      <c r="DI702" s="119"/>
      <c r="DJ702" s="119"/>
      <c r="DK702" s="119"/>
      <c r="DL702" s="119"/>
      <c r="DM702" s="119"/>
      <c r="DN702" s="119"/>
      <c r="DO702" s="119"/>
      <c r="DP702" s="119"/>
      <c r="DQ702" s="119"/>
      <c r="DR702" s="119"/>
      <c r="DS702" s="119"/>
      <c r="DT702" s="119"/>
      <c r="DU702" s="119"/>
      <c r="DV702" s="119"/>
      <c r="DW702" s="119"/>
      <c r="DX702" s="119"/>
      <c r="DY702" s="119"/>
      <c r="DZ702" s="119"/>
      <c r="EA702" s="119"/>
      <c r="EB702" s="119"/>
      <c r="EC702" s="119"/>
      <c r="ED702" s="119"/>
      <c r="EE702" s="119"/>
      <c r="EF702" s="119"/>
      <c r="EG702" s="119"/>
      <c r="EH702" s="119"/>
      <c r="EI702" s="119"/>
      <c r="EJ702" s="119"/>
      <c r="EK702" s="119"/>
      <c r="EL702" s="119"/>
      <c r="EM702" s="119"/>
      <c r="EN702" s="119"/>
      <c r="EO702" s="119"/>
      <c r="EP702" s="119"/>
      <c r="EQ702" s="119"/>
      <c r="ER702" s="119"/>
      <c r="ES702" s="119"/>
      <c r="ET702" s="119"/>
      <c r="EU702" s="119"/>
      <c r="EV702" s="119"/>
      <c r="EW702" s="119"/>
      <c r="EX702" s="119"/>
      <c r="EY702" s="119"/>
      <c r="EZ702" s="119"/>
      <c r="FA702" s="119"/>
      <c r="FB702" s="119"/>
      <c r="FC702" s="119"/>
      <c r="FD702" s="119"/>
      <c r="FE702" s="119"/>
      <c r="FF702" s="119"/>
      <c r="FG702" s="119"/>
      <c r="FH702" s="119"/>
      <c r="FI702" s="119"/>
      <c r="FJ702" s="119"/>
      <c r="FK702" s="119"/>
      <c r="FL702" s="119"/>
      <c r="FM702" s="119"/>
      <c r="FN702" s="119"/>
      <c r="FO702" s="119"/>
      <c r="FP702" s="119"/>
      <c r="FQ702" s="119"/>
      <c r="FR702" s="119"/>
    </row>
    <row x14ac:dyDescent="0.25" r="703" customHeight="1" ht="15">
      <c r="A703" s="121"/>
      <c r="B703" s="121"/>
      <c r="C703" s="122"/>
      <c r="D703" s="122"/>
      <c r="E703" s="123"/>
      <c r="F703" s="123"/>
      <c r="G703" s="124"/>
      <c r="H703" s="125"/>
      <c r="I703" s="126"/>
      <c r="J703" s="127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  <c r="AA703" s="119"/>
      <c r="AB703" s="119"/>
      <c r="AC703" s="119"/>
      <c r="AD703" s="119"/>
      <c r="AE703" s="119"/>
      <c r="AF703" s="119"/>
      <c r="AG703" s="119"/>
      <c r="AH703" s="119"/>
      <c r="AI703" s="119"/>
      <c r="AJ703" s="119"/>
      <c r="AK703" s="119"/>
      <c r="AL703" s="119"/>
      <c r="AM703" s="119"/>
      <c r="AN703" s="119"/>
      <c r="AO703" s="119"/>
      <c r="AP703" s="119"/>
      <c r="AQ703" s="119"/>
      <c r="AR703" s="119"/>
      <c r="AS703" s="119"/>
      <c r="AT703" s="119"/>
      <c r="AU703" s="119"/>
      <c r="AV703" s="119"/>
      <c r="AW703" s="119"/>
      <c r="AX703" s="119"/>
      <c r="AY703" s="119"/>
      <c r="AZ703" s="119"/>
      <c r="BA703" s="119"/>
      <c r="BB703" s="119"/>
      <c r="BC703" s="119"/>
      <c r="BD703" s="119"/>
      <c r="BE703" s="119"/>
      <c r="BF703" s="119"/>
      <c r="BG703" s="119"/>
      <c r="BH703" s="119"/>
      <c r="BI703" s="119"/>
      <c r="BJ703" s="119"/>
      <c r="BK703" s="119"/>
      <c r="BL703" s="119"/>
      <c r="BM703" s="119"/>
      <c r="BN703" s="119"/>
      <c r="BO703" s="119"/>
      <c r="BP703" s="119"/>
      <c r="BQ703" s="119"/>
      <c r="BR703" s="119"/>
      <c r="BS703" s="119"/>
      <c r="BT703" s="119"/>
      <c r="BU703" s="119"/>
      <c r="BV703" s="119"/>
      <c r="BW703" s="119"/>
      <c r="BX703" s="119"/>
      <c r="BY703" s="119"/>
      <c r="BZ703" s="119"/>
      <c r="CA703" s="119"/>
      <c r="CB703" s="119"/>
      <c r="CC703" s="119"/>
      <c r="CD703" s="119"/>
      <c r="CE703" s="119"/>
      <c r="CF703" s="119"/>
      <c r="CG703" s="119"/>
      <c r="CH703" s="119"/>
      <c r="CI703" s="119"/>
      <c r="CJ703" s="119"/>
      <c r="CK703" s="119"/>
      <c r="CL703" s="119"/>
      <c r="CM703" s="119"/>
      <c r="CN703" s="119"/>
      <c r="CO703" s="119"/>
      <c r="CP703" s="119"/>
      <c r="CQ703" s="119"/>
      <c r="CR703" s="119"/>
      <c r="CS703" s="119"/>
      <c r="CT703" s="119"/>
      <c r="CU703" s="119"/>
      <c r="CV703" s="119"/>
      <c r="CW703" s="119"/>
      <c r="CX703" s="119"/>
      <c r="CY703" s="119"/>
      <c r="CZ703" s="119"/>
      <c r="DA703" s="119"/>
      <c r="DB703" s="119"/>
      <c r="DC703" s="119"/>
      <c r="DD703" s="119"/>
      <c r="DE703" s="119"/>
      <c r="DF703" s="119"/>
      <c r="DG703" s="119"/>
      <c r="DH703" s="119"/>
      <c r="DI703" s="119"/>
      <c r="DJ703" s="119"/>
      <c r="DK703" s="119"/>
      <c r="DL703" s="119"/>
      <c r="DM703" s="119"/>
      <c r="DN703" s="119"/>
      <c r="DO703" s="119"/>
      <c r="DP703" s="119"/>
      <c r="DQ703" s="119"/>
      <c r="DR703" s="119"/>
      <c r="DS703" s="119"/>
      <c r="DT703" s="119"/>
      <c r="DU703" s="119"/>
      <c r="DV703" s="119"/>
      <c r="DW703" s="119"/>
      <c r="DX703" s="119"/>
      <c r="DY703" s="119"/>
      <c r="DZ703" s="119"/>
      <c r="EA703" s="119"/>
      <c r="EB703" s="119"/>
      <c r="EC703" s="119"/>
      <c r="ED703" s="119"/>
      <c r="EE703" s="119"/>
      <c r="EF703" s="119"/>
      <c r="EG703" s="119"/>
      <c r="EH703" s="119"/>
      <c r="EI703" s="119"/>
      <c r="EJ703" s="119"/>
      <c r="EK703" s="119"/>
      <c r="EL703" s="119"/>
      <c r="EM703" s="119"/>
      <c r="EN703" s="119"/>
      <c r="EO703" s="119"/>
      <c r="EP703" s="119"/>
      <c r="EQ703" s="119"/>
      <c r="ER703" s="119"/>
      <c r="ES703" s="119"/>
      <c r="ET703" s="119"/>
      <c r="EU703" s="119"/>
      <c r="EV703" s="119"/>
      <c r="EW703" s="119"/>
      <c r="EX703" s="119"/>
      <c r="EY703" s="119"/>
      <c r="EZ703" s="119"/>
      <c r="FA703" s="119"/>
      <c r="FB703" s="119"/>
      <c r="FC703" s="119"/>
      <c r="FD703" s="119"/>
      <c r="FE703" s="119"/>
      <c r="FF703" s="119"/>
      <c r="FG703" s="119"/>
      <c r="FH703" s="119"/>
      <c r="FI703" s="119"/>
      <c r="FJ703" s="119"/>
      <c r="FK703" s="119"/>
      <c r="FL703" s="119"/>
      <c r="FM703" s="119"/>
      <c r="FN703" s="119"/>
      <c r="FO703" s="119"/>
      <c r="FP703" s="119"/>
      <c r="FQ703" s="119"/>
      <c r="FR703" s="119"/>
    </row>
    <row x14ac:dyDescent="0.25" r="704" customHeight="1" ht="15">
      <c r="A704" s="121"/>
      <c r="B704" s="121"/>
      <c r="C704" s="122"/>
      <c r="D704" s="122"/>
      <c r="E704" s="123"/>
      <c r="F704" s="123"/>
      <c r="G704" s="124"/>
      <c r="H704" s="125"/>
      <c r="I704" s="126"/>
      <c r="J704" s="127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  <c r="AA704" s="119"/>
      <c r="AB704" s="119"/>
      <c r="AC704" s="119"/>
      <c r="AD704" s="119"/>
      <c r="AE704" s="119"/>
      <c r="AF704" s="119"/>
      <c r="AG704" s="119"/>
      <c r="AH704" s="119"/>
      <c r="AI704" s="119"/>
      <c r="AJ704" s="119"/>
      <c r="AK704" s="119"/>
      <c r="AL704" s="119"/>
      <c r="AM704" s="119"/>
      <c r="AN704" s="119"/>
      <c r="AO704" s="119"/>
      <c r="AP704" s="119"/>
      <c r="AQ704" s="119"/>
      <c r="AR704" s="119"/>
      <c r="AS704" s="119"/>
      <c r="AT704" s="119"/>
      <c r="AU704" s="119"/>
      <c r="AV704" s="119"/>
      <c r="AW704" s="119"/>
      <c r="AX704" s="119"/>
      <c r="AY704" s="119"/>
      <c r="AZ704" s="119"/>
      <c r="BA704" s="119"/>
      <c r="BB704" s="119"/>
      <c r="BC704" s="119"/>
      <c r="BD704" s="119"/>
      <c r="BE704" s="119"/>
      <c r="BF704" s="119"/>
      <c r="BG704" s="119"/>
      <c r="BH704" s="119"/>
      <c r="BI704" s="119"/>
      <c r="BJ704" s="119"/>
      <c r="BK704" s="119"/>
      <c r="BL704" s="119"/>
      <c r="BM704" s="119"/>
      <c r="BN704" s="119"/>
      <c r="BO704" s="119"/>
      <c r="BP704" s="119"/>
      <c r="BQ704" s="119"/>
      <c r="BR704" s="119"/>
      <c r="BS704" s="119"/>
      <c r="BT704" s="119"/>
      <c r="BU704" s="119"/>
      <c r="BV704" s="119"/>
      <c r="BW704" s="119"/>
      <c r="BX704" s="119"/>
      <c r="BY704" s="119"/>
      <c r="BZ704" s="119"/>
      <c r="CA704" s="119"/>
      <c r="CB704" s="119"/>
      <c r="CC704" s="119"/>
      <c r="CD704" s="119"/>
      <c r="CE704" s="119"/>
      <c r="CF704" s="119"/>
      <c r="CG704" s="119"/>
      <c r="CH704" s="119"/>
      <c r="CI704" s="119"/>
      <c r="CJ704" s="119"/>
      <c r="CK704" s="119"/>
      <c r="CL704" s="119"/>
      <c r="CM704" s="119"/>
      <c r="CN704" s="119"/>
      <c r="CO704" s="119"/>
      <c r="CP704" s="119"/>
      <c r="CQ704" s="119"/>
      <c r="CR704" s="119"/>
      <c r="CS704" s="119"/>
      <c r="CT704" s="119"/>
      <c r="CU704" s="119"/>
      <c r="CV704" s="119"/>
      <c r="CW704" s="119"/>
      <c r="CX704" s="119"/>
      <c r="CY704" s="119"/>
      <c r="CZ704" s="119"/>
      <c r="DA704" s="119"/>
      <c r="DB704" s="119"/>
      <c r="DC704" s="119"/>
      <c r="DD704" s="119"/>
      <c r="DE704" s="119"/>
      <c r="DF704" s="119"/>
      <c r="DG704" s="119"/>
      <c r="DH704" s="119"/>
      <c r="DI704" s="119"/>
      <c r="DJ704" s="119"/>
      <c r="DK704" s="119"/>
      <c r="DL704" s="119"/>
      <c r="DM704" s="119"/>
      <c r="DN704" s="119"/>
      <c r="DO704" s="119"/>
      <c r="DP704" s="119"/>
      <c r="DQ704" s="119"/>
      <c r="DR704" s="119"/>
      <c r="DS704" s="119"/>
      <c r="DT704" s="119"/>
      <c r="DU704" s="119"/>
      <c r="DV704" s="119"/>
      <c r="DW704" s="119"/>
      <c r="DX704" s="119"/>
      <c r="DY704" s="119"/>
      <c r="DZ704" s="119"/>
      <c r="EA704" s="119"/>
      <c r="EB704" s="119"/>
      <c r="EC704" s="119"/>
      <c r="ED704" s="119"/>
      <c r="EE704" s="119"/>
      <c r="EF704" s="119"/>
      <c r="EG704" s="119"/>
      <c r="EH704" s="119"/>
      <c r="EI704" s="119"/>
      <c r="EJ704" s="119"/>
      <c r="EK704" s="119"/>
      <c r="EL704" s="119"/>
      <c r="EM704" s="119"/>
      <c r="EN704" s="119"/>
      <c r="EO704" s="119"/>
      <c r="EP704" s="119"/>
      <c r="EQ704" s="119"/>
      <c r="ER704" s="119"/>
      <c r="ES704" s="119"/>
      <c r="ET704" s="119"/>
      <c r="EU704" s="119"/>
      <c r="EV704" s="119"/>
      <c r="EW704" s="119"/>
      <c r="EX704" s="119"/>
      <c r="EY704" s="119"/>
      <c r="EZ704" s="119"/>
      <c r="FA704" s="119"/>
      <c r="FB704" s="119"/>
      <c r="FC704" s="119"/>
      <c r="FD704" s="119"/>
      <c r="FE704" s="119"/>
      <c r="FF704" s="119"/>
      <c r="FG704" s="119"/>
      <c r="FH704" s="119"/>
      <c r="FI704" s="119"/>
      <c r="FJ704" s="119"/>
      <c r="FK704" s="119"/>
      <c r="FL704" s="119"/>
      <c r="FM704" s="119"/>
      <c r="FN704" s="119"/>
      <c r="FO704" s="119"/>
      <c r="FP704" s="119"/>
      <c r="FQ704" s="119"/>
      <c r="FR704" s="119"/>
    </row>
    <row x14ac:dyDescent="0.25" r="705" customHeight="1" ht="15">
      <c r="A705" s="121"/>
      <c r="B705" s="121"/>
      <c r="C705" s="122"/>
      <c r="D705" s="122"/>
      <c r="E705" s="123"/>
      <c r="F705" s="123"/>
      <c r="G705" s="124"/>
      <c r="H705" s="125"/>
      <c r="I705" s="126"/>
      <c r="J705" s="127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  <c r="AA705" s="119"/>
      <c r="AB705" s="119"/>
      <c r="AC705" s="119"/>
      <c r="AD705" s="119"/>
      <c r="AE705" s="119"/>
      <c r="AF705" s="119"/>
      <c r="AG705" s="119"/>
      <c r="AH705" s="119"/>
      <c r="AI705" s="119"/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9"/>
      <c r="BC705" s="119"/>
      <c r="BD705" s="119"/>
      <c r="BE705" s="119"/>
      <c r="BF705" s="119"/>
      <c r="BG705" s="119"/>
      <c r="BH705" s="119"/>
      <c r="BI705" s="119"/>
      <c r="BJ705" s="119"/>
      <c r="BK705" s="119"/>
      <c r="BL705" s="119"/>
      <c r="BM705" s="119"/>
      <c r="BN705" s="119"/>
      <c r="BO705" s="119"/>
      <c r="BP705" s="119"/>
      <c r="BQ705" s="119"/>
      <c r="BR705" s="119"/>
      <c r="BS705" s="119"/>
      <c r="BT705" s="119"/>
      <c r="BU705" s="119"/>
      <c r="BV705" s="119"/>
      <c r="BW705" s="119"/>
      <c r="BX705" s="119"/>
      <c r="BY705" s="119"/>
      <c r="BZ705" s="119"/>
      <c r="CA705" s="119"/>
      <c r="CB705" s="119"/>
      <c r="CC705" s="119"/>
      <c r="CD705" s="119"/>
      <c r="CE705" s="119"/>
      <c r="CF705" s="119"/>
      <c r="CG705" s="119"/>
      <c r="CH705" s="119"/>
      <c r="CI705" s="119"/>
      <c r="CJ705" s="119"/>
      <c r="CK705" s="119"/>
      <c r="CL705" s="119"/>
      <c r="CM705" s="119"/>
      <c r="CN705" s="119"/>
      <c r="CO705" s="119"/>
      <c r="CP705" s="119"/>
      <c r="CQ705" s="119"/>
      <c r="CR705" s="119"/>
      <c r="CS705" s="119"/>
      <c r="CT705" s="119"/>
      <c r="CU705" s="119"/>
      <c r="CV705" s="119"/>
      <c r="CW705" s="119"/>
      <c r="CX705" s="119"/>
      <c r="CY705" s="119"/>
      <c r="CZ705" s="119"/>
      <c r="DA705" s="119"/>
      <c r="DB705" s="119"/>
      <c r="DC705" s="119"/>
      <c r="DD705" s="119"/>
      <c r="DE705" s="119"/>
      <c r="DF705" s="119"/>
      <c r="DG705" s="119"/>
      <c r="DH705" s="119"/>
      <c r="DI705" s="119"/>
      <c r="DJ705" s="119"/>
      <c r="DK705" s="119"/>
      <c r="DL705" s="119"/>
      <c r="DM705" s="119"/>
      <c r="DN705" s="119"/>
      <c r="DO705" s="119"/>
      <c r="DP705" s="119"/>
      <c r="DQ705" s="119"/>
      <c r="DR705" s="119"/>
      <c r="DS705" s="119"/>
      <c r="DT705" s="119"/>
      <c r="DU705" s="119"/>
      <c r="DV705" s="119"/>
      <c r="DW705" s="119"/>
      <c r="DX705" s="119"/>
      <c r="DY705" s="119"/>
      <c r="DZ705" s="119"/>
      <c r="EA705" s="119"/>
      <c r="EB705" s="119"/>
      <c r="EC705" s="119"/>
      <c r="ED705" s="119"/>
      <c r="EE705" s="119"/>
      <c r="EF705" s="119"/>
      <c r="EG705" s="119"/>
      <c r="EH705" s="119"/>
      <c r="EI705" s="119"/>
      <c r="EJ705" s="119"/>
      <c r="EK705" s="119"/>
      <c r="EL705" s="119"/>
      <c r="EM705" s="119"/>
      <c r="EN705" s="119"/>
      <c r="EO705" s="119"/>
      <c r="EP705" s="119"/>
      <c r="EQ705" s="119"/>
      <c r="ER705" s="119"/>
      <c r="ES705" s="119"/>
      <c r="ET705" s="119"/>
      <c r="EU705" s="119"/>
      <c r="EV705" s="119"/>
      <c r="EW705" s="119"/>
      <c r="EX705" s="119"/>
      <c r="EY705" s="119"/>
      <c r="EZ705" s="119"/>
      <c r="FA705" s="119"/>
      <c r="FB705" s="119"/>
      <c r="FC705" s="119"/>
      <c r="FD705" s="119"/>
      <c r="FE705" s="119"/>
      <c r="FF705" s="119"/>
      <c r="FG705" s="119"/>
      <c r="FH705" s="119"/>
      <c r="FI705" s="119"/>
      <c r="FJ705" s="119"/>
      <c r="FK705" s="119"/>
      <c r="FL705" s="119"/>
      <c r="FM705" s="119"/>
      <c r="FN705" s="119"/>
      <c r="FO705" s="119"/>
      <c r="FP705" s="119"/>
      <c r="FQ705" s="119"/>
      <c r="FR705" s="119"/>
    </row>
    <row x14ac:dyDescent="0.25" r="706" customHeight="1" ht="15">
      <c r="A706" s="121"/>
      <c r="B706" s="121"/>
      <c r="C706" s="122"/>
      <c r="D706" s="122"/>
      <c r="E706" s="123"/>
      <c r="F706" s="123"/>
      <c r="G706" s="124"/>
      <c r="H706" s="125"/>
      <c r="I706" s="126"/>
      <c r="J706" s="127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  <c r="AA706" s="119"/>
      <c r="AB706" s="119"/>
      <c r="AC706" s="119"/>
      <c r="AD706" s="119"/>
      <c r="AE706" s="119"/>
      <c r="AF706" s="119"/>
      <c r="AG706" s="119"/>
      <c r="AH706" s="119"/>
      <c r="AI706" s="119"/>
      <c r="AJ706" s="119"/>
      <c r="AK706" s="119"/>
      <c r="AL706" s="119"/>
      <c r="AM706" s="119"/>
      <c r="AN706" s="119"/>
      <c r="AO706" s="119"/>
      <c r="AP706" s="119"/>
      <c r="AQ706" s="119"/>
      <c r="AR706" s="119"/>
      <c r="AS706" s="119"/>
      <c r="AT706" s="119"/>
      <c r="AU706" s="119"/>
      <c r="AV706" s="119"/>
      <c r="AW706" s="119"/>
      <c r="AX706" s="119"/>
      <c r="AY706" s="119"/>
      <c r="AZ706" s="119"/>
      <c r="BA706" s="119"/>
      <c r="BB706" s="119"/>
      <c r="BC706" s="119"/>
      <c r="BD706" s="119"/>
      <c r="BE706" s="119"/>
      <c r="BF706" s="119"/>
      <c r="BG706" s="119"/>
      <c r="BH706" s="119"/>
      <c r="BI706" s="119"/>
      <c r="BJ706" s="119"/>
      <c r="BK706" s="119"/>
      <c r="BL706" s="119"/>
      <c r="BM706" s="119"/>
      <c r="BN706" s="119"/>
      <c r="BO706" s="119"/>
      <c r="BP706" s="119"/>
      <c r="BQ706" s="119"/>
      <c r="BR706" s="119"/>
      <c r="BS706" s="119"/>
      <c r="BT706" s="119"/>
      <c r="BU706" s="119"/>
      <c r="BV706" s="119"/>
      <c r="BW706" s="119"/>
      <c r="BX706" s="119"/>
      <c r="BY706" s="119"/>
      <c r="BZ706" s="119"/>
      <c r="CA706" s="119"/>
      <c r="CB706" s="119"/>
      <c r="CC706" s="119"/>
      <c r="CD706" s="119"/>
      <c r="CE706" s="119"/>
      <c r="CF706" s="119"/>
      <c r="CG706" s="119"/>
      <c r="CH706" s="119"/>
      <c r="CI706" s="119"/>
      <c r="CJ706" s="119"/>
      <c r="CK706" s="119"/>
      <c r="CL706" s="119"/>
      <c r="CM706" s="119"/>
      <c r="CN706" s="119"/>
      <c r="CO706" s="119"/>
      <c r="CP706" s="119"/>
      <c r="CQ706" s="119"/>
      <c r="CR706" s="119"/>
      <c r="CS706" s="119"/>
      <c r="CT706" s="119"/>
      <c r="CU706" s="119"/>
      <c r="CV706" s="119"/>
      <c r="CW706" s="119"/>
      <c r="CX706" s="119"/>
      <c r="CY706" s="119"/>
      <c r="CZ706" s="119"/>
      <c r="DA706" s="119"/>
      <c r="DB706" s="119"/>
      <c r="DC706" s="119"/>
      <c r="DD706" s="119"/>
      <c r="DE706" s="119"/>
      <c r="DF706" s="119"/>
      <c r="DG706" s="119"/>
      <c r="DH706" s="119"/>
      <c r="DI706" s="119"/>
      <c r="DJ706" s="119"/>
      <c r="DK706" s="119"/>
      <c r="DL706" s="119"/>
      <c r="DM706" s="119"/>
      <c r="DN706" s="119"/>
      <c r="DO706" s="119"/>
      <c r="DP706" s="119"/>
      <c r="DQ706" s="119"/>
      <c r="DR706" s="119"/>
      <c r="DS706" s="119"/>
      <c r="DT706" s="119"/>
      <c r="DU706" s="119"/>
      <c r="DV706" s="119"/>
      <c r="DW706" s="119"/>
      <c r="DX706" s="119"/>
      <c r="DY706" s="119"/>
      <c r="DZ706" s="119"/>
      <c r="EA706" s="119"/>
      <c r="EB706" s="119"/>
      <c r="EC706" s="119"/>
      <c r="ED706" s="119"/>
      <c r="EE706" s="119"/>
      <c r="EF706" s="119"/>
      <c r="EG706" s="119"/>
      <c r="EH706" s="119"/>
      <c r="EI706" s="119"/>
      <c r="EJ706" s="119"/>
      <c r="EK706" s="119"/>
      <c r="EL706" s="119"/>
      <c r="EM706" s="119"/>
      <c r="EN706" s="119"/>
      <c r="EO706" s="119"/>
      <c r="EP706" s="119"/>
      <c r="EQ706" s="119"/>
      <c r="ER706" s="119"/>
      <c r="ES706" s="119"/>
      <c r="ET706" s="119"/>
      <c r="EU706" s="119"/>
      <c r="EV706" s="119"/>
      <c r="EW706" s="119"/>
      <c r="EX706" s="119"/>
      <c r="EY706" s="119"/>
      <c r="EZ706" s="119"/>
      <c r="FA706" s="119"/>
      <c r="FB706" s="119"/>
      <c r="FC706" s="119"/>
      <c r="FD706" s="119"/>
      <c r="FE706" s="119"/>
      <c r="FF706" s="119"/>
      <c r="FG706" s="119"/>
      <c r="FH706" s="119"/>
      <c r="FI706" s="119"/>
      <c r="FJ706" s="119"/>
      <c r="FK706" s="119"/>
      <c r="FL706" s="119"/>
      <c r="FM706" s="119"/>
      <c r="FN706" s="119"/>
      <c r="FO706" s="119"/>
      <c r="FP706" s="119"/>
      <c r="FQ706" s="119"/>
      <c r="FR706" s="119"/>
    </row>
    <row x14ac:dyDescent="0.25" r="707" customHeight="1" ht="15">
      <c r="A707" s="121"/>
      <c r="B707" s="121"/>
      <c r="C707" s="122"/>
      <c r="D707" s="122"/>
      <c r="E707" s="123"/>
      <c r="F707" s="123"/>
      <c r="G707" s="124"/>
      <c r="H707" s="125"/>
      <c r="I707" s="126"/>
      <c r="J707" s="127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  <c r="AA707" s="119"/>
      <c r="AB707" s="119"/>
      <c r="AC707" s="119"/>
      <c r="AD707" s="119"/>
      <c r="AE707" s="119"/>
      <c r="AF707" s="119"/>
      <c r="AG707" s="119"/>
      <c r="AH707" s="119"/>
      <c r="AI707" s="119"/>
      <c r="AJ707" s="119"/>
      <c r="AK707" s="119"/>
      <c r="AL707" s="119"/>
      <c r="AM707" s="119"/>
      <c r="AN707" s="119"/>
      <c r="AO707" s="119"/>
      <c r="AP707" s="119"/>
      <c r="AQ707" s="119"/>
      <c r="AR707" s="119"/>
      <c r="AS707" s="119"/>
      <c r="AT707" s="119"/>
      <c r="AU707" s="119"/>
      <c r="AV707" s="119"/>
      <c r="AW707" s="119"/>
      <c r="AX707" s="119"/>
      <c r="AY707" s="119"/>
      <c r="AZ707" s="119"/>
      <c r="BA707" s="119"/>
      <c r="BB707" s="119"/>
      <c r="BC707" s="119"/>
      <c r="BD707" s="119"/>
      <c r="BE707" s="119"/>
      <c r="BF707" s="119"/>
      <c r="BG707" s="119"/>
      <c r="BH707" s="119"/>
      <c r="BI707" s="119"/>
      <c r="BJ707" s="119"/>
      <c r="BK707" s="119"/>
      <c r="BL707" s="119"/>
      <c r="BM707" s="119"/>
      <c r="BN707" s="119"/>
      <c r="BO707" s="119"/>
      <c r="BP707" s="119"/>
      <c r="BQ707" s="119"/>
      <c r="BR707" s="119"/>
      <c r="BS707" s="119"/>
      <c r="BT707" s="119"/>
      <c r="BU707" s="119"/>
      <c r="BV707" s="119"/>
      <c r="BW707" s="119"/>
      <c r="BX707" s="119"/>
      <c r="BY707" s="119"/>
      <c r="BZ707" s="119"/>
      <c r="CA707" s="119"/>
      <c r="CB707" s="119"/>
      <c r="CC707" s="119"/>
      <c r="CD707" s="119"/>
      <c r="CE707" s="119"/>
      <c r="CF707" s="119"/>
      <c r="CG707" s="119"/>
      <c r="CH707" s="119"/>
      <c r="CI707" s="119"/>
      <c r="CJ707" s="119"/>
      <c r="CK707" s="119"/>
      <c r="CL707" s="119"/>
      <c r="CM707" s="119"/>
      <c r="CN707" s="119"/>
      <c r="CO707" s="119"/>
      <c r="CP707" s="119"/>
      <c r="CQ707" s="119"/>
      <c r="CR707" s="119"/>
      <c r="CS707" s="119"/>
      <c r="CT707" s="119"/>
      <c r="CU707" s="119"/>
      <c r="CV707" s="119"/>
      <c r="CW707" s="119"/>
      <c r="CX707" s="119"/>
      <c r="CY707" s="119"/>
      <c r="CZ707" s="119"/>
      <c r="DA707" s="119"/>
      <c r="DB707" s="119"/>
      <c r="DC707" s="119"/>
      <c r="DD707" s="119"/>
      <c r="DE707" s="119"/>
      <c r="DF707" s="119"/>
      <c r="DG707" s="119"/>
      <c r="DH707" s="119"/>
      <c r="DI707" s="119"/>
      <c r="DJ707" s="119"/>
      <c r="DK707" s="119"/>
      <c r="DL707" s="119"/>
      <c r="DM707" s="119"/>
      <c r="DN707" s="119"/>
      <c r="DO707" s="119"/>
      <c r="DP707" s="119"/>
      <c r="DQ707" s="119"/>
      <c r="DR707" s="119"/>
      <c r="DS707" s="119"/>
      <c r="DT707" s="119"/>
      <c r="DU707" s="119"/>
      <c r="DV707" s="119"/>
      <c r="DW707" s="119"/>
      <c r="DX707" s="119"/>
      <c r="DY707" s="119"/>
      <c r="DZ707" s="119"/>
      <c r="EA707" s="119"/>
      <c r="EB707" s="119"/>
      <c r="EC707" s="119"/>
      <c r="ED707" s="119"/>
      <c r="EE707" s="119"/>
      <c r="EF707" s="119"/>
      <c r="EG707" s="119"/>
      <c r="EH707" s="119"/>
      <c r="EI707" s="119"/>
      <c r="EJ707" s="119"/>
      <c r="EK707" s="119"/>
      <c r="EL707" s="119"/>
      <c r="EM707" s="119"/>
      <c r="EN707" s="119"/>
      <c r="EO707" s="119"/>
      <c r="EP707" s="119"/>
      <c r="EQ707" s="119"/>
      <c r="ER707" s="119"/>
      <c r="ES707" s="119"/>
      <c r="ET707" s="119"/>
      <c r="EU707" s="119"/>
      <c r="EV707" s="119"/>
      <c r="EW707" s="119"/>
      <c r="EX707" s="119"/>
      <c r="EY707" s="119"/>
      <c r="EZ707" s="119"/>
      <c r="FA707" s="119"/>
      <c r="FB707" s="119"/>
      <c r="FC707" s="119"/>
      <c r="FD707" s="119"/>
      <c r="FE707" s="119"/>
      <c r="FF707" s="119"/>
      <c r="FG707" s="119"/>
      <c r="FH707" s="119"/>
      <c r="FI707" s="119"/>
      <c r="FJ707" s="119"/>
      <c r="FK707" s="119"/>
      <c r="FL707" s="119"/>
      <c r="FM707" s="119"/>
      <c r="FN707" s="119"/>
      <c r="FO707" s="119"/>
      <c r="FP707" s="119"/>
      <c r="FQ707" s="119"/>
      <c r="FR707" s="119"/>
    </row>
    <row x14ac:dyDescent="0.25" r="708" customHeight="1" ht="15">
      <c r="A708" s="121"/>
      <c r="B708" s="121"/>
      <c r="C708" s="122"/>
      <c r="D708" s="122"/>
      <c r="E708" s="123"/>
      <c r="F708" s="123"/>
      <c r="G708" s="124"/>
      <c r="H708" s="125"/>
      <c r="I708" s="126"/>
      <c r="J708" s="127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  <c r="AA708" s="119"/>
      <c r="AB708" s="119"/>
      <c r="AC708" s="119"/>
      <c r="AD708" s="119"/>
      <c r="AE708" s="119"/>
      <c r="AF708" s="119"/>
      <c r="AG708" s="119"/>
      <c r="AH708" s="119"/>
      <c r="AI708" s="119"/>
      <c r="AJ708" s="119"/>
      <c r="AK708" s="119"/>
      <c r="AL708" s="119"/>
      <c r="AM708" s="119"/>
      <c r="AN708" s="119"/>
      <c r="AO708" s="119"/>
      <c r="AP708" s="119"/>
      <c r="AQ708" s="119"/>
      <c r="AR708" s="119"/>
      <c r="AS708" s="119"/>
      <c r="AT708" s="119"/>
      <c r="AU708" s="119"/>
      <c r="AV708" s="119"/>
      <c r="AW708" s="119"/>
      <c r="AX708" s="119"/>
      <c r="AY708" s="119"/>
      <c r="AZ708" s="119"/>
      <c r="BA708" s="119"/>
      <c r="BB708" s="119"/>
      <c r="BC708" s="119"/>
      <c r="BD708" s="119"/>
      <c r="BE708" s="119"/>
      <c r="BF708" s="119"/>
      <c r="BG708" s="119"/>
      <c r="BH708" s="119"/>
      <c r="BI708" s="119"/>
      <c r="BJ708" s="119"/>
      <c r="BK708" s="119"/>
      <c r="BL708" s="119"/>
      <c r="BM708" s="119"/>
      <c r="BN708" s="119"/>
      <c r="BO708" s="119"/>
      <c r="BP708" s="119"/>
      <c r="BQ708" s="119"/>
      <c r="BR708" s="119"/>
      <c r="BS708" s="119"/>
      <c r="BT708" s="119"/>
      <c r="BU708" s="119"/>
      <c r="BV708" s="119"/>
      <c r="BW708" s="119"/>
      <c r="BX708" s="119"/>
      <c r="BY708" s="119"/>
      <c r="BZ708" s="119"/>
      <c r="CA708" s="119"/>
      <c r="CB708" s="119"/>
      <c r="CC708" s="119"/>
      <c r="CD708" s="119"/>
      <c r="CE708" s="119"/>
      <c r="CF708" s="119"/>
      <c r="CG708" s="119"/>
      <c r="CH708" s="119"/>
      <c r="CI708" s="119"/>
      <c r="CJ708" s="119"/>
      <c r="CK708" s="119"/>
      <c r="CL708" s="119"/>
      <c r="CM708" s="119"/>
      <c r="CN708" s="119"/>
      <c r="CO708" s="119"/>
      <c r="CP708" s="119"/>
      <c r="CQ708" s="119"/>
      <c r="CR708" s="119"/>
      <c r="CS708" s="119"/>
      <c r="CT708" s="119"/>
      <c r="CU708" s="119"/>
      <c r="CV708" s="119"/>
      <c r="CW708" s="119"/>
      <c r="CX708" s="119"/>
      <c r="CY708" s="119"/>
      <c r="CZ708" s="119"/>
      <c r="DA708" s="119"/>
      <c r="DB708" s="119"/>
      <c r="DC708" s="119"/>
      <c r="DD708" s="119"/>
      <c r="DE708" s="119"/>
      <c r="DF708" s="119"/>
      <c r="DG708" s="119"/>
      <c r="DH708" s="119"/>
      <c r="DI708" s="119"/>
      <c r="DJ708" s="119"/>
      <c r="DK708" s="119"/>
      <c r="DL708" s="119"/>
      <c r="DM708" s="119"/>
      <c r="DN708" s="119"/>
      <c r="DO708" s="119"/>
      <c r="DP708" s="119"/>
      <c r="DQ708" s="119"/>
      <c r="DR708" s="119"/>
      <c r="DS708" s="119"/>
      <c r="DT708" s="119"/>
      <c r="DU708" s="119"/>
      <c r="DV708" s="119"/>
      <c r="DW708" s="119"/>
      <c r="DX708" s="119"/>
      <c r="DY708" s="119"/>
      <c r="DZ708" s="119"/>
      <c r="EA708" s="119"/>
      <c r="EB708" s="119"/>
      <c r="EC708" s="119"/>
      <c r="ED708" s="119"/>
      <c r="EE708" s="119"/>
      <c r="EF708" s="119"/>
      <c r="EG708" s="119"/>
      <c r="EH708" s="119"/>
      <c r="EI708" s="119"/>
      <c r="EJ708" s="119"/>
      <c r="EK708" s="119"/>
      <c r="EL708" s="119"/>
      <c r="EM708" s="119"/>
      <c r="EN708" s="119"/>
      <c r="EO708" s="119"/>
      <c r="EP708" s="119"/>
      <c r="EQ708" s="119"/>
      <c r="ER708" s="119"/>
      <c r="ES708" s="119"/>
      <c r="ET708" s="119"/>
      <c r="EU708" s="119"/>
      <c r="EV708" s="119"/>
      <c r="EW708" s="119"/>
      <c r="EX708" s="119"/>
      <c r="EY708" s="119"/>
      <c r="EZ708" s="119"/>
      <c r="FA708" s="119"/>
      <c r="FB708" s="119"/>
      <c r="FC708" s="119"/>
      <c r="FD708" s="119"/>
      <c r="FE708" s="119"/>
      <c r="FF708" s="119"/>
      <c r="FG708" s="119"/>
      <c r="FH708" s="119"/>
      <c r="FI708" s="119"/>
      <c r="FJ708" s="119"/>
      <c r="FK708" s="119"/>
      <c r="FL708" s="119"/>
      <c r="FM708" s="119"/>
      <c r="FN708" s="119"/>
      <c r="FO708" s="119"/>
      <c r="FP708" s="119"/>
      <c r="FQ708" s="119"/>
      <c r="FR708" s="119"/>
    </row>
    <row x14ac:dyDescent="0.25" r="709" customHeight="1" ht="15">
      <c r="A709" s="121"/>
      <c r="B709" s="121"/>
      <c r="C709" s="122"/>
      <c r="D709" s="122"/>
      <c r="E709" s="123"/>
      <c r="F709" s="123"/>
      <c r="G709" s="124"/>
      <c r="H709" s="125"/>
      <c r="I709" s="126"/>
      <c r="J709" s="127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  <c r="AA709" s="119"/>
      <c r="AB709" s="119"/>
      <c r="AC709" s="119"/>
      <c r="AD709" s="119"/>
      <c r="AE709" s="119"/>
      <c r="AF709" s="119"/>
      <c r="AG709" s="119"/>
      <c r="AH709" s="119"/>
      <c r="AI709" s="119"/>
      <c r="AJ709" s="119"/>
      <c r="AK709" s="119"/>
      <c r="AL709" s="119"/>
      <c r="AM709" s="119"/>
      <c r="AN709" s="119"/>
      <c r="AO709" s="119"/>
      <c r="AP709" s="119"/>
      <c r="AQ709" s="119"/>
      <c r="AR709" s="119"/>
      <c r="AS709" s="119"/>
      <c r="AT709" s="119"/>
      <c r="AU709" s="119"/>
      <c r="AV709" s="119"/>
      <c r="AW709" s="119"/>
      <c r="AX709" s="119"/>
      <c r="AY709" s="119"/>
      <c r="AZ709" s="119"/>
      <c r="BA709" s="119"/>
      <c r="BB709" s="119"/>
      <c r="BC709" s="119"/>
      <c r="BD709" s="119"/>
      <c r="BE709" s="119"/>
      <c r="BF709" s="119"/>
      <c r="BG709" s="119"/>
      <c r="BH709" s="119"/>
      <c r="BI709" s="119"/>
      <c r="BJ709" s="119"/>
      <c r="BK709" s="119"/>
      <c r="BL709" s="119"/>
      <c r="BM709" s="119"/>
      <c r="BN709" s="119"/>
      <c r="BO709" s="119"/>
      <c r="BP709" s="119"/>
      <c r="BQ709" s="119"/>
      <c r="BR709" s="119"/>
      <c r="BS709" s="119"/>
      <c r="BT709" s="119"/>
      <c r="BU709" s="119"/>
      <c r="BV709" s="119"/>
      <c r="BW709" s="119"/>
      <c r="BX709" s="119"/>
      <c r="BY709" s="119"/>
      <c r="BZ709" s="119"/>
      <c r="CA709" s="119"/>
      <c r="CB709" s="119"/>
      <c r="CC709" s="119"/>
      <c r="CD709" s="119"/>
      <c r="CE709" s="119"/>
      <c r="CF709" s="119"/>
      <c r="CG709" s="119"/>
      <c r="CH709" s="119"/>
      <c r="CI709" s="119"/>
      <c r="CJ709" s="119"/>
      <c r="CK709" s="119"/>
      <c r="CL709" s="119"/>
      <c r="CM709" s="119"/>
      <c r="CN709" s="119"/>
      <c r="CO709" s="119"/>
      <c r="CP709" s="119"/>
      <c r="CQ709" s="119"/>
      <c r="CR709" s="119"/>
      <c r="CS709" s="119"/>
      <c r="CT709" s="119"/>
      <c r="CU709" s="119"/>
      <c r="CV709" s="119"/>
      <c r="CW709" s="119"/>
      <c r="CX709" s="119"/>
      <c r="CY709" s="119"/>
      <c r="CZ709" s="119"/>
      <c r="DA709" s="119"/>
      <c r="DB709" s="119"/>
      <c r="DC709" s="119"/>
      <c r="DD709" s="119"/>
      <c r="DE709" s="119"/>
      <c r="DF709" s="119"/>
      <c r="DG709" s="119"/>
      <c r="DH709" s="119"/>
      <c r="DI709" s="119"/>
      <c r="DJ709" s="119"/>
      <c r="DK709" s="119"/>
      <c r="DL709" s="119"/>
      <c r="DM709" s="119"/>
      <c r="DN709" s="119"/>
      <c r="DO709" s="119"/>
      <c r="DP709" s="119"/>
      <c r="DQ709" s="119"/>
      <c r="DR709" s="119"/>
      <c r="DS709" s="119"/>
      <c r="DT709" s="119"/>
      <c r="DU709" s="119"/>
      <c r="DV709" s="119"/>
      <c r="DW709" s="119"/>
      <c r="DX709" s="119"/>
      <c r="DY709" s="119"/>
      <c r="DZ709" s="119"/>
      <c r="EA709" s="119"/>
      <c r="EB709" s="119"/>
      <c r="EC709" s="119"/>
      <c r="ED709" s="119"/>
      <c r="EE709" s="119"/>
      <c r="EF709" s="119"/>
      <c r="EG709" s="119"/>
      <c r="EH709" s="119"/>
      <c r="EI709" s="119"/>
      <c r="EJ709" s="119"/>
      <c r="EK709" s="119"/>
      <c r="EL709" s="119"/>
      <c r="EM709" s="119"/>
      <c r="EN709" s="119"/>
      <c r="EO709" s="119"/>
      <c r="EP709" s="119"/>
      <c r="EQ709" s="119"/>
      <c r="ER709" s="119"/>
      <c r="ES709" s="119"/>
      <c r="ET709" s="119"/>
      <c r="EU709" s="119"/>
      <c r="EV709" s="119"/>
      <c r="EW709" s="119"/>
      <c r="EX709" s="119"/>
      <c r="EY709" s="119"/>
      <c r="EZ709" s="119"/>
      <c r="FA709" s="119"/>
      <c r="FB709" s="119"/>
      <c r="FC709" s="119"/>
      <c r="FD709" s="119"/>
      <c r="FE709" s="119"/>
      <c r="FF709" s="119"/>
      <c r="FG709" s="119"/>
      <c r="FH709" s="119"/>
      <c r="FI709" s="119"/>
      <c r="FJ709" s="119"/>
      <c r="FK709" s="119"/>
      <c r="FL709" s="119"/>
      <c r="FM709" s="119"/>
      <c r="FN709" s="119"/>
      <c r="FO709" s="119"/>
      <c r="FP709" s="119"/>
      <c r="FQ709" s="119"/>
      <c r="FR709" s="119"/>
    </row>
    <row x14ac:dyDescent="0.25" r="710" customHeight="1" ht="15">
      <c r="A710" s="121"/>
      <c r="B710" s="121"/>
      <c r="C710" s="122"/>
      <c r="D710" s="122"/>
      <c r="E710" s="123"/>
      <c r="F710" s="123"/>
      <c r="G710" s="124"/>
      <c r="H710" s="125"/>
      <c r="I710" s="126"/>
      <c r="J710" s="127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  <c r="AA710" s="119"/>
      <c r="AB710" s="119"/>
      <c r="AC710" s="119"/>
      <c r="AD710" s="119"/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/>
      <c r="AP710" s="119"/>
      <c r="AQ710" s="119"/>
      <c r="AR710" s="119"/>
      <c r="AS710" s="119"/>
      <c r="AT710" s="119"/>
      <c r="AU710" s="119"/>
      <c r="AV710" s="119"/>
      <c r="AW710" s="119"/>
      <c r="AX710" s="119"/>
      <c r="AY710" s="119"/>
      <c r="AZ710" s="119"/>
      <c r="BA710" s="119"/>
      <c r="BB710" s="119"/>
      <c r="BC710" s="119"/>
      <c r="BD710" s="119"/>
      <c r="BE710" s="119"/>
      <c r="BF710" s="119"/>
      <c r="BG710" s="119"/>
      <c r="BH710" s="119"/>
      <c r="BI710" s="119"/>
      <c r="BJ710" s="119"/>
      <c r="BK710" s="119"/>
      <c r="BL710" s="119"/>
      <c r="BM710" s="119"/>
      <c r="BN710" s="119"/>
      <c r="BO710" s="119"/>
      <c r="BP710" s="119"/>
      <c r="BQ710" s="119"/>
      <c r="BR710" s="119"/>
      <c r="BS710" s="119"/>
      <c r="BT710" s="119"/>
      <c r="BU710" s="119"/>
      <c r="BV710" s="119"/>
      <c r="BW710" s="119"/>
      <c r="BX710" s="119"/>
      <c r="BY710" s="119"/>
      <c r="BZ710" s="119"/>
      <c r="CA710" s="119"/>
      <c r="CB710" s="119"/>
      <c r="CC710" s="119"/>
      <c r="CD710" s="119"/>
      <c r="CE710" s="119"/>
      <c r="CF710" s="119"/>
      <c r="CG710" s="119"/>
      <c r="CH710" s="119"/>
      <c r="CI710" s="119"/>
      <c r="CJ710" s="119"/>
      <c r="CK710" s="119"/>
      <c r="CL710" s="119"/>
      <c r="CM710" s="119"/>
      <c r="CN710" s="119"/>
      <c r="CO710" s="119"/>
      <c r="CP710" s="119"/>
      <c r="CQ710" s="119"/>
      <c r="CR710" s="119"/>
      <c r="CS710" s="119"/>
      <c r="CT710" s="119"/>
      <c r="CU710" s="119"/>
      <c r="CV710" s="119"/>
      <c r="CW710" s="119"/>
      <c r="CX710" s="119"/>
      <c r="CY710" s="119"/>
      <c r="CZ710" s="119"/>
      <c r="DA710" s="119"/>
      <c r="DB710" s="119"/>
      <c r="DC710" s="119"/>
      <c r="DD710" s="119"/>
      <c r="DE710" s="119"/>
      <c r="DF710" s="119"/>
      <c r="DG710" s="119"/>
      <c r="DH710" s="119"/>
      <c r="DI710" s="119"/>
      <c r="DJ710" s="119"/>
      <c r="DK710" s="119"/>
      <c r="DL710" s="119"/>
      <c r="DM710" s="119"/>
      <c r="DN710" s="119"/>
      <c r="DO710" s="119"/>
      <c r="DP710" s="119"/>
      <c r="DQ710" s="119"/>
      <c r="DR710" s="119"/>
      <c r="DS710" s="119"/>
      <c r="DT710" s="119"/>
      <c r="DU710" s="119"/>
      <c r="DV710" s="119"/>
      <c r="DW710" s="119"/>
      <c r="DX710" s="119"/>
      <c r="DY710" s="119"/>
      <c r="DZ710" s="119"/>
      <c r="EA710" s="119"/>
      <c r="EB710" s="119"/>
      <c r="EC710" s="119"/>
      <c r="ED710" s="119"/>
      <c r="EE710" s="119"/>
      <c r="EF710" s="119"/>
      <c r="EG710" s="119"/>
      <c r="EH710" s="119"/>
      <c r="EI710" s="119"/>
      <c r="EJ710" s="119"/>
      <c r="EK710" s="119"/>
      <c r="EL710" s="119"/>
      <c r="EM710" s="119"/>
      <c r="EN710" s="119"/>
      <c r="EO710" s="119"/>
      <c r="EP710" s="119"/>
      <c r="EQ710" s="119"/>
      <c r="ER710" s="119"/>
      <c r="ES710" s="119"/>
      <c r="ET710" s="119"/>
      <c r="EU710" s="119"/>
      <c r="EV710" s="119"/>
      <c r="EW710" s="119"/>
      <c r="EX710" s="119"/>
      <c r="EY710" s="119"/>
      <c r="EZ710" s="119"/>
      <c r="FA710" s="119"/>
      <c r="FB710" s="119"/>
      <c r="FC710" s="119"/>
      <c r="FD710" s="119"/>
      <c r="FE710" s="119"/>
      <c r="FF710" s="119"/>
      <c r="FG710" s="119"/>
      <c r="FH710" s="119"/>
      <c r="FI710" s="119"/>
      <c r="FJ710" s="119"/>
      <c r="FK710" s="119"/>
      <c r="FL710" s="119"/>
      <c r="FM710" s="119"/>
      <c r="FN710" s="119"/>
      <c r="FO710" s="119"/>
      <c r="FP710" s="119"/>
      <c r="FQ710" s="119"/>
      <c r="FR710" s="119"/>
    </row>
    <row x14ac:dyDescent="0.25" r="711" customHeight="1" ht="15">
      <c r="A711" s="121"/>
      <c r="B711" s="121"/>
      <c r="C711" s="122"/>
      <c r="D711" s="122"/>
      <c r="E711" s="123"/>
      <c r="F711" s="123"/>
      <c r="G711" s="124"/>
      <c r="H711" s="125"/>
      <c r="I711" s="126"/>
      <c r="J711" s="127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  <c r="AA711" s="119"/>
      <c r="AB711" s="119"/>
      <c r="AC711" s="119"/>
      <c r="AD711" s="119"/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/>
      <c r="AP711" s="119"/>
      <c r="AQ711" s="119"/>
      <c r="AR711" s="119"/>
      <c r="AS711" s="119"/>
      <c r="AT711" s="119"/>
      <c r="AU711" s="119"/>
      <c r="AV711" s="119"/>
      <c r="AW711" s="119"/>
      <c r="AX711" s="119"/>
      <c r="AY711" s="119"/>
      <c r="AZ711" s="119"/>
      <c r="BA711" s="119"/>
      <c r="BB711" s="119"/>
      <c r="BC711" s="119"/>
      <c r="BD711" s="119"/>
      <c r="BE711" s="119"/>
      <c r="BF711" s="119"/>
      <c r="BG711" s="119"/>
      <c r="BH711" s="119"/>
      <c r="BI711" s="119"/>
      <c r="BJ711" s="119"/>
      <c r="BK711" s="119"/>
      <c r="BL711" s="119"/>
      <c r="BM711" s="119"/>
      <c r="BN711" s="119"/>
      <c r="BO711" s="119"/>
      <c r="BP711" s="119"/>
      <c r="BQ711" s="119"/>
      <c r="BR711" s="119"/>
      <c r="BS711" s="119"/>
      <c r="BT711" s="119"/>
      <c r="BU711" s="119"/>
      <c r="BV711" s="119"/>
      <c r="BW711" s="119"/>
      <c r="BX711" s="119"/>
      <c r="BY711" s="119"/>
      <c r="BZ711" s="119"/>
      <c r="CA711" s="119"/>
      <c r="CB711" s="119"/>
      <c r="CC711" s="119"/>
      <c r="CD711" s="119"/>
      <c r="CE711" s="119"/>
      <c r="CF711" s="119"/>
      <c r="CG711" s="119"/>
      <c r="CH711" s="119"/>
      <c r="CI711" s="119"/>
      <c r="CJ711" s="119"/>
      <c r="CK711" s="119"/>
      <c r="CL711" s="119"/>
      <c r="CM711" s="119"/>
      <c r="CN711" s="119"/>
      <c r="CO711" s="119"/>
      <c r="CP711" s="119"/>
      <c r="CQ711" s="119"/>
      <c r="CR711" s="119"/>
      <c r="CS711" s="119"/>
      <c r="CT711" s="119"/>
      <c r="CU711" s="119"/>
      <c r="CV711" s="119"/>
      <c r="CW711" s="119"/>
      <c r="CX711" s="119"/>
      <c r="CY711" s="119"/>
      <c r="CZ711" s="119"/>
      <c r="DA711" s="119"/>
      <c r="DB711" s="119"/>
      <c r="DC711" s="119"/>
      <c r="DD711" s="119"/>
      <c r="DE711" s="119"/>
      <c r="DF711" s="119"/>
      <c r="DG711" s="119"/>
      <c r="DH711" s="119"/>
      <c r="DI711" s="119"/>
      <c r="DJ711" s="119"/>
      <c r="DK711" s="119"/>
      <c r="DL711" s="119"/>
      <c r="DM711" s="119"/>
      <c r="DN711" s="119"/>
      <c r="DO711" s="119"/>
      <c r="DP711" s="119"/>
      <c r="DQ711" s="119"/>
      <c r="DR711" s="119"/>
      <c r="DS711" s="119"/>
      <c r="DT711" s="119"/>
      <c r="DU711" s="119"/>
      <c r="DV711" s="119"/>
      <c r="DW711" s="119"/>
      <c r="DX711" s="119"/>
      <c r="DY711" s="119"/>
      <c r="DZ711" s="119"/>
      <c r="EA711" s="119"/>
      <c r="EB711" s="119"/>
      <c r="EC711" s="119"/>
      <c r="ED711" s="119"/>
      <c r="EE711" s="119"/>
      <c r="EF711" s="119"/>
      <c r="EG711" s="119"/>
      <c r="EH711" s="119"/>
      <c r="EI711" s="119"/>
      <c r="EJ711" s="119"/>
      <c r="EK711" s="119"/>
      <c r="EL711" s="119"/>
      <c r="EM711" s="119"/>
      <c r="EN711" s="119"/>
      <c r="EO711" s="119"/>
      <c r="EP711" s="119"/>
      <c r="EQ711" s="119"/>
      <c r="ER711" s="119"/>
      <c r="ES711" s="119"/>
      <c r="ET711" s="119"/>
      <c r="EU711" s="119"/>
      <c r="EV711" s="119"/>
      <c r="EW711" s="119"/>
      <c r="EX711" s="119"/>
      <c r="EY711" s="119"/>
      <c r="EZ711" s="119"/>
      <c r="FA711" s="119"/>
      <c r="FB711" s="119"/>
      <c r="FC711" s="119"/>
      <c r="FD711" s="119"/>
      <c r="FE711" s="119"/>
      <c r="FF711" s="119"/>
      <c r="FG711" s="119"/>
      <c r="FH711" s="119"/>
      <c r="FI711" s="119"/>
      <c r="FJ711" s="119"/>
      <c r="FK711" s="119"/>
      <c r="FL711" s="119"/>
      <c r="FM711" s="119"/>
      <c r="FN711" s="119"/>
      <c r="FO711" s="119"/>
      <c r="FP711" s="119"/>
      <c r="FQ711" s="119"/>
      <c r="FR711" s="119"/>
    </row>
    <row x14ac:dyDescent="0.25" r="712" customHeight="1" ht="15">
      <c r="A712" s="121"/>
      <c r="B712" s="121"/>
      <c r="C712" s="122"/>
      <c r="D712" s="122"/>
      <c r="E712" s="123"/>
      <c r="F712" s="123"/>
      <c r="G712" s="124"/>
      <c r="H712" s="125"/>
      <c r="I712" s="126"/>
      <c r="J712" s="127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  <c r="AA712" s="119"/>
      <c r="AB712" s="119"/>
      <c r="AC712" s="119"/>
      <c r="AD712" s="119"/>
      <c r="AE712" s="119"/>
      <c r="AF712" s="119"/>
      <c r="AG712" s="119"/>
      <c r="AH712" s="119"/>
      <c r="AI712" s="119"/>
      <c r="AJ712" s="119"/>
      <c r="AK712" s="119"/>
      <c r="AL712" s="119"/>
      <c r="AM712" s="119"/>
      <c r="AN712" s="119"/>
      <c r="AO712" s="119"/>
      <c r="AP712" s="119"/>
      <c r="AQ712" s="119"/>
      <c r="AR712" s="119"/>
      <c r="AS712" s="119"/>
      <c r="AT712" s="119"/>
      <c r="AU712" s="119"/>
      <c r="AV712" s="119"/>
      <c r="AW712" s="119"/>
      <c r="AX712" s="119"/>
      <c r="AY712" s="119"/>
      <c r="AZ712" s="119"/>
      <c r="BA712" s="119"/>
      <c r="BB712" s="119"/>
      <c r="BC712" s="119"/>
      <c r="BD712" s="119"/>
      <c r="BE712" s="119"/>
      <c r="BF712" s="119"/>
      <c r="BG712" s="119"/>
      <c r="BH712" s="119"/>
      <c r="BI712" s="119"/>
      <c r="BJ712" s="119"/>
      <c r="BK712" s="119"/>
      <c r="BL712" s="119"/>
      <c r="BM712" s="119"/>
      <c r="BN712" s="119"/>
      <c r="BO712" s="119"/>
      <c r="BP712" s="119"/>
      <c r="BQ712" s="119"/>
      <c r="BR712" s="119"/>
      <c r="BS712" s="119"/>
      <c r="BT712" s="119"/>
      <c r="BU712" s="119"/>
      <c r="BV712" s="119"/>
      <c r="BW712" s="119"/>
      <c r="BX712" s="119"/>
      <c r="BY712" s="119"/>
      <c r="BZ712" s="119"/>
      <c r="CA712" s="119"/>
      <c r="CB712" s="119"/>
      <c r="CC712" s="119"/>
      <c r="CD712" s="119"/>
      <c r="CE712" s="119"/>
      <c r="CF712" s="119"/>
      <c r="CG712" s="119"/>
      <c r="CH712" s="119"/>
      <c r="CI712" s="119"/>
      <c r="CJ712" s="119"/>
      <c r="CK712" s="119"/>
      <c r="CL712" s="119"/>
      <c r="CM712" s="119"/>
      <c r="CN712" s="119"/>
      <c r="CO712" s="119"/>
      <c r="CP712" s="119"/>
      <c r="CQ712" s="119"/>
      <c r="CR712" s="119"/>
      <c r="CS712" s="119"/>
      <c r="CT712" s="119"/>
      <c r="CU712" s="119"/>
      <c r="CV712" s="119"/>
      <c r="CW712" s="119"/>
      <c r="CX712" s="119"/>
      <c r="CY712" s="119"/>
      <c r="CZ712" s="119"/>
      <c r="DA712" s="119"/>
      <c r="DB712" s="119"/>
      <c r="DC712" s="119"/>
      <c r="DD712" s="119"/>
      <c r="DE712" s="119"/>
      <c r="DF712" s="119"/>
      <c r="DG712" s="119"/>
      <c r="DH712" s="119"/>
      <c r="DI712" s="119"/>
      <c r="DJ712" s="119"/>
      <c r="DK712" s="119"/>
      <c r="DL712" s="119"/>
      <c r="DM712" s="119"/>
      <c r="DN712" s="119"/>
      <c r="DO712" s="119"/>
      <c r="DP712" s="119"/>
      <c r="DQ712" s="119"/>
      <c r="DR712" s="119"/>
      <c r="DS712" s="119"/>
      <c r="DT712" s="119"/>
      <c r="DU712" s="119"/>
      <c r="DV712" s="119"/>
      <c r="DW712" s="119"/>
      <c r="DX712" s="119"/>
      <c r="DY712" s="119"/>
      <c r="DZ712" s="119"/>
      <c r="EA712" s="119"/>
      <c r="EB712" s="119"/>
      <c r="EC712" s="119"/>
      <c r="ED712" s="119"/>
      <c r="EE712" s="119"/>
      <c r="EF712" s="119"/>
      <c r="EG712" s="119"/>
      <c r="EH712" s="119"/>
      <c r="EI712" s="119"/>
      <c r="EJ712" s="119"/>
      <c r="EK712" s="119"/>
      <c r="EL712" s="119"/>
      <c r="EM712" s="119"/>
      <c r="EN712" s="119"/>
      <c r="EO712" s="119"/>
      <c r="EP712" s="119"/>
      <c r="EQ712" s="119"/>
      <c r="ER712" s="119"/>
      <c r="ES712" s="119"/>
      <c r="ET712" s="119"/>
      <c r="EU712" s="119"/>
      <c r="EV712" s="119"/>
      <c r="EW712" s="119"/>
      <c r="EX712" s="119"/>
      <c r="EY712" s="119"/>
      <c r="EZ712" s="119"/>
      <c r="FA712" s="119"/>
      <c r="FB712" s="119"/>
      <c r="FC712" s="119"/>
      <c r="FD712" s="119"/>
      <c r="FE712" s="119"/>
      <c r="FF712" s="119"/>
      <c r="FG712" s="119"/>
      <c r="FH712" s="119"/>
      <c r="FI712" s="119"/>
      <c r="FJ712" s="119"/>
      <c r="FK712" s="119"/>
      <c r="FL712" s="119"/>
      <c r="FM712" s="119"/>
      <c r="FN712" s="119"/>
      <c r="FO712" s="119"/>
      <c r="FP712" s="119"/>
      <c r="FQ712" s="119"/>
      <c r="FR712" s="119"/>
    </row>
    <row x14ac:dyDescent="0.25" r="713" customHeight="1" ht="15">
      <c r="A713" s="121"/>
      <c r="B713" s="121"/>
      <c r="C713" s="122"/>
      <c r="D713" s="122"/>
      <c r="E713" s="123"/>
      <c r="F713" s="123"/>
      <c r="G713" s="124"/>
      <c r="H713" s="125"/>
      <c r="I713" s="126"/>
      <c r="J713" s="127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  <c r="AA713" s="119"/>
      <c r="AB713" s="119"/>
      <c r="AC713" s="119"/>
      <c r="AD713" s="119"/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/>
      <c r="AP713" s="119"/>
      <c r="AQ713" s="119"/>
      <c r="AR713" s="119"/>
      <c r="AS713" s="119"/>
      <c r="AT713" s="119"/>
      <c r="AU713" s="119"/>
      <c r="AV713" s="119"/>
      <c r="AW713" s="119"/>
      <c r="AX713" s="119"/>
      <c r="AY713" s="119"/>
      <c r="AZ713" s="119"/>
      <c r="BA713" s="119"/>
      <c r="BB713" s="119"/>
      <c r="BC713" s="119"/>
      <c r="BD713" s="119"/>
      <c r="BE713" s="119"/>
      <c r="BF713" s="119"/>
      <c r="BG713" s="119"/>
      <c r="BH713" s="119"/>
      <c r="BI713" s="119"/>
      <c r="BJ713" s="119"/>
      <c r="BK713" s="119"/>
      <c r="BL713" s="119"/>
      <c r="BM713" s="119"/>
      <c r="BN713" s="119"/>
      <c r="BO713" s="119"/>
      <c r="BP713" s="119"/>
      <c r="BQ713" s="119"/>
      <c r="BR713" s="119"/>
      <c r="BS713" s="119"/>
      <c r="BT713" s="119"/>
      <c r="BU713" s="119"/>
      <c r="BV713" s="119"/>
      <c r="BW713" s="119"/>
      <c r="BX713" s="119"/>
      <c r="BY713" s="119"/>
      <c r="BZ713" s="119"/>
      <c r="CA713" s="119"/>
      <c r="CB713" s="119"/>
      <c r="CC713" s="119"/>
      <c r="CD713" s="119"/>
      <c r="CE713" s="119"/>
      <c r="CF713" s="119"/>
      <c r="CG713" s="119"/>
      <c r="CH713" s="119"/>
      <c r="CI713" s="119"/>
      <c r="CJ713" s="119"/>
      <c r="CK713" s="119"/>
      <c r="CL713" s="119"/>
      <c r="CM713" s="119"/>
      <c r="CN713" s="119"/>
      <c r="CO713" s="119"/>
      <c r="CP713" s="119"/>
      <c r="CQ713" s="119"/>
      <c r="CR713" s="119"/>
      <c r="CS713" s="119"/>
      <c r="CT713" s="119"/>
      <c r="CU713" s="119"/>
      <c r="CV713" s="119"/>
      <c r="CW713" s="119"/>
      <c r="CX713" s="119"/>
      <c r="CY713" s="119"/>
      <c r="CZ713" s="119"/>
      <c r="DA713" s="119"/>
      <c r="DB713" s="119"/>
      <c r="DC713" s="119"/>
      <c r="DD713" s="119"/>
      <c r="DE713" s="119"/>
      <c r="DF713" s="119"/>
      <c r="DG713" s="119"/>
      <c r="DH713" s="119"/>
      <c r="DI713" s="119"/>
      <c r="DJ713" s="119"/>
      <c r="DK713" s="119"/>
      <c r="DL713" s="119"/>
      <c r="DM713" s="119"/>
      <c r="DN713" s="119"/>
      <c r="DO713" s="119"/>
      <c r="DP713" s="119"/>
      <c r="DQ713" s="119"/>
      <c r="DR713" s="119"/>
      <c r="DS713" s="119"/>
      <c r="DT713" s="119"/>
      <c r="DU713" s="119"/>
      <c r="DV713" s="119"/>
      <c r="DW713" s="119"/>
      <c r="DX713" s="119"/>
      <c r="DY713" s="119"/>
      <c r="DZ713" s="119"/>
      <c r="EA713" s="119"/>
      <c r="EB713" s="119"/>
      <c r="EC713" s="119"/>
      <c r="ED713" s="119"/>
      <c r="EE713" s="119"/>
      <c r="EF713" s="119"/>
      <c r="EG713" s="119"/>
      <c r="EH713" s="119"/>
      <c r="EI713" s="119"/>
      <c r="EJ713" s="119"/>
      <c r="EK713" s="119"/>
      <c r="EL713" s="119"/>
      <c r="EM713" s="119"/>
      <c r="EN713" s="119"/>
      <c r="EO713" s="119"/>
      <c r="EP713" s="119"/>
      <c r="EQ713" s="119"/>
      <c r="ER713" s="119"/>
      <c r="ES713" s="119"/>
      <c r="ET713" s="119"/>
      <c r="EU713" s="119"/>
      <c r="EV713" s="119"/>
      <c r="EW713" s="119"/>
      <c r="EX713" s="119"/>
      <c r="EY713" s="119"/>
      <c r="EZ713" s="119"/>
      <c r="FA713" s="119"/>
      <c r="FB713" s="119"/>
      <c r="FC713" s="119"/>
      <c r="FD713" s="119"/>
      <c r="FE713" s="119"/>
      <c r="FF713" s="119"/>
      <c r="FG713" s="119"/>
      <c r="FH713" s="119"/>
      <c r="FI713" s="119"/>
      <c r="FJ713" s="119"/>
      <c r="FK713" s="119"/>
      <c r="FL713" s="119"/>
      <c r="FM713" s="119"/>
      <c r="FN713" s="119"/>
      <c r="FO713" s="119"/>
      <c r="FP713" s="119"/>
      <c r="FQ713" s="119"/>
      <c r="FR713" s="119"/>
    </row>
    <row x14ac:dyDescent="0.25" r="714" customHeight="1" ht="15">
      <c r="A714" s="121"/>
      <c r="B714" s="121"/>
      <c r="C714" s="122"/>
      <c r="D714" s="122"/>
      <c r="E714" s="123"/>
      <c r="F714" s="123"/>
      <c r="G714" s="124"/>
      <c r="H714" s="125"/>
      <c r="I714" s="126"/>
      <c r="J714" s="127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  <c r="AA714" s="119"/>
      <c r="AB714" s="119"/>
      <c r="AC714" s="119"/>
      <c r="AD714" s="119"/>
      <c r="AE714" s="119"/>
      <c r="AF714" s="119"/>
      <c r="AG714" s="119"/>
      <c r="AH714" s="119"/>
      <c r="AI714" s="119"/>
      <c r="AJ714" s="119"/>
      <c r="AK714" s="119"/>
      <c r="AL714" s="119"/>
      <c r="AM714" s="119"/>
      <c r="AN714" s="119"/>
      <c r="AO714" s="119"/>
      <c r="AP714" s="119"/>
      <c r="AQ714" s="119"/>
      <c r="AR714" s="119"/>
      <c r="AS714" s="119"/>
      <c r="AT714" s="119"/>
      <c r="AU714" s="119"/>
      <c r="AV714" s="119"/>
      <c r="AW714" s="119"/>
      <c r="AX714" s="119"/>
      <c r="AY714" s="119"/>
      <c r="AZ714" s="119"/>
      <c r="BA714" s="119"/>
      <c r="BB714" s="119"/>
      <c r="BC714" s="119"/>
      <c r="BD714" s="119"/>
      <c r="BE714" s="119"/>
      <c r="BF714" s="119"/>
      <c r="BG714" s="119"/>
      <c r="BH714" s="119"/>
      <c r="BI714" s="119"/>
      <c r="BJ714" s="119"/>
      <c r="BK714" s="119"/>
      <c r="BL714" s="119"/>
      <c r="BM714" s="119"/>
      <c r="BN714" s="119"/>
      <c r="BO714" s="119"/>
      <c r="BP714" s="119"/>
      <c r="BQ714" s="119"/>
      <c r="BR714" s="119"/>
      <c r="BS714" s="119"/>
      <c r="BT714" s="119"/>
      <c r="BU714" s="119"/>
      <c r="BV714" s="119"/>
      <c r="BW714" s="119"/>
      <c r="BX714" s="119"/>
      <c r="BY714" s="119"/>
      <c r="BZ714" s="119"/>
      <c r="CA714" s="119"/>
      <c r="CB714" s="119"/>
      <c r="CC714" s="119"/>
      <c r="CD714" s="119"/>
      <c r="CE714" s="119"/>
      <c r="CF714" s="119"/>
      <c r="CG714" s="119"/>
      <c r="CH714" s="119"/>
      <c r="CI714" s="119"/>
      <c r="CJ714" s="119"/>
      <c r="CK714" s="119"/>
      <c r="CL714" s="119"/>
      <c r="CM714" s="119"/>
      <c r="CN714" s="119"/>
      <c r="CO714" s="119"/>
      <c r="CP714" s="119"/>
      <c r="CQ714" s="119"/>
      <c r="CR714" s="119"/>
      <c r="CS714" s="119"/>
      <c r="CT714" s="119"/>
      <c r="CU714" s="119"/>
      <c r="CV714" s="119"/>
      <c r="CW714" s="119"/>
      <c r="CX714" s="119"/>
      <c r="CY714" s="119"/>
      <c r="CZ714" s="119"/>
      <c r="DA714" s="119"/>
      <c r="DB714" s="119"/>
      <c r="DC714" s="119"/>
      <c r="DD714" s="119"/>
      <c r="DE714" s="119"/>
      <c r="DF714" s="119"/>
      <c r="DG714" s="119"/>
      <c r="DH714" s="119"/>
      <c r="DI714" s="119"/>
      <c r="DJ714" s="119"/>
      <c r="DK714" s="119"/>
      <c r="DL714" s="119"/>
      <c r="DM714" s="119"/>
      <c r="DN714" s="119"/>
      <c r="DO714" s="119"/>
      <c r="DP714" s="119"/>
      <c r="DQ714" s="119"/>
      <c r="DR714" s="119"/>
      <c r="DS714" s="119"/>
      <c r="DT714" s="119"/>
      <c r="DU714" s="119"/>
      <c r="DV714" s="119"/>
      <c r="DW714" s="119"/>
      <c r="DX714" s="119"/>
      <c r="DY714" s="119"/>
      <c r="DZ714" s="119"/>
      <c r="EA714" s="119"/>
      <c r="EB714" s="119"/>
      <c r="EC714" s="119"/>
      <c r="ED714" s="119"/>
      <c r="EE714" s="119"/>
      <c r="EF714" s="119"/>
      <c r="EG714" s="119"/>
      <c r="EH714" s="119"/>
      <c r="EI714" s="119"/>
      <c r="EJ714" s="119"/>
      <c r="EK714" s="119"/>
      <c r="EL714" s="119"/>
      <c r="EM714" s="119"/>
      <c r="EN714" s="119"/>
      <c r="EO714" s="119"/>
      <c r="EP714" s="119"/>
      <c r="EQ714" s="119"/>
      <c r="ER714" s="119"/>
      <c r="ES714" s="119"/>
      <c r="ET714" s="119"/>
      <c r="EU714" s="119"/>
      <c r="EV714" s="119"/>
      <c r="EW714" s="119"/>
      <c r="EX714" s="119"/>
      <c r="EY714" s="119"/>
      <c r="EZ714" s="119"/>
      <c r="FA714" s="119"/>
      <c r="FB714" s="119"/>
      <c r="FC714" s="119"/>
      <c r="FD714" s="119"/>
      <c r="FE714" s="119"/>
      <c r="FF714" s="119"/>
      <c r="FG714" s="119"/>
      <c r="FH714" s="119"/>
      <c r="FI714" s="119"/>
      <c r="FJ714" s="119"/>
      <c r="FK714" s="119"/>
      <c r="FL714" s="119"/>
      <c r="FM714" s="119"/>
      <c r="FN714" s="119"/>
      <c r="FO714" s="119"/>
      <c r="FP714" s="119"/>
      <c r="FQ714" s="119"/>
      <c r="FR714" s="119"/>
    </row>
    <row x14ac:dyDescent="0.25" r="715" customHeight="1" ht="15">
      <c r="A715" s="121"/>
      <c r="B715" s="121"/>
      <c r="C715" s="122"/>
      <c r="D715" s="122"/>
      <c r="E715" s="123"/>
      <c r="F715" s="123"/>
      <c r="G715" s="124"/>
      <c r="H715" s="125"/>
      <c r="I715" s="126"/>
      <c r="J715" s="127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  <c r="AA715" s="119"/>
      <c r="AB715" s="119"/>
      <c r="AC715" s="119"/>
      <c r="AD715" s="119"/>
      <c r="AE715" s="119"/>
      <c r="AF715" s="119"/>
      <c r="AG715" s="119"/>
      <c r="AH715" s="119"/>
      <c r="AI715" s="119"/>
      <c r="AJ715" s="119"/>
      <c r="AK715" s="119"/>
      <c r="AL715" s="119"/>
      <c r="AM715" s="119"/>
      <c r="AN715" s="119"/>
      <c r="AO715" s="119"/>
      <c r="AP715" s="119"/>
      <c r="AQ715" s="119"/>
      <c r="AR715" s="119"/>
      <c r="AS715" s="119"/>
      <c r="AT715" s="119"/>
      <c r="AU715" s="119"/>
      <c r="AV715" s="119"/>
      <c r="AW715" s="119"/>
      <c r="AX715" s="119"/>
      <c r="AY715" s="119"/>
      <c r="AZ715" s="119"/>
      <c r="BA715" s="119"/>
      <c r="BB715" s="119"/>
      <c r="BC715" s="119"/>
      <c r="BD715" s="119"/>
      <c r="BE715" s="119"/>
      <c r="BF715" s="119"/>
      <c r="BG715" s="119"/>
      <c r="BH715" s="119"/>
      <c r="BI715" s="119"/>
      <c r="BJ715" s="119"/>
      <c r="BK715" s="119"/>
      <c r="BL715" s="119"/>
      <c r="BM715" s="119"/>
      <c r="BN715" s="119"/>
      <c r="BO715" s="119"/>
      <c r="BP715" s="119"/>
      <c r="BQ715" s="119"/>
      <c r="BR715" s="119"/>
      <c r="BS715" s="119"/>
      <c r="BT715" s="119"/>
      <c r="BU715" s="119"/>
      <c r="BV715" s="119"/>
      <c r="BW715" s="119"/>
      <c r="BX715" s="119"/>
      <c r="BY715" s="119"/>
      <c r="BZ715" s="119"/>
      <c r="CA715" s="119"/>
      <c r="CB715" s="119"/>
      <c r="CC715" s="119"/>
      <c r="CD715" s="119"/>
      <c r="CE715" s="119"/>
      <c r="CF715" s="119"/>
      <c r="CG715" s="119"/>
      <c r="CH715" s="119"/>
      <c r="CI715" s="119"/>
      <c r="CJ715" s="119"/>
      <c r="CK715" s="119"/>
      <c r="CL715" s="119"/>
      <c r="CM715" s="119"/>
      <c r="CN715" s="119"/>
      <c r="CO715" s="119"/>
      <c r="CP715" s="119"/>
      <c r="CQ715" s="119"/>
      <c r="CR715" s="119"/>
      <c r="CS715" s="119"/>
      <c r="CT715" s="119"/>
      <c r="CU715" s="119"/>
      <c r="CV715" s="119"/>
      <c r="CW715" s="119"/>
      <c r="CX715" s="119"/>
      <c r="CY715" s="119"/>
      <c r="CZ715" s="119"/>
      <c r="DA715" s="119"/>
      <c r="DB715" s="119"/>
      <c r="DC715" s="119"/>
      <c r="DD715" s="119"/>
      <c r="DE715" s="119"/>
      <c r="DF715" s="119"/>
      <c r="DG715" s="119"/>
      <c r="DH715" s="119"/>
      <c r="DI715" s="119"/>
      <c r="DJ715" s="119"/>
      <c r="DK715" s="119"/>
      <c r="DL715" s="119"/>
      <c r="DM715" s="119"/>
      <c r="DN715" s="119"/>
      <c r="DO715" s="119"/>
      <c r="DP715" s="119"/>
      <c r="DQ715" s="119"/>
      <c r="DR715" s="119"/>
      <c r="DS715" s="119"/>
      <c r="DT715" s="119"/>
      <c r="DU715" s="119"/>
      <c r="DV715" s="119"/>
      <c r="DW715" s="119"/>
      <c r="DX715" s="119"/>
      <c r="DY715" s="119"/>
      <c r="DZ715" s="119"/>
      <c r="EA715" s="119"/>
      <c r="EB715" s="119"/>
      <c r="EC715" s="119"/>
      <c r="ED715" s="119"/>
      <c r="EE715" s="119"/>
      <c r="EF715" s="119"/>
      <c r="EG715" s="119"/>
      <c r="EH715" s="119"/>
      <c r="EI715" s="119"/>
      <c r="EJ715" s="119"/>
      <c r="EK715" s="119"/>
      <c r="EL715" s="119"/>
      <c r="EM715" s="119"/>
      <c r="EN715" s="119"/>
      <c r="EO715" s="119"/>
      <c r="EP715" s="119"/>
      <c r="EQ715" s="119"/>
      <c r="ER715" s="119"/>
      <c r="ES715" s="119"/>
      <c r="ET715" s="119"/>
      <c r="EU715" s="119"/>
      <c r="EV715" s="119"/>
      <c r="EW715" s="119"/>
      <c r="EX715" s="119"/>
      <c r="EY715" s="119"/>
      <c r="EZ715" s="119"/>
      <c r="FA715" s="119"/>
      <c r="FB715" s="119"/>
      <c r="FC715" s="119"/>
      <c r="FD715" s="119"/>
      <c r="FE715" s="119"/>
      <c r="FF715" s="119"/>
      <c r="FG715" s="119"/>
      <c r="FH715" s="119"/>
      <c r="FI715" s="119"/>
      <c r="FJ715" s="119"/>
      <c r="FK715" s="119"/>
      <c r="FL715" s="119"/>
      <c r="FM715" s="119"/>
      <c r="FN715" s="119"/>
      <c r="FO715" s="119"/>
      <c r="FP715" s="119"/>
      <c r="FQ715" s="119"/>
      <c r="FR715" s="119"/>
    </row>
    <row x14ac:dyDescent="0.25" r="716" customHeight="1" ht="15">
      <c r="A716" s="121"/>
      <c r="B716" s="121"/>
      <c r="C716" s="122"/>
      <c r="D716" s="122"/>
      <c r="E716" s="123"/>
      <c r="F716" s="123"/>
      <c r="G716" s="124"/>
      <c r="H716" s="125"/>
      <c r="I716" s="126"/>
      <c r="J716" s="127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  <c r="AA716" s="119"/>
      <c r="AB716" s="119"/>
      <c r="AC716" s="119"/>
      <c r="AD716" s="119"/>
      <c r="AE716" s="119"/>
      <c r="AF716" s="119"/>
      <c r="AG716" s="119"/>
      <c r="AH716" s="119"/>
      <c r="AI716" s="119"/>
      <c r="AJ716" s="119"/>
      <c r="AK716" s="119"/>
      <c r="AL716" s="119"/>
      <c r="AM716" s="119"/>
      <c r="AN716" s="119"/>
      <c r="AO716" s="119"/>
      <c r="AP716" s="119"/>
      <c r="AQ716" s="119"/>
      <c r="AR716" s="119"/>
      <c r="AS716" s="119"/>
      <c r="AT716" s="119"/>
      <c r="AU716" s="119"/>
      <c r="AV716" s="119"/>
      <c r="AW716" s="119"/>
      <c r="AX716" s="119"/>
      <c r="AY716" s="119"/>
      <c r="AZ716" s="119"/>
      <c r="BA716" s="119"/>
      <c r="BB716" s="119"/>
      <c r="BC716" s="119"/>
      <c r="BD716" s="119"/>
      <c r="BE716" s="119"/>
      <c r="BF716" s="119"/>
      <c r="BG716" s="119"/>
      <c r="BH716" s="119"/>
      <c r="BI716" s="119"/>
      <c r="BJ716" s="119"/>
      <c r="BK716" s="119"/>
      <c r="BL716" s="119"/>
      <c r="BM716" s="119"/>
      <c r="BN716" s="119"/>
      <c r="BO716" s="119"/>
      <c r="BP716" s="119"/>
      <c r="BQ716" s="119"/>
      <c r="BR716" s="119"/>
      <c r="BS716" s="119"/>
      <c r="BT716" s="119"/>
      <c r="BU716" s="119"/>
      <c r="BV716" s="119"/>
      <c r="BW716" s="119"/>
      <c r="BX716" s="119"/>
      <c r="BY716" s="119"/>
      <c r="BZ716" s="119"/>
      <c r="CA716" s="119"/>
      <c r="CB716" s="119"/>
      <c r="CC716" s="119"/>
      <c r="CD716" s="119"/>
      <c r="CE716" s="119"/>
      <c r="CF716" s="119"/>
      <c r="CG716" s="119"/>
      <c r="CH716" s="119"/>
      <c r="CI716" s="119"/>
      <c r="CJ716" s="119"/>
      <c r="CK716" s="119"/>
      <c r="CL716" s="119"/>
      <c r="CM716" s="119"/>
      <c r="CN716" s="119"/>
      <c r="CO716" s="119"/>
      <c r="CP716" s="119"/>
      <c r="CQ716" s="119"/>
      <c r="CR716" s="119"/>
      <c r="CS716" s="119"/>
      <c r="CT716" s="119"/>
      <c r="CU716" s="119"/>
      <c r="CV716" s="119"/>
      <c r="CW716" s="119"/>
      <c r="CX716" s="119"/>
      <c r="CY716" s="119"/>
      <c r="CZ716" s="119"/>
      <c r="DA716" s="119"/>
      <c r="DB716" s="119"/>
      <c r="DC716" s="119"/>
      <c r="DD716" s="119"/>
      <c r="DE716" s="119"/>
      <c r="DF716" s="119"/>
      <c r="DG716" s="119"/>
      <c r="DH716" s="119"/>
      <c r="DI716" s="119"/>
      <c r="DJ716" s="119"/>
      <c r="DK716" s="119"/>
      <c r="DL716" s="119"/>
      <c r="DM716" s="119"/>
      <c r="DN716" s="119"/>
      <c r="DO716" s="119"/>
      <c r="DP716" s="119"/>
      <c r="DQ716" s="119"/>
      <c r="DR716" s="119"/>
      <c r="DS716" s="119"/>
      <c r="DT716" s="119"/>
      <c r="DU716" s="119"/>
      <c r="DV716" s="119"/>
      <c r="DW716" s="119"/>
      <c r="DX716" s="119"/>
      <c r="DY716" s="119"/>
      <c r="DZ716" s="119"/>
      <c r="EA716" s="119"/>
      <c r="EB716" s="119"/>
      <c r="EC716" s="119"/>
      <c r="ED716" s="119"/>
      <c r="EE716" s="119"/>
      <c r="EF716" s="119"/>
      <c r="EG716" s="119"/>
      <c r="EH716" s="119"/>
      <c r="EI716" s="119"/>
      <c r="EJ716" s="119"/>
      <c r="EK716" s="119"/>
      <c r="EL716" s="119"/>
      <c r="EM716" s="119"/>
      <c r="EN716" s="119"/>
      <c r="EO716" s="119"/>
      <c r="EP716" s="119"/>
      <c r="EQ716" s="119"/>
      <c r="ER716" s="119"/>
      <c r="ES716" s="119"/>
      <c r="ET716" s="119"/>
      <c r="EU716" s="119"/>
      <c r="EV716" s="119"/>
      <c r="EW716" s="119"/>
      <c r="EX716" s="119"/>
      <c r="EY716" s="119"/>
      <c r="EZ716" s="119"/>
      <c r="FA716" s="119"/>
      <c r="FB716" s="119"/>
      <c r="FC716" s="119"/>
      <c r="FD716" s="119"/>
      <c r="FE716" s="119"/>
      <c r="FF716" s="119"/>
      <c r="FG716" s="119"/>
      <c r="FH716" s="119"/>
      <c r="FI716" s="119"/>
      <c r="FJ716" s="119"/>
      <c r="FK716" s="119"/>
      <c r="FL716" s="119"/>
      <c r="FM716" s="119"/>
      <c r="FN716" s="119"/>
      <c r="FO716" s="119"/>
      <c r="FP716" s="119"/>
      <c r="FQ716" s="119"/>
      <c r="FR716" s="119"/>
    </row>
    <row x14ac:dyDescent="0.25" r="717" customHeight="1" ht="15">
      <c r="A717" s="121"/>
      <c r="B717" s="121"/>
      <c r="C717" s="122"/>
      <c r="D717" s="122"/>
      <c r="E717" s="123"/>
      <c r="F717" s="123"/>
      <c r="G717" s="124"/>
      <c r="H717" s="125"/>
      <c r="I717" s="126"/>
      <c r="J717" s="127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  <c r="AA717" s="119"/>
      <c r="AB717" s="119"/>
      <c r="AC717" s="119"/>
      <c r="AD717" s="119"/>
      <c r="AE717" s="119"/>
      <c r="AF717" s="119"/>
      <c r="AG717" s="119"/>
      <c r="AH717" s="119"/>
      <c r="AI717" s="119"/>
      <c r="AJ717" s="119"/>
      <c r="AK717" s="119"/>
      <c r="AL717" s="119"/>
      <c r="AM717" s="119"/>
      <c r="AN717" s="119"/>
      <c r="AO717" s="119"/>
      <c r="AP717" s="119"/>
      <c r="AQ717" s="119"/>
      <c r="AR717" s="119"/>
      <c r="AS717" s="119"/>
      <c r="AT717" s="119"/>
      <c r="AU717" s="119"/>
      <c r="AV717" s="119"/>
      <c r="AW717" s="119"/>
      <c r="AX717" s="119"/>
      <c r="AY717" s="119"/>
      <c r="AZ717" s="119"/>
      <c r="BA717" s="119"/>
      <c r="BB717" s="119"/>
      <c r="BC717" s="119"/>
      <c r="BD717" s="119"/>
      <c r="BE717" s="119"/>
      <c r="BF717" s="119"/>
      <c r="BG717" s="119"/>
      <c r="BH717" s="119"/>
      <c r="BI717" s="119"/>
      <c r="BJ717" s="119"/>
      <c r="BK717" s="119"/>
      <c r="BL717" s="119"/>
      <c r="BM717" s="119"/>
      <c r="BN717" s="119"/>
      <c r="BO717" s="119"/>
      <c r="BP717" s="119"/>
      <c r="BQ717" s="119"/>
      <c r="BR717" s="119"/>
      <c r="BS717" s="119"/>
      <c r="BT717" s="119"/>
      <c r="BU717" s="119"/>
      <c r="BV717" s="119"/>
      <c r="BW717" s="119"/>
      <c r="BX717" s="119"/>
      <c r="BY717" s="119"/>
      <c r="BZ717" s="119"/>
      <c r="CA717" s="119"/>
      <c r="CB717" s="119"/>
      <c r="CC717" s="119"/>
      <c r="CD717" s="119"/>
      <c r="CE717" s="119"/>
      <c r="CF717" s="119"/>
      <c r="CG717" s="119"/>
      <c r="CH717" s="119"/>
      <c r="CI717" s="119"/>
      <c r="CJ717" s="119"/>
      <c r="CK717" s="119"/>
      <c r="CL717" s="119"/>
      <c r="CM717" s="119"/>
      <c r="CN717" s="119"/>
      <c r="CO717" s="119"/>
      <c r="CP717" s="119"/>
      <c r="CQ717" s="119"/>
      <c r="CR717" s="119"/>
      <c r="CS717" s="119"/>
      <c r="CT717" s="119"/>
      <c r="CU717" s="119"/>
      <c r="CV717" s="119"/>
      <c r="CW717" s="119"/>
      <c r="CX717" s="119"/>
      <c r="CY717" s="119"/>
      <c r="CZ717" s="119"/>
      <c r="DA717" s="119"/>
      <c r="DB717" s="119"/>
      <c r="DC717" s="119"/>
      <c r="DD717" s="119"/>
      <c r="DE717" s="119"/>
      <c r="DF717" s="119"/>
      <c r="DG717" s="119"/>
      <c r="DH717" s="119"/>
      <c r="DI717" s="119"/>
      <c r="DJ717" s="119"/>
      <c r="DK717" s="119"/>
      <c r="DL717" s="119"/>
      <c r="DM717" s="119"/>
      <c r="DN717" s="119"/>
      <c r="DO717" s="119"/>
      <c r="DP717" s="119"/>
      <c r="DQ717" s="119"/>
      <c r="DR717" s="119"/>
      <c r="DS717" s="119"/>
      <c r="DT717" s="119"/>
      <c r="DU717" s="119"/>
      <c r="DV717" s="119"/>
      <c r="DW717" s="119"/>
      <c r="DX717" s="119"/>
      <c r="DY717" s="119"/>
      <c r="DZ717" s="119"/>
      <c r="EA717" s="119"/>
      <c r="EB717" s="119"/>
      <c r="EC717" s="119"/>
      <c r="ED717" s="119"/>
      <c r="EE717" s="119"/>
      <c r="EF717" s="119"/>
      <c r="EG717" s="119"/>
      <c r="EH717" s="119"/>
      <c r="EI717" s="119"/>
      <c r="EJ717" s="119"/>
      <c r="EK717" s="119"/>
      <c r="EL717" s="119"/>
      <c r="EM717" s="119"/>
      <c r="EN717" s="119"/>
      <c r="EO717" s="119"/>
      <c r="EP717" s="119"/>
      <c r="EQ717" s="119"/>
      <c r="ER717" s="119"/>
      <c r="ES717" s="119"/>
      <c r="ET717" s="119"/>
      <c r="EU717" s="119"/>
      <c r="EV717" s="119"/>
      <c r="EW717" s="119"/>
      <c r="EX717" s="119"/>
      <c r="EY717" s="119"/>
      <c r="EZ717" s="119"/>
      <c r="FA717" s="119"/>
      <c r="FB717" s="119"/>
      <c r="FC717" s="119"/>
      <c r="FD717" s="119"/>
      <c r="FE717" s="119"/>
      <c r="FF717" s="119"/>
      <c r="FG717" s="119"/>
      <c r="FH717" s="119"/>
      <c r="FI717" s="119"/>
      <c r="FJ717" s="119"/>
      <c r="FK717" s="119"/>
      <c r="FL717" s="119"/>
      <c r="FM717" s="119"/>
      <c r="FN717" s="119"/>
      <c r="FO717" s="119"/>
      <c r="FP717" s="119"/>
      <c r="FQ717" s="119"/>
      <c r="FR717" s="119"/>
    </row>
    <row x14ac:dyDescent="0.25" r="718" customHeight="1" ht="15">
      <c r="A718" s="121"/>
      <c r="B718" s="121"/>
      <c r="C718" s="122"/>
      <c r="D718" s="122"/>
      <c r="E718" s="123"/>
      <c r="F718" s="123"/>
      <c r="G718" s="124"/>
      <c r="H718" s="125"/>
      <c r="I718" s="126"/>
      <c r="J718" s="127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  <c r="AA718" s="119"/>
      <c r="AB718" s="119"/>
      <c r="AC718" s="119"/>
      <c r="AD718" s="119"/>
      <c r="AE718" s="119"/>
      <c r="AF718" s="119"/>
      <c r="AG718" s="119"/>
      <c r="AH718" s="119"/>
      <c r="AI718" s="119"/>
      <c r="AJ718" s="119"/>
      <c r="AK718" s="119"/>
      <c r="AL718" s="119"/>
      <c r="AM718" s="119"/>
      <c r="AN718" s="119"/>
      <c r="AO718" s="119"/>
      <c r="AP718" s="119"/>
      <c r="AQ718" s="119"/>
      <c r="AR718" s="119"/>
      <c r="AS718" s="119"/>
      <c r="AT718" s="119"/>
      <c r="AU718" s="119"/>
      <c r="AV718" s="119"/>
      <c r="AW718" s="119"/>
      <c r="AX718" s="119"/>
      <c r="AY718" s="119"/>
      <c r="AZ718" s="119"/>
      <c r="BA718" s="119"/>
      <c r="BB718" s="119"/>
      <c r="BC718" s="119"/>
      <c r="BD718" s="119"/>
      <c r="BE718" s="119"/>
      <c r="BF718" s="119"/>
      <c r="BG718" s="119"/>
      <c r="BH718" s="119"/>
      <c r="BI718" s="119"/>
      <c r="BJ718" s="119"/>
      <c r="BK718" s="119"/>
      <c r="BL718" s="119"/>
      <c r="BM718" s="119"/>
      <c r="BN718" s="119"/>
      <c r="BO718" s="119"/>
      <c r="BP718" s="119"/>
      <c r="BQ718" s="119"/>
      <c r="BR718" s="119"/>
      <c r="BS718" s="119"/>
      <c r="BT718" s="119"/>
      <c r="BU718" s="119"/>
      <c r="BV718" s="119"/>
      <c r="BW718" s="119"/>
      <c r="BX718" s="119"/>
      <c r="BY718" s="119"/>
      <c r="BZ718" s="119"/>
      <c r="CA718" s="119"/>
      <c r="CB718" s="119"/>
      <c r="CC718" s="119"/>
      <c r="CD718" s="119"/>
      <c r="CE718" s="119"/>
      <c r="CF718" s="119"/>
      <c r="CG718" s="119"/>
      <c r="CH718" s="119"/>
      <c r="CI718" s="119"/>
      <c r="CJ718" s="119"/>
      <c r="CK718" s="119"/>
      <c r="CL718" s="119"/>
      <c r="CM718" s="119"/>
      <c r="CN718" s="119"/>
      <c r="CO718" s="119"/>
      <c r="CP718" s="119"/>
      <c r="CQ718" s="119"/>
      <c r="CR718" s="119"/>
      <c r="CS718" s="119"/>
      <c r="CT718" s="119"/>
      <c r="CU718" s="119"/>
      <c r="CV718" s="119"/>
      <c r="CW718" s="119"/>
      <c r="CX718" s="119"/>
      <c r="CY718" s="119"/>
      <c r="CZ718" s="119"/>
      <c r="DA718" s="119"/>
      <c r="DB718" s="119"/>
      <c r="DC718" s="119"/>
      <c r="DD718" s="119"/>
      <c r="DE718" s="119"/>
      <c r="DF718" s="119"/>
      <c r="DG718" s="119"/>
      <c r="DH718" s="119"/>
      <c r="DI718" s="119"/>
      <c r="DJ718" s="119"/>
      <c r="DK718" s="119"/>
      <c r="DL718" s="119"/>
      <c r="DM718" s="119"/>
      <c r="DN718" s="119"/>
      <c r="DO718" s="119"/>
      <c r="DP718" s="119"/>
      <c r="DQ718" s="119"/>
      <c r="DR718" s="119"/>
      <c r="DS718" s="119"/>
      <c r="DT718" s="119"/>
      <c r="DU718" s="119"/>
      <c r="DV718" s="119"/>
      <c r="DW718" s="119"/>
      <c r="DX718" s="119"/>
      <c r="DY718" s="119"/>
      <c r="DZ718" s="119"/>
      <c r="EA718" s="119"/>
      <c r="EB718" s="119"/>
      <c r="EC718" s="119"/>
      <c r="ED718" s="119"/>
      <c r="EE718" s="119"/>
      <c r="EF718" s="119"/>
      <c r="EG718" s="119"/>
      <c r="EH718" s="119"/>
      <c r="EI718" s="119"/>
      <c r="EJ718" s="119"/>
      <c r="EK718" s="119"/>
      <c r="EL718" s="119"/>
      <c r="EM718" s="119"/>
      <c r="EN718" s="119"/>
      <c r="EO718" s="119"/>
      <c r="EP718" s="119"/>
      <c r="EQ718" s="119"/>
      <c r="ER718" s="119"/>
      <c r="ES718" s="119"/>
      <c r="ET718" s="119"/>
      <c r="EU718" s="119"/>
      <c r="EV718" s="119"/>
      <c r="EW718" s="119"/>
      <c r="EX718" s="119"/>
      <c r="EY718" s="119"/>
      <c r="EZ718" s="119"/>
      <c r="FA718" s="119"/>
      <c r="FB718" s="119"/>
      <c r="FC718" s="119"/>
      <c r="FD718" s="119"/>
      <c r="FE718" s="119"/>
      <c r="FF718" s="119"/>
      <c r="FG718" s="119"/>
      <c r="FH718" s="119"/>
      <c r="FI718" s="119"/>
      <c r="FJ718" s="119"/>
      <c r="FK718" s="119"/>
      <c r="FL718" s="119"/>
      <c r="FM718" s="119"/>
      <c r="FN718" s="119"/>
      <c r="FO718" s="119"/>
      <c r="FP718" s="119"/>
      <c r="FQ718" s="119"/>
      <c r="FR718" s="119"/>
    </row>
    <row x14ac:dyDescent="0.25" r="719" customHeight="1" ht="15">
      <c r="A719" s="121"/>
      <c r="B719" s="121"/>
      <c r="C719" s="122"/>
      <c r="D719" s="122"/>
      <c r="E719" s="123"/>
      <c r="F719" s="123"/>
      <c r="G719" s="124"/>
      <c r="H719" s="125"/>
      <c r="I719" s="126"/>
      <c r="J719" s="127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  <c r="AA719" s="119"/>
      <c r="AB719" s="119"/>
      <c r="AC719" s="119"/>
      <c r="AD719" s="119"/>
      <c r="AE719" s="119"/>
      <c r="AF719" s="119"/>
      <c r="AG719" s="119"/>
      <c r="AH719" s="119"/>
      <c r="AI719" s="119"/>
      <c r="AJ719" s="119"/>
      <c r="AK719" s="119"/>
      <c r="AL719" s="119"/>
      <c r="AM719" s="119"/>
      <c r="AN719" s="119"/>
      <c r="AO719" s="119"/>
      <c r="AP719" s="119"/>
      <c r="AQ719" s="119"/>
      <c r="AR719" s="119"/>
      <c r="AS719" s="119"/>
      <c r="AT719" s="119"/>
      <c r="AU719" s="119"/>
      <c r="AV719" s="119"/>
      <c r="AW719" s="119"/>
      <c r="AX719" s="119"/>
      <c r="AY719" s="119"/>
      <c r="AZ719" s="119"/>
      <c r="BA719" s="119"/>
      <c r="BB719" s="119"/>
      <c r="BC719" s="119"/>
      <c r="BD719" s="119"/>
      <c r="BE719" s="119"/>
      <c r="BF719" s="119"/>
      <c r="BG719" s="119"/>
      <c r="BH719" s="119"/>
      <c r="BI719" s="119"/>
      <c r="BJ719" s="119"/>
      <c r="BK719" s="119"/>
      <c r="BL719" s="119"/>
      <c r="BM719" s="119"/>
      <c r="BN719" s="119"/>
      <c r="BO719" s="119"/>
      <c r="BP719" s="119"/>
      <c r="BQ719" s="119"/>
      <c r="BR719" s="119"/>
      <c r="BS719" s="119"/>
      <c r="BT719" s="119"/>
      <c r="BU719" s="119"/>
      <c r="BV719" s="119"/>
      <c r="BW719" s="119"/>
      <c r="BX719" s="119"/>
      <c r="BY719" s="119"/>
      <c r="BZ719" s="119"/>
      <c r="CA719" s="119"/>
      <c r="CB719" s="119"/>
      <c r="CC719" s="119"/>
      <c r="CD719" s="119"/>
      <c r="CE719" s="119"/>
      <c r="CF719" s="119"/>
      <c r="CG719" s="119"/>
      <c r="CH719" s="119"/>
      <c r="CI719" s="119"/>
      <c r="CJ719" s="119"/>
      <c r="CK719" s="119"/>
      <c r="CL719" s="119"/>
      <c r="CM719" s="119"/>
      <c r="CN719" s="119"/>
      <c r="CO719" s="119"/>
      <c r="CP719" s="119"/>
      <c r="CQ719" s="119"/>
      <c r="CR719" s="119"/>
      <c r="CS719" s="119"/>
      <c r="CT719" s="119"/>
      <c r="CU719" s="119"/>
      <c r="CV719" s="119"/>
      <c r="CW719" s="119"/>
      <c r="CX719" s="119"/>
      <c r="CY719" s="119"/>
      <c r="CZ719" s="119"/>
      <c r="DA719" s="119"/>
      <c r="DB719" s="119"/>
      <c r="DC719" s="119"/>
      <c r="DD719" s="119"/>
      <c r="DE719" s="119"/>
      <c r="DF719" s="119"/>
      <c r="DG719" s="119"/>
      <c r="DH719" s="119"/>
      <c r="DI719" s="119"/>
      <c r="DJ719" s="119"/>
      <c r="DK719" s="119"/>
      <c r="DL719" s="119"/>
      <c r="DM719" s="119"/>
      <c r="DN719" s="119"/>
      <c r="DO719" s="119"/>
      <c r="DP719" s="119"/>
      <c r="DQ719" s="119"/>
      <c r="DR719" s="119"/>
      <c r="DS719" s="119"/>
      <c r="DT719" s="119"/>
      <c r="DU719" s="119"/>
      <c r="DV719" s="119"/>
      <c r="DW719" s="119"/>
      <c r="DX719" s="119"/>
      <c r="DY719" s="119"/>
      <c r="DZ719" s="119"/>
      <c r="EA719" s="119"/>
      <c r="EB719" s="119"/>
      <c r="EC719" s="119"/>
      <c r="ED719" s="119"/>
      <c r="EE719" s="119"/>
      <c r="EF719" s="119"/>
      <c r="EG719" s="119"/>
      <c r="EH719" s="119"/>
      <c r="EI719" s="119"/>
      <c r="EJ719" s="119"/>
      <c r="EK719" s="119"/>
      <c r="EL719" s="119"/>
      <c r="EM719" s="119"/>
      <c r="EN719" s="119"/>
      <c r="EO719" s="119"/>
      <c r="EP719" s="119"/>
      <c r="EQ719" s="119"/>
      <c r="ER719" s="119"/>
      <c r="ES719" s="119"/>
      <c r="ET719" s="119"/>
      <c r="EU719" s="119"/>
      <c r="EV719" s="119"/>
      <c r="EW719" s="119"/>
      <c r="EX719" s="119"/>
      <c r="EY719" s="119"/>
      <c r="EZ719" s="119"/>
      <c r="FA719" s="119"/>
      <c r="FB719" s="119"/>
      <c r="FC719" s="119"/>
      <c r="FD719" s="119"/>
      <c r="FE719" s="119"/>
      <c r="FF719" s="119"/>
      <c r="FG719" s="119"/>
      <c r="FH719" s="119"/>
      <c r="FI719" s="119"/>
      <c r="FJ719" s="119"/>
      <c r="FK719" s="119"/>
      <c r="FL719" s="119"/>
      <c r="FM719" s="119"/>
      <c r="FN719" s="119"/>
      <c r="FO719" s="119"/>
      <c r="FP719" s="119"/>
      <c r="FQ719" s="119"/>
      <c r="FR719" s="119"/>
    </row>
    <row x14ac:dyDescent="0.25" r="720" customHeight="1" ht="15">
      <c r="A720" s="121"/>
      <c r="B720" s="121"/>
      <c r="C720" s="122"/>
      <c r="D720" s="122"/>
      <c r="E720" s="123"/>
      <c r="F720" s="123"/>
      <c r="G720" s="124"/>
      <c r="H720" s="125"/>
      <c r="I720" s="126"/>
      <c r="J720" s="127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  <c r="AA720" s="119"/>
      <c r="AB720" s="119"/>
      <c r="AC720" s="119"/>
      <c r="AD720" s="119"/>
      <c r="AE720" s="119"/>
      <c r="AF720" s="119"/>
      <c r="AG720" s="119"/>
      <c r="AH720" s="119"/>
      <c r="AI720" s="119"/>
      <c r="AJ720" s="119"/>
      <c r="AK720" s="119"/>
      <c r="AL720" s="119"/>
      <c r="AM720" s="119"/>
      <c r="AN720" s="119"/>
      <c r="AO720" s="119"/>
      <c r="AP720" s="119"/>
      <c r="AQ720" s="119"/>
      <c r="AR720" s="119"/>
      <c r="AS720" s="119"/>
      <c r="AT720" s="119"/>
      <c r="AU720" s="119"/>
      <c r="AV720" s="119"/>
      <c r="AW720" s="119"/>
      <c r="AX720" s="119"/>
      <c r="AY720" s="119"/>
      <c r="AZ720" s="119"/>
      <c r="BA720" s="119"/>
      <c r="BB720" s="119"/>
      <c r="BC720" s="119"/>
      <c r="BD720" s="119"/>
      <c r="BE720" s="119"/>
      <c r="BF720" s="119"/>
      <c r="BG720" s="119"/>
      <c r="BH720" s="119"/>
      <c r="BI720" s="119"/>
      <c r="BJ720" s="119"/>
      <c r="BK720" s="119"/>
      <c r="BL720" s="119"/>
      <c r="BM720" s="119"/>
      <c r="BN720" s="119"/>
      <c r="BO720" s="119"/>
      <c r="BP720" s="119"/>
      <c r="BQ720" s="119"/>
      <c r="BR720" s="119"/>
      <c r="BS720" s="119"/>
      <c r="BT720" s="119"/>
      <c r="BU720" s="119"/>
      <c r="BV720" s="119"/>
      <c r="BW720" s="119"/>
      <c r="BX720" s="119"/>
      <c r="BY720" s="119"/>
      <c r="BZ720" s="119"/>
      <c r="CA720" s="119"/>
      <c r="CB720" s="119"/>
      <c r="CC720" s="119"/>
      <c r="CD720" s="119"/>
      <c r="CE720" s="119"/>
      <c r="CF720" s="119"/>
      <c r="CG720" s="119"/>
      <c r="CH720" s="119"/>
      <c r="CI720" s="119"/>
      <c r="CJ720" s="119"/>
      <c r="CK720" s="119"/>
      <c r="CL720" s="119"/>
      <c r="CM720" s="119"/>
      <c r="CN720" s="119"/>
      <c r="CO720" s="119"/>
      <c r="CP720" s="119"/>
      <c r="CQ720" s="119"/>
      <c r="CR720" s="119"/>
      <c r="CS720" s="119"/>
      <c r="CT720" s="119"/>
      <c r="CU720" s="119"/>
      <c r="CV720" s="119"/>
      <c r="CW720" s="119"/>
      <c r="CX720" s="119"/>
      <c r="CY720" s="119"/>
      <c r="CZ720" s="119"/>
      <c r="DA720" s="119"/>
      <c r="DB720" s="119"/>
      <c r="DC720" s="119"/>
      <c r="DD720" s="119"/>
      <c r="DE720" s="119"/>
      <c r="DF720" s="119"/>
      <c r="DG720" s="119"/>
      <c r="DH720" s="119"/>
      <c r="DI720" s="119"/>
      <c r="DJ720" s="119"/>
      <c r="DK720" s="119"/>
      <c r="DL720" s="119"/>
      <c r="DM720" s="119"/>
      <c r="DN720" s="119"/>
      <c r="DO720" s="119"/>
      <c r="DP720" s="119"/>
      <c r="DQ720" s="119"/>
      <c r="DR720" s="119"/>
      <c r="DS720" s="119"/>
      <c r="DT720" s="119"/>
      <c r="DU720" s="119"/>
      <c r="DV720" s="119"/>
      <c r="DW720" s="119"/>
      <c r="DX720" s="119"/>
      <c r="DY720" s="119"/>
      <c r="DZ720" s="119"/>
      <c r="EA720" s="119"/>
      <c r="EB720" s="119"/>
      <c r="EC720" s="119"/>
      <c r="ED720" s="119"/>
      <c r="EE720" s="119"/>
      <c r="EF720" s="119"/>
      <c r="EG720" s="119"/>
      <c r="EH720" s="119"/>
      <c r="EI720" s="119"/>
      <c r="EJ720" s="119"/>
      <c r="EK720" s="119"/>
      <c r="EL720" s="119"/>
      <c r="EM720" s="119"/>
      <c r="EN720" s="119"/>
      <c r="EO720" s="119"/>
      <c r="EP720" s="119"/>
      <c r="EQ720" s="119"/>
      <c r="ER720" s="119"/>
      <c r="ES720" s="119"/>
      <c r="ET720" s="119"/>
      <c r="EU720" s="119"/>
      <c r="EV720" s="119"/>
      <c r="EW720" s="119"/>
      <c r="EX720" s="119"/>
      <c r="EY720" s="119"/>
      <c r="EZ720" s="119"/>
      <c r="FA720" s="119"/>
      <c r="FB720" s="119"/>
      <c r="FC720" s="119"/>
      <c r="FD720" s="119"/>
      <c r="FE720" s="119"/>
      <c r="FF720" s="119"/>
      <c r="FG720" s="119"/>
      <c r="FH720" s="119"/>
      <c r="FI720" s="119"/>
      <c r="FJ720" s="119"/>
      <c r="FK720" s="119"/>
      <c r="FL720" s="119"/>
      <c r="FM720" s="119"/>
      <c r="FN720" s="119"/>
      <c r="FO720" s="119"/>
      <c r="FP720" s="119"/>
      <c r="FQ720" s="119"/>
      <c r="FR720" s="119"/>
    </row>
    <row x14ac:dyDescent="0.25" r="721" customHeight="1" ht="15">
      <c r="A721" s="121"/>
      <c r="B721" s="121"/>
      <c r="C721" s="122"/>
      <c r="D721" s="122"/>
      <c r="E721" s="123"/>
      <c r="F721" s="123"/>
      <c r="G721" s="124"/>
      <c r="H721" s="125"/>
      <c r="I721" s="126"/>
      <c r="J721" s="127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  <c r="AA721" s="119"/>
      <c r="AB721" s="119"/>
      <c r="AC721" s="119"/>
      <c r="AD721" s="119"/>
      <c r="AE721" s="119"/>
      <c r="AF721" s="119"/>
      <c r="AG721" s="119"/>
      <c r="AH721" s="119"/>
      <c r="AI721" s="119"/>
      <c r="AJ721" s="119"/>
      <c r="AK721" s="119"/>
      <c r="AL721" s="119"/>
      <c r="AM721" s="119"/>
      <c r="AN721" s="119"/>
      <c r="AO721" s="119"/>
      <c r="AP721" s="119"/>
      <c r="AQ721" s="119"/>
      <c r="AR721" s="119"/>
      <c r="AS721" s="119"/>
      <c r="AT721" s="119"/>
      <c r="AU721" s="119"/>
      <c r="AV721" s="119"/>
      <c r="AW721" s="119"/>
      <c r="AX721" s="119"/>
      <c r="AY721" s="119"/>
      <c r="AZ721" s="119"/>
      <c r="BA721" s="119"/>
      <c r="BB721" s="119"/>
      <c r="BC721" s="119"/>
      <c r="BD721" s="119"/>
      <c r="BE721" s="119"/>
      <c r="BF721" s="119"/>
      <c r="BG721" s="119"/>
      <c r="BH721" s="119"/>
      <c r="BI721" s="119"/>
      <c r="BJ721" s="119"/>
      <c r="BK721" s="119"/>
      <c r="BL721" s="119"/>
      <c r="BM721" s="119"/>
      <c r="BN721" s="119"/>
      <c r="BO721" s="119"/>
      <c r="BP721" s="119"/>
      <c r="BQ721" s="119"/>
      <c r="BR721" s="119"/>
      <c r="BS721" s="119"/>
      <c r="BT721" s="119"/>
      <c r="BU721" s="119"/>
      <c r="BV721" s="119"/>
      <c r="BW721" s="119"/>
      <c r="BX721" s="119"/>
      <c r="BY721" s="119"/>
      <c r="BZ721" s="119"/>
      <c r="CA721" s="119"/>
      <c r="CB721" s="119"/>
      <c r="CC721" s="119"/>
      <c r="CD721" s="119"/>
      <c r="CE721" s="119"/>
      <c r="CF721" s="119"/>
      <c r="CG721" s="119"/>
      <c r="CH721" s="119"/>
      <c r="CI721" s="119"/>
      <c r="CJ721" s="119"/>
      <c r="CK721" s="119"/>
      <c r="CL721" s="119"/>
      <c r="CM721" s="119"/>
      <c r="CN721" s="119"/>
      <c r="CO721" s="119"/>
      <c r="CP721" s="119"/>
      <c r="CQ721" s="119"/>
      <c r="CR721" s="119"/>
      <c r="CS721" s="119"/>
      <c r="CT721" s="119"/>
      <c r="CU721" s="119"/>
      <c r="CV721" s="119"/>
      <c r="CW721" s="119"/>
      <c r="CX721" s="119"/>
      <c r="CY721" s="119"/>
      <c r="CZ721" s="119"/>
      <c r="DA721" s="119"/>
      <c r="DB721" s="119"/>
      <c r="DC721" s="119"/>
      <c r="DD721" s="119"/>
      <c r="DE721" s="119"/>
      <c r="DF721" s="119"/>
      <c r="DG721" s="119"/>
      <c r="DH721" s="119"/>
      <c r="DI721" s="119"/>
      <c r="DJ721" s="119"/>
      <c r="DK721" s="119"/>
      <c r="DL721" s="119"/>
      <c r="DM721" s="119"/>
      <c r="DN721" s="119"/>
      <c r="DO721" s="119"/>
      <c r="DP721" s="119"/>
      <c r="DQ721" s="119"/>
      <c r="DR721" s="119"/>
      <c r="DS721" s="119"/>
      <c r="DT721" s="119"/>
      <c r="DU721" s="119"/>
      <c r="DV721" s="119"/>
      <c r="DW721" s="119"/>
      <c r="DX721" s="119"/>
      <c r="DY721" s="119"/>
      <c r="DZ721" s="119"/>
      <c r="EA721" s="119"/>
      <c r="EB721" s="119"/>
      <c r="EC721" s="119"/>
      <c r="ED721" s="119"/>
      <c r="EE721" s="119"/>
      <c r="EF721" s="119"/>
      <c r="EG721" s="119"/>
      <c r="EH721" s="119"/>
      <c r="EI721" s="119"/>
      <c r="EJ721" s="119"/>
      <c r="EK721" s="119"/>
      <c r="EL721" s="119"/>
      <c r="EM721" s="119"/>
      <c r="EN721" s="119"/>
      <c r="EO721" s="119"/>
      <c r="EP721" s="119"/>
      <c r="EQ721" s="119"/>
      <c r="ER721" s="119"/>
      <c r="ES721" s="119"/>
      <c r="ET721" s="119"/>
      <c r="EU721" s="119"/>
      <c r="EV721" s="119"/>
      <c r="EW721" s="119"/>
      <c r="EX721" s="119"/>
      <c r="EY721" s="119"/>
      <c r="EZ721" s="119"/>
      <c r="FA721" s="119"/>
      <c r="FB721" s="119"/>
      <c r="FC721" s="119"/>
      <c r="FD721" s="119"/>
      <c r="FE721" s="119"/>
      <c r="FF721" s="119"/>
      <c r="FG721" s="119"/>
      <c r="FH721" s="119"/>
      <c r="FI721" s="119"/>
      <c r="FJ721" s="119"/>
      <c r="FK721" s="119"/>
      <c r="FL721" s="119"/>
      <c r="FM721" s="119"/>
      <c r="FN721" s="119"/>
      <c r="FO721" s="119"/>
      <c r="FP721" s="119"/>
      <c r="FQ721" s="119"/>
      <c r="FR721" s="119"/>
    </row>
    <row x14ac:dyDescent="0.25" r="722" customHeight="1" ht="15">
      <c r="A722" s="121"/>
      <c r="B722" s="121"/>
      <c r="C722" s="122"/>
      <c r="D722" s="122"/>
      <c r="E722" s="123"/>
      <c r="F722" s="123"/>
      <c r="G722" s="124"/>
      <c r="H722" s="125"/>
      <c r="I722" s="126"/>
      <c r="J722" s="127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  <c r="AA722" s="119"/>
      <c r="AB722" s="119"/>
      <c r="AC722" s="119"/>
      <c r="AD722" s="119"/>
      <c r="AE722" s="119"/>
      <c r="AF722" s="119"/>
      <c r="AG722" s="119"/>
      <c r="AH722" s="119"/>
      <c r="AI722" s="119"/>
      <c r="AJ722" s="119"/>
      <c r="AK722" s="119"/>
      <c r="AL722" s="119"/>
      <c r="AM722" s="119"/>
      <c r="AN722" s="119"/>
      <c r="AO722" s="119"/>
      <c r="AP722" s="119"/>
      <c r="AQ722" s="119"/>
      <c r="AR722" s="119"/>
      <c r="AS722" s="119"/>
      <c r="AT722" s="119"/>
      <c r="AU722" s="119"/>
      <c r="AV722" s="119"/>
      <c r="AW722" s="119"/>
      <c r="AX722" s="119"/>
      <c r="AY722" s="119"/>
      <c r="AZ722" s="119"/>
      <c r="BA722" s="119"/>
      <c r="BB722" s="119"/>
      <c r="BC722" s="119"/>
      <c r="BD722" s="119"/>
      <c r="BE722" s="119"/>
      <c r="BF722" s="119"/>
      <c r="BG722" s="119"/>
      <c r="BH722" s="119"/>
      <c r="BI722" s="119"/>
      <c r="BJ722" s="119"/>
      <c r="BK722" s="119"/>
      <c r="BL722" s="119"/>
      <c r="BM722" s="119"/>
      <c r="BN722" s="119"/>
      <c r="BO722" s="119"/>
      <c r="BP722" s="119"/>
      <c r="BQ722" s="119"/>
      <c r="BR722" s="119"/>
      <c r="BS722" s="119"/>
      <c r="BT722" s="119"/>
      <c r="BU722" s="119"/>
      <c r="BV722" s="119"/>
      <c r="BW722" s="119"/>
      <c r="BX722" s="119"/>
      <c r="BY722" s="119"/>
      <c r="BZ722" s="119"/>
      <c r="CA722" s="119"/>
      <c r="CB722" s="119"/>
      <c r="CC722" s="119"/>
      <c r="CD722" s="119"/>
      <c r="CE722" s="119"/>
      <c r="CF722" s="119"/>
      <c r="CG722" s="119"/>
      <c r="CH722" s="119"/>
      <c r="CI722" s="119"/>
      <c r="CJ722" s="119"/>
      <c r="CK722" s="119"/>
      <c r="CL722" s="119"/>
      <c r="CM722" s="119"/>
      <c r="CN722" s="119"/>
      <c r="CO722" s="119"/>
      <c r="CP722" s="119"/>
      <c r="CQ722" s="119"/>
      <c r="CR722" s="119"/>
      <c r="CS722" s="119"/>
      <c r="CT722" s="119"/>
      <c r="CU722" s="119"/>
      <c r="CV722" s="119"/>
      <c r="CW722" s="119"/>
      <c r="CX722" s="119"/>
      <c r="CY722" s="119"/>
      <c r="CZ722" s="119"/>
      <c r="DA722" s="119"/>
      <c r="DB722" s="119"/>
      <c r="DC722" s="119"/>
      <c r="DD722" s="119"/>
      <c r="DE722" s="119"/>
      <c r="DF722" s="119"/>
      <c r="DG722" s="119"/>
      <c r="DH722" s="119"/>
      <c r="DI722" s="119"/>
      <c r="DJ722" s="119"/>
      <c r="DK722" s="119"/>
      <c r="DL722" s="119"/>
      <c r="DM722" s="119"/>
      <c r="DN722" s="119"/>
      <c r="DO722" s="119"/>
      <c r="DP722" s="119"/>
      <c r="DQ722" s="119"/>
      <c r="DR722" s="119"/>
      <c r="DS722" s="119"/>
      <c r="DT722" s="119"/>
      <c r="DU722" s="119"/>
      <c r="DV722" s="119"/>
      <c r="DW722" s="119"/>
      <c r="DX722" s="119"/>
      <c r="DY722" s="119"/>
      <c r="DZ722" s="119"/>
      <c r="EA722" s="119"/>
      <c r="EB722" s="119"/>
      <c r="EC722" s="119"/>
      <c r="ED722" s="119"/>
      <c r="EE722" s="119"/>
      <c r="EF722" s="119"/>
      <c r="EG722" s="119"/>
      <c r="EH722" s="119"/>
      <c r="EI722" s="119"/>
      <c r="EJ722" s="119"/>
      <c r="EK722" s="119"/>
      <c r="EL722" s="119"/>
      <c r="EM722" s="119"/>
      <c r="EN722" s="119"/>
      <c r="EO722" s="119"/>
      <c r="EP722" s="119"/>
      <c r="EQ722" s="119"/>
      <c r="ER722" s="119"/>
      <c r="ES722" s="119"/>
      <c r="ET722" s="119"/>
      <c r="EU722" s="119"/>
      <c r="EV722" s="119"/>
      <c r="EW722" s="119"/>
      <c r="EX722" s="119"/>
      <c r="EY722" s="119"/>
      <c r="EZ722" s="119"/>
      <c r="FA722" s="119"/>
      <c r="FB722" s="119"/>
      <c r="FC722" s="119"/>
      <c r="FD722" s="119"/>
      <c r="FE722" s="119"/>
      <c r="FF722" s="119"/>
      <c r="FG722" s="119"/>
      <c r="FH722" s="119"/>
      <c r="FI722" s="119"/>
      <c r="FJ722" s="119"/>
      <c r="FK722" s="119"/>
      <c r="FL722" s="119"/>
      <c r="FM722" s="119"/>
      <c r="FN722" s="119"/>
      <c r="FO722" s="119"/>
      <c r="FP722" s="119"/>
      <c r="FQ722" s="119"/>
      <c r="FR722" s="119"/>
    </row>
    <row x14ac:dyDescent="0.25" r="723" customHeight="1" ht="15">
      <c r="A723" s="121"/>
      <c r="B723" s="121"/>
      <c r="C723" s="122"/>
      <c r="D723" s="122"/>
      <c r="E723" s="123"/>
      <c r="F723" s="123"/>
      <c r="G723" s="124"/>
      <c r="H723" s="125"/>
      <c r="I723" s="126"/>
      <c r="J723" s="127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  <c r="AA723" s="119"/>
      <c r="AB723" s="119"/>
      <c r="AC723" s="119"/>
      <c r="AD723" s="119"/>
      <c r="AE723" s="119"/>
      <c r="AF723" s="119"/>
      <c r="AG723" s="119"/>
      <c r="AH723" s="119"/>
      <c r="AI723" s="119"/>
      <c r="AJ723" s="119"/>
      <c r="AK723" s="119"/>
      <c r="AL723" s="119"/>
      <c r="AM723" s="119"/>
      <c r="AN723" s="119"/>
      <c r="AO723" s="119"/>
      <c r="AP723" s="119"/>
      <c r="AQ723" s="119"/>
      <c r="AR723" s="119"/>
      <c r="AS723" s="119"/>
      <c r="AT723" s="119"/>
      <c r="AU723" s="119"/>
      <c r="AV723" s="119"/>
      <c r="AW723" s="119"/>
      <c r="AX723" s="119"/>
      <c r="AY723" s="119"/>
      <c r="AZ723" s="119"/>
      <c r="BA723" s="119"/>
      <c r="BB723" s="119"/>
      <c r="BC723" s="119"/>
      <c r="BD723" s="119"/>
      <c r="BE723" s="119"/>
      <c r="BF723" s="119"/>
      <c r="BG723" s="119"/>
      <c r="BH723" s="119"/>
      <c r="BI723" s="119"/>
      <c r="BJ723" s="119"/>
      <c r="BK723" s="119"/>
      <c r="BL723" s="119"/>
      <c r="BM723" s="119"/>
      <c r="BN723" s="119"/>
      <c r="BO723" s="119"/>
      <c r="BP723" s="119"/>
      <c r="BQ723" s="119"/>
      <c r="BR723" s="119"/>
      <c r="BS723" s="119"/>
      <c r="BT723" s="119"/>
      <c r="BU723" s="119"/>
      <c r="BV723" s="119"/>
      <c r="BW723" s="119"/>
      <c r="BX723" s="119"/>
      <c r="BY723" s="119"/>
      <c r="BZ723" s="119"/>
      <c r="CA723" s="119"/>
      <c r="CB723" s="119"/>
      <c r="CC723" s="119"/>
      <c r="CD723" s="119"/>
      <c r="CE723" s="119"/>
      <c r="CF723" s="119"/>
      <c r="CG723" s="119"/>
      <c r="CH723" s="119"/>
      <c r="CI723" s="119"/>
      <c r="CJ723" s="119"/>
      <c r="CK723" s="119"/>
      <c r="CL723" s="119"/>
      <c r="CM723" s="119"/>
      <c r="CN723" s="119"/>
      <c r="CO723" s="119"/>
      <c r="CP723" s="119"/>
      <c r="CQ723" s="119"/>
      <c r="CR723" s="119"/>
      <c r="CS723" s="119"/>
      <c r="CT723" s="119"/>
      <c r="CU723" s="119"/>
      <c r="CV723" s="119"/>
      <c r="CW723" s="119"/>
      <c r="CX723" s="119"/>
      <c r="CY723" s="119"/>
      <c r="CZ723" s="119"/>
      <c r="DA723" s="119"/>
      <c r="DB723" s="119"/>
      <c r="DC723" s="119"/>
      <c r="DD723" s="119"/>
      <c r="DE723" s="119"/>
      <c r="DF723" s="119"/>
      <c r="DG723" s="119"/>
      <c r="DH723" s="119"/>
      <c r="DI723" s="119"/>
      <c r="DJ723" s="119"/>
      <c r="DK723" s="119"/>
      <c r="DL723" s="119"/>
      <c r="DM723" s="119"/>
      <c r="DN723" s="119"/>
      <c r="DO723" s="119"/>
      <c r="DP723" s="119"/>
      <c r="DQ723" s="119"/>
      <c r="DR723" s="119"/>
      <c r="DS723" s="119"/>
      <c r="DT723" s="119"/>
      <c r="DU723" s="119"/>
      <c r="DV723" s="119"/>
      <c r="DW723" s="119"/>
      <c r="DX723" s="119"/>
      <c r="DY723" s="119"/>
      <c r="DZ723" s="119"/>
      <c r="EA723" s="119"/>
      <c r="EB723" s="119"/>
      <c r="EC723" s="119"/>
      <c r="ED723" s="119"/>
      <c r="EE723" s="119"/>
      <c r="EF723" s="119"/>
      <c r="EG723" s="119"/>
      <c r="EH723" s="119"/>
      <c r="EI723" s="119"/>
      <c r="EJ723" s="119"/>
      <c r="EK723" s="119"/>
      <c r="EL723" s="119"/>
      <c r="EM723" s="119"/>
      <c r="EN723" s="119"/>
      <c r="EO723" s="119"/>
      <c r="EP723" s="119"/>
      <c r="EQ723" s="119"/>
      <c r="ER723" s="119"/>
      <c r="ES723" s="119"/>
      <c r="ET723" s="119"/>
      <c r="EU723" s="119"/>
      <c r="EV723" s="119"/>
      <c r="EW723" s="119"/>
      <c r="EX723" s="119"/>
      <c r="EY723" s="119"/>
      <c r="EZ723" s="119"/>
      <c r="FA723" s="119"/>
      <c r="FB723" s="119"/>
      <c r="FC723" s="119"/>
      <c r="FD723" s="119"/>
      <c r="FE723" s="119"/>
      <c r="FF723" s="119"/>
      <c r="FG723" s="119"/>
      <c r="FH723" s="119"/>
      <c r="FI723" s="119"/>
      <c r="FJ723" s="119"/>
      <c r="FK723" s="119"/>
      <c r="FL723" s="119"/>
      <c r="FM723" s="119"/>
      <c r="FN723" s="119"/>
      <c r="FO723" s="119"/>
      <c r="FP723" s="119"/>
      <c r="FQ723" s="119"/>
      <c r="FR723" s="119"/>
    </row>
    <row x14ac:dyDescent="0.25" r="724" customHeight="1" ht="15">
      <c r="A724" s="121"/>
      <c r="B724" s="121"/>
      <c r="C724" s="122"/>
      <c r="D724" s="122"/>
      <c r="E724" s="123"/>
      <c r="F724" s="123"/>
      <c r="G724" s="124"/>
      <c r="H724" s="125"/>
      <c r="I724" s="126"/>
      <c r="J724" s="127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  <c r="AA724" s="119"/>
      <c r="AB724" s="119"/>
      <c r="AC724" s="119"/>
      <c r="AD724" s="119"/>
      <c r="AE724" s="119"/>
      <c r="AF724" s="119"/>
      <c r="AG724" s="119"/>
      <c r="AH724" s="119"/>
      <c r="AI724" s="119"/>
      <c r="AJ724" s="119"/>
      <c r="AK724" s="119"/>
      <c r="AL724" s="119"/>
      <c r="AM724" s="119"/>
      <c r="AN724" s="119"/>
      <c r="AO724" s="119"/>
      <c r="AP724" s="119"/>
      <c r="AQ724" s="119"/>
      <c r="AR724" s="119"/>
      <c r="AS724" s="119"/>
      <c r="AT724" s="119"/>
      <c r="AU724" s="119"/>
      <c r="AV724" s="119"/>
      <c r="AW724" s="119"/>
      <c r="AX724" s="119"/>
      <c r="AY724" s="119"/>
      <c r="AZ724" s="119"/>
      <c r="BA724" s="119"/>
      <c r="BB724" s="119"/>
      <c r="BC724" s="119"/>
      <c r="BD724" s="119"/>
      <c r="BE724" s="119"/>
      <c r="BF724" s="119"/>
      <c r="BG724" s="119"/>
      <c r="BH724" s="119"/>
      <c r="BI724" s="119"/>
      <c r="BJ724" s="119"/>
      <c r="BK724" s="119"/>
      <c r="BL724" s="119"/>
      <c r="BM724" s="119"/>
      <c r="BN724" s="119"/>
      <c r="BO724" s="119"/>
      <c r="BP724" s="119"/>
      <c r="BQ724" s="119"/>
      <c r="BR724" s="119"/>
      <c r="BS724" s="119"/>
      <c r="BT724" s="119"/>
      <c r="BU724" s="119"/>
      <c r="BV724" s="119"/>
      <c r="BW724" s="119"/>
      <c r="BX724" s="119"/>
      <c r="BY724" s="119"/>
      <c r="BZ724" s="119"/>
      <c r="CA724" s="119"/>
      <c r="CB724" s="119"/>
      <c r="CC724" s="119"/>
      <c r="CD724" s="119"/>
      <c r="CE724" s="119"/>
      <c r="CF724" s="119"/>
      <c r="CG724" s="119"/>
      <c r="CH724" s="119"/>
      <c r="CI724" s="119"/>
      <c r="CJ724" s="119"/>
      <c r="CK724" s="119"/>
      <c r="CL724" s="119"/>
      <c r="CM724" s="119"/>
      <c r="CN724" s="119"/>
      <c r="CO724" s="119"/>
      <c r="CP724" s="119"/>
      <c r="CQ724" s="119"/>
      <c r="CR724" s="119"/>
      <c r="CS724" s="119"/>
      <c r="CT724" s="119"/>
      <c r="CU724" s="119"/>
      <c r="CV724" s="119"/>
      <c r="CW724" s="119"/>
      <c r="CX724" s="119"/>
      <c r="CY724" s="119"/>
      <c r="CZ724" s="119"/>
      <c r="DA724" s="119"/>
      <c r="DB724" s="119"/>
      <c r="DC724" s="119"/>
      <c r="DD724" s="119"/>
      <c r="DE724" s="119"/>
      <c r="DF724" s="119"/>
      <c r="DG724" s="119"/>
      <c r="DH724" s="119"/>
      <c r="DI724" s="119"/>
      <c r="DJ724" s="119"/>
      <c r="DK724" s="119"/>
      <c r="DL724" s="119"/>
      <c r="DM724" s="119"/>
      <c r="DN724" s="119"/>
      <c r="DO724" s="119"/>
      <c r="DP724" s="119"/>
      <c r="DQ724" s="119"/>
      <c r="DR724" s="119"/>
      <c r="DS724" s="119"/>
      <c r="DT724" s="119"/>
      <c r="DU724" s="119"/>
      <c r="DV724" s="119"/>
      <c r="DW724" s="119"/>
      <c r="DX724" s="119"/>
      <c r="DY724" s="119"/>
      <c r="DZ724" s="119"/>
      <c r="EA724" s="119"/>
      <c r="EB724" s="119"/>
      <c r="EC724" s="119"/>
      <c r="ED724" s="119"/>
      <c r="EE724" s="119"/>
      <c r="EF724" s="119"/>
      <c r="EG724" s="119"/>
      <c r="EH724" s="119"/>
      <c r="EI724" s="119"/>
      <c r="EJ724" s="119"/>
      <c r="EK724" s="119"/>
      <c r="EL724" s="119"/>
      <c r="EM724" s="119"/>
      <c r="EN724" s="119"/>
      <c r="EO724" s="119"/>
      <c r="EP724" s="119"/>
      <c r="EQ724" s="119"/>
      <c r="ER724" s="119"/>
      <c r="ES724" s="119"/>
      <c r="ET724" s="119"/>
      <c r="EU724" s="119"/>
      <c r="EV724" s="119"/>
      <c r="EW724" s="119"/>
      <c r="EX724" s="119"/>
      <c r="EY724" s="119"/>
      <c r="EZ724" s="119"/>
      <c r="FA724" s="119"/>
      <c r="FB724" s="119"/>
      <c r="FC724" s="119"/>
      <c r="FD724" s="119"/>
      <c r="FE724" s="119"/>
      <c r="FF724" s="119"/>
      <c r="FG724" s="119"/>
      <c r="FH724" s="119"/>
      <c r="FI724" s="119"/>
      <c r="FJ724" s="119"/>
      <c r="FK724" s="119"/>
      <c r="FL724" s="119"/>
      <c r="FM724" s="119"/>
      <c r="FN724" s="119"/>
      <c r="FO724" s="119"/>
      <c r="FP724" s="119"/>
      <c r="FQ724" s="119"/>
      <c r="FR724" s="119"/>
    </row>
    <row x14ac:dyDescent="0.25" r="725" customHeight="1" ht="15">
      <c r="A725" s="121"/>
      <c r="B725" s="121"/>
      <c r="C725" s="122"/>
      <c r="D725" s="122"/>
      <c r="E725" s="123"/>
      <c r="F725" s="123"/>
      <c r="G725" s="124"/>
      <c r="H725" s="125"/>
      <c r="I725" s="126"/>
      <c r="J725" s="127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  <c r="AA725" s="119"/>
      <c r="AB725" s="119"/>
      <c r="AC725" s="119"/>
      <c r="AD725" s="119"/>
      <c r="AE725" s="119"/>
      <c r="AF725" s="119"/>
      <c r="AG725" s="119"/>
      <c r="AH725" s="119"/>
      <c r="AI725" s="119"/>
      <c r="AJ725" s="119"/>
      <c r="AK725" s="119"/>
      <c r="AL725" s="119"/>
      <c r="AM725" s="119"/>
      <c r="AN725" s="119"/>
      <c r="AO725" s="119"/>
      <c r="AP725" s="119"/>
      <c r="AQ725" s="119"/>
      <c r="AR725" s="119"/>
      <c r="AS725" s="119"/>
      <c r="AT725" s="119"/>
      <c r="AU725" s="119"/>
      <c r="AV725" s="119"/>
      <c r="AW725" s="119"/>
      <c r="AX725" s="119"/>
      <c r="AY725" s="119"/>
      <c r="AZ725" s="119"/>
      <c r="BA725" s="119"/>
      <c r="BB725" s="119"/>
      <c r="BC725" s="119"/>
      <c r="BD725" s="119"/>
      <c r="BE725" s="119"/>
      <c r="BF725" s="119"/>
      <c r="BG725" s="119"/>
      <c r="BH725" s="119"/>
      <c r="BI725" s="119"/>
      <c r="BJ725" s="119"/>
      <c r="BK725" s="119"/>
      <c r="BL725" s="119"/>
      <c r="BM725" s="119"/>
      <c r="BN725" s="119"/>
      <c r="BO725" s="119"/>
      <c r="BP725" s="119"/>
      <c r="BQ725" s="119"/>
      <c r="BR725" s="119"/>
      <c r="BS725" s="119"/>
      <c r="BT725" s="119"/>
      <c r="BU725" s="119"/>
      <c r="BV725" s="119"/>
      <c r="BW725" s="119"/>
      <c r="BX725" s="119"/>
      <c r="BY725" s="119"/>
      <c r="BZ725" s="119"/>
      <c r="CA725" s="119"/>
      <c r="CB725" s="119"/>
      <c r="CC725" s="119"/>
      <c r="CD725" s="119"/>
      <c r="CE725" s="119"/>
      <c r="CF725" s="119"/>
      <c r="CG725" s="119"/>
      <c r="CH725" s="119"/>
      <c r="CI725" s="119"/>
      <c r="CJ725" s="119"/>
      <c r="CK725" s="119"/>
      <c r="CL725" s="119"/>
      <c r="CM725" s="119"/>
      <c r="CN725" s="119"/>
      <c r="CO725" s="119"/>
      <c r="CP725" s="119"/>
      <c r="CQ725" s="119"/>
      <c r="CR725" s="119"/>
      <c r="CS725" s="119"/>
      <c r="CT725" s="119"/>
      <c r="CU725" s="119"/>
      <c r="CV725" s="119"/>
      <c r="CW725" s="119"/>
      <c r="CX725" s="119"/>
      <c r="CY725" s="119"/>
      <c r="CZ725" s="119"/>
      <c r="DA725" s="119"/>
      <c r="DB725" s="119"/>
      <c r="DC725" s="119"/>
      <c r="DD725" s="119"/>
      <c r="DE725" s="119"/>
      <c r="DF725" s="119"/>
      <c r="DG725" s="119"/>
      <c r="DH725" s="119"/>
      <c r="DI725" s="119"/>
      <c r="DJ725" s="119"/>
      <c r="DK725" s="119"/>
      <c r="DL725" s="119"/>
      <c r="DM725" s="119"/>
      <c r="DN725" s="119"/>
      <c r="DO725" s="119"/>
      <c r="DP725" s="119"/>
      <c r="DQ725" s="119"/>
      <c r="DR725" s="119"/>
      <c r="DS725" s="119"/>
      <c r="DT725" s="119"/>
      <c r="DU725" s="119"/>
      <c r="DV725" s="119"/>
      <c r="DW725" s="119"/>
      <c r="DX725" s="119"/>
      <c r="DY725" s="119"/>
      <c r="DZ725" s="119"/>
      <c r="EA725" s="119"/>
      <c r="EB725" s="119"/>
      <c r="EC725" s="119"/>
      <c r="ED725" s="119"/>
      <c r="EE725" s="119"/>
      <c r="EF725" s="119"/>
      <c r="EG725" s="119"/>
      <c r="EH725" s="119"/>
      <c r="EI725" s="119"/>
      <c r="EJ725" s="119"/>
      <c r="EK725" s="119"/>
      <c r="EL725" s="119"/>
      <c r="EM725" s="119"/>
      <c r="EN725" s="119"/>
      <c r="EO725" s="119"/>
      <c r="EP725" s="119"/>
      <c r="EQ725" s="119"/>
      <c r="ER725" s="119"/>
      <c r="ES725" s="119"/>
      <c r="ET725" s="119"/>
      <c r="EU725" s="119"/>
      <c r="EV725" s="119"/>
      <c r="EW725" s="119"/>
      <c r="EX725" s="119"/>
      <c r="EY725" s="119"/>
      <c r="EZ725" s="119"/>
      <c r="FA725" s="119"/>
      <c r="FB725" s="119"/>
      <c r="FC725" s="119"/>
      <c r="FD725" s="119"/>
      <c r="FE725" s="119"/>
      <c r="FF725" s="119"/>
      <c r="FG725" s="119"/>
      <c r="FH725" s="119"/>
      <c r="FI725" s="119"/>
      <c r="FJ725" s="119"/>
      <c r="FK725" s="119"/>
      <c r="FL725" s="119"/>
      <c r="FM725" s="119"/>
      <c r="FN725" s="119"/>
      <c r="FO725" s="119"/>
      <c r="FP725" s="119"/>
      <c r="FQ725" s="119"/>
      <c r="FR725" s="119"/>
    </row>
    <row x14ac:dyDescent="0.25" r="726" customHeight="1" ht="15">
      <c r="A726" s="121"/>
      <c r="B726" s="121"/>
      <c r="C726" s="122"/>
      <c r="D726" s="122"/>
      <c r="E726" s="123"/>
      <c r="F726" s="123"/>
      <c r="G726" s="124"/>
      <c r="H726" s="125"/>
      <c r="I726" s="126"/>
      <c r="J726" s="127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  <c r="AA726" s="119"/>
      <c r="AB726" s="119"/>
      <c r="AC726" s="119"/>
      <c r="AD726" s="119"/>
      <c r="AE726" s="119"/>
      <c r="AF726" s="119"/>
      <c r="AG726" s="119"/>
      <c r="AH726" s="119"/>
      <c r="AI726" s="119"/>
      <c r="AJ726" s="119"/>
      <c r="AK726" s="119"/>
      <c r="AL726" s="119"/>
      <c r="AM726" s="119"/>
      <c r="AN726" s="119"/>
      <c r="AO726" s="119"/>
      <c r="AP726" s="119"/>
      <c r="AQ726" s="119"/>
      <c r="AR726" s="119"/>
      <c r="AS726" s="119"/>
      <c r="AT726" s="119"/>
      <c r="AU726" s="119"/>
      <c r="AV726" s="119"/>
      <c r="AW726" s="119"/>
      <c r="AX726" s="119"/>
      <c r="AY726" s="119"/>
      <c r="AZ726" s="119"/>
      <c r="BA726" s="119"/>
      <c r="BB726" s="119"/>
      <c r="BC726" s="119"/>
      <c r="BD726" s="119"/>
      <c r="BE726" s="119"/>
      <c r="BF726" s="119"/>
      <c r="BG726" s="119"/>
      <c r="BH726" s="119"/>
      <c r="BI726" s="119"/>
      <c r="BJ726" s="119"/>
      <c r="BK726" s="119"/>
      <c r="BL726" s="119"/>
      <c r="BM726" s="119"/>
      <c r="BN726" s="119"/>
      <c r="BO726" s="119"/>
      <c r="BP726" s="119"/>
      <c r="BQ726" s="119"/>
      <c r="BR726" s="119"/>
      <c r="BS726" s="119"/>
      <c r="BT726" s="119"/>
      <c r="BU726" s="119"/>
      <c r="BV726" s="119"/>
      <c r="BW726" s="119"/>
      <c r="BX726" s="119"/>
      <c r="BY726" s="119"/>
      <c r="BZ726" s="119"/>
      <c r="CA726" s="119"/>
      <c r="CB726" s="119"/>
      <c r="CC726" s="119"/>
      <c r="CD726" s="119"/>
      <c r="CE726" s="119"/>
      <c r="CF726" s="119"/>
      <c r="CG726" s="119"/>
      <c r="CH726" s="119"/>
      <c r="CI726" s="119"/>
      <c r="CJ726" s="119"/>
      <c r="CK726" s="119"/>
      <c r="CL726" s="119"/>
      <c r="CM726" s="119"/>
      <c r="CN726" s="119"/>
      <c r="CO726" s="119"/>
      <c r="CP726" s="119"/>
      <c r="CQ726" s="119"/>
      <c r="CR726" s="119"/>
      <c r="CS726" s="119"/>
      <c r="CT726" s="119"/>
      <c r="CU726" s="119"/>
      <c r="CV726" s="119"/>
      <c r="CW726" s="119"/>
      <c r="CX726" s="119"/>
      <c r="CY726" s="119"/>
      <c r="CZ726" s="119"/>
      <c r="DA726" s="119"/>
      <c r="DB726" s="119"/>
      <c r="DC726" s="119"/>
      <c r="DD726" s="119"/>
      <c r="DE726" s="119"/>
      <c r="DF726" s="119"/>
      <c r="DG726" s="119"/>
      <c r="DH726" s="119"/>
      <c r="DI726" s="119"/>
      <c r="DJ726" s="119"/>
      <c r="DK726" s="119"/>
      <c r="DL726" s="119"/>
      <c r="DM726" s="119"/>
      <c r="DN726" s="119"/>
      <c r="DO726" s="119"/>
      <c r="DP726" s="119"/>
      <c r="DQ726" s="119"/>
      <c r="DR726" s="119"/>
      <c r="DS726" s="119"/>
      <c r="DT726" s="119"/>
      <c r="DU726" s="119"/>
      <c r="DV726" s="119"/>
      <c r="DW726" s="119"/>
      <c r="DX726" s="119"/>
      <c r="DY726" s="119"/>
      <c r="DZ726" s="119"/>
      <c r="EA726" s="119"/>
      <c r="EB726" s="119"/>
      <c r="EC726" s="119"/>
      <c r="ED726" s="119"/>
      <c r="EE726" s="119"/>
      <c r="EF726" s="119"/>
      <c r="EG726" s="119"/>
      <c r="EH726" s="119"/>
      <c r="EI726" s="119"/>
      <c r="EJ726" s="119"/>
      <c r="EK726" s="119"/>
      <c r="EL726" s="119"/>
      <c r="EM726" s="119"/>
      <c r="EN726" s="119"/>
      <c r="EO726" s="119"/>
      <c r="EP726" s="119"/>
      <c r="EQ726" s="119"/>
      <c r="ER726" s="119"/>
      <c r="ES726" s="119"/>
      <c r="ET726" s="119"/>
      <c r="EU726" s="119"/>
      <c r="EV726" s="119"/>
      <c r="EW726" s="119"/>
      <c r="EX726" s="119"/>
      <c r="EY726" s="119"/>
      <c r="EZ726" s="119"/>
      <c r="FA726" s="119"/>
      <c r="FB726" s="119"/>
      <c r="FC726" s="119"/>
      <c r="FD726" s="119"/>
      <c r="FE726" s="119"/>
      <c r="FF726" s="119"/>
      <c r="FG726" s="119"/>
      <c r="FH726" s="119"/>
      <c r="FI726" s="119"/>
      <c r="FJ726" s="119"/>
      <c r="FK726" s="119"/>
      <c r="FL726" s="119"/>
      <c r="FM726" s="119"/>
      <c r="FN726" s="119"/>
      <c r="FO726" s="119"/>
      <c r="FP726" s="119"/>
      <c r="FQ726" s="119"/>
      <c r="FR726" s="119"/>
    </row>
    <row x14ac:dyDescent="0.25" r="727" customHeight="1" ht="15">
      <c r="A727" s="121"/>
      <c r="B727" s="121"/>
      <c r="C727" s="122"/>
      <c r="D727" s="122"/>
      <c r="E727" s="123"/>
      <c r="F727" s="123"/>
      <c r="G727" s="124"/>
      <c r="H727" s="125"/>
      <c r="I727" s="126"/>
      <c r="J727" s="127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  <c r="AA727" s="119"/>
      <c r="AB727" s="119"/>
      <c r="AC727" s="119"/>
      <c r="AD727" s="119"/>
      <c r="AE727" s="119"/>
      <c r="AF727" s="119"/>
      <c r="AG727" s="119"/>
      <c r="AH727" s="119"/>
      <c r="AI727" s="119"/>
      <c r="AJ727" s="119"/>
      <c r="AK727" s="119"/>
      <c r="AL727" s="119"/>
      <c r="AM727" s="119"/>
      <c r="AN727" s="119"/>
      <c r="AO727" s="119"/>
      <c r="AP727" s="119"/>
      <c r="AQ727" s="119"/>
      <c r="AR727" s="119"/>
      <c r="AS727" s="119"/>
      <c r="AT727" s="119"/>
      <c r="AU727" s="119"/>
      <c r="AV727" s="119"/>
      <c r="AW727" s="119"/>
      <c r="AX727" s="119"/>
      <c r="AY727" s="119"/>
      <c r="AZ727" s="119"/>
      <c r="BA727" s="119"/>
      <c r="BB727" s="119"/>
      <c r="BC727" s="119"/>
      <c r="BD727" s="119"/>
      <c r="BE727" s="119"/>
      <c r="BF727" s="119"/>
      <c r="BG727" s="119"/>
      <c r="BH727" s="119"/>
      <c r="BI727" s="119"/>
      <c r="BJ727" s="119"/>
      <c r="BK727" s="119"/>
      <c r="BL727" s="119"/>
      <c r="BM727" s="119"/>
      <c r="BN727" s="119"/>
      <c r="BO727" s="119"/>
      <c r="BP727" s="119"/>
      <c r="BQ727" s="119"/>
      <c r="BR727" s="119"/>
      <c r="BS727" s="119"/>
      <c r="BT727" s="119"/>
      <c r="BU727" s="119"/>
      <c r="BV727" s="119"/>
      <c r="BW727" s="119"/>
      <c r="BX727" s="119"/>
      <c r="BY727" s="119"/>
      <c r="BZ727" s="119"/>
      <c r="CA727" s="119"/>
      <c r="CB727" s="119"/>
      <c r="CC727" s="119"/>
      <c r="CD727" s="119"/>
      <c r="CE727" s="119"/>
      <c r="CF727" s="119"/>
      <c r="CG727" s="119"/>
      <c r="CH727" s="119"/>
      <c r="CI727" s="119"/>
      <c r="CJ727" s="119"/>
      <c r="CK727" s="119"/>
      <c r="CL727" s="119"/>
      <c r="CM727" s="119"/>
      <c r="CN727" s="119"/>
      <c r="CO727" s="119"/>
      <c r="CP727" s="119"/>
      <c r="CQ727" s="119"/>
      <c r="CR727" s="119"/>
      <c r="CS727" s="119"/>
      <c r="CT727" s="119"/>
      <c r="CU727" s="119"/>
      <c r="CV727" s="119"/>
      <c r="CW727" s="119"/>
      <c r="CX727" s="119"/>
      <c r="CY727" s="119"/>
      <c r="CZ727" s="119"/>
      <c r="DA727" s="119"/>
      <c r="DB727" s="119"/>
      <c r="DC727" s="119"/>
      <c r="DD727" s="119"/>
      <c r="DE727" s="119"/>
      <c r="DF727" s="119"/>
      <c r="DG727" s="119"/>
      <c r="DH727" s="119"/>
      <c r="DI727" s="119"/>
      <c r="DJ727" s="119"/>
      <c r="DK727" s="119"/>
      <c r="DL727" s="119"/>
      <c r="DM727" s="119"/>
      <c r="DN727" s="119"/>
      <c r="DO727" s="119"/>
      <c r="DP727" s="119"/>
      <c r="DQ727" s="119"/>
      <c r="DR727" s="119"/>
      <c r="DS727" s="119"/>
      <c r="DT727" s="119"/>
      <c r="DU727" s="119"/>
      <c r="DV727" s="119"/>
      <c r="DW727" s="119"/>
      <c r="DX727" s="119"/>
      <c r="DY727" s="119"/>
      <c r="DZ727" s="119"/>
      <c r="EA727" s="119"/>
      <c r="EB727" s="119"/>
      <c r="EC727" s="119"/>
      <c r="ED727" s="119"/>
      <c r="EE727" s="119"/>
      <c r="EF727" s="119"/>
      <c r="EG727" s="119"/>
      <c r="EH727" s="119"/>
      <c r="EI727" s="119"/>
      <c r="EJ727" s="119"/>
      <c r="EK727" s="119"/>
      <c r="EL727" s="119"/>
      <c r="EM727" s="119"/>
      <c r="EN727" s="119"/>
      <c r="EO727" s="119"/>
      <c r="EP727" s="119"/>
      <c r="EQ727" s="119"/>
      <c r="ER727" s="119"/>
      <c r="ES727" s="119"/>
      <c r="ET727" s="119"/>
      <c r="EU727" s="119"/>
      <c r="EV727" s="119"/>
      <c r="EW727" s="119"/>
      <c r="EX727" s="119"/>
      <c r="EY727" s="119"/>
      <c r="EZ727" s="119"/>
      <c r="FA727" s="119"/>
      <c r="FB727" s="119"/>
      <c r="FC727" s="119"/>
      <c r="FD727" s="119"/>
      <c r="FE727" s="119"/>
      <c r="FF727" s="119"/>
      <c r="FG727" s="119"/>
      <c r="FH727" s="119"/>
      <c r="FI727" s="119"/>
      <c r="FJ727" s="119"/>
      <c r="FK727" s="119"/>
      <c r="FL727" s="119"/>
      <c r="FM727" s="119"/>
      <c r="FN727" s="119"/>
      <c r="FO727" s="119"/>
      <c r="FP727" s="119"/>
      <c r="FQ727" s="119"/>
      <c r="FR727" s="119"/>
    </row>
    <row x14ac:dyDescent="0.25" r="728" customHeight="1" ht="15">
      <c r="A728" s="121"/>
      <c r="B728" s="121"/>
      <c r="C728" s="122"/>
      <c r="D728" s="122"/>
      <c r="E728" s="123"/>
      <c r="F728" s="123"/>
      <c r="G728" s="124"/>
      <c r="H728" s="125"/>
      <c r="I728" s="126"/>
      <c r="J728" s="127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  <c r="AA728" s="119"/>
      <c r="AB728" s="119"/>
      <c r="AC728" s="119"/>
      <c r="AD728" s="119"/>
      <c r="AE728" s="119"/>
      <c r="AF728" s="119"/>
      <c r="AG728" s="119"/>
      <c r="AH728" s="119"/>
      <c r="AI728" s="119"/>
      <c r="AJ728" s="119"/>
      <c r="AK728" s="119"/>
      <c r="AL728" s="119"/>
      <c r="AM728" s="119"/>
      <c r="AN728" s="119"/>
      <c r="AO728" s="119"/>
      <c r="AP728" s="119"/>
      <c r="AQ728" s="119"/>
      <c r="AR728" s="119"/>
      <c r="AS728" s="119"/>
      <c r="AT728" s="119"/>
      <c r="AU728" s="119"/>
      <c r="AV728" s="119"/>
      <c r="AW728" s="119"/>
      <c r="AX728" s="119"/>
      <c r="AY728" s="119"/>
      <c r="AZ728" s="119"/>
      <c r="BA728" s="119"/>
      <c r="BB728" s="119"/>
      <c r="BC728" s="119"/>
      <c r="BD728" s="119"/>
      <c r="BE728" s="119"/>
      <c r="BF728" s="119"/>
      <c r="BG728" s="119"/>
      <c r="BH728" s="119"/>
      <c r="BI728" s="119"/>
      <c r="BJ728" s="119"/>
      <c r="BK728" s="119"/>
      <c r="BL728" s="119"/>
      <c r="BM728" s="119"/>
      <c r="BN728" s="119"/>
      <c r="BO728" s="119"/>
      <c r="BP728" s="119"/>
      <c r="BQ728" s="119"/>
      <c r="BR728" s="119"/>
      <c r="BS728" s="119"/>
      <c r="BT728" s="119"/>
      <c r="BU728" s="119"/>
      <c r="BV728" s="119"/>
      <c r="BW728" s="119"/>
      <c r="BX728" s="119"/>
      <c r="BY728" s="119"/>
      <c r="BZ728" s="119"/>
      <c r="CA728" s="119"/>
      <c r="CB728" s="119"/>
      <c r="CC728" s="119"/>
      <c r="CD728" s="119"/>
      <c r="CE728" s="119"/>
      <c r="CF728" s="119"/>
      <c r="CG728" s="119"/>
      <c r="CH728" s="119"/>
      <c r="CI728" s="119"/>
      <c r="CJ728" s="119"/>
      <c r="CK728" s="119"/>
      <c r="CL728" s="119"/>
      <c r="CM728" s="119"/>
      <c r="CN728" s="119"/>
      <c r="CO728" s="119"/>
      <c r="CP728" s="119"/>
      <c r="CQ728" s="119"/>
      <c r="CR728" s="119"/>
      <c r="CS728" s="119"/>
      <c r="CT728" s="119"/>
      <c r="CU728" s="119"/>
      <c r="CV728" s="119"/>
      <c r="CW728" s="119"/>
      <c r="CX728" s="119"/>
      <c r="CY728" s="119"/>
      <c r="CZ728" s="119"/>
      <c r="DA728" s="119"/>
      <c r="DB728" s="119"/>
      <c r="DC728" s="119"/>
      <c r="DD728" s="119"/>
      <c r="DE728" s="119"/>
      <c r="DF728" s="119"/>
      <c r="DG728" s="119"/>
      <c r="DH728" s="119"/>
      <c r="DI728" s="119"/>
      <c r="DJ728" s="119"/>
      <c r="DK728" s="119"/>
      <c r="DL728" s="119"/>
      <c r="DM728" s="119"/>
      <c r="DN728" s="119"/>
      <c r="DO728" s="119"/>
      <c r="DP728" s="119"/>
      <c r="DQ728" s="119"/>
      <c r="DR728" s="119"/>
      <c r="DS728" s="119"/>
      <c r="DT728" s="119"/>
      <c r="DU728" s="119"/>
      <c r="DV728" s="119"/>
      <c r="DW728" s="119"/>
      <c r="DX728" s="119"/>
      <c r="DY728" s="119"/>
      <c r="DZ728" s="119"/>
      <c r="EA728" s="119"/>
      <c r="EB728" s="119"/>
      <c r="EC728" s="119"/>
      <c r="ED728" s="119"/>
      <c r="EE728" s="119"/>
      <c r="EF728" s="119"/>
      <c r="EG728" s="119"/>
      <c r="EH728" s="119"/>
      <c r="EI728" s="119"/>
      <c r="EJ728" s="119"/>
      <c r="EK728" s="119"/>
      <c r="EL728" s="119"/>
      <c r="EM728" s="119"/>
      <c r="EN728" s="119"/>
      <c r="EO728" s="119"/>
      <c r="EP728" s="119"/>
      <c r="EQ728" s="119"/>
      <c r="ER728" s="119"/>
      <c r="ES728" s="119"/>
      <c r="ET728" s="119"/>
      <c r="EU728" s="119"/>
      <c r="EV728" s="119"/>
      <c r="EW728" s="119"/>
      <c r="EX728" s="119"/>
      <c r="EY728" s="119"/>
      <c r="EZ728" s="119"/>
      <c r="FA728" s="119"/>
      <c r="FB728" s="119"/>
      <c r="FC728" s="119"/>
      <c r="FD728" s="119"/>
      <c r="FE728" s="119"/>
      <c r="FF728" s="119"/>
      <c r="FG728" s="119"/>
      <c r="FH728" s="119"/>
      <c r="FI728" s="119"/>
      <c r="FJ728" s="119"/>
      <c r="FK728" s="119"/>
      <c r="FL728" s="119"/>
      <c r="FM728" s="119"/>
      <c r="FN728" s="119"/>
      <c r="FO728" s="119"/>
      <c r="FP728" s="119"/>
      <c r="FQ728" s="119"/>
      <c r="FR728" s="119"/>
    </row>
    <row x14ac:dyDescent="0.25" r="729" customHeight="1" ht="15">
      <c r="A729" s="121"/>
      <c r="B729" s="121"/>
      <c r="C729" s="122"/>
      <c r="D729" s="122"/>
      <c r="E729" s="123"/>
      <c r="F729" s="123"/>
      <c r="G729" s="124"/>
      <c r="H729" s="125"/>
      <c r="I729" s="126"/>
      <c r="J729" s="127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  <c r="AA729" s="119"/>
      <c r="AB729" s="119"/>
      <c r="AC729" s="119"/>
      <c r="AD729" s="119"/>
      <c r="AE729" s="119"/>
      <c r="AF729" s="119"/>
      <c r="AG729" s="119"/>
      <c r="AH729" s="119"/>
      <c r="AI729" s="119"/>
      <c r="AJ729" s="119"/>
      <c r="AK729" s="119"/>
      <c r="AL729" s="119"/>
      <c r="AM729" s="119"/>
      <c r="AN729" s="119"/>
      <c r="AO729" s="119"/>
      <c r="AP729" s="119"/>
      <c r="AQ729" s="119"/>
      <c r="AR729" s="119"/>
      <c r="AS729" s="119"/>
      <c r="AT729" s="119"/>
      <c r="AU729" s="119"/>
      <c r="AV729" s="119"/>
      <c r="AW729" s="119"/>
      <c r="AX729" s="119"/>
      <c r="AY729" s="119"/>
      <c r="AZ729" s="119"/>
      <c r="BA729" s="119"/>
      <c r="BB729" s="119"/>
      <c r="BC729" s="119"/>
      <c r="BD729" s="119"/>
      <c r="BE729" s="119"/>
      <c r="BF729" s="119"/>
      <c r="BG729" s="119"/>
      <c r="BH729" s="119"/>
      <c r="BI729" s="119"/>
      <c r="BJ729" s="119"/>
      <c r="BK729" s="119"/>
      <c r="BL729" s="119"/>
      <c r="BM729" s="119"/>
      <c r="BN729" s="119"/>
      <c r="BO729" s="119"/>
      <c r="BP729" s="119"/>
      <c r="BQ729" s="119"/>
      <c r="BR729" s="119"/>
      <c r="BS729" s="119"/>
      <c r="BT729" s="119"/>
      <c r="BU729" s="119"/>
      <c r="BV729" s="119"/>
      <c r="BW729" s="119"/>
      <c r="BX729" s="119"/>
      <c r="BY729" s="119"/>
      <c r="BZ729" s="119"/>
      <c r="CA729" s="119"/>
      <c r="CB729" s="119"/>
      <c r="CC729" s="119"/>
      <c r="CD729" s="119"/>
      <c r="CE729" s="119"/>
      <c r="CF729" s="119"/>
      <c r="CG729" s="119"/>
      <c r="CH729" s="119"/>
      <c r="CI729" s="119"/>
      <c r="CJ729" s="119"/>
      <c r="CK729" s="119"/>
      <c r="CL729" s="119"/>
      <c r="CM729" s="119"/>
      <c r="CN729" s="119"/>
      <c r="CO729" s="119"/>
      <c r="CP729" s="119"/>
      <c r="CQ729" s="119"/>
      <c r="CR729" s="119"/>
      <c r="CS729" s="119"/>
      <c r="CT729" s="119"/>
      <c r="CU729" s="119"/>
      <c r="CV729" s="119"/>
      <c r="CW729" s="119"/>
      <c r="CX729" s="119"/>
      <c r="CY729" s="119"/>
      <c r="CZ729" s="119"/>
      <c r="DA729" s="119"/>
      <c r="DB729" s="119"/>
      <c r="DC729" s="119"/>
      <c r="DD729" s="119"/>
      <c r="DE729" s="119"/>
      <c r="DF729" s="119"/>
      <c r="DG729" s="119"/>
      <c r="DH729" s="119"/>
      <c r="DI729" s="119"/>
      <c r="DJ729" s="119"/>
      <c r="DK729" s="119"/>
      <c r="DL729" s="119"/>
      <c r="DM729" s="119"/>
      <c r="DN729" s="119"/>
      <c r="DO729" s="119"/>
      <c r="DP729" s="119"/>
      <c r="DQ729" s="119"/>
      <c r="DR729" s="119"/>
      <c r="DS729" s="119"/>
      <c r="DT729" s="119"/>
      <c r="DU729" s="119"/>
      <c r="DV729" s="119"/>
      <c r="DW729" s="119"/>
      <c r="DX729" s="119"/>
      <c r="DY729" s="119"/>
      <c r="DZ729" s="119"/>
      <c r="EA729" s="119"/>
      <c r="EB729" s="119"/>
      <c r="EC729" s="119"/>
      <c r="ED729" s="119"/>
      <c r="EE729" s="119"/>
      <c r="EF729" s="119"/>
      <c r="EG729" s="119"/>
      <c r="EH729" s="119"/>
      <c r="EI729" s="119"/>
      <c r="EJ729" s="119"/>
      <c r="EK729" s="119"/>
      <c r="EL729" s="119"/>
      <c r="EM729" s="119"/>
      <c r="EN729" s="119"/>
      <c r="EO729" s="119"/>
      <c r="EP729" s="119"/>
      <c r="EQ729" s="119"/>
      <c r="ER729" s="119"/>
      <c r="ES729" s="119"/>
      <c r="ET729" s="119"/>
      <c r="EU729" s="119"/>
      <c r="EV729" s="119"/>
      <c r="EW729" s="119"/>
      <c r="EX729" s="119"/>
      <c r="EY729" s="119"/>
      <c r="EZ729" s="119"/>
      <c r="FA729" s="119"/>
      <c r="FB729" s="119"/>
      <c r="FC729" s="119"/>
      <c r="FD729" s="119"/>
      <c r="FE729" s="119"/>
      <c r="FF729" s="119"/>
      <c r="FG729" s="119"/>
      <c r="FH729" s="119"/>
      <c r="FI729" s="119"/>
      <c r="FJ729" s="119"/>
      <c r="FK729" s="119"/>
      <c r="FL729" s="119"/>
      <c r="FM729" s="119"/>
      <c r="FN729" s="119"/>
      <c r="FO729" s="119"/>
      <c r="FP729" s="119"/>
      <c r="FQ729" s="119"/>
      <c r="FR729" s="119"/>
    </row>
    <row x14ac:dyDescent="0.25" r="730" customHeight="1" ht="15">
      <c r="A730" s="121"/>
      <c r="B730" s="121"/>
      <c r="C730" s="122"/>
      <c r="D730" s="122"/>
      <c r="E730" s="123"/>
      <c r="F730" s="123"/>
      <c r="G730" s="124"/>
      <c r="H730" s="125"/>
      <c r="I730" s="126"/>
      <c r="J730" s="127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  <c r="AA730" s="119"/>
      <c r="AB730" s="119"/>
      <c r="AC730" s="119"/>
      <c r="AD730" s="119"/>
      <c r="AE730" s="119"/>
      <c r="AF730" s="119"/>
      <c r="AG730" s="119"/>
      <c r="AH730" s="119"/>
      <c r="AI730" s="119"/>
      <c r="AJ730" s="119"/>
      <c r="AK730" s="119"/>
      <c r="AL730" s="119"/>
      <c r="AM730" s="119"/>
      <c r="AN730" s="119"/>
      <c r="AO730" s="119"/>
      <c r="AP730" s="119"/>
      <c r="AQ730" s="119"/>
      <c r="AR730" s="119"/>
      <c r="AS730" s="119"/>
      <c r="AT730" s="119"/>
      <c r="AU730" s="119"/>
      <c r="AV730" s="119"/>
      <c r="AW730" s="119"/>
      <c r="AX730" s="119"/>
      <c r="AY730" s="119"/>
      <c r="AZ730" s="119"/>
      <c r="BA730" s="119"/>
      <c r="BB730" s="119"/>
      <c r="BC730" s="119"/>
      <c r="BD730" s="119"/>
      <c r="BE730" s="119"/>
      <c r="BF730" s="119"/>
      <c r="BG730" s="119"/>
      <c r="BH730" s="119"/>
      <c r="BI730" s="119"/>
      <c r="BJ730" s="119"/>
      <c r="BK730" s="119"/>
      <c r="BL730" s="119"/>
      <c r="BM730" s="119"/>
      <c r="BN730" s="119"/>
      <c r="BO730" s="119"/>
      <c r="BP730" s="119"/>
      <c r="BQ730" s="119"/>
      <c r="BR730" s="119"/>
      <c r="BS730" s="119"/>
      <c r="BT730" s="119"/>
      <c r="BU730" s="119"/>
      <c r="BV730" s="119"/>
      <c r="BW730" s="119"/>
      <c r="BX730" s="119"/>
      <c r="BY730" s="119"/>
      <c r="BZ730" s="119"/>
      <c r="CA730" s="119"/>
      <c r="CB730" s="119"/>
      <c r="CC730" s="119"/>
      <c r="CD730" s="119"/>
      <c r="CE730" s="119"/>
      <c r="CF730" s="119"/>
      <c r="CG730" s="119"/>
      <c r="CH730" s="119"/>
      <c r="CI730" s="119"/>
      <c r="CJ730" s="119"/>
      <c r="CK730" s="119"/>
      <c r="CL730" s="119"/>
      <c r="CM730" s="119"/>
      <c r="CN730" s="119"/>
      <c r="CO730" s="119"/>
      <c r="CP730" s="119"/>
      <c r="CQ730" s="119"/>
      <c r="CR730" s="119"/>
      <c r="CS730" s="119"/>
      <c r="CT730" s="119"/>
      <c r="CU730" s="119"/>
      <c r="CV730" s="119"/>
      <c r="CW730" s="119"/>
      <c r="CX730" s="119"/>
      <c r="CY730" s="119"/>
      <c r="CZ730" s="119"/>
      <c r="DA730" s="119"/>
      <c r="DB730" s="119"/>
      <c r="DC730" s="119"/>
      <c r="DD730" s="119"/>
      <c r="DE730" s="119"/>
      <c r="DF730" s="119"/>
      <c r="DG730" s="119"/>
      <c r="DH730" s="119"/>
      <c r="DI730" s="119"/>
      <c r="DJ730" s="119"/>
      <c r="DK730" s="119"/>
      <c r="DL730" s="119"/>
      <c r="DM730" s="119"/>
      <c r="DN730" s="119"/>
      <c r="DO730" s="119"/>
      <c r="DP730" s="119"/>
      <c r="DQ730" s="119"/>
      <c r="DR730" s="119"/>
      <c r="DS730" s="119"/>
      <c r="DT730" s="119"/>
      <c r="DU730" s="119"/>
      <c r="DV730" s="119"/>
      <c r="DW730" s="119"/>
      <c r="DX730" s="119"/>
      <c r="DY730" s="119"/>
      <c r="DZ730" s="119"/>
      <c r="EA730" s="119"/>
      <c r="EB730" s="119"/>
      <c r="EC730" s="119"/>
      <c r="ED730" s="119"/>
      <c r="EE730" s="119"/>
      <c r="EF730" s="119"/>
      <c r="EG730" s="119"/>
      <c r="EH730" s="119"/>
      <c r="EI730" s="119"/>
      <c r="EJ730" s="119"/>
      <c r="EK730" s="119"/>
      <c r="EL730" s="119"/>
      <c r="EM730" s="119"/>
      <c r="EN730" s="119"/>
      <c r="EO730" s="119"/>
      <c r="EP730" s="119"/>
      <c r="EQ730" s="119"/>
      <c r="ER730" s="119"/>
      <c r="ES730" s="119"/>
      <c r="ET730" s="119"/>
      <c r="EU730" s="119"/>
      <c r="EV730" s="119"/>
      <c r="EW730" s="119"/>
      <c r="EX730" s="119"/>
      <c r="EY730" s="119"/>
      <c r="EZ730" s="119"/>
      <c r="FA730" s="119"/>
      <c r="FB730" s="119"/>
      <c r="FC730" s="119"/>
      <c r="FD730" s="119"/>
      <c r="FE730" s="119"/>
      <c r="FF730" s="119"/>
      <c r="FG730" s="119"/>
      <c r="FH730" s="119"/>
      <c r="FI730" s="119"/>
      <c r="FJ730" s="119"/>
      <c r="FK730" s="119"/>
      <c r="FL730" s="119"/>
      <c r="FM730" s="119"/>
      <c r="FN730" s="119"/>
      <c r="FO730" s="119"/>
      <c r="FP730" s="119"/>
      <c r="FQ730" s="119"/>
      <c r="FR730" s="119"/>
    </row>
    <row x14ac:dyDescent="0.25" r="731" customHeight="1" ht="15">
      <c r="A731" s="121"/>
      <c r="B731" s="121"/>
      <c r="C731" s="122"/>
      <c r="D731" s="122"/>
      <c r="E731" s="123"/>
      <c r="F731" s="123"/>
      <c r="G731" s="124"/>
      <c r="H731" s="125"/>
      <c r="I731" s="126"/>
      <c r="J731" s="127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  <c r="AA731" s="119"/>
      <c r="AB731" s="119"/>
      <c r="AC731" s="119"/>
      <c r="AD731" s="119"/>
      <c r="AE731" s="119"/>
      <c r="AF731" s="119"/>
      <c r="AG731" s="119"/>
      <c r="AH731" s="119"/>
      <c r="AI731" s="119"/>
      <c r="AJ731" s="119"/>
      <c r="AK731" s="119"/>
      <c r="AL731" s="119"/>
      <c r="AM731" s="119"/>
      <c r="AN731" s="119"/>
      <c r="AO731" s="119"/>
      <c r="AP731" s="119"/>
      <c r="AQ731" s="119"/>
      <c r="AR731" s="119"/>
      <c r="AS731" s="119"/>
      <c r="AT731" s="119"/>
      <c r="AU731" s="119"/>
      <c r="AV731" s="119"/>
      <c r="AW731" s="119"/>
      <c r="AX731" s="119"/>
      <c r="AY731" s="119"/>
      <c r="AZ731" s="119"/>
      <c r="BA731" s="119"/>
      <c r="BB731" s="119"/>
      <c r="BC731" s="119"/>
      <c r="BD731" s="119"/>
      <c r="BE731" s="119"/>
      <c r="BF731" s="119"/>
      <c r="BG731" s="119"/>
      <c r="BH731" s="119"/>
      <c r="BI731" s="119"/>
      <c r="BJ731" s="119"/>
      <c r="BK731" s="119"/>
      <c r="BL731" s="119"/>
      <c r="BM731" s="119"/>
      <c r="BN731" s="119"/>
      <c r="BO731" s="119"/>
      <c r="BP731" s="119"/>
      <c r="BQ731" s="119"/>
      <c r="BR731" s="119"/>
      <c r="BS731" s="119"/>
      <c r="BT731" s="119"/>
      <c r="BU731" s="119"/>
      <c r="BV731" s="119"/>
      <c r="BW731" s="119"/>
      <c r="BX731" s="119"/>
      <c r="BY731" s="119"/>
      <c r="BZ731" s="119"/>
      <c r="CA731" s="119"/>
      <c r="CB731" s="119"/>
      <c r="CC731" s="119"/>
      <c r="CD731" s="119"/>
      <c r="CE731" s="119"/>
      <c r="CF731" s="119"/>
      <c r="CG731" s="119"/>
      <c r="CH731" s="119"/>
      <c r="CI731" s="119"/>
      <c r="CJ731" s="119"/>
      <c r="CK731" s="119"/>
      <c r="CL731" s="119"/>
      <c r="CM731" s="119"/>
      <c r="CN731" s="119"/>
      <c r="CO731" s="119"/>
      <c r="CP731" s="119"/>
      <c r="CQ731" s="119"/>
      <c r="CR731" s="119"/>
      <c r="CS731" s="119"/>
      <c r="CT731" s="119"/>
      <c r="CU731" s="119"/>
      <c r="CV731" s="119"/>
      <c r="CW731" s="119"/>
      <c r="CX731" s="119"/>
      <c r="CY731" s="119"/>
      <c r="CZ731" s="119"/>
      <c r="DA731" s="119"/>
      <c r="DB731" s="119"/>
      <c r="DC731" s="119"/>
      <c r="DD731" s="119"/>
      <c r="DE731" s="119"/>
      <c r="DF731" s="119"/>
      <c r="DG731" s="119"/>
      <c r="DH731" s="119"/>
      <c r="DI731" s="119"/>
      <c r="DJ731" s="119"/>
      <c r="DK731" s="119"/>
      <c r="DL731" s="119"/>
      <c r="DM731" s="119"/>
      <c r="DN731" s="119"/>
      <c r="DO731" s="119"/>
      <c r="DP731" s="119"/>
      <c r="DQ731" s="119"/>
      <c r="DR731" s="119"/>
      <c r="DS731" s="119"/>
      <c r="DT731" s="119"/>
      <c r="DU731" s="119"/>
      <c r="DV731" s="119"/>
      <c r="DW731" s="119"/>
      <c r="DX731" s="119"/>
      <c r="DY731" s="119"/>
      <c r="DZ731" s="119"/>
      <c r="EA731" s="119"/>
      <c r="EB731" s="119"/>
      <c r="EC731" s="119"/>
      <c r="ED731" s="119"/>
      <c r="EE731" s="119"/>
      <c r="EF731" s="119"/>
      <c r="EG731" s="119"/>
      <c r="EH731" s="119"/>
      <c r="EI731" s="119"/>
      <c r="EJ731" s="119"/>
      <c r="EK731" s="119"/>
      <c r="EL731" s="119"/>
      <c r="EM731" s="119"/>
      <c r="EN731" s="119"/>
      <c r="EO731" s="119"/>
      <c r="EP731" s="119"/>
      <c r="EQ731" s="119"/>
      <c r="ER731" s="119"/>
      <c r="ES731" s="119"/>
      <c r="ET731" s="119"/>
      <c r="EU731" s="119"/>
      <c r="EV731" s="119"/>
      <c r="EW731" s="119"/>
      <c r="EX731" s="119"/>
      <c r="EY731" s="119"/>
      <c r="EZ731" s="119"/>
      <c r="FA731" s="119"/>
      <c r="FB731" s="119"/>
      <c r="FC731" s="119"/>
      <c r="FD731" s="119"/>
      <c r="FE731" s="119"/>
      <c r="FF731" s="119"/>
      <c r="FG731" s="119"/>
      <c r="FH731" s="119"/>
      <c r="FI731" s="119"/>
      <c r="FJ731" s="119"/>
      <c r="FK731" s="119"/>
      <c r="FL731" s="119"/>
      <c r="FM731" s="119"/>
      <c r="FN731" s="119"/>
      <c r="FO731" s="119"/>
      <c r="FP731" s="119"/>
      <c r="FQ731" s="119"/>
      <c r="FR731" s="119"/>
    </row>
    <row x14ac:dyDescent="0.25" r="732" customHeight="1" ht="15">
      <c r="A732" s="121"/>
      <c r="B732" s="121"/>
      <c r="C732" s="122"/>
      <c r="D732" s="122"/>
      <c r="E732" s="123"/>
      <c r="F732" s="123"/>
      <c r="G732" s="124"/>
      <c r="H732" s="125"/>
      <c r="I732" s="126"/>
      <c r="J732" s="127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  <c r="AA732" s="119"/>
      <c r="AB732" s="119"/>
      <c r="AC732" s="119"/>
      <c r="AD732" s="119"/>
      <c r="AE732" s="119"/>
      <c r="AF732" s="119"/>
      <c r="AG732" s="119"/>
      <c r="AH732" s="119"/>
      <c r="AI732" s="119"/>
      <c r="AJ732" s="119"/>
      <c r="AK732" s="119"/>
      <c r="AL732" s="119"/>
      <c r="AM732" s="119"/>
      <c r="AN732" s="119"/>
      <c r="AO732" s="119"/>
      <c r="AP732" s="119"/>
      <c r="AQ732" s="119"/>
      <c r="AR732" s="119"/>
      <c r="AS732" s="119"/>
      <c r="AT732" s="119"/>
      <c r="AU732" s="119"/>
      <c r="AV732" s="119"/>
      <c r="AW732" s="119"/>
      <c r="AX732" s="119"/>
      <c r="AY732" s="119"/>
      <c r="AZ732" s="119"/>
      <c r="BA732" s="119"/>
      <c r="BB732" s="119"/>
      <c r="BC732" s="119"/>
      <c r="BD732" s="119"/>
      <c r="BE732" s="119"/>
      <c r="BF732" s="119"/>
      <c r="BG732" s="119"/>
      <c r="BH732" s="119"/>
      <c r="BI732" s="119"/>
      <c r="BJ732" s="119"/>
      <c r="BK732" s="119"/>
      <c r="BL732" s="119"/>
      <c r="BM732" s="119"/>
      <c r="BN732" s="119"/>
      <c r="BO732" s="119"/>
      <c r="BP732" s="119"/>
      <c r="BQ732" s="119"/>
      <c r="BR732" s="119"/>
      <c r="BS732" s="119"/>
      <c r="BT732" s="119"/>
      <c r="BU732" s="119"/>
      <c r="BV732" s="119"/>
      <c r="BW732" s="119"/>
      <c r="BX732" s="119"/>
      <c r="BY732" s="119"/>
      <c r="BZ732" s="119"/>
      <c r="CA732" s="119"/>
      <c r="CB732" s="119"/>
      <c r="CC732" s="119"/>
      <c r="CD732" s="119"/>
      <c r="CE732" s="119"/>
      <c r="CF732" s="119"/>
      <c r="CG732" s="119"/>
      <c r="CH732" s="119"/>
      <c r="CI732" s="119"/>
      <c r="CJ732" s="119"/>
      <c r="CK732" s="119"/>
      <c r="CL732" s="119"/>
      <c r="CM732" s="119"/>
      <c r="CN732" s="119"/>
      <c r="CO732" s="119"/>
      <c r="CP732" s="119"/>
      <c r="CQ732" s="119"/>
      <c r="CR732" s="119"/>
      <c r="CS732" s="119"/>
      <c r="CT732" s="119"/>
      <c r="CU732" s="119"/>
      <c r="CV732" s="119"/>
      <c r="CW732" s="119"/>
      <c r="CX732" s="119"/>
      <c r="CY732" s="119"/>
      <c r="CZ732" s="119"/>
      <c r="DA732" s="119"/>
      <c r="DB732" s="119"/>
      <c r="DC732" s="119"/>
      <c r="DD732" s="119"/>
      <c r="DE732" s="119"/>
      <c r="DF732" s="119"/>
      <c r="DG732" s="119"/>
      <c r="DH732" s="119"/>
      <c r="DI732" s="119"/>
      <c r="DJ732" s="119"/>
      <c r="DK732" s="119"/>
      <c r="DL732" s="119"/>
      <c r="DM732" s="119"/>
      <c r="DN732" s="119"/>
      <c r="DO732" s="119"/>
      <c r="DP732" s="119"/>
      <c r="DQ732" s="119"/>
      <c r="DR732" s="119"/>
      <c r="DS732" s="119"/>
      <c r="DT732" s="119"/>
      <c r="DU732" s="119"/>
      <c r="DV732" s="119"/>
      <c r="DW732" s="119"/>
      <c r="DX732" s="119"/>
      <c r="DY732" s="119"/>
      <c r="DZ732" s="119"/>
      <c r="EA732" s="119"/>
      <c r="EB732" s="119"/>
      <c r="EC732" s="119"/>
      <c r="ED732" s="119"/>
      <c r="EE732" s="119"/>
      <c r="EF732" s="119"/>
      <c r="EG732" s="119"/>
      <c r="EH732" s="119"/>
      <c r="EI732" s="119"/>
      <c r="EJ732" s="119"/>
      <c r="EK732" s="119"/>
      <c r="EL732" s="119"/>
      <c r="EM732" s="119"/>
      <c r="EN732" s="119"/>
      <c r="EO732" s="119"/>
      <c r="EP732" s="119"/>
      <c r="EQ732" s="119"/>
      <c r="ER732" s="119"/>
      <c r="ES732" s="119"/>
      <c r="ET732" s="119"/>
      <c r="EU732" s="119"/>
      <c r="EV732" s="119"/>
      <c r="EW732" s="119"/>
      <c r="EX732" s="119"/>
      <c r="EY732" s="119"/>
      <c r="EZ732" s="119"/>
      <c r="FA732" s="119"/>
      <c r="FB732" s="119"/>
      <c r="FC732" s="119"/>
      <c r="FD732" s="119"/>
      <c r="FE732" s="119"/>
      <c r="FF732" s="119"/>
      <c r="FG732" s="119"/>
      <c r="FH732" s="119"/>
      <c r="FI732" s="119"/>
      <c r="FJ732" s="119"/>
      <c r="FK732" s="119"/>
      <c r="FL732" s="119"/>
      <c r="FM732" s="119"/>
      <c r="FN732" s="119"/>
      <c r="FO732" s="119"/>
      <c r="FP732" s="119"/>
      <c r="FQ732" s="119"/>
      <c r="FR732" s="119"/>
    </row>
    <row x14ac:dyDescent="0.25" r="733" customHeight="1" ht="15">
      <c r="A733" s="121"/>
      <c r="B733" s="121"/>
      <c r="C733" s="122"/>
      <c r="D733" s="122"/>
      <c r="E733" s="123"/>
      <c r="F733" s="123"/>
      <c r="G733" s="124"/>
      <c r="H733" s="125"/>
      <c r="I733" s="126"/>
      <c r="J733" s="127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  <c r="AA733" s="119"/>
      <c r="AB733" s="119"/>
      <c r="AC733" s="119"/>
      <c r="AD733" s="119"/>
      <c r="AE733" s="119"/>
      <c r="AF733" s="119"/>
      <c r="AG733" s="119"/>
      <c r="AH733" s="119"/>
      <c r="AI733" s="119"/>
      <c r="AJ733" s="119"/>
      <c r="AK733" s="119"/>
      <c r="AL733" s="119"/>
      <c r="AM733" s="119"/>
      <c r="AN733" s="119"/>
      <c r="AO733" s="119"/>
      <c r="AP733" s="119"/>
      <c r="AQ733" s="119"/>
      <c r="AR733" s="119"/>
      <c r="AS733" s="119"/>
      <c r="AT733" s="119"/>
      <c r="AU733" s="119"/>
      <c r="AV733" s="119"/>
      <c r="AW733" s="119"/>
      <c r="AX733" s="119"/>
      <c r="AY733" s="119"/>
      <c r="AZ733" s="119"/>
      <c r="BA733" s="119"/>
      <c r="BB733" s="119"/>
      <c r="BC733" s="119"/>
      <c r="BD733" s="119"/>
      <c r="BE733" s="119"/>
      <c r="BF733" s="119"/>
      <c r="BG733" s="119"/>
      <c r="BH733" s="119"/>
      <c r="BI733" s="119"/>
      <c r="BJ733" s="119"/>
      <c r="BK733" s="119"/>
      <c r="BL733" s="119"/>
      <c r="BM733" s="119"/>
      <c r="BN733" s="119"/>
      <c r="BO733" s="119"/>
      <c r="BP733" s="119"/>
      <c r="BQ733" s="119"/>
      <c r="BR733" s="119"/>
      <c r="BS733" s="119"/>
      <c r="BT733" s="119"/>
      <c r="BU733" s="119"/>
      <c r="BV733" s="119"/>
      <c r="BW733" s="119"/>
      <c r="BX733" s="119"/>
      <c r="BY733" s="119"/>
      <c r="BZ733" s="119"/>
      <c r="CA733" s="119"/>
      <c r="CB733" s="119"/>
      <c r="CC733" s="119"/>
      <c r="CD733" s="119"/>
      <c r="CE733" s="119"/>
      <c r="CF733" s="119"/>
      <c r="CG733" s="119"/>
      <c r="CH733" s="119"/>
      <c r="CI733" s="119"/>
      <c r="CJ733" s="119"/>
      <c r="CK733" s="119"/>
      <c r="CL733" s="119"/>
      <c r="CM733" s="119"/>
      <c r="CN733" s="119"/>
      <c r="CO733" s="119"/>
      <c r="CP733" s="119"/>
      <c r="CQ733" s="119"/>
      <c r="CR733" s="119"/>
      <c r="CS733" s="119"/>
      <c r="CT733" s="119"/>
      <c r="CU733" s="119"/>
      <c r="CV733" s="119"/>
      <c r="CW733" s="119"/>
      <c r="CX733" s="119"/>
      <c r="CY733" s="119"/>
      <c r="CZ733" s="119"/>
      <c r="DA733" s="119"/>
      <c r="DB733" s="119"/>
      <c r="DC733" s="119"/>
      <c r="DD733" s="119"/>
      <c r="DE733" s="119"/>
      <c r="DF733" s="119"/>
      <c r="DG733" s="119"/>
      <c r="DH733" s="119"/>
      <c r="DI733" s="119"/>
      <c r="DJ733" s="119"/>
      <c r="DK733" s="119"/>
      <c r="DL733" s="119"/>
      <c r="DM733" s="119"/>
      <c r="DN733" s="119"/>
      <c r="DO733" s="119"/>
      <c r="DP733" s="119"/>
      <c r="DQ733" s="119"/>
      <c r="DR733" s="119"/>
      <c r="DS733" s="119"/>
      <c r="DT733" s="119"/>
      <c r="DU733" s="119"/>
      <c r="DV733" s="119"/>
      <c r="DW733" s="119"/>
      <c r="DX733" s="119"/>
      <c r="DY733" s="119"/>
      <c r="DZ733" s="119"/>
      <c r="EA733" s="119"/>
      <c r="EB733" s="119"/>
      <c r="EC733" s="119"/>
      <c r="ED733" s="119"/>
      <c r="EE733" s="119"/>
      <c r="EF733" s="119"/>
      <c r="EG733" s="119"/>
      <c r="EH733" s="119"/>
      <c r="EI733" s="119"/>
      <c r="EJ733" s="119"/>
      <c r="EK733" s="119"/>
      <c r="EL733" s="119"/>
      <c r="EM733" s="119"/>
      <c r="EN733" s="119"/>
      <c r="EO733" s="119"/>
      <c r="EP733" s="119"/>
      <c r="EQ733" s="119"/>
      <c r="ER733" s="119"/>
      <c r="ES733" s="119"/>
      <c r="ET733" s="119"/>
      <c r="EU733" s="119"/>
      <c r="EV733" s="119"/>
      <c r="EW733" s="119"/>
      <c r="EX733" s="119"/>
      <c r="EY733" s="119"/>
      <c r="EZ733" s="119"/>
      <c r="FA733" s="119"/>
      <c r="FB733" s="119"/>
      <c r="FC733" s="119"/>
      <c r="FD733" s="119"/>
      <c r="FE733" s="119"/>
      <c r="FF733" s="119"/>
      <c r="FG733" s="119"/>
      <c r="FH733" s="119"/>
      <c r="FI733" s="119"/>
      <c r="FJ733" s="119"/>
      <c r="FK733" s="119"/>
      <c r="FL733" s="119"/>
      <c r="FM733" s="119"/>
      <c r="FN733" s="119"/>
      <c r="FO733" s="119"/>
      <c r="FP733" s="119"/>
      <c r="FQ733" s="119"/>
      <c r="FR733" s="119"/>
    </row>
    <row x14ac:dyDescent="0.25" r="734" customHeight="1" ht="15">
      <c r="A734" s="121"/>
      <c r="B734" s="121"/>
      <c r="C734" s="122"/>
      <c r="D734" s="122"/>
      <c r="E734" s="123"/>
      <c r="F734" s="123"/>
      <c r="G734" s="124"/>
      <c r="H734" s="125"/>
      <c r="I734" s="126"/>
      <c r="J734" s="127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  <c r="AA734" s="119"/>
      <c r="AB734" s="119"/>
      <c r="AC734" s="119"/>
      <c r="AD734" s="119"/>
      <c r="AE734" s="119"/>
      <c r="AF734" s="119"/>
      <c r="AG734" s="119"/>
      <c r="AH734" s="119"/>
      <c r="AI734" s="119"/>
      <c r="AJ734" s="119"/>
      <c r="AK734" s="119"/>
      <c r="AL734" s="119"/>
      <c r="AM734" s="119"/>
      <c r="AN734" s="119"/>
      <c r="AO734" s="119"/>
      <c r="AP734" s="119"/>
      <c r="AQ734" s="119"/>
      <c r="AR734" s="119"/>
      <c r="AS734" s="119"/>
      <c r="AT734" s="119"/>
      <c r="AU734" s="119"/>
      <c r="AV734" s="119"/>
      <c r="AW734" s="119"/>
      <c r="AX734" s="119"/>
      <c r="AY734" s="119"/>
      <c r="AZ734" s="119"/>
      <c r="BA734" s="119"/>
      <c r="BB734" s="119"/>
      <c r="BC734" s="119"/>
      <c r="BD734" s="119"/>
      <c r="BE734" s="119"/>
      <c r="BF734" s="119"/>
      <c r="BG734" s="119"/>
      <c r="BH734" s="119"/>
      <c r="BI734" s="119"/>
      <c r="BJ734" s="119"/>
      <c r="BK734" s="119"/>
      <c r="BL734" s="119"/>
      <c r="BM734" s="119"/>
      <c r="BN734" s="119"/>
      <c r="BO734" s="119"/>
      <c r="BP734" s="119"/>
      <c r="BQ734" s="119"/>
      <c r="BR734" s="119"/>
      <c r="BS734" s="119"/>
      <c r="BT734" s="119"/>
      <c r="BU734" s="119"/>
      <c r="BV734" s="119"/>
      <c r="BW734" s="119"/>
      <c r="BX734" s="119"/>
      <c r="BY734" s="119"/>
      <c r="BZ734" s="119"/>
      <c r="CA734" s="119"/>
      <c r="CB734" s="119"/>
      <c r="CC734" s="119"/>
      <c r="CD734" s="119"/>
      <c r="CE734" s="119"/>
      <c r="CF734" s="119"/>
      <c r="CG734" s="119"/>
      <c r="CH734" s="119"/>
      <c r="CI734" s="119"/>
      <c r="CJ734" s="119"/>
      <c r="CK734" s="119"/>
      <c r="CL734" s="119"/>
      <c r="CM734" s="119"/>
      <c r="CN734" s="119"/>
      <c r="CO734" s="119"/>
      <c r="CP734" s="119"/>
      <c r="CQ734" s="119"/>
      <c r="CR734" s="119"/>
      <c r="CS734" s="119"/>
      <c r="CT734" s="119"/>
      <c r="CU734" s="119"/>
      <c r="CV734" s="119"/>
      <c r="CW734" s="119"/>
      <c r="CX734" s="119"/>
      <c r="CY734" s="119"/>
      <c r="CZ734" s="119"/>
      <c r="DA734" s="119"/>
      <c r="DB734" s="119"/>
      <c r="DC734" s="119"/>
      <c r="DD734" s="119"/>
      <c r="DE734" s="119"/>
      <c r="DF734" s="119"/>
      <c r="DG734" s="119"/>
      <c r="DH734" s="119"/>
      <c r="DI734" s="119"/>
      <c r="DJ734" s="119"/>
      <c r="DK734" s="119"/>
      <c r="DL734" s="119"/>
      <c r="DM734" s="119"/>
      <c r="DN734" s="119"/>
      <c r="DO734" s="119"/>
      <c r="DP734" s="119"/>
      <c r="DQ734" s="119"/>
      <c r="DR734" s="119"/>
      <c r="DS734" s="119"/>
      <c r="DT734" s="119"/>
      <c r="DU734" s="119"/>
      <c r="DV734" s="119"/>
      <c r="DW734" s="119"/>
      <c r="DX734" s="119"/>
      <c r="DY734" s="119"/>
      <c r="DZ734" s="119"/>
      <c r="EA734" s="119"/>
      <c r="EB734" s="119"/>
      <c r="EC734" s="119"/>
      <c r="ED734" s="119"/>
      <c r="EE734" s="119"/>
      <c r="EF734" s="119"/>
      <c r="EG734" s="119"/>
      <c r="EH734" s="119"/>
      <c r="EI734" s="119"/>
      <c r="EJ734" s="119"/>
      <c r="EK734" s="119"/>
      <c r="EL734" s="119"/>
      <c r="EM734" s="119"/>
      <c r="EN734" s="119"/>
      <c r="EO734" s="119"/>
      <c r="EP734" s="119"/>
      <c r="EQ734" s="119"/>
      <c r="ER734" s="119"/>
      <c r="ES734" s="119"/>
      <c r="ET734" s="119"/>
      <c r="EU734" s="119"/>
      <c r="EV734" s="119"/>
      <c r="EW734" s="119"/>
      <c r="EX734" s="119"/>
      <c r="EY734" s="119"/>
      <c r="EZ734" s="119"/>
      <c r="FA734" s="119"/>
      <c r="FB734" s="119"/>
      <c r="FC734" s="119"/>
      <c r="FD734" s="119"/>
      <c r="FE734" s="119"/>
      <c r="FF734" s="119"/>
      <c r="FG734" s="119"/>
      <c r="FH734" s="119"/>
      <c r="FI734" s="119"/>
      <c r="FJ734" s="119"/>
      <c r="FK734" s="119"/>
      <c r="FL734" s="119"/>
      <c r="FM734" s="119"/>
      <c r="FN734" s="119"/>
      <c r="FO734" s="119"/>
      <c r="FP734" s="119"/>
      <c r="FQ734" s="119"/>
      <c r="FR734" s="119"/>
    </row>
    <row x14ac:dyDescent="0.25" r="735" customHeight="1" ht="15">
      <c r="A735" s="121"/>
      <c r="B735" s="121"/>
      <c r="C735" s="122"/>
      <c r="D735" s="122"/>
      <c r="E735" s="123"/>
      <c r="F735" s="123"/>
      <c r="G735" s="124"/>
      <c r="H735" s="125"/>
      <c r="I735" s="126"/>
      <c r="J735" s="127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  <c r="AA735" s="119"/>
      <c r="AB735" s="119"/>
      <c r="AC735" s="119"/>
      <c r="AD735" s="119"/>
      <c r="AE735" s="119"/>
      <c r="AF735" s="119"/>
      <c r="AG735" s="119"/>
      <c r="AH735" s="119"/>
      <c r="AI735" s="119"/>
      <c r="AJ735" s="119"/>
      <c r="AK735" s="119"/>
      <c r="AL735" s="119"/>
      <c r="AM735" s="119"/>
      <c r="AN735" s="119"/>
      <c r="AO735" s="119"/>
      <c r="AP735" s="119"/>
      <c r="AQ735" s="119"/>
      <c r="AR735" s="119"/>
      <c r="AS735" s="119"/>
      <c r="AT735" s="119"/>
      <c r="AU735" s="119"/>
      <c r="AV735" s="119"/>
      <c r="AW735" s="119"/>
      <c r="AX735" s="119"/>
      <c r="AY735" s="119"/>
      <c r="AZ735" s="119"/>
      <c r="BA735" s="119"/>
      <c r="BB735" s="119"/>
      <c r="BC735" s="119"/>
      <c r="BD735" s="119"/>
      <c r="BE735" s="119"/>
      <c r="BF735" s="119"/>
      <c r="BG735" s="119"/>
      <c r="BH735" s="119"/>
      <c r="BI735" s="119"/>
      <c r="BJ735" s="119"/>
      <c r="BK735" s="119"/>
      <c r="BL735" s="119"/>
      <c r="BM735" s="119"/>
      <c r="BN735" s="119"/>
      <c r="BO735" s="119"/>
      <c r="BP735" s="119"/>
      <c r="BQ735" s="119"/>
      <c r="BR735" s="119"/>
      <c r="BS735" s="119"/>
      <c r="BT735" s="119"/>
      <c r="BU735" s="119"/>
      <c r="BV735" s="119"/>
      <c r="BW735" s="119"/>
      <c r="BX735" s="119"/>
      <c r="BY735" s="119"/>
      <c r="BZ735" s="119"/>
      <c r="CA735" s="119"/>
      <c r="CB735" s="119"/>
      <c r="CC735" s="119"/>
      <c r="CD735" s="119"/>
      <c r="CE735" s="119"/>
      <c r="CF735" s="119"/>
      <c r="CG735" s="119"/>
      <c r="CH735" s="119"/>
      <c r="CI735" s="119"/>
      <c r="CJ735" s="119"/>
      <c r="CK735" s="119"/>
      <c r="CL735" s="119"/>
      <c r="CM735" s="119"/>
      <c r="CN735" s="119"/>
      <c r="CO735" s="119"/>
      <c r="CP735" s="119"/>
      <c r="CQ735" s="119"/>
      <c r="CR735" s="119"/>
      <c r="CS735" s="119"/>
      <c r="CT735" s="119"/>
      <c r="CU735" s="119"/>
      <c r="CV735" s="119"/>
      <c r="CW735" s="119"/>
      <c r="CX735" s="119"/>
      <c r="CY735" s="119"/>
      <c r="CZ735" s="119"/>
      <c r="DA735" s="119"/>
      <c r="DB735" s="119"/>
      <c r="DC735" s="119"/>
      <c r="DD735" s="119"/>
      <c r="DE735" s="119"/>
      <c r="DF735" s="119"/>
      <c r="DG735" s="119"/>
      <c r="DH735" s="119"/>
      <c r="DI735" s="119"/>
      <c r="DJ735" s="119"/>
      <c r="DK735" s="119"/>
      <c r="DL735" s="119"/>
      <c r="DM735" s="119"/>
      <c r="DN735" s="119"/>
      <c r="DO735" s="119"/>
      <c r="DP735" s="119"/>
      <c r="DQ735" s="119"/>
      <c r="DR735" s="119"/>
      <c r="DS735" s="119"/>
      <c r="DT735" s="119"/>
      <c r="DU735" s="119"/>
      <c r="DV735" s="119"/>
      <c r="DW735" s="119"/>
      <c r="DX735" s="119"/>
      <c r="DY735" s="119"/>
      <c r="DZ735" s="119"/>
      <c r="EA735" s="119"/>
      <c r="EB735" s="119"/>
      <c r="EC735" s="119"/>
      <c r="ED735" s="119"/>
      <c r="EE735" s="119"/>
      <c r="EF735" s="119"/>
      <c r="EG735" s="119"/>
      <c r="EH735" s="119"/>
      <c r="EI735" s="119"/>
      <c r="EJ735" s="119"/>
      <c r="EK735" s="119"/>
      <c r="EL735" s="119"/>
      <c r="EM735" s="119"/>
      <c r="EN735" s="119"/>
      <c r="EO735" s="119"/>
      <c r="EP735" s="119"/>
      <c r="EQ735" s="119"/>
      <c r="ER735" s="119"/>
      <c r="ES735" s="119"/>
      <c r="ET735" s="119"/>
      <c r="EU735" s="119"/>
      <c r="EV735" s="119"/>
      <c r="EW735" s="119"/>
      <c r="EX735" s="119"/>
      <c r="EY735" s="119"/>
      <c r="EZ735" s="119"/>
      <c r="FA735" s="119"/>
      <c r="FB735" s="119"/>
      <c r="FC735" s="119"/>
      <c r="FD735" s="119"/>
      <c r="FE735" s="119"/>
      <c r="FF735" s="119"/>
      <c r="FG735" s="119"/>
      <c r="FH735" s="119"/>
      <c r="FI735" s="119"/>
      <c r="FJ735" s="119"/>
      <c r="FK735" s="119"/>
      <c r="FL735" s="119"/>
      <c r="FM735" s="119"/>
      <c r="FN735" s="119"/>
      <c r="FO735" s="119"/>
      <c r="FP735" s="119"/>
      <c r="FQ735" s="119"/>
      <c r="FR735" s="119"/>
    </row>
    <row x14ac:dyDescent="0.25" r="736" customHeight="1" ht="15">
      <c r="A736" s="121"/>
      <c r="B736" s="121"/>
      <c r="C736" s="122"/>
      <c r="D736" s="122"/>
      <c r="E736" s="123"/>
      <c r="F736" s="123"/>
      <c r="G736" s="124"/>
      <c r="H736" s="125"/>
      <c r="I736" s="126"/>
      <c r="J736" s="127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  <c r="AA736" s="119"/>
      <c r="AB736" s="119"/>
      <c r="AC736" s="119"/>
      <c r="AD736" s="119"/>
      <c r="AE736" s="119"/>
      <c r="AF736" s="119"/>
      <c r="AG736" s="119"/>
      <c r="AH736" s="119"/>
      <c r="AI736" s="119"/>
      <c r="AJ736" s="119"/>
      <c r="AK736" s="119"/>
      <c r="AL736" s="119"/>
      <c r="AM736" s="119"/>
      <c r="AN736" s="119"/>
      <c r="AO736" s="119"/>
      <c r="AP736" s="119"/>
      <c r="AQ736" s="119"/>
      <c r="AR736" s="119"/>
      <c r="AS736" s="119"/>
      <c r="AT736" s="119"/>
      <c r="AU736" s="119"/>
      <c r="AV736" s="119"/>
      <c r="AW736" s="119"/>
      <c r="AX736" s="119"/>
      <c r="AY736" s="119"/>
      <c r="AZ736" s="119"/>
      <c r="BA736" s="119"/>
      <c r="BB736" s="119"/>
      <c r="BC736" s="119"/>
      <c r="BD736" s="119"/>
      <c r="BE736" s="119"/>
      <c r="BF736" s="119"/>
      <c r="BG736" s="119"/>
      <c r="BH736" s="119"/>
      <c r="BI736" s="119"/>
      <c r="BJ736" s="119"/>
      <c r="BK736" s="119"/>
      <c r="BL736" s="119"/>
      <c r="BM736" s="119"/>
      <c r="BN736" s="119"/>
      <c r="BO736" s="119"/>
      <c r="BP736" s="119"/>
      <c r="BQ736" s="119"/>
      <c r="BR736" s="119"/>
      <c r="BS736" s="119"/>
      <c r="BT736" s="119"/>
      <c r="BU736" s="119"/>
      <c r="BV736" s="119"/>
      <c r="BW736" s="119"/>
      <c r="BX736" s="119"/>
      <c r="BY736" s="119"/>
      <c r="BZ736" s="119"/>
      <c r="CA736" s="119"/>
      <c r="CB736" s="119"/>
      <c r="CC736" s="119"/>
      <c r="CD736" s="119"/>
      <c r="CE736" s="119"/>
      <c r="CF736" s="119"/>
      <c r="CG736" s="119"/>
      <c r="CH736" s="119"/>
      <c r="CI736" s="119"/>
      <c r="CJ736" s="119"/>
      <c r="CK736" s="119"/>
      <c r="CL736" s="119"/>
      <c r="CM736" s="119"/>
      <c r="CN736" s="119"/>
      <c r="CO736" s="119"/>
      <c r="CP736" s="119"/>
      <c r="CQ736" s="119"/>
      <c r="CR736" s="119"/>
      <c r="CS736" s="119"/>
      <c r="CT736" s="119"/>
      <c r="CU736" s="119"/>
      <c r="CV736" s="119"/>
      <c r="CW736" s="119"/>
      <c r="CX736" s="119"/>
      <c r="CY736" s="119"/>
      <c r="CZ736" s="119"/>
      <c r="DA736" s="119"/>
      <c r="DB736" s="119"/>
      <c r="DC736" s="119"/>
      <c r="DD736" s="119"/>
      <c r="DE736" s="119"/>
      <c r="DF736" s="119"/>
      <c r="DG736" s="119"/>
      <c r="DH736" s="119"/>
      <c r="DI736" s="119"/>
      <c r="DJ736" s="119"/>
      <c r="DK736" s="119"/>
      <c r="DL736" s="119"/>
      <c r="DM736" s="119"/>
      <c r="DN736" s="119"/>
      <c r="DO736" s="119"/>
      <c r="DP736" s="119"/>
      <c r="DQ736" s="119"/>
      <c r="DR736" s="119"/>
      <c r="DS736" s="119"/>
      <c r="DT736" s="119"/>
      <c r="DU736" s="119"/>
      <c r="DV736" s="119"/>
      <c r="DW736" s="119"/>
      <c r="DX736" s="119"/>
      <c r="DY736" s="119"/>
      <c r="DZ736" s="119"/>
      <c r="EA736" s="119"/>
      <c r="EB736" s="119"/>
      <c r="EC736" s="119"/>
      <c r="ED736" s="119"/>
      <c r="EE736" s="119"/>
      <c r="EF736" s="119"/>
      <c r="EG736" s="119"/>
      <c r="EH736" s="119"/>
      <c r="EI736" s="119"/>
      <c r="EJ736" s="119"/>
      <c r="EK736" s="119"/>
      <c r="EL736" s="119"/>
      <c r="EM736" s="119"/>
      <c r="EN736" s="119"/>
      <c r="EO736" s="119"/>
      <c r="EP736" s="119"/>
      <c r="EQ736" s="119"/>
      <c r="ER736" s="119"/>
      <c r="ES736" s="119"/>
      <c r="ET736" s="119"/>
      <c r="EU736" s="119"/>
      <c r="EV736" s="119"/>
      <c r="EW736" s="119"/>
      <c r="EX736" s="119"/>
      <c r="EY736" s="119"/>
      <c r="EZ736" s="119"/>
      <c r="FA736" s="119"/>
      <c r="FB736" s="119"/>
      <c r="FC736" s="119"/>
      <c r="FD736" s="119"/>
      <c r="FE736" s="119"/>
      <c r="FF736" s="119"/>
      <c r="FG736" s="119"/>
      <c r="FH736" s="119"/>
      <c r="FI736" s="119"/>
      <c r="FJ736" s="119"/>
      <c r="FK736" s="119"/>
      <c r="FL736" s="119"/>
      <c r="FM736" s="119"/>
      <c r="FN736" s="119"/>
      <c r="FO736" s="119"/>
      <c r="FP736" s="119"/>
      <c r="FQ736" s="119"/>
      <c r="FR736" s="119"/>
    </row>
    <row x14ac:dyDescent="0.25" r="737" customHeight="1" ht="15">
      <c r="A737" s="121"/>
      <c r="B737" s="121"/>
      <c r="C737" s="122"/>
      <c r="D737" s="122"/>
      <c r="E737" s="123"/>
      <c r="F737" s="123"/>
      <c r="G737" s="124"/>
      <c r="H737" s="125"/>
      <c r="I737" s="126"/>
      <c r="J737" s="127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  <c r="AA737" s="119"/>
      <c r="AB737" s="119"/>
      <c r="AC737" s="119"/>
      <c r="AD737" s="119"/>
      <c r="AE737" s="119"/>
      <c r="AF737" s="119"/>
      <c r="AG737" s="119"/>
      <c r="AH737" s="119"/>
      <c r="AI737" s="119"/>
      <c r="AJ737" s="119"/>
      <c r="AK737" s="119"/>
      <c r="AL737" s="119"/>
      <c r="AM737" s="119"/>
      <c r="AN737" s="119"/>
      <c r="AO737" s="119"/>
      <c r="AP737" s="119"/>
      <c r="AQ737" s="119"/>
      <c r="AR737" s="119"/>
      <c r="AS737" s="119"/>
      <c r="AT737" s="119"/>
      <c r="AU737" s="119"/>
      <c r="AV737" s="119"/>
      <c r="AW737" s="119"/>
      <c r="AX737" s="119"/>
      <c r="AY737" s="119"/>
      <c r="AZ737" s="119"/>
      <c r="BA737" s="119"/>
      <c r="BB737" s="119"/>
      <c r="BC737" s="119"/>
      <c r="BD737" s="119"/>
      <c r="BE737" s="119"/>
      <c r="BF737" s="119"/>
      <c r="BG737" s="119"/>
      <c r="BH737" s="119"/>
      <c r="BI737" s="119"/>
      <c r="BJ737" s="119"/>
      <c r="BK737" s="119"/>
      <c r="BL737" s="119"/>
      <c r="BM737" s="119"/>
      <c r="BN737" s="119"/>
      <c r="BO737" s="119"/>
      <c r="BP737" s="119"/>
      <c r="BQ737" s="119"/>
      <c r="BR737" s="119"/>
      <c r="BS737" s="119"/>
      <c r="BT737" s="119"/>
      <c r="BU737" s="119"/>
      <c r="BV737" s="119"/>
      <c r="BW737" s="119"/>
      <c r="BX737" s="119"/>
      <c r="BY737" s="119"/>
      <c r="BZ737" s="119"/>
      <c r="CA737" s="119"/>
      <c r="CB737" s="119"/>
      <c r="CC737" s="119"/>
      <c r="CD737" s="119"/>
      <c r="CE737" s="119"/>
      <c r="CF737" s="119"/>
      <c r="CG737" s="119"/>
      <c r="CH737" s="119"/>
      <c r="CI737" s="119"/>
      <c r="CJ737" s="119"/>
      <c r="CK737" s="119"/>
      <c r="CL737" s="119"/>
      <c r="CM737" s="119"/>
      <c r="CN737" s="119"/>
      <c r="CO737" s="119"/>
      <c r="CP737" s="119"/>
      <c r="CQ737" s="119"/>
      <c r="CR737" s="119"/>
      <c r="CS737" s="119"/>
      <c r="CT737" s="119"/>
      <c r="CU737" s="119"/>
      <c r="CV737" s="119"/>
      <c r="CW737" s="119"/>
      <c r="CX737" s="119"/>
      <c r="CY737" s="119"/>
      <c r="CZ737" s="119"/>
      <c r="DA737" s="119"/>
      <c r="DB737" s="119"/>
      <c r="DC737" s="119"/>
      <c r="DD737" s="119"/>
      <c r="DE737" s="119"/>
      <c r="DF737" s="119"/>
      <c r="DG737" s="119"/>
      <c r="DH737" s="119"/>
      <c r="DI737" s="119"/>
      <c r="DJ737" s="119"/>
      <c r="DK737" s="119"/>
      <c r="DL737" s="119"/>
      <c r="DM737" s="119"/>
      <c r="DN737" s="119"/>
      <c r="DO737" s="119"/>
      <c r="DP737" s="119"/>
      <c r="DQ737" s="119"/>
      <c r="DR737" s="119"/>
      <c r="DS737" s="119"/>
      <c r="DT737" s="119"/>
      <c r="DU737" s="119"/>
      <c r="DV737" s="119"/>
      <c r="DW737" s="119"/>
      <c r="DX737" s="119"/>
      <c r="DY737" s="119"/>
      <c r="DZ737" s="119"/>
      <c r="EA737" s="119"/>
      <c r="EB737" s="119"/>
      <c r="EC737" s="119"/>
      <c r="ED737" s="119"/>
      <c r="EE737" s="119"/>
      <c r="EF737" s="119"/>
      <c r="EG737" s="119"/>
      <c r="EH737" s="119"/>
      <c r="EI737" s="119"/>
      <c r="EJ737" s="119"/>
      <c r="EK737" s="119"/>
      <c r="EL737" s="119"/>
      <c r="EM737" s="119"/>
      <c r="EN737" s="119"/>
      <c r="EO737" s="119"/>
      <c r="EP737" s="119"/>
      <c r="EQ737" s="119"/>
      <c r="ER737" s="119"/>
      <c r="ES737" s="119"/>
      <c r="ET737" s="119"/>
      <c r="EU737" s="119"/>
      <c r="EV737" s="119"/>
      <c r="EW737" s="119"/>
      <c r="EX737" s="119"/>
      <c r="EY737" s="119"/>
      <c r="EZ737" s="119"/>
      <c r="FA737" s="119"/>
      <c r="FB737" s="119"/>
      <c r="FC737" s="119"/>
      <c r="FD737" s="119"/>
      <c r="FE737" s="119"/>
      <c r="FF737" s="119"/>
      <c r="FG737" s="119"/>
      <c r="FH737" s="119"/>
      <c r="FI737" s="119"/>
      <c r="FJ737" s="119"/>
      <c r="FK737" s="119"/>
      <c r="FL737" s="119"/>
      <c r="FM737" s="119"/>
      <c r="FN737" s="119"/>
      <c r="FO737" s="119"/>
      <c r="FP737" s="119"/>
      <c r="FQ737" s="119"/>
      <c r="FR737" s="119"/>
    </row>
    <row x14ac:dyDescent="0.25" r="738" customHeight="1" ht="15">
      <c r="A738" s="121"/>
      <c r="B738" s="121"/>
      <c r="C738" s="122"/>
      <c r="D738" s="122"/>
      <c r="E738" s="123"/>
      <c r="F738" s="123"/>
      <c r="G738" s="124"/>
      <c r="H738" s="125"/>
      <c r="I738" s="126"/>
      <c r="J738" s="127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  <c r="AA738" s="119"/>
      <c r="AB738" s="119"/>
      <c r="AC738" s="119"/>
      <c r="AD738" s="119"/>
      <c r="AE738" s="119"/>
      <c r="AF738" s="119"/>
      <c r="AG738" s="119"/>
      <c r="AH738" s="119"/>
      <c r="AI738" s="119"/>
      <c r="AJ738" s="119"/>
      <c r="AK738" s="119"/>
      <c r="AL738" s="119"/>
      <c r="AM738" s="119"/>
      <c r="AN738" s="119"/>
      <c r="AO738" s="119"/>
      <c r="AP738" s="119"/>
      <c r="AQ738" s="119"/>
      <c r="AR738" s="119"/>
      <c r="AS738" s="119"/>
      <c r="AT738" s="119"/>
      <c r="AU738" s="119"/>
      <c r="AV738" s="119"/>
      <c r="AW738" s="119"/>
      <c r="AX738" s="119"/>
      <c r="AY738" s="119"/>
      <c r="AZ738" s="119"/>
      <c r="BA738" s="119"/>
      <c r="BB738" s="119"/>
      <c r="BC738" s="119"/>
      <c r="BD738" s="119"/>
      <c r="BE738" s="119"/>
      <c r="BF738" s="119"/>
      <c r="BG738" s="119"/>
      <c r="BH738" s="119"/>
      <c r="BI738" s="119"/>
      <c r="BJ738" s="119"/>
      <c r="BK738" s="119"/>
      <c r="BL738" s="119"/>
      <c r="BM738" s="119"/>
      <c r="BN738" s="119"/>
      <c r="BO738" s="119"/>
      <c r="BP738" s="119"/>
      <c r="BQ738" s="119"/>
      <c r="BR738" s="119"/>
      <c r="BS738" s="119"/>
      <c r="BT738" s="119"/>
      <c r="BU738" s="119"/>
      <c r="BV738" s="119"/>
      <c r="BW738" s="119"/>
      <c r="BX738" s="119"/>
      <c r="BY738" s="119"/>
      <c r="BZ738" s="119"/>
      <c r="CA738" s="119"/>
      <c r="CB738" s="119"/>
      <c r="CC738" s="119"/>
      <c r="CD738" s="119"/>
      <c r="CE738" s="119"/>
      <c r="CF738" s="119"/>
      <c r="CG738" s="119"/>
      <c r="CH738" s="119"/>
      <c r="CI738" s="119"/>
      <c r="CJ738" s="119"/>
      <c r="CK738" s="119"/>
      <c r="CL738" s="119"/>
      <c r="CM738" s="119"/>
      <c r="CN738" s="119"/>
      <c r="CO738" s="119"/>
      <c r="CP738" s="119"/>
      <c r="CQ738" s="119"/>
      <c r="CR738" s="119"/>
      <c r="CS738" s="119"/>
      <c r="CT738" s="119"/>
      <c r="CU738" s="119"/>
      <c r="CV738" s="119"/>
      <c r="CW738" s="119"/>
      <c r="CX738" s="119"/>
      <c r="CY738" s="119"/>
      <c r="CZ738" s="119"/>
      <c r="DA738" s="119"/>
      <c r="DB738" s="119"/>
      <c r="DC738" s="119"/>
      <c r="DD738" s="119"/>
      <c r="DE738" s="119"/>
      <c r="DF738" s="119"/>
      <c r="DG738" s="119"/>
      <c r="DH738" s="119"/>
      <c r="DI738" s="119"/>
      <c r="DJ738" s="119"/>
      <c r="DK738" s="119"/>
      <c r="DL738" s="119"/>
      <c r="DM738" s="119"/>
      <c r="DN738" s="119"/>
      <c r="DO738" s="119"/>
      <c r="DP738" s="119"/>
      <c r="DQ738" s="119"/>
      <c r="DR738" s="119"/>
      <c r="DS738" s="119"/>
      <c r="DT738" s="119"/>
      <c r="DU738" s="119"/>
      <c r="DV738" s="119"/>
      <c r="DW738" s="119"/>
      <c r="DX738" s="119"/>
      <c r="DY738" s="119"/>
      <c r="DZ738" s="119"/>
      <c r="EA738" s="119"/>
      <c r="EB738" s="119"/>
      <c r="EC738" s="119"/>
      <c r="ED738" s="119"/>
      <c r="EE738" s="119"/>
      <c r="EF738" s="119"/>
      <c r="EG738" s="119"/>
      <c r="EH738" s="119"/>
      <c r="EI738" s="119"/>
      <c r="EJ738" s="119"/>
      <c r="EK738" s="119"/>
      <c r="EL738" s="119"/>
      <c r="EM738" s="119"/>
      <c r="EN738" s="119"/>
      <c r="EO738" s="119"/>
      <c r="EP738" s="119"/>
      <c r="EQ738" s="119"/>
      <c r="ER738" s="119"/>
      <c r="ES738" s="119"/>
      <c r="ET738" s="119"/>
      <c r="EU738" s="119"/>
      <c r="EV738" s="119"/>
      <c r="EW738" s="119"/>
      <c r="EX738" s="119"/>
      <c r="EY738" s="119"/>
      <c r="EZ738" s="119"/>
      <c r="FA738" s="119"/>
      <c r="FB738" s="119"/>
      <c r="FC738" s="119"/>
      <c r="FD738" s="119"/>
      <c r="FE738" s="119"/>
      <c r="FF738" s="119"/>
      <c r="FG738" s="119"/>
      <c r="FH738" s="119"/>
      <c r="FI738" s="119"/>
      <c r="FJ738" s="119"/>
      <c r="FK738" s="119"/>
      <c r="FL738" s="119"/>
      <c r="FM738" s="119"/>
      <c r="FN738" s="119"/>
      <c r="FO738" s="119"/>
      <c r="FP738" s="119"/>
      <c r="FQ738" s="119"/>
      <c r="FR738" s="119"/>
    </row>
    <row x14ac:dyDescent="0.25" r="739" customHeight="1" ht="15">
      <c r="A739" s="121"/>
      <c r="B739" s="121"/>
      <c r="C739" s="122"/>
      <c r="D739" s="122"/>
      <c r="E739" s="123"/>
      <c r="F739" s="123"/>
      <c r="G739" s="124"/>
      <c r="H739" s="125"/>
      <c r="I739" s="126"/>
      <c r="J739" s="127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  <c r="AB739" s="119"/>
      <c r="AC739" s="119"/>
      <c r="AD739" s="119"/>
      <c r="AE739" s="119"/>
      <c r="AF739" s="119"/>
      <c r="AG739" s="119"/>
      <c r="AH739" s="119"/>
      <c r="AI739" s="119"/>
      <c r="AJ739" s="119"/>
      <c r="AK739" s="119"/>
      <c r="AL739" s="119"/>
      <c r="AM739" s="119"/>
      <c r="AN739" s="119"/>
      <c r="AO739" s="119"/>
      <c r="AP739" s="119"/>
      <c r="AQ739" s="119"/>
      <c r="AR739" s="119"/>
      <c r="AS739" s="119"/>
      <c r="AT739" s="119"/>
      <c r="AU739" s="119"/>
      <c r="AV739" s="119"/>
      <c r="AW739" s="119"/>
      <c r="AX739" s="119"/>
      <c r="AY739" s="119"/>
      <c r="AZ739" s="119"/>
      <c r="BA739" s="119"/>
      <c r="BB739" s="119"/>
      <c r="BC739" s="119"/>
      <c r="BD739" s="119"/>
      <c r="BE739" s="119"/>
      <c r="BF739" s="119"/>
      <c r="BG739" s="119"/>
      <c r="BH739" s="119"/>
      <c r="BI739" s="119"/>
      <c r="BJ739" s="119"/>
      <c r="BK739" s="119"/>
      <c r="BL739" s="119"/>
      <c r="BM739" s="119"/>
      <c r="BN739" s="119"/>
      <c r="BO739" s="119"/>
      <c r="BP739" s="119"/>
      <c r="BQ739" s="119"/>
      <c r="BR739" s="119"/>
      <c r="BS739" s="119"/>
      <c r="BT739" s="119"/>
      <c r="BU739" s="119"/>
      <c r="BV739" s="119"/>
      <c r="BW739" s="119"/>
      <c r="BX739" s="119"/>
      <c r="BY739" s="119"/>
      <c r="BZ739" s="119"/>
      <c r="CA739" s="119"/>
      <c r="CB739" s="119"/>
      <c r="CC739" s="119"/>
      <c r="CD739" s="119"/>
      <c r="CE739" s="119"/>
      <c r="CF739" s="119"/>
      <c r="CG739" s="119"/>
      <c r="CH739" s="119"/>
      <c r="CI739" s="119"/>
      <c r="CJ739" s="119"/>
      <c r="CK739" s="119"/>
      <c r="CL739" s="119"/>
      <c r="CM739" s="119"/>
      <c r="CN739" s="119"/>
      <c r="CO739" s="119"/>
      <c r="CP739" s="119"/>
      <c r="CQ739" s="119"/>
      <c r="CR739" s="119"/>
      <c r="CS739" s="119"/>
      <c r="CT739" s="119"/>
      <c r="CU739" s="119"/>
      <c r="CV739" s="119"/>
      <c r="CW739" s="119"/>
      <c r="CX739" s="119"/>
      <c r="CY739" s="119"/>
      <c r="CZ739" s="119"/>
      <c r="DA739" s="119"/>
      <c r="DB739" s="119"/>
      <c r="DC739" s="119"/>
      <c r="DD739" s="119"/>
      <c r="DE739" s="119"/>
      <c r="DF739" s="119"/>
      <c r="DG739" s="119"/>
      <c r="DH739" s="119"/>
      <c r="DI739" s="119"/>
      <c r="DJ739" s="119"/>
      <c r="DK739" s="119"/>
      <c r="DL739" s="119"/>
      <c r="DM739" s="119"/>
      <c r="DN739" s="119"/>
      <c r="DO739" s="119"/>
      <c r="DP739" s="119"/>
      <c r="DQ739" s="119"/>
      <c r="DR739" s="119"/>
      <c r="DS739" s="119"/>
      <c r="DT739" s="119"/>
      <c r="DU739" s="119"/>
      <c r="DV739" s="119"/>
      <c r="DW739" s="119"/>
      <c r="DX739" s="119"/>
      <c r="DY739" s="119"/>
      <c r="DZ739" s="119"/>
      <c r="EA739" s="119"/>
      <c r="EB739" s="119"/>
      <c r="EC739" s="119"/>
      <c r="ED739" s="119"/>
      <c r="EE739" s="119"/>
      <c r="EF739" s="119"/>
      <c r="EG739" s="119"/>
      <c r="EH739" s="119"/>
      <c r="EI739" s="119"/>
      <c r="EJ739" s="119"/>
      <c r="EK739" s="119"/>
      <c r="EL739" s="119"/>
      <c r="EM739" s="119"/>
      <c r="EN739" s="119"/>
      <c r="EO739" s="119"/>
      <c r="EP739" s="119"/>
      <c r="EQ739" s="119"/>
      <c r="ER739" s="119"/>
      <c r="ES739" s="119"/>
      <c r="ET739" s="119"/>
      <c r="EU739" s="119"/>
      <c r="EV739" s="119"/>
      <c r="EW739" s="119"/>
      <c r="EX739" s="119"/>
      <c r="EY739" s="119"/>
      <c r="EZ739" s="119"/>
      <c r="FA739" s="119"/>
      <c r="FB739" s="119"/>
      <c r="FC739" s="119"/>
      <c r="FD739" s="119"/>
      <c r="FE739" s="119"/>
      <c r="FF739" s="119"/>
      <c r="FG739" s="119"/>
      <c r="FH739" s="119"/>
      <c r="FI739" s="119"/>
      <c r="FJ739" s="119"/>
      <c r="FK739" s="119"/>
      <c r="FL739" s="119"/>
      <c r="FM739" s="119"/>
      <c r="FN739" s="119"/>
      <c r="FO739" s="119"/>
      <c r="FP739" s="119"/>
      <c r="FQ739" s="119"/>
      <c r="FR739" s="119"/>
    </row>
    <row x14ac:dyDescent="0.25" r="740" customHeight="1" ht="15">
      <c r="A740" s="121"/>
      <c r="B740" s="121"/>
      <c r="C740" s="122"/>
      <c r="D740" s="122"/>
      <c r="E740" s="123"/>
      <c r="F740" s="123"/>
      <c r="G740" s="124"/>
      <c r="H740" s="125"/>
      <c r="I740" s="126"/>
      <c r="J740" s="127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  <c r="AA740" s="119"/>
      <c r="AB740" s="119"/>
      <c r="AC740" s="119"/>
      <c r="AD740" s="119"/>
      <c r="AE740" s="119"/>
      <c r="AF740" s="119"/>
      <c r="AG740" s="119"/>
      <c r="AH740" s="119"/>
      <c r="AI740" s="119"/>
      <c r="AJ740" s="119"/>
      <c r="AK740" s="119"/>
      <c r="AL740" s="119"/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19"/>
      <c r="AZ740" s="119"/>
      <c r="BA740" s="119"/>
      <c r="BB740" s="119"/>
      <c r="BC740" s="119"/>
      <c r="BD740" s="119"/>
      <c r="BE740" s="119"/>
      <c r="BF740" s="119"/>
      <c r="BG740" s="119"/>
      <c r="BH740" s="119"/>
      <c r="BI740" s="119"/>
      <c r="BJ740" s="119"/>
      <c r="BK740" s="119"/>
      <c r="BL740" s="119"/>
      <c r="BM740" s="119"/>
      <c r="BN740" s="119"/>
      <c r="BO740" s="119"/>
      <c r="BP740" s="119"/>
      <c r="BQ740" s="119"/>
      <c r="BR740" s="119"/>
      <c r="BS740" s="119"/>
      <c r="BT740" s="119"/>
      <c r="BU740" s="119"/>
      <c r="BV740" s="119"/>
      <c r="BW740" s="119"/>
      <c r="BX740" s="119"/>
      <c r="BY740" s="119"/>
      <c r="BZ740" s="119"/>
      <c r="CA740" s="119"/>
      <c r="CB740" s="119"/>
      <c r="CC740" s="119"/>
      <c r="CD740" s="119"/>
      <c r="CE740" s="119"/>
      <c r="CF740" s="119"/>
      <c r="CG740" s="119"/>
      <c r="CH740" s="119"/>
      <c r="CI740" s="119"/>
      <c r="CJ740" s="119"/>
      <c r="CK740" s="119"/>
      <c r="CL740" s="119"/>
      <c r="CM740" s="119"/>
      <c r="CN740" s="119"/>
      <c r="CO740" s="119"/>
      <c r="CP740" s="119"/>
      <c r="CQ740" s="119"/>
      <c r="CR740" s="119"/>
      <c r="CS740" s="119"/>
      <c r="CT740" s="119"/>
      <c r="CU740" s="119"/>
      <c r="CV740" s="119"/>
      <c r="CW740" s="119"/>
      <c r="CX740" s="119"/>
      <c r="CY740" s="119"/>
      <c r="CZ740" s="119"/>
      <c r="DA740" s="119"/>
      <c r="DB740" s="119"/>
      <c r="DC740" s="119"/>
      <c r="DD740" s="119"/>
      <c r="DE740" s="119"/>
      <c r="DF740" s="119"/>
      <c r="DG740" s="119"/>
      <c r="DH740" s="119"/>
      <c r="DI740" s="119"/>
      <c r="DJ740" s="119"/>
      <c r="DK740" s="119"/>
      <c r="DL740" s="119"/>
      <c r="DM740" s="119"/>
      <c r="DN740" s="119"/>
      <c r="DO740" s="119"/>
      <c r="DP740" s="119"/>
      <c r="DQ740" s="119"/>
      <c r="DR740" s="119"/>
      <c r="DS740" s="119"/>
      <c r="DT740" s="119"/>
      <c r="DU740" s="119"/>
      <c r="DV740" s="119"/>
      <c r="DW740" s="119"/>
      <c r="DX740" s="119"/>
      <c r="DY740" s="119"/>
      <c r="DZ740" s="119"/>
      <c r="EA740" s="119"/>
      <c r="EB740" s="119"/>
      <c r="EC740" s="119"/>
      <c r="ED740" s="119"/>
      <c r="EE740" s="119"/>
      <c r="EF740" s="119"/>
      <c r="EG740" s="119"/>
      <c r="EH740" s="119"/>
      <c r="EI740" s="119"/>
      <c r="EJ740" s="119"/>
      <c r="EK740" s="119"/>
      <c r="EL740" s="119"/>
      <c r="EM740" s="119"/>
      <c r="EN740" s="119"/>
      <c r="EO740" s="119"/>
      <c r="EP740" s="119"/>
      <c r="EQ740" s="119"/>
      <c r="ER740" s="119"/>
      <c r="ES740" s="119"/>
      <c r="ET740" s="119"/>
      <c r="EU740" s="119"/>
      <c r="EV740" s="119"/>
      <c r="EW740" s="119"/>
      <c r="EX740" s="119"/>
      <c r="EY740" s="119"/>
      <c r="EZ740" s="119"/>
      <c r="FA740" s="119"/>
      <c r="FB740" s="119"/>
      <c r="FC740" s="119"/>
      <c r="FD740" s="119"/>
      <c r="FE740" s="119"/>
      <c r="FF740" s="119"/>
      <c r="FG740" s="119"/>
      <c r="FH740" s="119"/>
      <c r="FI740" s="119"/>
      <c r="FJ740" s="119"/>
      <c r="FK740" s="119"/>
      <c r="FL740" s="119"/>
      <c r="FM740" s="119"/>
      <c r="FN740" s="119"/>
      <c r="FO740" s="119"/>
      <c r="FP740" s="119"/>
      <c r="FQ740" s="119"/>
      <c r="FR740" s="119"/>
    </row>
    <row x14ac:dyDescent="0.25" r="741" customHeight="1" ht="15">
      <c r="A741" s="121"/>
      <c r="B741" s="121"/>
      <c r="C741" s="122"/>
      <c r="D741" s="122"/>
      <c r="E741" s="123"/>
      <c r="F741" s="123"/>
      <c r="G741" s="124"/>
      <c r="H741" s="125"/>
      <c r="I741" s="126"/>
      <c r="J741" s="127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  <c r="AA741" s="119"/>
      <c r="AB741" s="119"/>
      <c r="AC741" s="119"/>
      <c r="AD741" s="119"/>
      <c r="AE741" s="119"/>
      <c r="AF741" s="119"/>
      <c r="AG741" s="119"/>
      <c r="AH741" s="119"/>
      <c r="AI741" s="119"/>
      <c r="AJ741" s="119"/>
      <c r="AK741" s="119"/>
      <c r="AL741" s="119"/>
      <c r="AM741" s="119"/>
      <c r="AN741" s="119"/>
      <c r="AO741" s="119"/>
      <c r="AP741" s="119"/>
      <c r="AQ741" s="119"/>
      <c r="AR741" s="119"/>
      <c r="AS741" s="119"/>
      <c r="AT741" s="119"/>
      <c r="AU741" s="119"/>
      <c r="AV741" s="119"/>
      <c r="AW741" s="119"/>
      <c r="AX741" s="119"/>
      <c r="AY741" s="119"/>
      <c r="AZ741" s="119"/>
      <c r="BA741" s="119"/>
      <c r="BB741" s="119"/>
      <c r="BC741" s="119"/>
      <c r="BD741" s="119"/>
      <c r="BE741" s="119"/>
      <c r="BF741" s="119"/>
      <c r="BG741" s="119"/>
      <c r="BH741" s="119"/>
      <c r="BI741" s="119"/>
      <c r="BJ741" s="119"/>
      <c r="BK741" s="119"/>
      <c r="BL741" s="119"/>
      <c r="BM741" s="119"/>
      <c r="BN741" s="119"/>
      <c r="BO741" s="119"/>
      <c r="BP741" s="119"/>
      <c r="BQ741" s="119"/>
      <c r="BR741" s="119"/>
      <c r="BS741" s="119"/>
      <c r="BT741" s="119"/>
      <c r="BU741" s="119"/>
      <c r="BV741" s="119"/>
      <c r="BW741" s="119"/>
      <c r="BX741" s="119"/>
      <c r="BY741" s="119"/>
      <c r="BZ741" s="119"/>
      <c r="CA741" s="119"/>
      <c r="CB741" s="119"/>
      <c r="CC741" s="119"/>
      <c r="CD741" s="119"/>
      <c r="CE741" s="119"/>
      <c r="CF741" s="119"/>
      <c r="CG741" s="119"/>
      <c r="CH741" s="119"/>
      <c r="CI741" s="119"/>
      <c r="CJ741" s="119"/>
      <c r="CK741" s="119"/>
      <c r="CL741" s="119"/>
      <c r="CM741" s="119"/>
      <c r="CN741" s="119"/>
      <c r="CO741" s="119"/>
      <c r="CP741" s="119"/>
      <c r="CQ741" s="119"/>
      <c r="CR741" s="119"/>
      <c r="CS741" s="119"/>
      <c r="CT741" s="119"/>
      <c r="CU741" s="119"/>
      <c r="CV741" s="119"/>
      <c r="CW741" s="119"/>
      <c r="CX741" s="119"/>
      <c r="CY741" s="119"/>
      <c r="CZ741" s="119"/>
      <c r="DA741" s="119"/>
      <c r="DB741" s="119"/>
      <c r="DC741" s="119"/>
      <c r="DD741" s="119"/>
      <c r="DE741" s="119"/>
      <c r="DF741" s="119"/>
      <c r="DG741" s="119"/>
      <c r="DH741" s="119"/>
      <c r="DI741" s="119"/>
      <c r="DJ741" s="119"/>
      <c r="DK741" s="119"/>
      <c r="DL741" s="119"/>
      <c r="DM741" s="119"/>
      <c r="DN741" s="119"/>
      <c r="DO741" s="119"/>
      <c r="DP741" s="119"/>
      <c r="DQ741" s="119"/>
      <c r="DR741" s="119"/>
      <c r="DS741" s="119"/>
      <c r="DT741" s="119"/>
      <c r="DU741" s="119"/>
      <c r="DV741" s="119"/>
      <c r="DW741" s="119"/>
      <c r="DX741" s="119"/>
      <c r="DY741" s="119"/>
      <c r="DZ741" s="119"/>
      <c r="EA741" s="119"/>
      <c r="EB741" s="119"/>
      <c r="EC741" s="119"/>
      <c r="ED741" s="119"/>
      <c r="EE741" s="119"/>
      <c r="EF741" s="119"/>
      <c r="EG741" s="119"/>
      <c r="EH741" s="119"/>
      <c r="EI741" s="119"/>
      <c r="EJ741" s="119"/>
      <c r="EK741" s="119"/>
      <c r="EL741" s="119"/>
      <c r="EM741" s="119"/>
      <c r="EN741" s="119"/>
      <c r="EO741" s="119"/>
      <c r="EP741" s="119"/>
      <c r="EQ741" s="119"/>
      <c r="ER741" s="119"/>
      <c r="ES741" s="119"/>
      <c r="ET741" s="119"/>
      <c r="EU741" s="119"/>
      <c r="EV741" s="119"/>
      <c r="EW741" s="119"/>
      <c r="EX741" s="119"/>
      <c r="EY741" s="119"/>
      <c r="EZ741" s="119"/>
      <c r="FA741" s="119"/>
      <c r="FB741" s="119"/>
      <c r="FC741" s="119"/>
      <c r="FD741" s="119"/>
      <c r="FE741" s="119"/>
      <c r="FF741" s="119"/>
      <c r="FG741" s="119"/>
      <c r="FH741" s="119"/>
      <c r="FI741" s="119"/>
      <c r="FJ741" s="119"/>
      <c r="FK741" s="119"/>
      <c r="FL741" s="119"/>
      <c r="FM741" s="119"/>
      <c r="FN741" s="119"/>
      <c r="FO741" s="119"/>
      <c r="FP741" s="119"/>
      <c r="FQ741" s="119"/>
      <c r="FR741" s="119"/>
    </row>
    <row x14ac:dyDescent="0.25" r="742" customHeight="1" ht="15">
      <c r="A742" s="121"/>
      <c r="B742" s="121"/>
      <c r="C742" s="122"/>
      <c r="D742" s="122"/>
      <c r="E742" s="123"/>
      <c r="F742" s="123"/>
      <c r="G742" s="124"/>
      <c r="H742" s="125"/>
      <c r="I742" s="126"/>
      <c r="J742" s="127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  <c r="AA742" s="119"/>
      <c r="AB742" s="119"/>
      <c r="AC742" s="119"/>
      <c r="AD742" s="119"/>
      <c r="AE742" s="119"/>
      <c r="AF742" s="119"/>
      <c r="AG742" s="119"/>
      <c r="AH742" s="119"/>
      <c r="AI742" s="119"/>
      <c r="AJ742" s="119"/>
      <c r="AK742" s="119"/>
      <c r="AL742" s="119"/>
      <c r="AM742" s="119"/>
      <c r="AN742" s="119"/>
      <c r="AO742" s="119"/>
      <c r="AP742" s="119"/>
      <c r="AQ742" s="119"/>
      <c r="AR742" s="119"/>
      <c r="AS742" s="119"/>
      <c r="AT742" s="119"/>
      <c r="AU742" s="119"/>
      <c r="AV742" s="119"/>
      <c r="AW742" s="119"/>
      <c r="AX742" s="119"/>
      <c r="AY742" s="119"/>
      <c r="AZ742" s="119"/>
      <c r="BA742" s="119"/>
      <c r="BB742" s="119"/>
      <c r="BC742" s="119"/>
      <c r="BD742" s="119"/>
      <c r="BE742" s="119"/>
      <c r="BF742" s="119"/>
      <c r="BG742" s="119"/>
      <c r="BH742" s="119"/>
      <c r="BI742" s="119"/>
      <c r="BJ742" s="119"/>
      <c r="BK742" s="119"/>
      <c r="BL742" s="119"/>
      <c r="BM742" s="119"/>
      <c r="BN742" s="119"/>
      <c r="BO742" s="119"/>
      <c r="BP742" s="119"/>
      <c r="BQ742" s="119"/>
      <c r="BR742" s="119"/>
      <c r="BS742" s="119"/>
      <c r="BT742" s="119"/>
      <c r="BU742" s="119"/>
      <c r="BV742" s="119"/>
      <c r="BW742" s="119"/>
      <c r="BX742" s="119"/>
      <c r="BY742" s="119"/>
      <c r="BZ742" s="119"/>
      <c r="CA742" s="119"/>
      <c r="CB742" s="119"/>
      <c r="CC742" s="119"/>
      <c r="CD742" s="119"/>
      <c r="CE742" s="119"/>
      <c r="CF742" s="119"/>
      <c r="CG742" s="119"/>
      <c r="CH742" s="119"/>
      <c r="CI742" s="119"/>
      <c r="CJ742" s="119"/>
      <c r="CK742" s="119"/>
      <c r="CL742" s="119"/>
      <c r="CM742" s="119"/>
      <c r="CN742" s="119"/>
      <c r="CO742" s="119"/>
      <c r="CP742" s="119"/>
      <c r="CQ742" s="119"/>
      <c r="CR742" s="119"/>
      <c r="CS742" s="119"/>
      <c r="CT742" s="119"/>
      <c r="CU742" s="119"/>
      <c r="CV742" s="119"/>
      <c r="CW742" s="119"/>
      <c r="CX742" s="119"/>
      <c r="CY742" s="119"/>
      <c r="CZ742" s="119"/>
      <c r="DA742" s="119"/>
      <c r="DB742" s="119"/>
      <c r="DC742" s="119"/>
      <c r="DD742" s="119"/>
      <c r="DE742" s="119"/>
      <c r="DF742" s="119"/>
      <c r="DG742" s="119"/>
      <c r="DH742" s="119"/>
      <c r="DI742" s="119"/>
      <c r="DJ742" s="119"/>
      <c r="DK742" s="119"/>
      <c r="DL742" s="119"/>
      <c r="DM742" s="119"/>
      <c r="DN742" s="119"/>
      <c r="DO742" s="119"/>
      <c r="DP742" s="119"/>
      <c r="DQ742" s="119"/>
      <c r="DR742" s="119"/>
      <c r="DS742" s="119"/>
      <c r="DT742" s="119"/>
      <c r="DU742" s="119"/>
      <c r="DV742" s="119"/>
      <c r="DW742" s="119"/>
      <c r="DX742" s="119"/>
      <c r="DY742" s="119"/>
      <c r="DZ742" s="119"/>
      <c r="EA742" s="119"/>
      <c r="EB742" s="119"/>
      <c r="EC742" s="119"/>
      <c r="ED742" s="119"/>
      <c r="EE742" s="119"/>
      <c r="EF742" s="119"/>
      <c r="EG742" s="119"/>
      <c r="EH742" s="119"/>
      <c r="EI742" s="119"/>
      <c r="EJ742" s="119"/>
      <c r="EK742" s="119"/>
      <c r="EL742" s="119"/>
      <c r="EM742" s="119"/>
      <c r="EN742" s="119"/>
      <c r="EO742" s="119"/>
      <c r="EP742" s="119"/>
      <c r="EQ742" s="119"/>
      <c r="ER742" s="119"/>
      <c r="ES742" s="119"/>
      <c r="ET742" s="119"/>
      <c r="EU742" s="119"/>
      <c r="EV742" s="119"/>
      <c r="EW742" s="119"/>
      <c r="EX742" s="119"/>
      <c r="EY742" s="119"/>
      <c r="EZ742" s="119"/>
      <c r="FA742" s="119"/>
      <c r="FB742" s="119"/>
      <c r="FC742" s="119"/>
      <c r="FD742" s="119"/>
      <c r="FE742" s="119"/>
      <c r="FF742" s="119"/>
      <c r="FG742" s="119"/>
      <c r="FH742" s="119"/>
      <c r="FI742" s="119"/>
      <c r="FJ742" s="119"/>
      <c r="FK742" s="119"/>
      <c r="FL742" s="119"/>
      <c r="FM742" s="119"/>
      <c r="FN742" s="119"/>
      <c r="FO742" s="119"/>
      <c r="FP742" s="119"/>
      <c r="FQ742" s="119"/>
      <c r="FR742" s="119"/>
    </row>
    <row x14ac:dyDescent="0.25" r="743" customHeight="1" ht="15">
      <c r="A743" s="121"/>
      <c r="B743" s="121"/>
      <c r="C743" s="122"/>
      <c r="D743" s="122"/>
      <c r="E743" s="123"/>
      <c r="F743" s="123"/>
      <c r="G743" s="124"/>
      <c r="H743" s="125"/>
      <c r="I743" s="126"/>
      <c r="J743" s="127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  <c r="AA743" s="119"/>
      <c r="AB743" s="119"/>
      <c r="AC743" s="119"/>
      <c r="AD743" s="119"/>
      <c r="AE743" s="119"/>
      <c r="AF743" s="119"/>
      <c r="AG743" s="119"/>
      <c r="AH743" s="119"/>
      <c r="AI743" s="119"/>
      <c r="AJ743" s="119"/>
      <c r="AK743" s="119"/>
      <c r="AL743" s="119"/>
      <c r="AM743" s="119"/>
      <c r="AN743" s="119"/>
      <c r="AO743" s="119"/>
      <c r="AP743" s="119"/>
      <c r="AQ743" s="119"/>
      <c r="AR743" s="119"/>
      <c r="AS743" s="119"/>
      <c r="AT743" s="119"/>
      <c r="AU743" s="119"/>
      <c r="AV743" s="119"/>
      <c r="AW743" s="119"/>
      <c r="AX743" s="119"/>
      <c r="AY743" s="119"/>
      <c r="AZ743" s="119"/>
      <c r="BA743" s="119"/>
      <c r="BB743" s="119"/>
      <c r="BC743" s="119"/>
      <c r="BD743" s="119"/>
      <c r="BE743" s="119"/>
      <c r="BF743" s="119"/>
      <c r="BG743" s="119"/>
      <c r="BH743" s="119"/>
      <c r="BI743" s="119"/>
      <c r="BJ743" s="119"/>
      <c r="BK743" s="119"/>
      <c r="BL743" s="119"/>
      <c r="BM743" s="119"/>
      <c r="BN743" s="119"/>
      <c r="BO743" s="119"/>
      <c r="BP743" s="119"/>
      <c r="BQ743" s="119"/>
      <c r="BR743" s="119"/>
      <c r="BS743" s="119"/>
      <c r="BT743" s="119"/>
      <c r="BU743" s="119"/>
      <c r="BV743" s="119"/>
      <c r="BW743" s="119"/>
      <c r="BX743" s="119"/>
      <c r="BY743" s="119"/>
      <c r="BZ743" s="119"/>
      <c r="CA743" s="119"/>
      <c r="CB743" s="119"/>
      <c r="CC743" s="119"/>
      <c r="CD743" s="119"/>
      <c r="CE743" s="119"/>
      <c r="CF743" s="119"/>
      <c r="CG743" s="119"/>
      <c r="CH743" s="119"/>
      <c r="CI743" s="119"/>
      <c r="CJ743" s="119"/>
      <c r="CK743" s="119"/>
      <c r="CL743" s="119"/>
      <c r="CM743" s="119"/>
      <c r="CN743" s="119"/>
      <c r="CO743" s="119"/>
      <c r="CP743" s="119"/>
      <c r="CQ743" s="119"/>
      <c r="CR743" s="119"/>
      <c r="CS743" s="119"/>
      <c r="CT743" s="119"/>
      <c r="CU743" s="119"/>
      <c r="CV743" s="119"/>
      <c r="CW743" s="119"/>
      <c r="CX743" s="119"/>
      <c r="CY743" s="119"/>
      <c r="CZ743" s="119"/>
      <c r="DA743" s="119"/>
      <c r="DB743" s="119"/>
      <c r="DC743" s="119"/>
      <c r="DD743" s="119"/>
      <c r="DE743" s="119"/>
      <c r="DF743" s="119"/>
      <c r="DG743" s="119"/>
      <c r="DH743" s="119"/>
      <c r="DI743" s="119"/>
      <c r="DJ743" s="119"/>
      <c r="DK743" s="119"/>
      <c r="DL743" s="119"/>
      <c r="DM743" s="119"/>
      <c r="DN743" s="119"/>
      <c r="DO743" s="119"/>
      <c r="DP743" s="119"/>
      <c r="DQ743" s="119"/>
      <c r="DR743" s="119"/>
      <c r="DS743" s="119"/>
      <c r="DT743" s="119"/>
      <c r="DU743" s="119"/>
      <c r="DV743" s="119"/>
      <c r="DW743" s="119"/>
      <c r="DX743" s="119"/>
      <c r="DY743" s="119"/>
      <c r="DZ743" s="119"/>
      <c r="EA743" s="119"/>
      <c r="EB743" s="119"/>
      <c r="EC743" s="119"/>
      <c r="ED743" s="119"/>
      <c r="EE743" s="119"/>
      <c r="EF743" s="119"/>
      <c r="EG743" s="119"/>
      <c r="EH743" s="119"/>
      <c r="EI743" s="119"/>
      <c r="EJ743" s="119"/>
      <c r="EK743" s="119"/>
      <c r="EL743" s="119"/>
      <c r="EM743" s="119"/>
      <c r="EN743" s="119"/>
      <c r="EO743" s="119"/>
      <c r="EP743" s="119"/>
      <c r="EQ743" s="119"/>
      <c r="ER743" s="119"/>
      <c r="ES743" s="119"/>
      <c r="ET743" s="119"/>
      <c r="EU743" s="119"/>
      <c r="EV743" s="119"/>
      <c r="EW743" s="119"/>
      <c r="EX743" s="119"/>
      <c r="EY743" s="119"/>
      <c r="EZ743" s="119"/>
      <c r="FA743" s="119"/>
      <c r="FB743" s="119"/>
      <c r="FC743" s="119"/>
      <c r="FD743" s="119"/>
      <c r="FE743" s="119"/>
      <c r="FF743" s="119"/>
      <c r="FG743" s="119"/>
      <c r="FH743" s="119"/>
      <c r="FI743" s="119"/>
      <c r="FJ743" s="119"/>
      <c r="FK743" s="119"/>
      <c r="FL743" s="119"/>
      <c r="FM743" s="119"/>
      <c r="FN743" s="119"/>
      <c r="FO743" s="119"/>
      <c r="FP743" s="119"/>
      <c r="FQ743" s="119"/>
      <c r="FR743" s="119"/>
    </row>
    <row x14ac:dyDescent="0.25" r="744" customHeight="1" ht="15">
      <c r="A744" s="112"/>
      <c r="B744" s="112"/>
      <c r="C744" s="107"/>
      <c r="D744" s="107"/>
      <c r="E744" s="120"/>
      <c r="F744" s="120"/>
      <c r="G744" s="128"/>
      <c r="H744" s="110"/>
      <c r="I744" s="111"/>
      <c r="J744" s="11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  <c r="FM744" s="3"/>
      <c r="FN744" s="3"/>
      <c r="FO744" s="3"/>
      <c r="FP744" s="3"/>
      <c r="FQ744" s="3"/>
      <c r="FR744" s="3"/>
    </row>
    <row x14ac:dyDescent="0.25" r="745" customHeight="1" ht="15">
      <c r="A745" s="112"/>
      <c r="B745" s="112"/>
      <c r="C745" s="107"/>
      <c r="D745" s="107"/>
      <c r="E745" s="120"/>
      <c r="F745" s="120"/>
      <c r="G745" s="128"/>
      <c r="H745" s="110"/>
      <c r="I745" s="111"/>
      <c r="J745" s="11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  <c r="FM745" s="3"/>
      <c r="FN745" s="3"/>
      <c r="FO745" s="3"/>
      <c r="FP745" s="3"/>
      <c r="FQ745" s="3"/>
      <c r="FR745" s="3"/>
    </row>
    <row x14ac:dyDescent="0.25" r="746" customHeight="1" ht="15">
      <c r="A746" s="112"/>
      <c r="B746" s="112"/>
      <c r="C746" s="107"/>
      <c r="D746" s="107"/>
      <c r="E746" s="120"/>
      <c r="F746" s="120"/>
      <c r="G746" s="128"/>
      <c r="H746" s="110"/>
      <c r="I746" s="111"/>
      <c r="J746" s="11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  <c r="FM746" s="3"/>
      <c r="FN746" s="3"/>
      <c r="FO746" s="3"/>
      <c r="FP746" s="3"/>
      <c r="FQ746" s="3"/>
      <c r="FR746" s="3"/>
    </row>
    <row x14ac:dyDescent="0.25" r="747" customHeight="1" ht="15">
      <c r="A747" s="112"/>
      <c r="B747" s="112"/>
      <c r="C747" s="107"/>
      <c r="D747" s="107"/>
      <c r="E747" s="120"/>
      <c r="F747" s="120"/>
      <c r="G747" s="128"/>
      <c r="H747" s="110"/>
      <c r="I747" s="111"/>
      <c r="J747" s="11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  <c r="FM747" s="3"/>
      <c r="FN747" s="3"/>
      <c r="FO747" s="3"/>
      <c r="FP747" s="3"/>
      <c r="FQ747" s="3"/>
      <c r="FR747" s="3"/>
    </row>
    <row x14ac:dyDescent="0.25" r="748" customHeight="1" ht="15">
      <c r="A748" s="112"/>
      <c r="B748" s="112"/>
      <c r="C748" s="107"/>
      <c r="D748" s="107"/>
      <c r="E748" s="120"/>
      <c r="F748" s="120"/>
      <c r="G748" s="128"/>
      <c r="H748" s="110"/>
      <c r="I748" s="111"/>
      <c r="J748" s="11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  <c r="FM748" s="3"/>
      <c r="FN748" s="3"/>
      <c r="FO748" s="3"/>
      <c r="FP748" s="3"/>
      <c r="FQ748" s="3"/>
      <c r="FR748" s="3"/>
    </row>
    <row x14ac:dyDescent="0.25" r="749" customHeight="1" ht="15">
      <c r="A749" s="112"/>
      <c r="B749" s="112"/>
      <c r="C749" s="107"/>
      <c r="D749" s="107"/>
      <c r="E749" s="120"/>
      <c r="F749" s="120"/>
      <c r="G749" s="128"/>
      <c r="H749" s="110"/>
      <c r="I749" s="111"/>
      <c r="J749" s="11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  <c r="FM749" s="3"/>
      <c r="FN749" s="3"/>
      <c r="FO749" s="3"/>
      <c r="FP749" s="3"/>
      <c r="FQ749" s="3"/>
      <c r="FR749" s="3"/>
    </row>
    <row x14ac:dyDescent="0.25" r="750" customHeight="1" ht="15">
      <c r="A750" s="112"/>
      <c r="B750" s="112"/>
      <c r="C750" s="107"/>
      <c r="D750" s="107"/>
      <c r="E750" s="120"/>
      <c r="F750" s="120"/>
      <c r="G750" s="128"/>
      <c r="H750" s="110"/>
      <c r="I750" s="111"/>
      <c r="J750" s="11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  <c r="FM750" s="3"/>
      <c r="FN750" s="3"/>
      <c r="FO750" s="3"/>
      <c r="FP750" s="3"/>
      <c r="FQ750" s="3"/>
      <c r="FR750" s="3"/>
    </row>
    <row x14ac:dyDescent="0.25" r="751" customHeight="1" ht="15">
      <c r="A751" s="112"/>
      <c r="B751" s="112"/>
      <c r="C751" s="107"/>
      <c r="D751" s="107"/>
      <c r="E751" s="120"/>
      <c r="F751" s="120"/>
      <c r="G751" s="128"/>
      <c r="H751" s="110"/>
      <c r="I751" s="111"/>
      <c r="J751" s="11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  <c r="FM751" s="3"/>
      <c r="FN751" s="3"/>
      <c r="FO751" s="3"/>
      <c r="FP751" s="3"/>
      <c r="FQ751" s="3"/>
      <c r="FR751" s="3"/>
    </row>
    <row x14ac:dyDescent="0.25" r="752" customHeight="1" ht="15">
      <c r="A752" s="112"/>
      <c r="B752" s="112"/>
      <c r="C752" s="107"/>
      <c r="D752" s="107"/>
      <c r="E752" s="120"/>
      <c r="F752" s="120"/>
      <c r="G752" s="128"/>
      <c r="H752" s="110"/>
      <c r="I752" s="111"/>
      <c r="J752" s="11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  <c r="FM752" s="3"/>
      <c r="FN752" s="3"/>
      <c r="FO752" s="3"/>
      <c r="FP752" s="3"/>
      <c r="FQ752" s="3"/>
      <c r="FR752" s="3"/>
    </row>
    <row x14ac:dyDescent="0.25" r="753" customHeight="1" ht="15">
      <c r="A753" s="112"/>
      <c r="B753" s="112"/>
      <c r="C753" s="107"/>
      <c r="D753" s="107"/>
      <c r="E753" s="120"/>
      <c r="F753" s="120"/>
      <c r="G753" s="128"/>
      <c r="H753" s="110"/>
      <c r="I753" s="111"/>
      <c r="J753" s="11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  <c r="FM753" s="3"/>
      <c r="FN753" s="3"/>
      <c r="FO753" s="3"/>
      <c r="FP753" s="3"/>
      <c r="FQ753" s="3"/>
      <c r="FR753" s="3"/>
    </row>
    <row x14ac:dyDescent="0.25" r="754" customHeight="1" ht="15">
      <c r="A754" s="112"/>
      <c r="B754" s="112"/>
      <c r="C754" s="107"/>
      <c r="D754" s="107"/>
      <c r="E754" s="120"/>
      <c r="F754" s="120"/>
      <c r="G754" s="128"/>
      <c r="H754" s="110"/>
      <c r="I754" s="111"/>
      <c r="J754" s="11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  <c r="FM754" s="3"/>
      <c r="FN754" s="3"/>
      <c r="FO754" s="3"/>
      <c r="FP754" s="3"/>
      <c r="FQ754" s="3"/>
      <c r="FR754" s="3"/>
    </row>
    <row x14ac:dyDescent="0.25" r="755" customHeight="1" ht="15">
      <c r="A755" s="112"/>
      <c r="B755" s="112"/>
      <c r="C755" s="107"/>
      <c r="D755" s="107"/>
      <c r="E755" s="120"/>
      <c r="F755" s="120"/>
      <c r="G755" s="128"/>
      <c r="H755" s="110"/>
      <c r="I755" s="111"/>
      <c r="J755" s="11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  <c r="FM755" s="3"/>
      <c r="FN755" s="3"/>
      <c r="FO755" s="3"/>
      <c r="FP755" s="3"/>
      <c r="FQ755" s="3"/>
      <c r="FR755" s="3"/>
    </row>
    <row x14ac:dyDescent="0.25" r="756" customHeight="1" ht="15">
      <c r="A756" s="112"/>
      <c r="B756" s="112"/>
      <c r="C756" s="107"/>
      <c r="D756" s="107"/>
      <c r="E756" s="120"/>
      <c r="F756" s="120"/>
      <c r="G756" s="128"/>
      <c r="H756" s="110"/>
      <c r="I756" s="111"/>
      <c r="J756" s="11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  <c r="FM756" s="3"/>
      <c r="FN756" s="3"/>
      <c r="FO756" s="3"/>
      <c r="FP756" s="3"/>
      <c r="FQ756" s="3"/>
      <c r="FR756" s="3"/>
    </row>
    <row x14ac:dyDescent="0.25" r="757" customHeight="1" ht="15">
      <c r="A757" s="112"/>
      <c r="B757" s="112"/>
      <c r="C757" s="107"/>
      <c r="D757" s="107"/>
      <c r="E757" s="120"/>
      <c r="F757" s="120"/>
      <c r="G757" s="128"/>
      <c r="H757" s="110"/>
      <c r="I757" s="111"/>
      <c r="J757" s="11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  <c r="FM757" s="3"/>
      <c r="FN757" s="3"/>
      <c r="FO757" s="3"/>
      <c r="FP757" s="3"/>
      <c r="FQ757" s="3"/>
      <c r="FR757" s="3"/>
    </row>
    <row x14ac:dyDescent="0.25" r="758" customHeight="1" ht="15">
      <c r="A758" s="112"/>
      <c r="B758" s="112"/>
      <c r="C758" s="107"/>
      <c r="D758" s="107"/>
      <c r="E758" s="120"/>
      <c r="F758" s="120"/>
      <c r="G758" s="128"/>
      <c r="H758" s="110"/>
      <c r="I758" s="111"/>
      <c r="J758" s="11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  <c r="FM758" s="3"/>
      <c r="FN758" s="3"/>
      <c r="FO758" s="3"/>
      <c r="FP758" s="3"/>
      <c r="FQ758" s="3"/>
      <c r="FR758" s="3"/>
    </row>
    <row x14ac:dyDescent="0.25" r="759" customHeight="1" ht="15">
      <c r="A759" s="112"/>
      <c r="B759" s="112"/>
      <c r="C759" s="107"/>
      <c r="D759" s="107"/>
      <c r="E759" s="120"/>
      <c r="F759" s="120"/>
      <c r="G759" s="128"/>
      <c r="H759" s="110"/>
      <c r="I759" s="111"/>
      <c r="J759" s="11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  <c r="FM759" s="3"/>
      <c r="FN759" s="3"/>
      <c r="FO759" s="3"/>
      <c r="FP759" s="3"/>
      <c r="FQ759" s="3"/>
      <c r="FR759" s="3"/>
    </row>
    <row x14ac:dyDescent="0.25" r="760" customHeight="1" ht="15">
      <c r="A760" s="112"/>
      <c r="B760" s="112"/>
      <c r="C760" s="107"/>
      <c r="D760" s="107"/>
      <c r="E760" s="120"/>
      <c r="F760" s="120"/>
      <c r="G760" s="128"/>
      <c r="H760" s="110"/>
      <c r="I760" s="111"/>
      <c r="J760" s="11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  <c r="FM760" s="3"/>
      <c r="FN760" s="3"/>
      <c r="FO760" s="3"/>
      <c r="FP760" s="3"/>
      <c r="FQ760" s="3"/>
      <c r="FR760" s="3"/>
    </row>
    <row x14ac:dyDescent="0.25" r="761" customHeight="1" ht="15">
      <c r="A761" s="112"/>
      <c r="B761" s="112"/>
      <c r="C761" s="107"/>
      <c r="D761" s="107"/>
      <c r="E761" s="120"/>
      <c r="F761" s="120"/>
      <c r="G761" s="128"/>
      <c r="H761" s="110"/>
      <c r="I761" s="111"/>
      <c r="J761" s="11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  <c r="FM761" s="3"/>
      <c r="FN761" s="3"/>
      <c r="FO761" s="3"/>
      <c r="FP761" s="3"/>
      <c r="FQ761" s="3"/>
      <c r="FR761" s="3"/>
    </row>
    <row x14ac:dyDescent="0.25" r="762" customHeight="1" ht="15">
      <c r="A762" s="112"/>
      <c r="B762" s="112"/>
      <c r="C762" s="107"/>
      <c r="D762" s="107"/>
      <c r="E762" s="120"/>
      <c r="F762" s="120"/>
      <c r="G762" s="128"/>
      <c r="H762" s="110"/>
      <c r="I762" s="111"/>
      <c r="J762" s="11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  <c r="FM762" s="3"/>
      <c r="FN762" s="3"/>
      <c r="FO762" s="3"/>
      <c r="FP762" s="3"/>
      <c r="FQ762" s="3"/>
      <c r="FR762" s="3"/>
    </row>
    <row x14ac:dyDescent="0.25" r="763" customHeight="1" ht="15">
      <c r="A763" s="112"/>
      <c r="B763" s="112"/>
      <c r="C763" s="107"/>
      <c r="D763" s="107"/>
      <c r="E763" s="120"/>
      <c r="F763" s="120"/>
      <c r="G763" s="128"/>
      <c r="H763" s="110"/>
      <c r="I763" s="111"/>
      <c r="J763" s="11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  <c r="FM763" s="3"/>
      <c r="FN763" s="3"/>
      <c r="FO763" s="3"/>
      <c r="FP763" s="3"/>
      <c r="FQ763" s="3"/>
      <c r="FR763" s="3"/>
    </row>
    <row x14ac:dyDescent="0.25" r="764" customHeight="1" ht="15">
      <c r="A764" s="112"/>
      <c r="B764" s="112"/>
      <c r="C764" s="107"/>
      <c r="D764" s="107"/>
      <c r="E764" s="120"/>
      <c r="F764" s="120"/>
      <c r="G764" s="128"/>
      <c r="H764" s="110"/>
      <c r="I764" s="111"/>
      <c r="J764" s="11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  <c r="FM764" s="3"/>
      <c r="FN764" s="3"/>
      <c r="FO764" s="3"/>
      <c r="FP764" s="3"/>
      <c r="FQ764" s="3"/>
      <c r="FR764" s="3"/>
    </row>
    <row x14ac:dyDescent="0.25" r="765" customHeight="1" ht="15">
      <c r="A765" s="112"/>
      <c r="B765" s="112"/>
      <c r="C765" s="107"/>
      <c r="D765" s="107"/>
      <c r="E765" s="120"/>
      <c r="F765" s="120"/>
      <c r="G765" s="128"/>
      <c r="H765" s="110"/>
      <c r="I765" s="111"/>
      <c r="J765" s="11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  <c r="FM765" s="3"/>
      <c r="FN765" s="3"/>
      <c r="FO765" s="3"/>
      <c r="FP765" s="3"/>
      <c r="FQ765" s="3"/>
      <c r="FR765" s="3"/>
    </row>
    <row x14ac:dyDescent="0.25" r="766" customHeight="1" ht="15">
      <c r="A766" s="112"/>
      <c r="B766" s="112"/>
      <c r="C766" s="107"/>
      <c r="D766" s="107"/>
      <c r="E766" s="120"/>
      <c r="F766" s="120"/>
      <c r="G766" s="128"/>
      <c r="H766" s="110"/>
      <c r="I766" s="111"/>
      <c r="J766" s="11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  <c r="FM766" s="3"/>
      <c r="FN766" s="3"/>
      <c r="FO766" s="3"/>
      <c r="FP766" s="3"/>
      <c r="FQ766" s="3"/>
      <c r="FR766" s="3"/>
    </row>
    <row x14ac:dyDescent="0.25" r="767" customHeight="1" ht="15">
      <c r="A767" s="112"/>
      <c r="B767" s="112"/>
      <c r="C767" s="107"/>
      <c r="D767" s="107"/>
      <c r="E767" s="120"/>
      <c r="F767" s="120"/>
      <c r="G767" s="128"/>
      <c r="H767" s="110"/>
      <c r="I767" s="111"/>
      <c r="J767" s="11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  <c r="FM767" s="3"/>
      <c r="FN767" s="3"/>
      <c r="FO767" s="3"/>
      <c r="FP767" s="3"/>
      <c r="FQ767" s="3"/>
      <c r="FR767" s="3"/>
    </row>
    <row x14ac:dyDescent="0.25" r="768" customHeight="1" ht="15">
      <c r="A768" s="112"/>
      <c r="B768" s="112"/>
      <c r="C768" s="107"/>
      <c r="D768" s="107"/>
      <c r="E768" s="120"/>
      <c r="F768" s="120"/>
      <c r="G768" s="128"/>
      <c r="H768" s="110"/>
      <c r="I768" s="111"/>
      <c r="J768" s="11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  <c r="FM768" s="3"/>
      <c r="FN768" s="3"/>
      <c r="FO768" s="3"/>
      <c r="FP768" s="3"/>
      <c r="FQ768" s="3"/>
      <c r="FR768" s="3"/>
    </row>
    <row x14ac:dyDescent="0.25" r="769" customHeight="1" ht="15">
      <c r="A769" s="112"/>
      <c r="B769" s="112"/>
      <c r="C769" s="107"/>
      <c r="D769" s="107"/>
      <c r="E769" s="120"/>
      <c r="F769" s="120"/>
      <c r="G769" s="128"/>
      <c r="H769" s="110"/>
      <c r="I769" s="111"/>
      <c r="J769" s="11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  <c r="FM769" s="3"/>
      <c r="FN769" s="3"/>
      <c r="FO769" s="3"/>
      <c r="FP769" s="3"/>
      <c r="FQ769" s="3"/>
      <c r="FR769" s="3"/>
    </row>
    <row x14ac:dyDescent="0.25" r="770" customHeight="1" ht="15">
      <c r="A770" s="112"/>
      <c r="B770" s="112"/>
      <c r="C770" s="107"/>
      <c r="D770" s="107"/>
      <c r="E770" s="120"/>
      <c r="F770" s="120"/>
      <c r="G770" s="128"/>
      <c r="H770" s="110"/>
      <c r="I770" s="111"/>
      <c r="J770" s="11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  <c r="FM770" s="3"/>
      <c r="FN770" s="3"/>
      <c r="FO770" s="3"/>
      <c r="FP770" s="3"/>
      <c r="FQ770" s="3"/>
      <c r="FR770" s="3"/>
    </row>
    <row x14ac:dyDescent="0.25" r="771" customHeight="1" ht="15">
      <c r="A771" s="112"/>
      <c r="B771" s="112"/>
      <c r="C771" s="107"/>
      <c r="D771" s="107"/>
      <c r="E771" s="120"/>
      <c r="F771" s="120"/>
      <c r="G771" s="128"/>
      <c r="H771" s="110"/>
      <c r="I771" s="111"/>
      <c r="J771" s="11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  <c r="FM771" s="3"/>
      <c r="FN771" s="3"/>
      <c r="FO771" s="3"/>
      <c r="FP771" s="3"/>
      <c r="FQ771" s="3"/>
      <c r="FR771" s="3"/>
    </row>
    <row x14ac:dyDescent="0.25" r="772" customHeight="1" ht="15">
      <c r="A772" s="112"/>
      <c r="B772" s="112"/>
      <c r="C772" s="107"/>
      <c r="D772" s="107"/>
      <c r="E772" s="120"/>
      <c r="F772" s="120"/>
      <c r="G772" s="128"/>
      <c r="H772" s="110"/>
      <c r="I772" s="111"/>
      <c r="J772" s="11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  <c r="FM772" s="3"/>
      <c r="FN772" s="3"/>
      <c r="FO772" s="3"/>
      <c r="FP772" s="3"/>
      <c r="FQ772" s="3"/>
      <c r="FR772" s="3"/>
    </row>
    <row x14ac:dyDescent="0.25" r="773" customHeight="1" ht="15">
      <c r="A773" s="112"/>
      <c r="B773" s="112"/>
      <c r="C773" s="107"/>
      <c r="D773" s="107"/>
      <c r="E773" s="120"/>
      <c r="F773" s="120"/>
      <c r="G773" s="128"/>
      <c r="H773" s="110"/>
      <c r="I773" s="111"/>
      <c r="J773" s="11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  <c r="FM773" s="3"/>
      <c r="FN773" s="3"/>
      <c r="FO773" s="3"/>
      <c r="FP773" s="3"/>
      <c r="FQ773" s="3"/>
      <c r="FR773" s="3"/>
    </row>
    <row x14ac:dyDescent="0.25" r="774" customHeight="1" ht="15">
      <c r="A774" s="112"/>
      <c r="B774" s="112"/>
      <c r="C774" s="107"/>
      <c r="D774" s="107"/>
      <c r="E774" s="120"/>
      <c r="F774" s="120"/>
      <c r="G774" s="128"/>
      <c r="H774" s="110"/>
      <c r="I774" s="111"/>
      <c r="J774" s="11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  <c r="FM774" s="3"/>
      <c r="FN774" s="3"/>
      <c r="FO774" s="3"/>
      <c r="FP774" s="3"/>
      <c r="FQ774" s="3"/>
      <c r="FR774" s="3"/>
    </row>
    <row x14ac:dyDescent="0.25" r="775" customHeight="1" ht="15">
      <c r="A775" s="112"/>
      <c r="B775" s="112"/>
      <c r="C775" s="107"/>
      <c r="D775" s="107"/>
      <c r="E775" s="120"/>
      <c r="F775" s="120"/>
      <c r="G775" s="128"/>
      <c r="H775" s="110"/>
      <c r="I775" s="111"/>
      <c r="J775" s="11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  <c r="FM775" s="3"/>
      <c r="FN775" s="3"/>
      <c r="FO775" s="3"/>
      <c r="FP775" s="3"/>
      <c r="FQ775" s="3"/>
      <c r="FR775" s="3"/>
    </row>
    <row x14ac:dyDescent="0.25" r="776" customHeight="1" ht="15">
      <c r="A776" s="112"/>
      <c r="B776" s="112"/>
      <c r="C776" s="107"/>
      <c r="D776" s="107"/>
      <c r="E776" s="120"/>
      <c r="F776" s="120"/>
      <c r="G776" s="128"/>
      <c r="H776" s="110"/>
      <c r="I776" s="111"/>
      <c r="J776" s="11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  <c r="FM776" s="3"/>
      <c r="FN776" s="3"/>
      <c r="FO776" s="3"/>
      <c r="FP776" s="3"/>
      <c r="FQ776" s="3"/>
      <c r="FR776" s="3"/>
    </row>
    <row x14ac:dyDescent="0.25" r="777" customHeight="1" ht="15">
      <c r="A777" s="112"/>
      <c r="B777" s="112"/>
      <c r="C777" s="107"/>
      <c r="D777" s="107"/>
      <c r="E777" s="120"/>
      <c r="F777" s="120"/>
      <c r="G777" s="128"/>
      <c r="H777" s="110"/>
      <c r="I777" s="111"/>
      <c r="J777" s="11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  <c r="FM777" s="3"/>
      <c r="FN777" s="3"/>
      <c r="FO777" s="3"/>
      <c r="FP777" s="3"/>
      <c r="FQ777" s="3"/>
      <c r="FR777" s="3"/>
    </row>
    <row x14ac:dyDescent="0.25" r="778" customHeight="1" ht="15">
      <c r="A778" s="112"/>
      <c r="B778" s="112"/>
      <c r="C778" s="107"/>
      <c r="D778" s="107"/>
      <c r="E778" s="120"/>
      <c r="F778" s="120"/>
      <c r="G778" s="128"/>
      <c r="H778" s="110"/>
      <c r="I778" s="111"/>
      <c r="J778" s="11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  <c r="FM778" s="3"/>
      <c r="FN778" s="3"/>
      <c r="FO778" s="3"/>
      <c r="FP778" s="3"/>
      <c r="FQ778" s="3"/>
      <c r="FR778" s="3"/>
    </row>
    <row x14ac:dyDescent="0.25" r="779" customHeight="1" ht="15">
      <c r="A779" s="112"/>
      <c r="B779" s="112"/>
      <c r="C779" s="107"/>
      <c r="D779" s="107"/>
      <c r="E779" s="120"/>
      <c r="F779" s="120"/>
      <c r="G779" s="128"/>
      <c r="H779" s="110"/>
      <c r="I779" s="111"/>
      <c r="J779" s="11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  <c r="FM779" s="3"/>
      <c r="FN779" s="3"/>
      <c r="FO779" s="3"/>
      <c r="FP779" s="3"/>
      <c r="FQ779" s="3"/>
      <c r="FR779" s="3"/>
    </row>
    <row x14ac:dyDescent="0.25" r="780" customHeight="1" ht="15">
      <c r="A780" s="112"/>
      <c r="B780" s="112"/>
      <c r="C780" s="107"/>
      <c r="D780" s="107"/>
      <c r="E780" s="120"/>
      <c r="F780" s="120"/>
      <c r="G780" s="128"/>
      <c r="H780" s="110"/>
      <c r="I780" s="111"/>
      <c r="J780" s="11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  <c r="FM780" s="3"/>
      <c r="FN780" s="3"/>
      <c r="FO780" s="3"/>
      <c r="FP780" s="3"/>
      <c r="FQ780" s="3"/>
      <c r="FR780" s="3"/>
    </row>
    <row x14ac:dyDescent="0.25" r="781" customHeight="1" ht="15">
      <c r="A781" s="112"/>
      <c r="B781" s="112"/>
      <c r="C781" s="107"/>
      <c r="D781" s="107"/>
      <c r="E781" s="120"/>
      <c r="F781" s="120"/>
      <c r="G781" s="128"/>
      <c r="H781" s="110"/>
      <c r="I781" s="111"/>
      <c r="J781" s="11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  <c r="FM781" s="3"/>
      <c r="FN781" s="3"/>
      <c r="FO781" s="3"/>
      <c r="FP781" s="3"/>
      <c r="FQ781" s="3"/>
      <c r="FR781" s="3"/>
    </row>
    <row x14ac:dyDescent="0.25" r="782" customHeight="1" ht="15">
      <c r="A782" s="112"/>
      <c r="B782" s="112"/>
      <c r="C782" s="107"/>
      <c r="D782" s="107"/>
      <c r="E782" s="120"/>
      <c r="F782" s="120"/>
      <c r="G782" s="128"/>
      <c r="H782" s="110"/>
      <c r="I782" s="111"/>
      <c r="J782" s="11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  <c r="FM782" s="3"/>
      <c r="FN782" s="3"/>
      <c r="FO782" s="3"/>
      <c r="FP782" s="3"/>
      <c r="FQ782" s="3"/>
      <c r="FR782" s="3"/>
    </row>
    <row x14ac:dyDescent="0.25" r="783" customHeight="1" ht="15">
      <c r="A783" s="112"/>
      <c r="B783" s="112"/>
      <c r="C783" s="107"/>
      <c r="D783" s="107"/>
      <c r="E783" s="120"/>
      <c r="F783" s="120"/>
      <c r="G783" s="128"/>
      <c r="H783" s="110"/>
      <c r="I783" s="111"/>
      <c r="J783" s="11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  <c r="FM783" s="3"/>
      <c r="FN783" s="3"/>
      <c r="FO783" s="3"/>
      <c r="FP783" s="3"/>
      <c r="FQ783" s="3"/>
      <c r="FR783" s="3"/>
    </row>
    <row x14ac:dyDescent="0.25" r="784" customHeight="1" ht="15">
      <c r="A784" s="112"/>
      <c r="B784" s="112"/>
      <c r="C784" s="107"/>
      <c r="D784" s="107"/>
      <c r="E784" s="120"/>
      <c r="F784" s="120"/>
      <c r="G784" s="128"/>
      <c r="H784" s="110"/>
      <c r="I784" s="111"/>
      <c r="J784" s="11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  <c r="FM784" s="3"/>
      <c r="FN784" s="3"/>
      <c r="FO784" s="3"/>
      <c r="FP784" s="3"/>
      <c r="FQ784" s="3"/>
      <c r="FR784" s="3"/>
    </row>
    <row x14ac:dyDescent="0.25" r="785" customHeight="1" ht="15">
      <c r="A785" s="112"/>
      <c r="B785" s="112"/>
      <c r="C785" s="107"/>
      <c r="D785" s="107"/>
      <c r="E785" s="120"/>
      <c r="F785" s="120"/>
      <c r="G785" s="128"/>
      <c r="H785" s="110"/>
      <c r="I785" s="111"/>
      <c r="J785" s="11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  <c r="FM785" s="3"/>
      <c r="FN785" s="3"/>
      <c r="FO785" s="3"/>
      <c r="FP785" s="3"/>
      <c r="FQ785" s="3"/>
      <c r="FR785" s="3"/>
    </row>
    <row x14ac:dyDescent="0.25" r="786" customHeight="1" ht="15">
      <c r="A786" s="112"/>
      <c r="B786" s="112"/>
      <c r="C786" s="107"/>
      <c r="D786" s="107"/>
      <c r="E786" s="120"/>
      <c r="F786" s="120"/>
      <c r="G786" s="128"/>
      <c r="H786" s="110"/>
      <c r="I786" s="111"/>
      <c r="J786" s="11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  <c r="FM786" s="3"/>
      <c r="FN786" s="3"/>
      <c r="FO786" s="3"/>
      <c r="FP786" s="3"/>
      <c r="FQ786" s="3"/>
      <c r="FR786" s="3"/>
    </row>
    <row x14ac:dyDescent="0.25" r="787" customHeight="1" ht="15">
      <c r="A787" s="112"/>
      <c r="B787" s="112"/>
      <c r="C787" s="107"/>
      <c r="D787" s="107"/>
      <c r="E787" s="120"/>
      <c r="F787" s="120"/>
      <c r="G787" s="128"/>
      <c r="H787" s="110"/>
      <c r="I787" s="111"/>
      <c r="J787" s="11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  <c r="FM787" s="3"/>
      <c r="FN787" s="3"/>
      <c r="FO787" s="3"/>
      <c r="FP787" s="3"/>
      <c r="FQ787" s="3"/>
      <c r="FR787" s="3"/>
    </row>
    <row x14ac:dyDescent="0.25" r="788" customHeight="1" ht="15">
      <c r="A788" s="112"/>
      <c r="B788" s="112"/>
      <c r="C788" s="107"/>
      <c r="D788" s="107"/>
      <c r="E788" s="120"/>
      <c r="F788" s="120"/>
      <c r="G788" s="128"/>
      <c r="H788" s="110"/>
      <c r="I788" s="111"/>
      <c r="J788" s="11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  <c r="FM788" s="3"/>
      <c r="FN788" s="3"/>
      <c r="FO788" s="3"/>
      <c r="FP788" s="3"/>
      <c r="FQ788" s="3"/>
      <c r="FR788" s="3"/>
    </row>
    <row x14ac:dyDescent="0.25" r="789" customHeight="1" ht="15">
      <c r="A789" s="112"/>
      <c r="B789" s="112"/>
      <c r="C789" s="107"/>
      <c r="D789" s="107"/>
      <c r="E789" s="120"/>
      <c r="F789" s="120"/>
      <c r="G789" s="128"/>
      <c r="H789" s="110"/>
      <c r="I789" s="111"/>
      <c r="J789" s="11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  <c r="FM789" s="3"/>
      <c r="FN789" s="3"/>
      <c r="FO789" s="3"/>
      <c r="FP789" s="3"/>
      <c r="FQ789" s="3"/>
      <c r="FR789" s="3"/>
    </row>
    <row x14ac:dyDescent="0.25" r="790" customHeight="1" ht="15">
      <c r="A790" s="112"/>
      <c r="B790" s="112"/>
      <c r="C790" s="107"/>
      <c r="D790" s="107"/>
      <c r="E790" s="120"/>
      <c r="F790" s="120"/>
      <c r="G790" s="128"/>
      <c r="H790" s="110"/>
      <c r="I790" s="111"/>
      <c r="J790" s="11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  <c r="FM790" s="3"/>
      <c r="FN790" s="3"/>
      <c r="FO790" s="3"/>
      <c r="FP790" s="3"/>
      <c r="FQ790" s="3"/>
      <c r="FR790" s="3"/>
    </row>
    <row x14ac:dyDescent="0.25" r="791" customHeight="1" ht="15">
      <c r="A791" s="112"/>
      <c r="B791" s="112"/>
      <c r="C791" s="107"/>
      <c r="D791" s="107"/>
      <c r="E791" s="120"/>
      <c r="F791" s="120"/>
      <c r="G791" s="128"/>
      <c r="H791" s="110"/>
      <c r="I791" s="111"/>
      <c r="J791" s="11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  <c r="FM791" s="3"/>
      <c r="FN791" s="3"/>
      <c r="FO791" s="3"/>
      <c r="FP791" s="3"/>
      <c r="FQ791" s="3"/>
      <c r="FR791" s="3"/>
    </row>
    <row x14ac:dyDescent="0.25" r="792" customHeight="1" ht="15">
      <c r="A792" s="112"/>
      <c r="B792" s="112"/>
      <c r="C792" s="107"/>
      <c r="D792" s="107"/>
      <c r="E792" s="120"/>
      <c r="F792" s="120"/>
      <c r="G792" s="128"/>
      <c r="H792" s="110"/>
      <c r="I792" s="111"/>
      <c r="J792" s="11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  <c r="FM792" s="3"/>
      <c r="FN792" s="3"/>
      <c r="FO792" s="3"/>
      <c r="FP792" s="3"/>
      <c r="FQ792" s="3"/>
      <c r="FR792" s="3"/>
    </row>
    <row x14ac:dyDescent="0.25" r="793" customHeight="1" ht="15">
      <c r="A793" s="112"/>
      <c r="B793" s="112"/>
      <c r="C793" s="107"/>
      <c r="D793" s="107"/>
      <c r="E793" s="120"/>
      <c r="F793" s="120"/>
      <c r="G793" s="128"/>
      <c r="H793" s="110"/>
      <c r="I793" s="111"/>
      <c r="J793" s="11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  <c r="FM793" s="3"/>
      <c r="FN793" s="3"/>
      <c r="FO793" s="3"/>
      <c r="FP793" s="3"/>
      <c r="FQ793" s="3"/>
      <c r="FR793" s="3"/>
    </row>
    <row x14ac:dyDescent="0.25" r="794" customHeight="1" ht="15">
      <c r="A794" s="112"/>
      <c r="B794" s="112"/>
      <c r="C794" s="107"/>
      <c r="D794" s="107"/>
      <c r="E794" s="120"/>
      <c r="F794" s="120"/>
      <c r="G794" s="128"/>
      <c r="H794" s="110"/>
      <c r="I794" s="111"/>
      <c r="J794" s="11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  <c r="FM794" s="3"/>
      <c r="FN794" s="3"/>
      <c r="FO794" s="3"/>
      <c r="FP794" s="3"/>
      <c r="FQ794" s="3"/>
      <c r="FR794" s="3"/>
    </row>
    <row x14ac:dyDescent="0.25" r="795" customHeight="1" ht="15">
      <c r="A795" s="112"/>
      <c r="B795" s="112"/>
      <c r="C795" s="107"/>
      <c r="D795" s="107"/>
      <c r="E795" s="120"/>
      <c r="F795" s="120"/>
      <c r="G795" s="128"/>
      <c r="H795" s="110"/>
      <c r="I795" s="111"/>
      <c r="J795" s="11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  <c r="FM795" s="3"/>
      <c r="FN795" s="3"/>
      <c r="FO795" s="3"/>
      <c r="FP795" s="3"/>
      <c r="FQ795" s="3"/>
      <c r="FR795" s="3"/>
    </row>
    <row x14ac:dyDescent="0.25" r="796" customHeight="1" ht="15">
      <c r="A796" s="112"/>
      <c r="B796" s="112"/>
      <c r="C796" s="107"/>
      <c r="D796" s="107"/>
      <c r="E796" s="120"/>
      <c r="F796" s="120"/>
      <c r="G796" s="128"/>
      <c r="H796" s="110"/>
      <c r="I796" s="111"/>
      <c r="J796" s="11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  <c r="FM796" s="3"/>
      <c r="FN796" s="3"/>
      <c r="FO796" s="3"/>
      <c r="FP796" s="3"/>
      <c r="FQ796" s="3"/>
      <c r="FR796" s="3"/>
    </row>
    <row x14ac:dyDescent="0.25" r="797" customHeight="1" ht="15">
      <c r="A797" s="112"/>
      <c r="B797" s="112"/>
      <c r="C797" s="107"/>
      <c r="D797" s="107"/>
      <c r="E797" s="120"/>
      <c r="F797" s="120"/>
      <c r="G797" s="128"/>
      <c r="H797" s="110"/>
      <c r="I797" s="111"/>
      <c r="J797" s="11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  <c r="FM797" s="3"/>
      <c r="FN797" s="3"/>
      <c r="FO797" s="3"/>
      <c r="FP797" s="3"/>
      <c r="FQ797" s="3"/>
      <c r="FR797" s="3"/>
    </row>
    <row x14ac:dyDescent="0.25" r="798" customHeight="1" ht="15">
      <c r="A798" s="112"/>
      <c r="B798" s="112"/>
      <c r="C798" s="107"/>
      <c r="D798" s="107"/>
      <c r="E798" s="120"/>
      <c r="F798" s="120"/>
      <c r="G798" s="128"/>
      <c r="H798" s="110"/>
      <c r="I798" s="111"/>
      <c r="J798" s="11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  <c r="FM798" s="3"/>
      <c r="FN798" s="3"/>
      <c r="FO798" s="3"/>
      <c r="FP798" s="3"/>
      <c r="FQ798" s="3"/>
      <c r="FR798" s="3"/>
    </row>
    <row x14ac:dyDescent="0.25" r="799" customHeight="1" ht="15">
      <c r="A799" s="112"/>
      <c r="B799" s="112"/>
      <c r="C799" s="107"/>
      <c r="D799" s="107"/>
      <c r="E799" s="120"/>
      <c r="F799" s="120"/>
      <c r="G799" s="128"/>
      <c r="H799" s="110"/>
      <c r="I799" s="111"/>
      <c r="J799" s="11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  <c r="FM799" s="3"/>
      <c r="FN799" s="3"/>
      <c r="FO799" s="3"/>
      <c r="FP799" s="3"/>
      <c r="FQ799" s="3"/>
      <c r="FR799" s="3"/>
    </row>
    <row x14ac:dyDescent="0.25" r="800" customHeight="1" ht="15">
      <c r="A800" s="112"/>
      <c r="B800" s="112"/>
      <c r="C800" s="107"/>
      <c r="D800" s="107"/>
      <c r="E800" s="120"/>
      <c r="F800" s="120"/>
      <c r="G800" s="128"/>
      <c r="H800" s="110"/>
      <c r="I800" s="111"/>
      <c r="J800" s="11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  <c r="FM800" s="3"/>
      <c r="FN800" s="3"/>
      <c r="FO800" s="3"/>
      <c r="FP800" s="3"/>
      <c r="FQ800" s="3"/>
      <c r="FR800" s="3"/>
    </row>
    <row x14ac:dyDescent="0.25" r="801" customHeight="1" ht="15">
      <c r="A801" s="112"/>
      <c r="B801" s="112"/>
      <c r="C801" s="107"/>
      <c r="D801" s="107"/>
      <c r="E801" s="120"/>
      <c r="F801" s="120"/>
      <c r="G801" s="128"/>
      <c r="H801" s="110"/>
      <c r="I801" s="111"/>
      <c r="J801" s="11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  <c r="FM801" s="3"/>
      <c r="FN801" s="3"/>
      <c r="FO801" s="3"/>
      <c r="FP801" s="3"/>
      <c r="FQ801" s="3"/>
      <c r="FR801" s="3"/>
    </row>
    <row x14ac:dyDescent="0.25" r="802" customHeight="1" ht="15">
      <c r="A802" s="112"/>
      <c r="B802" s="112"/>
      <c r="C802" s="107"/>
      <c r="D802" s="107"/>
      <c r="E802" s="120"/>
      <c r="F802" s="120"/>
      <c r="G802" s="128"/>
      <c r="H802" s="110"/>
      <c r="I802" s="111"/>
      <c r="J802" s="11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  <c r="FM802" s="3"/>
      <c r="FN802" s="3"/>
      <c r="FO802" s="3"/>
      <c r="FP802" s="3"/>
      <c r="FQ802" s="3"/>
      <c r="FR802" s="3"/>
    </row>
    <row x14ac:dyDescent="0.25" r="803" customHeight="1" ht="15">
      <c r="A803" s="112"/>
      <c r="B803" s="112"/>
      <c r="C803" s="107"/>
      <c r="D803" s="107"/>
      <c r="E803" s="120"/>
      <c r="F803" s="120"/>
      <c r="G803" s="128"/>
      <c r="H803" s="110"/>
      <c r="I803" s="111"/>
      <c r="J803" s="11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  <c r="FM803" s="3"/>
      <c r="FN803" s="3"/>
      <c r="FO803" s="3"/>
      <c r="FP803" s="3"/>
      <c r="FQ803" s="3"/>
      <c r="FR803" s="3"/>
    </row>
    <row x14ac:dyDescent="0.25" r="804" customHeight="1" ht="15">
      <c r="A804" s="112"/>
      <c r="B804" s="112"/>
      <c r="C804" s="107"/>
      <c r="D804" s="107"/>
      <c r="E804" s="120"/>
      <c r="F804" s="120"/>
      <c r="G804" s="128"/>
      <c r="H804" s="110"/>
      <c r="I804" s="111"/>
      <c r="J804" s="11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  <c r="FM804" s="3"/>
      <c r="FN804" s="3"/>
      <c r="FO804" s="3"/>
      <c r="FP804" s="3"/>
      <c r="FQ804" s="3"/>
      <c r="FR804" s="3"/>
    </row>
    <row x14ac:dyDescent="0.25" r="805" customHeight="1" ht="15">
      <c r="A805" s="112"/>
      <c r="B805" s="112"/>
      <c r="C805" s="107"/>
      <c r="D805" s="107"/>
      <c r="E805" s="120"/>
      <c r="F805" s="120"/>
      <c r="G805" s="128"/>
      <c r="H805" s="110"/>
      <c r="I805" s="111"/>
      <c r="J805" s="11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  <c r="FM805" s="3"/>
      <c r="FN805" s="3"/>
      <c r="FO805" s="3"/>
      <c r="FP805" s="3"/>
      <c r="FQ805" s="3"/>
      <c r="FR805" s="3"/>
    </row>
    <row x14ac:dyDescent="0.25" r="806" customHeight="1" ht="15">
      <c r="A806" s="112"/>
      <c r="B806" s="112"/>
      <c r="C806" s="107"/>
      <c r="D806" s="107"/>
      <c r="E806" s="120"/>
      <c r="F806" s="120"/>
      <c r="G806" s="128"/>
      <c r="H806" s="110"/>
      <c r="I806" s="111"/>
      <c r="J806" s="11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  <c r="FM806" s="3"/>
      <c r="FN806" s="3"/>
      <c r="FO806" s="3"/>
      <c r="FP806" s="3"/>
      <c r="FQ806" s="3"/>
      <c r="FR806" s="3"/>
    </row>
    <row x14ac:dyDescent="0.25" r="807" customHeight="1" ht="15">
      <c r="A807" s="112"/>
      <c r="B807" s="112"/>
      <c r="C807" s="107"/>
      <c r="D807" s="107"/>
      <c r="E807" s="120"/>
      <c r="F807" s="120"/>
      <c r="G807" s="128"/>
      <c r="H807" s="110"/>
      <c r="I807" s="111"/>
      <c r="J807" s="11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  <c r="FM807" s="3"/>
      <c r="FN807" s="3"/>
      <c r="FO807" s="3"/>
      <c r="FP807" s="3"/>
      <c r="FQ807" s="3"/>
      <c r="FR807" s="3"/>
    </row>
    <row x14ac:dyDescent="0.25" r="808" customHeight="1" ht="15">
      <c r="A808" s="112"/>
      <c r="B808" s="112"/>
      <c r="C808" s="107"/>
      <c r="D808" s="107"/>
      <c r="E808" s="120"/>
      <c r="F808" s="120"/>
      <c r="G808" s="128"/>
      <c r="H808" s="110"/>
      <c r="I808" s="111"/>
      <c r="J808" s="11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  <c r="FM808" s="3"/>
      <c r="FN808" s="3"/>
      <c r="FO808" s="3"/>
      <c r="FP808" s="3"/>
      <c r="FQ808" s="3"/>
      <c r="FR808" s="3"/>
    </row>
    <row x14ac:dyDescent="0.25" r="809" customHeight="1" ht="15">
      <c r="A809" s="112"/>
      <c r="B809" s="112"/>
      <c r="C809" s="107"/>
      <c r="D809" s="107"/>
      <c r="E809" s="120"/>
      <c r="F809" s="120"/>
      <c r="G809" s="128"/>
      <c r="H809" s="110"/>
      <c r="I809" s="111"/>
      <c r="J809" s="11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  <c r="FM809" s="3"/>
      <c r="FN809" s="3"/>
      <c r="FO809" s="3"/>
      <c r="FP809" s="3"/>
      <c r="FQ809" s="3"/>
      <c r="FR809" s="3"/>
    </row>
    <row x14ac:dyDescent="0.25" r="810" customHeight="1" ht="15">
      <c r="A810" s="112"/>
      <c r="B810" s="112"/>
      <c r="C810" s="107"/>
      <c r="D810" s="107"/>
      <c r="E810" s="120"/>
      <c r="F810" s="120"/>
      <c r="G810" s="128"/>
      <c r="H810" s="110"/>
      <c r="I810" s="111"/>
      <c r="J810" s="11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  <c r="FM810" s="3"/>
      <c r="FN810" s="3"/>
      <c r="FO810" s="3"/>
      <c r="FP810" s="3"/>
      <c r="FQ810" s="3"/>
      <c r="FR810" s="3"/>
    </row>
    <row x14ac:dyDescent="0.25" r="811" customHeight="1" ht="15">
      <c r="A811" s="112"/>
      <c r="B811" s="112"/>
      <c r="C811" s="107"/>
      <c r="D811" s="107"/>
      <c r="E811" s="120"/>
      <c r="F811" s="120"/>
      <c r="G811" s="128"/>
      <c r="H811" s="110"/>
      <c r="I811" s="111"/>
      <c r="J811" s="11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  <c r="FM811" s="3"/>
      <c r="FN811" s="3"/>
      <c r="FO811" s="3"/>
      <c r="FP811" s="3"/>
      <c r="FQ811" s="3"/>
      <c r="FR811" s="3"/>
    </row>
    <row x14ac:dyDescent="0.25" r="812" customHeight="1" ht="15">
      <c r="A812" s="112"/>
      <c r="B812" s="112"/>
      <c r="C812" s="107"/>
      <c r="D812" s="107"/>
      <c r="E812" s="120"/>
      <c r="F812" s="120"/>
      <c r="G812" s="128"/>
      <c r="H812" s="110"/>
      <c r="I812" s="111"/>
      <c r="J812" s="11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  <c r="FM812" s="3"/>
      <c r="FN812" s="3"/>
      <c r="FO812" s="3"/>
      <c r="FP812" s="3"/>
      <c r="FQ812" s="3"/>
      <c r="FR812" s="3"/>
    </row>
    <row x14ac:dyDescent="0.25" r="813" customHeight="1" ht="15">
      <c r="A813" s="112"/>
      <c r="B813" s="112"/>
      <c r="C813" s="107"/>
      <c r="D813" s="107"/>
      <c r="E813" s="120"/>
      <c r="F813" s="120"/>
      <c r="G813" s="128"/>
      <c r="H813" s="110"/>
      <c r="I813" s="111"/>
      <c r="J813" s="11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  <c r="FM813" s="3"/>
      <c r="FN813" s="3"/>
      <c r="FO813" s="3"/>
      <c r="FP813" s="3"/>
      <c r="FQ813" s="3"/>
      <c r="FR813" s="3"/>
    </row>
    <row x14ac:dyDescent="0.25" r="814" customHeight="1" ht="15">
      <c r="A814" s="112"/>
      <c r="B814" s="112"/>
      <c r="C814" s="107"/>
      <c r="D814" s="107"/>
      <c r="E814" s="120"/>
      <c r="F814" s="120"/>
      <c r="G814" s="128"/>
      <c r="H814" s="110"/>
      <c r="I814" s="111"/>
      <c r="J814" s="11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  <c r="FM814" s="3"/>
      <c r="FN814" s="3"/>
      <c r="FO814" s="3"/>
      <c r="FP814" s="3"/>
      <c r="FQ814" s="3"/>
      <c r="FR814" s="3"/>
    </row>
    <row x14ac:dyDescent="0.25" r="815" customHeight="1" ht="15">
      <c r="A815" s="112"/>
      <c r="B815" s="112"/>
      <c r="C815" s="107"/>
      <c r="D815" s="107"/>
      <c r="E815" s="120"/>
      <c r="F815" s="120"/>
      <c r="G815" s="128"/>
      <c r="H815" s="110"/>
      <c r="I815" s="111"/>
      <c r="J815" s="11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  <c r="FM815" s="3"/>
      <c r="FN815" s="3"/>
      <c r="FO815" s="3"/>
      <c r="FP815" s="3"/>
      <c r="FQ815" s="3"/>
      <c r="FR815" s="3"/>
    </row>
    <row x14ac:dyDescent="0.25" r="816" customHeight="1" ht="15">
      <c r="A816" s="112"/>
      <c r="B816" s="112"/>
      <c r="C816" s="107"/>
      <c r="D816" s="107"/>
      <c r="E816" s="120"/>
      <c r="F816" s="120"/>
      <c r="G816" s="128"/>
      <c r="H816" s="110"/>
      <c r="I816" s="111"/>
      <c r="J816" s="11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  <c r="FM816" s="3"/>
      <c r="FN816" s="3"/>
      <c r="FO816" s="3"/>
      <c r="FP816" s="3"/>
      <c r="FQ816" s="3"/>
      <c r="FR816" s="3"/>
    </row>
    <row x14ac:dyDescent="0.25" r="817" customHeight="1" ht="15">
      <c r="A817" s="112"/>
      <c r="B817" s="112"/>
      <c r="C817" s="107"/>
      <c r="D817" s="107"/>
      <c r="E817" s="120"/>
      <c r="F817" s="120"/>
      <c r="G817" s="128"/>
      <c r="H817" s="110"/>
      <c r="I817" s="111"/>
      <c r="J817" s="11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  <c r="FM817" s="3"/>
      <c r="FN817" s="3"/>
      <c r="FO817" s="3"/>
      <c r="FP817" s="3"/>
      <c r="FQ817" s="3"/>
      <c r="FR817" s="3"/>
    </row>
    <row x14ac:dyDescent="0.25" r="818" customHeight="1" ht="15">
      <c r="A818" s="112"/>
      <c r="B818" s="112"/>
      <c r="C818" s="107"/>
      <c r="D818" s="107"/>
      <c r="E818" s="120"/>
      <c r="F818" s="120"/>
      <c r="G818" s="128"/>
      <c r="H818" s="110"/>
      <c r="I818" s="111"/>
      <c r="J818" s="11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  <c r="FM818" s="3"/>
      <c r="FN818" s="3"/>
      <c r="FO818" s="3"/>
      <c r="FP818" s="3"/>
      <c r="FQ818" s="3"/>
      <c r="FR818" s="3"/>
    </row>
    <row x14ac:dyDescent="0.25" r="819" customHeight="1" ht="15">
      <c r="A819" s="112"/>
      <c r="B819" s="112"/>
      <c r="C819" s="107"/>
      <c r="D819" s="107"/>
      <c r="E819" s="120"/>
      <c r="F819" s="120"/>
      <c r="G819" s="128"/>
      <c r="H819" s="110"/>
      <c r="I819" s="111"/>
      <c r="J819" s="11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  <c r="FM819" s="3"/>
      <c r="FN819" s="3"/>
      <c r="FO819" s="3"/>
      <c r="FP819" s="3"/>
      <c r="FQ819" s="3"/>
      <c r="FR819" s="3"/>
    </row>
    <row x14ac:dyDescent="0.25" r="820" customHeight="1" ht="15">
      <c r="A820" s="112"/>
      <c r="B820" s="112"/>
      <c r="C820" s="107"/>
      <c r="D820" s="107"/>
      <c r="E820" s="120"/>
      <c r="F820" s="120"/>
      <c r="G820" s="128"/>
      <c r="H820" s="110"/>
      <c r="I820" s="111"/>
      <c r="J820" s="11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  <c r="FM820" s="3"/>
      <c r="FN820" s="3"/>
      <c r="FO820" s="3"/>
      <c r="FP820" s="3"/>
      <c r="FQ820" s="3"/>
      <c r="FR820" s="3"/>
    </row>
    <row x14ac:dyDescent="0.25" r="821" customHeight="1" ht="15">
      <c r="A821" s="112"/>
      <c r="B821" s="112"/>
      <c r="C821" s="107"/>
      <c r="D821" s="107"/>
      <c r="E821" s="120"/>
      <c r="F821" s="120"/>
      <c r="G821" s="128"/>
      <c r="H821" s="110"/>
      <c r="I821" s="111"/>
      <c r="J821" s="11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  <c r="FM821" s="3"/>
      <c r="FN821" s="3"/>
      <c r="FO821" s="3"/>
      <c r="FP821" s="3"/>
      <c r="FQ821" s="3"/>
      <c r="FR821" s="3"/>
    </row>
    <row x14ac:dyDescent="0.25" r="822" customHeight="1" ht="15">
      <c r="A822" s="112"/>
      <c r="B822" s="112"/>
      <c r="C822" s="107"/>
      <c r="D822" s="107"/>
      <c r="E822" s="120"/>
      <c r="F822" s="120"/>
      <c r="G822" s="128"/>
      <c r="H822" s="110"/>
      <c r="I822" s="111"/>
      <c r="J822" s="11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  <c r="FM822" s="3"/>
      <c r="FN822" s="3"/>
      <c r="FO822" s="3"/>
      <c r="FP822" s="3"/>
      <c r="FQ822" s="3"/>
      <c r="FR822" s="3"/>
    </row>
    <row x14ac:dyDescent="0.25" r="823" customHeight="1" ht="15">
      <c r="A823" s="112"/>
      <c r="B823" s="112"/>
      <c r="C823" s="107"/>
      <c r="D823" s="107"/>
      <c r="E823" s="120"/>
      <c r="F823" s="120"/>
      <c r="G823" s="128"/>
      <c r="H823" s="110"/>
      <c r="I823" s="111"/>
      <c r="J823" s="11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  <c r="FM823" s="3"/>
      <c r="FN823" s="3"/>
      <c r="FO823" s="3"/>
      <c r="FP823" s="3"/>
      <c r="FQ823" s="3"/>
      <c r="FR823" s="3"/>
    </row>
    <row x14ac:dyDescent="0.25" r="824" customHeight="1" ht="15">
      <c r="A824" s="112"/>
      <c r="B824" s="112"/>
      <c r="C824" s="107"/>
      <c r="D824" s="107"/>
      <c r="E824" s="120"/>
      <c r="F824" s="120"/>
      <c r="G824" s="128"/>
      <c r="H824" s="110"/>
      <c r="I824" s="111"/>
      <c r="J824" s="11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  <c r="FM824" s="3"/>
      <c r="FN824" s="3"/>
      <c r="FO824" s="3"/>
      <c r="FP824" s="3"/>
      <c r="FQ824" s="3"/>
      <c r="FR824" s="3"/>
    </row>
    <row x14ac:dyDescent="0.25" r="825" customHeight="1" ht="15">
      <c r="A825" s="112"/>
      <c r="B825" s="112"/>
      <c r="C825" s="107"/>
      <c r="D825" s="107"/>
      <c r="E825" s="120"/>
      <c r="F825" s="120"/>
      <c r="G825" s="128"/>
      <c r="H825" s="110"/>
      <c r="I825" s="111"/>
      <c r="J825" s="11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  <c r="FM825" s="3"/>
      <c r="FN825" s="3"/>
      <c r="FO825" s="3"/>
      <c r="FP825" s="3"/>
      <c r="FQ825" s="3"/>
      <c r="FR825" s="3"/>
    </row>
    <row x14ac:dyDescent="0.25" r="826" customHeight="1" ht="15">
      <c r="A826" s="112"/>
      <c r="B826" s="112"/>
      <c r="C826" s="107"/>
      <c r="D826" s="107"/>
      <c r="E826" s="120"/>
      <c r="F826" s="120"/>
      <c r="G826" s="128"/>
      <c r="H826" s="110"/>
      <c r="I826" s="111"/>
      <c r="J826" s="11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  <c r="FM826" s="3"/>
      <c r="FN826" s="3"/>
      <c r="FO826" s="3"/>
      <c r="FP826" s="3"/>
      <c r="FQ826" s="3"/>
      <c r="FR826" s="3"/>
    </row>
    <row x14ac:dyDescent="0.25" r="827" customHeight="1" ht="15">
      <c r="A827" s="112"/>
      <c r="B827" s="112"/>
      <c r="C827" s="107"/>
      <c r="D827" s="107"/>
      <c r="E827" s="120"/>
      <c r="F827" s="120"/>
      <c r="G827" s="128"/>
      <c r="H827" s="110"/>
      <c r="I827" s="111"/>
      <c r="J827" s="11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  <c r="FM827" s="3"/>
      <c r="FN827" s="3"/>
      <c r="FO827" s="3"/>
      <c r="FP827" s="3"/>
      <c r="FQ827" s="3"/>
      <c r="FR827" s="3"/>
    </row>
    <row x14ac:dyDescent="0.25" r="828" customHeight="1" ht="15">
      <c r="A828" s="112"/>
      <c r="B828" s="112"/>
      <c r="C828" s="107"/>
      <c r="D828" s="107"/>
      <c r="E828" s="120"/>
      <c r="F828" s="120"/>
      <c r="G828" s="128"/>
      <c r="H828" s="110"/>
      <c r="I828" s="111"/>
      <c r="J828" s="11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  <c r="FM828" s="3"/>
      <c r="FN828" s="3"/>
      <c r="FO828" s="3"/>
      <c r="FP828" s="3"/>
      <c r="FQ828" s="3"/>
      <c r="FR828" s="3"/>
    </row>
    <row x14ac:dyDescent="0.25" r="829" customHeight="1" ht="15">
      <c r="A829" s="112"/>
      <c r="B829" s="112"/>
      <c r="C829" s="107"/>
      <c r="D829" s="107"/>
      <c r="E829" s="120"/>
      <c r="F829" s="120"/>
      <c r="G829" s="128"/>
      <c r="H829" s="110"/>
      <c r="I829" s="111"/>
      <c r="J829" s="11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  <c r="FM829" s="3"/>
      <c r="FN829" s="3"/>
      <c r="FO829" s="3"/>
      <c r="FP829" s="3"/>
      <c r="FQ829" s="3"/>
      <c r="FR829" s="3"/>
    </row>
    <row x14ac:dyDescent="0.25" r="830" customHeight="1" ht="15">
      <c r="A830" s="112"/>
      <c r="B830" s="112"/>
      <c r="C830" s="107"/>
      <c r="D830" s="107"/>
      <c r="E830" s="120"/>
      <c r="F830" s="120"/>
      <c r="G830" s="128"/>
      <c r="H830" s="110"/>
      <c r="I830" s="111"/>
      <c r="J830" s="11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  <c r="FM830" s="3"/>
      <c r="FN830" s="3"/>
      <c r="FO830" s="3"/>
      <c r="FP830" s="3"/>
      <c r="FQ830" s="3"/>
      <c r="FR830" s="3"/>
    </row>
    <row x14ac:dyDescent="0.25" r="831" customHeight="1" ht="15">
      <c r="A831" s="112"/>
      <c r="B831" s="112"/>
      <c r="C831" s="107"/>
      <c r="D831" s="107"/>
      <c r="E831" s="120"/>
      <c r="F831" s="120"/>
      <c r="G831" s="128"/>
      <c r="H831" s="110"/>
      <c r="I831" s="111"/>
      <c r="J831" s="11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  <c r="FM831" s="3"/>
      <c r="FN831" s="3"/>
      <c r="FO831" s="3"/>
      <c r="FP831" s="3"/>
      <c r="FQ831" s="3"/>
      <c r="FR831" s="3"/>
    </row>
    <row x14ac:dyDescent="0.25" r="832" customHeight="1" ht="15">
      <c r="A832" s="112"/>
      <c r="B832" s="112"/>
      <c r="C832" s="107"/>
      <c r="D832" s="107"/>
      <c r="E832" s="120"/>
      <c r="F832" s="120"/>
      <c r="G832" s="128"/>
      <c r="H832" s="110"/>
      <c r="I832" s="111"/>
      <c r="J832" s="11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  <c r="FM832" s="3"/>
      <c r="FN832" s="3"/>
      <c r="FO832" s="3"/>
      <c r="FP832" s="3"/>
      <c r="FQ832" s="3"/>
      <c r="FR832" s="3"/>
    </row>
    <row x14ac:dyDescent="0.25" r="833" customHeight="1" ht="15">
      <c r="A833" s="112"/>
      <c r="B833" s="112"/>
      <c r="C833" s="107"/>
      <c r="D833" s="107"/>
      <c r="E833" s="120"/>
      <c r="F833" s="120"/>
      <c r="G833" s="128"/>
      <c r="H833" s="110"/>
      <c r="I833" s="111"/>
      <c r="J833" s="11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  <c r="FM833" s="3"/>
      <c r="FN833" s="3"/>
      <c r="FO833" s="3"/>
      <c r="FP833" s="3"/>
      <c r="FQ833" s="3"/>
      <c r="FR833" s="3"/>
    </row>
    <row x14ac:dyDescent="0.25" r="834" customHeight="1" ht="15">
      <c r="A834" s="112"/>
      <c r="B834" s="112"/>
      <c r="C834" s="107"/>
      <c r="D834" s="107"/>
      <c r="E834" s="120"/>
      <c r="F834" s="120"/>
      <c r="G834" s="128"/>
      <c r="H834" s="110"/>
      <c r="I834" s="111"/>
      <c r="J834" s="11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  <c r="FM834" s="3"/>
      <c r="FN834" s="3"/>
      <c r="FO834" s="3"/>
      <c r="FP834" s="3"/>
      <c r="FQ834" s="3"/>
      <c r="FR834" s="3"/>
    </row>
    <row x14ac:dyDescent="0.25" r="835" customHeight="1" ht="15">
      <c r="A835" s="112"/>
      <c r="B835" s="112"/>
      <c r="C835" s="107"/>
      <c r="D835" s="107"/>
      <c r="E835" s="120"/>
      <c r="F835" s="120"/>
      <c r="G835" s="128"/>
      <c r="H835" s="110"/>
      <c r="I835" s="111"/>
      <c r="J835" s="11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  <c r="FM835" s="3"/>
      <c r="FN835" s="3"/>
      <c r="FO835" s="3"/>
      <c r="FP835" s="3"/>
      <c r="FQ835" s="3"/>
      <c r="FR835" s="3"/>
    </row>
    <row x14ac:dyDescent="0.25" r="836" customHeight="1" ht="15">
      <c r="A836" s="112"/>
      <c r="B836" s="112"/>
      <c r="C836" s="107"/>
      <c r="D836" s="107"/>
      <c r="E836" s="120"/>
      <c r="F836" s="120"/>
      <c r="G836" s="128"/>
      <c r="H836" s="110"/>
      <c r="I836" s="111"/>
      <c r="J836" s="11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  <c r="FM836" s="3"/>
      <c r="FN836" s="3"/>
      <c r="FO836" s="3"/>
      <c r="FP836" s="3"/>
      <c r="FQ836" s="3"/>
      <c r="FR836" s="3"/>
    </row>
    <row x14ac:dyDescent="0.25" r="837" customHeight="1" ht="15">
      <c r="A837" s="112"/>
      <c r="B837" s="112"/>
      <c r="C837" s="107"/>
      <c r="D837" s="107"/>
      <c r="E837" s="120"/>
      <c r="F837" s="120"/>
      <c r="G837" s="128"/>
      <c r="H837" s="110"/>
      <c r="I837" s="111"/>
      <c r="J837" s="11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  <c r="FM837" s="3"/>
      <c r="FN837" s="3"/>
      <c r="FO837" s="3"/>
      <c r="FP837" s="3"/>
      <c r="FQ837" s="3"/>
      <c r="FR837" s="3"/>
    </row>
    <row x14ac:dyDescent="0.25" r="838" customHeight="1" ht="15">
      <c r="A838" s="112"/>
      <c r="B838" s="112"/>
      <c r="C838" s="107"/>
      <c r="D838" s="107"/>
      <c r="E838" s="120"/>
      <c r="F838" s="120"/>
      <c r="G838" s="128"/>
      <c r="H838" s="110"/>
      <c r="I838" s="111"/>
      <c r="J838" s="11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  <c r="FM838" s="3"/>
      <c r="FN838" s="3"/>
      <c r="FO838" s="3"/>
      <c r="FP838" s="3"/>
      <c r="FQ838" s="3"/>
      <c r="FR838" s="3"/>
    </row>
    <row x14ac:dyDescent="0.25" r="839" customHeight="1" ht="15">
      <c r="A839" s="112"/>
      <c r="B839" s="112"/>
      <c r="C839" s="107"/>
      <c r="D839" s="107"/>
      <c r="E839" s="120"/>
      <c r="F839" s="120"/>
      <c r="G839" s="128"/>
      <c r="H839" s="110"/>
      <c r="I839" s="111"/>
      <c r="J839" s="11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  <c r="FM839" s="3"/>
      <c r="FN839" s="3"/>
      <c r="FO839" s="3"/>
      <c r="FP839" s="3"/>
      <c r="FQ839" s="3"/>
      <c r="FR839" s="3"/>
    </row>
    <row x14ac:dyDescent="0.25" r="840" customHeight="1" ht="15">
      <c r="A840" s="112"/>
      <c r="B840" s="112"/>
      <c r="C840" s="107"/>
      <c r="D840" s="107"/>
      <c r="E840" s="120"/>
      <c r="F840" s="120"/>
      <c r="G840" s="128"/>
      <c r="H840" s="110"/>
      <c r="I840" s="111"/>
      <c r="J840" s="11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  <c r="FM840" s="3"/>
      <c r="FN840" s="3"/>
      <c r="FO840" s="3"/>
      <c r="FP840" s="3"/>
      <c r="FQ840" s="3"/>
      <c r="FR840" s="3"/>
    </row>
    <row x14ac:dyDescent="0.25" r="841" customHeight="1" ht="15">
      <c r="A841" s="112"/>
      <c r="B841" s="112"/>
      <c r="C841" s="107"/>
      <c r="D841" s="107"/>
      <c r="E841" s="120"/>
      <c r="F841" s="120"/>
      <c r="G841" s="128"/>
      <c r="H841" s="110"/>
      <c r="I841" s="111"/>
      <c r="J841" s="11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  <c r="FM841" s="3"/>
      <c r="FN841" s="3"/>
      <c r="FO841" s="3"/>
      <c r="FP841" s="3"/>
      <c r="FQ841" s="3"/>
      <c r="FR841" s="3"/>
    </row>
    <row x14ac:dyDescent="0.25" r="842" customHeight="1" ht="15">
      <c r="A842" s="112"/>
      <c r="B842" s="112"/>
      <c r="C842" s="107"/>
      <c r="D842" s="107"/>
      <c r="E842" s="120"/>
      <c r="F842" s="120"/>
      <c r="G842" s="128"/>
      <c r="H842" s="110"/>
      <c r="I842" s="111"/>
      <c r="J842" s="11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  <c r="FM842" s="3"/>
      <c r="FN842" s="3"/>
      <c r="FO842" s="3"/>
      <c r="FP842" s="3"/>
      <c r="FQ842" s="3"/>
      <c r="FR842" s="3"/>
    </row>
    <row x14ac:dyDescent="0.25" r="843" customHeight="1" ht="15">
      <c r="A843" s="112"/>
      <c r="B843" s="112"/>
      <c r="C843" s="107"/>
      <c r="D843" s="107"/>
      <c r="E843" s="120"/>
      <c r="F843" s="120"/>
      <c r="G843" s="128"/>
      <c r="H843" s="110"/>
      <c r="I843" s="111"/>
      <c r="J843" s="11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  <c r="FM843" s="3"/>
      <c r="FN843" s="3"/>
      <c r="FO843" s="3"/>
      <c r="FP843" s="3"/>
      <c r="FQ843" s="3"/>
      <c r="FR843" s="3"/>
    </row>
    <row x14ac:dyDescent="0.25" r="844" customHeight="1" ht="15">
      <c r="A844" s="112"/>
      <c r="B844" s="112"/>
      <c r="C844" s="107"/>
      <c r="D844" s="107"/>
      <c r="E844" s="120"/>
      <c r="F844" s="120"/>
      <c r="G844" s="128"/>
      <c r="H844" s="110"/>
      <c r="I844" s="111"/>
      <c r="J844" s="11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  <c r="FM844" s="3"/>
      <c r="FN844" s="3"/>
      <c r="FO844" s="3"/>
      <c r="FP844" s="3"/>
      <c r="FQ844" s="3"/>
      <c r="FR844" s="3"/>
    </row>
    <row x14ac:dyDescent="0.25" r="845" customHeight="1" ht="15">
      <c r="A845" s="112"/>
      <c r="B845" s="112"/>
      <c r="C845" s="107"/>
      <c r="D845" s="107"/>
      <c r="E845" s="120"/>
      <c r="F845" s="120"/>
      <c r="G845" s="128"/>
      <c r="H845" s="110"/>
      <c r="I845" s="111"/>
      <c r="J845" s="11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  <c r="FM845" s="3"/>
      <c r="FN845" s="3"/>
      <c r="FO845" s="3"/>
      <c r="FP845" s="3"/>
      <c r="FQ845" s="3"/>
      <c r="FR845" s="3"/>
    </row>
    <row x14ac:dyDescent="0.25" r="846" customHeight="1" ht="15">
      <c r="A846" s="112"/>
      <c r="B846" s="112"/>
      <c r="C846" s="107"/>
      <c r="D846" s="107"/>
      <c r="E846" s="120"/>
      <c r="F846" s="120"/>
      <c r="G846" s="128"/>
      <c r="H846" s="110"/>
      <c r="I846" s="111"/>
      <c r="J846" s="11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  <c r="FM846" s="3"/>
      <c r="FN846" s="3"/>
      <c r="FO846" s="3"/>
      <c r="FP846" s="3"/>
      <c r="FQ846" s="3"/>
      <c r="FR846" s="3"/>
    </row>
    <row x14ac:dyDescent="0.25" r="847" customHeight="1" ht="15">
      <c r="A847" s="112"/>
      <c r="B847" s="112"/>
      <c r="C847" s="107"/>
      <c r="D847" s="107"/>
      <c r="E847" s="120"/>
      <c r="F847" s="120"/>
      <c r="G847" s="128"/>
      <c r="H847" s="110"/>
      <c r="I847" s="111"/>
      <c r="J847" s="11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  <c r="FM847" s="3"/>
      <c r="FN847" s="3"/>
      <c r="FO847" s="3"/>
      <c r="FP847" s="3"/>
      <c r="FQ847" s="3"/>
      <c r="FR847" s="3"/>
    </row>
    <row x14ac:dyDescent="0.25" r="848" customHeight="1" ht="15">
      <c r="A848" s="112"/>
      <c r="B848" s="112"/>
      <c r="C848" s="107"/>
      <c r="D848" s="107"/>
      <c r="E848" s="120"/>
      <c r="F848" s="120"/>
      <c r="G848" s="128"/>
      <c r="H848" s="110"/>
      <c r="I848" s="111"/>
      <c r="J848" s="11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  <c r="FM848" s="3"/>
      <c r="FN848" s="3"/>
      <c r="FO848" s="3"/>
      <c r="FP848" s="3"/>
      <c r="FQ848" s="3"/>
      <c r="FR848" s="3"/>
    </row>
    <row x14ac:dyDescent="0.25" r="849" customHeight="1" ht="15">
      <c r="A849" s="112"/>
      <c r="B849" s="112"/>
      <c r="C849" s="107"/>
      <c r="D849" s="107"/>
      <c r="E849" s="120"/>
      <c r="F849" s="120"/>
      <c r="G849" s="128"/>
      <c r="H849" s="110"/>
      <c r="I849" s="111"/>
      <c r="J849" s="11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  <c r="FM849" s="3"/>
      <c r="FN849" s="3"/>
      <c r="FO849" s="3"/>
      <c r="FP849" s="3"/>
      <c r="FQ849" s="3"/>
      <c r="FR849" s="3"/>
    </row>
    <row x14ac:dyDescent="0.25" r="850" customHeight="1" ht="15">
      <c r="A850" s="112"/>
      <c r="B850" s="112"/>
      <c r="C850" s="107"/>
      <c r="D850" s="107"/>
      <c r="E850" s="120"/>
      <c r="F850" s="120"/>
      <c r="G850" s="128"/>
      <c r="H850" s="110"/>
      <c r="I850" s="111"/>
      <c r="J850" s="11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  <c r="FM850" s="3"/>
      <c r="FN850" s="3"/>
      <c r="FO850" s="3"/>
      <c r="FP850" s="3"/>
      <c r="FQ850" s="3"/>
      <c r="FR850" s="3"/>
    </row>
    <row x14ac:dyDescent="0.25" r="851" customHeight="1" ht="15">
      <c r="A851" s="112"/>
      <c r="B851" s="112"/>
      <c r="C851" s="107"/>
      <c r="D851" s="107"/>
      <c r="E851" s="120"/>
      <c r="F851" s="120"/>
      <c r="G851" s="128"/>
      <c r="H851" s="110"/>
      <c r="I851" s="111"/>
      <c r="J851" s="11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  <c r="FM851" s="3"/>
      <c r="FN851" s="3"/>
      <c r="FO851" s="3"/>
      <c r="FP851" s="3"/>
      <c r="FQ851" s="3"/>
      <c r="FR851" s="3"/>
    </row>
    <row x14ac:dyDescent="0.25" r="852" customHeight="1" ht="15">
      <c r="A852" s="112"/>
      <c r="B852" s="112"/>
      <c r="C852" s="107"/>
      <c r="D852" s="107"/>
      <c r="E852" s="120"/>
      <c r="F852" s="120"/>
      <c r="G852" s="128"/>
      <c r="H852" s="110"/>
      <c r="I852" s="111"/>
      <c r="J852" s="11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  <c r="FM852" s="3"/>
      <c r="FN852" s="3"/>
      <c r="FO852" s="3"/>
      <c r="FP852" s="3"/>
      <c r="FQ852" s="3"/>
      <c r="FR852" s="3"/>
    </row>
    <row x14ac:dyDescent="0.25" r="853" customHeight="1" ht="15">
      <c r="A853" s="112"/>
      <c r="B853" s="112"/>
      <c r="C853" s="107"/>
      <c r="D853" s="107"/>
      <c r="E853" s="120"/>
      <c r="F853" s="120"/>
      <c r="G853" s="128"/>
      <c r="H853" s="110"/>
      <c r="I853" s="111"/>
      <c r="J853" s="11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  <c r="FM853" s="3"/>
      <c r="FN853" s="3"/>
      <c r="FO853" s="3"/>
      <c r="FP853" s="3"/>
      <c r="FQ853" s="3"/>
      <c r="FR853" s="3"/>
    </row>
    <row x14ac:dyDescent="0.25" r="854" customHeight="1" ht="15">
      <c r="A854" s="112"/>
      <c r="B854" s="112"/>
      <c r="C854" s="107"/>
      <c r="D854" s="107"/>
      <c r="E854" s="120"/>
      <c r="F854" s="120"/>
      <c r="G854" s="128"/>
      <c r="H854" s="110"/>
      <c r="I854" s="111"/>
      <c r="J854" s="11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  <c r="FM854" s="3"/>
      <c r="FN854" s="3"/>
      <c r="FO854" s="3"/>
      <c r="FP854" s="3"/>
      <c r="FQ854" s="3"/>
      <c r="FR854" s="3"/>
    </row>
    <row x14ac:dyDescent="0.25" r="855" customHeight="1" ht="15">
      <c r="A855" s="112"/>
      <c r="B855" s="112"/>
      <c r="C855" s="107"/>
      <c r="D855" s="107"/>
      <c r="E855" s="120"/>
      <c r="F855" s="120"/>
      <c r="G855" s="128"/>
      <c r="H855" s="110"/>
      <c r="I855" s="111"/>
      <c r="J855" s="11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  <c r="FM855" s="3"/>
      <c r="FN855" s="3"/>
      <c r="FO855" s="3"/>
      <c r="FP855" s="3"/>
      <c r="FQ855" s="3"/>
      <c r="FR855" s="3"/>
    </row>
    <row x14ac:dyDescent="0.25" r="856" customHeight="1" ht="15">
      <c r="A856" s="112"/>
      <c r="B856" s="112"/>
      <c r="C856" s="107"/>
      <c r="D856" s="107"/>
      <c r="E856" s="120"/>
      <c r="F856" s="120"/>
      <c r="G856" s="128"/>
      <c r="H856" s="110"/>
      <c r="I856" s="111"/>
      <c r="J856" s="11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  <c r="FM856" s="3"/>
      <c r="FN856" s="3"/>
      <c r="FO856" s="3"/>
      <c r="FP856" s="3"/>
      <c r="FQ856" s="3"/>
      <c r="FR856" s="3"/>
    </row>
    <row x14ac:dyDescent="0.25" r="857" customHeight="1" ht="15">
      <c r="A857" s="112"/>
      <c r="B857" s="112"/>
      <c r="C857" s="107"/>
      <c r="D857" s="107"/>
      <c r="E857" s="120"/>
      <c r="F857" s="120"/>
      <c r="G857" s="128"/>
      <c r="H857" s="110"/>
      <c r="I857" s="111"/>
      <c r="J857" s="11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  <c r="FM857" s="3"/>
      <c r="FN857" s="3"/>
      <c r="FO857" s="3"/>
      <c r="FP857" s="3"/>
      <c r="FQ857" s="3"/>
      <c r="FR857" s="3"/>
    </row>
    <row x14ac:dyDescent="0.25" r="858" customHeight="1" ht="15">
      <c r="A858" s="112"/>
      <c r="B858" s="112"/>
      <c r="C858" s="107"/>
      <c r="D858" s="107"/>
      <c r="E858" s="120"/>
      <c r="F858" s="120"/>
      <c r="G858" s="128"/>
      <c r="H858" s="110"/>
      <c r="I858" s="111"/>
      <c r="J858" s="11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  <c r="FM858" s="3"/>
      <c r="FN858" s="3"/>
      <c r="FO858" s="3"/>
      <c r="FP858" s="3"/>
      <c r="FQ858" s="3"/>
      <c r="FR858" s="3"/>
    </row>
    <row x14ac:dyDescent="0.25" r="859" customHeight="1" ht="15">
      <c r="A859" s="112"/>
      <c r="B859" s="112"/>
      <c r="C859" s="107"/>
      <c r="D859" s="107"/>
      <c r="E859" s="120"/>
      <c r="F859" s="120"/>
      <c r="G859" s="128"/>
      <c r="H859" s="110"/>
      <c r="I859" s="111"/>
      <c r="J859" s="11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  <c r="FM859" s="3"/>
      <c r="FN859" s="3"/>
      <c r="FO859" s="3"/>
      <c r="FP859" s="3"/>
      <c r="FQ859" s="3"/>
      <c r="FR859" s="3"/>
    </row>
    <row x14ac:dyDescent="0.25" r="860" customHeight="1" ht="15">
      <c r="A860" s="112"/>
      <c r="B860" s="112"/>
      <c r="C860" s="107"/>
      <c r="D860" s="107"/>
      <c r="E860" s="120"/>
      <c r="F860" s="120"/>
      <c r="G860" s="128"/>
      <c r="H860" s="110"/>
      <c r="I860" s="111"/>
      <c r="J860" s="11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  <c r="FM860" s="3"/>
      <c r="FN860" s="3"/>
      <c r="FO860" s="3"/>
      <c r="FP860" s="3"/>
      <c r="FQ860" s="3"/>
      <c r="FR860" s="3"/>
    </row>
    <row x14ac:dyDescent="0.25" r="861" customHeight="1" ht="15">
      <c r="A861" s="112"/>
      <c r="B861" s="112"/>
      <c r="C861" s="107"/>
      <c r="D861" s="107"/>
      <c r="E861" s="120"/>
      <c r="F861" s="120"/>
      <c r="G861" s="128"/>
      <c r="H861" s="110"/>
      <c r="I861" s="111"/>
      <c r="J861" s="11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  <c r="FM861" s="3"/>
      <c r="FN861" s="3"/>
      <c r="FO861" s="3"/>
      <c r="FP861" s="3"/>
      <c r="FQ861" s="3"/>
      <c r="FR861" s="3"/>
    </row>
    <row x14ac:dyDescent="0.25" r="862" customHeight="1" ht="15">
      <c r="A862" s="112"/>
      <c r="B862" s="112"/>
      <c r="C862" s="107"/>
      <c r="D862" s="107"/>
      <c r="E862" s="120"/>
      <c r="F862" s="120"/>
      <c r="G862" s="128"/>
      <c r="H862" s="110"/>
      <c r="I862" s="111"/>
      <c r="J862" s="11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  <c r="FM862" s="3"/>
      <c r="FN862" s="3"/>
      <c r="FO862" s="3"/>
      <c r="FP862" s="3"/>
      <c r="FQ862" s="3"/>
      <c r="FR862" s="3"/>
    </row>
    <row x14ac:dyDescent="0.25" r="863" customHeight="1" ht="15">
      <c r="A863" s="112"/>
      <c r="B863" s="112"/>
      <c r="C863" s="107"/>
      <c r="D863" s="107"/>
      <c r="E863" s="120"/>
      <c r="F863" s="120"/>
      <c r="G863" s="128"/>
      <c r="H863" s="110"/>
      <c r="I863" s="111"/>
      <c r="J863" s="11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  <c r="FM863" s="3"/>
      <c r="FN863" s="3"/>
      <c r="FO863" s="3"/>
      <c r="FP863" s="3"/>
      <c r="FQ863" s="3"/>
      <c r="FR863" s="3"/>
    </row>
    <row x14ac:dyDescent="0.25" r="864" customHeight="1" ht="15">
      <c r="A864" s="112"/>
      <c r="B864" s="112"/>
      <c r="C864" s="107"/>
      <c r="D864" s="107"/>
      <c r="E864" s="120"/>
      <c r="F864" s="120"/>
      <c r="G864" s="128"/>
      <c r="H864" s="110"/>
      <c r="I864" s="111"/>
      <c r="J864" s="11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  <c r="FM864" s="3"/>
      <c r="FN864" s="3"/>
      <c r="FO864" s="3"/>
      <c r="FP864" s="3"/>
      <c r="FQ864" s="3"/>
      <c r="FR864" s="3"/>
    </row>
    <row x14ac:dyDescent="0.25" r="865" customHeight="1" ht="15">
      <c r="A865" s="112"/>
      <c r="B865" s="112"/>
      <c r="C865" s="107"/>
      <c r="D865" s="107"/>
      <c r="E865" s="120"/>
      <c r="F865" s="120"/>
      <c r="G865" s="128"/>
      <c r="H865" s="110"/>
      <c r="I865" s="111"/>
      <c r="J865" s="11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  <c r="FM865" s="3"/>
      <c r="FN865" s="3"/>
      <c r="FO865" s="3"/>
      <c r="FP865" s="3"/>
      <c r="FQ865" s="3"/>
      <c r="FR865" s="3"/>
    </row>
    <row x14ac:dyDescent="0.25" r="866" customHeight="1" ht="15">
      <c r="A866" s="112"/>
      <c r="B866" s="112"/>
      <c r="C866" s="107"/>
      <c r="D866" s="107"/>
      <c r="E866" s="120"/>
      <c r="F866" s="120"/>
      <c r="G866" s="128"/>
      <c r="H866" s="110"/>
      <c r="I866" s="111"/>
      <c r="J866" s="11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  <c r="FM866" s="3"/>
      <c r="FN866" s="3"/>
      <c r="FO866" s="3"/>
      <c r="FP866" s="3"/>
      <c r="FQ866" s="3"/>
      <c r="FR866" s="3"/>
    </row>
    <row x14ac:dyDescent="0.25" r="867" customHeight="1" ht="15">
      <c r="A867" s="112"/>
      <c r="B867" s="112"/>
      <c r="C867" s="107"/>
      <c r="D867" s="107"/>
      <c r="E867" s="120"/>
      <c r="F867" s="120"/>
      <c r="G867" s="128"/>
      <c r="H867" s="110"/>
      <c r="I867" s="111"/>
      <c r="J867" s="11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  <c r="FM867" s="3"/>
      <c r="FN867" s="3"/>
      <c r="FO867" s="3"/>
      <c r="FP867" s="3"/>
      <c r="FQ867" s="3"/>
      <c r="FR867" s="3"/>
    </row>
    <row x14ac:dyDescent="0.25" r="868" customHeight="1" ht="15">
      <c r="A868" s="112"/>
      <c r="B868" s="112"/>
      <c r="C868" s="107"/>
      <c r="D868" s="107"/>
      <c r="E868" s="120"/>
      <c r="F868" s="120"/>
      <c r="G868" s="128"/>
      <c r="H868" s="110"/>
      <c r="I868" s="111"/>
      <c r="J868" s="11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  <c r="FM868" s="3"/>
      <c r="FN868" s="3"/>
      <c r="FO868" s="3"/>
      <c r="FP868" s="3"/>
      <c r="FQ868" s="3"/>
      <c r="FR868" s="3"/>
    </row>
    <row x14ac:dyDescent="0.25" r="869" customHeight="1" ht="15">
      <c r="A869" s="112"/>
      <c r="B869" s="112"/>
      <c r="C869" s="107"/>
      <c r="D869" s="107"/>
      <c r="E869" s="120"/>
      <c r="F869" s="120"/>
      <c r="G869" s="128"/>
      <c r="H869" s="110"/>
      <c r="I869" s="111"/>
      <c r="J869" s="11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  <c r="FM869" s="3"/>
      <c r="FN869" s="3"/>
      <c r="FO869" s="3"/>
      <c r="FP869" s="3"/>
      <c r="FQ869" s="3"/>
      <c r="FR869" s="3"/>
    </row>
    <row x14ac:dyDescent="0.25" r="870" customHeight="1" ht="15">
      <c r="A870" s="112"/>
      <c r="B870" s="112"/>
      <c r="C870" s="107"/>
      <c r="D870" s="107"/>
      <c r="E870" s="120"/>
      <c r="F870" s="120"/>
      <c r="G870" s="128"/>
      <c r="H870" s="110"/>
      <c r="I870" s="111"/>
      <c r="J870" s="11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  <c r="FM870" s="3"/>
      <c r="FN870" s="3"/>
      <c r="FO870" s="3"/>
      <c r="FP870" s="3"/>
      <c r="FQ870" s="3"/>
      <c r="FR870" s="3"/>
    </row>
    <row x14ac:dyDescent="0.25" r="871" customHeight="1" ht="15">
      <c r="A871" s="112"/>
      <c r="B871" s="112"/>
      <c r="C871" s="107"/>
      <c r="D871" s="107"/>
      <c r="E871" s="120"/>
      <c r="F871" s="120"/>
      <c r="G871" s="128"/>
      <c r="H871" s="110"/>
      <c r="I871" s="111"/>
      <c r="J871" s="11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  <c r="FM871" s="3"/>
      <c r="FN871" s="3"/>
      <c r="FO871" s="3"/>
      <c r="FP871" s="3"/>
      <c r="FQ871" s="3"/>
      <c r="FR871" s="3"/>
    </row>
    <row x14ac:dyDescent="0.25" r="872" customHeight="1" ht="15">
      <c r="A872" s="112"/>
      <c r="B872" s="112"/>
      <c r="C872" s="107"/>
      <c r="D872" s="107"/>
      <c r="E872" s="120"/>
      <c r="F872" s="120"/>
      <c r="G872" s="128"/>
      <c r="H872" s="110"/>
      <c r="I872" s="111"/>
      <c r="J872" s="11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  <c r="FM872" s="3"/>
      <c r="FN872" s="3"/>
      <c r="FO872" s="3"/>
      <c r="FP872" s="3"/>
      <c r="FQ872" s="3"/>
      <c r="FR872" s="3"/>
    </row>
    <row x14ac:dyDescent="0.25" r="873" customHeight="1" ht="15">
      <c r="A873" s="112"/>
      <c r="B873" s="112"/>
      <c r="C873" s="107"/>
      <c r="D873" s="107"/>
      <c r="E873" s="120"/>
      <c r="F873" s="120"/>
      <c r="G873" s="128"/>
      <c r="H873" s="110"/>
      <c r="I873" s="111"/>
      <c r="J873" s="11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  <c r="FM873" s="3"/>
      <c r="FN873" s="3"/>
      <c r="FO873" s="3"/>
      <c r="FP873" s="3"/>
      <c r="FQ873" s="3"/>
      <c r="FR873" s="3"/>
    </row>
    <row x14ac:dyDescent="0.25" r="874" customHeight="1" ht="15">
      <c r="A874" s="112"/>
      <c r="B874" s="112"/>
      <c r="C874" s="107"/>
      <c r="D874" s="107"/>
      <c r="E874" s="120"/>
      <c r="F874" s="120"/>
      <c r="G874" s="128"/>
      <c r="H874" s="110"/>
      <c r="I874" s="111"/>
      <c r="J874" s="11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  <c r="FM874" s="3"/>
      <c r="FN874" s="3"/>
      <c r="FO874" s="3"/>
      <c r="FP874" s="3"/>
      <c r="FQ874" s="3"/>
      <c r="FR874" s="3"/>
    </row>
    <row x14ac:dyDescent="0.25" r="875" customHeight="1" ht="15">
      <c r="A875" s="112"/>
      <c r="B875" s="112"/>
      <c r="C875" s="107"/>
      <c r="D875" s="107"/>
      <c r="E875" s="120"/>
      <c r="F875" s="120"/>
      <c r="G875" s="128"/>
      <c r="H875" s="110"/>
      <c r="I875" s="111"/>
      <c r="J875" s="11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  <c r="FM875" s="3"/>
      <c r="FN875" s="3"/>
      <c r="FO875" s="3"/>
      <c r="FP875" s="3"/>
      <c r="FQ875" s="3"/>
      <c r="FR875" s="3"/>
    </row>
    <row x14ac:dyDescent="0.25" r="876" customHeight="1" ht="15">
      <c r="A876" s="112"/>
      <c r="B876" s="112"/>
      <c r="C876" s="107"/>
      <c r="D876" s="107"/>
      <c r="E876" s="120"/>
      <c r="F876" s="120"/>
      <c r="G876" s="128"/>
      <c r="H876" s="110"/>
      <c r="I876" s="111"/>
      <c r="J876" s="11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  <c r="FM876" s="3"/>
      <c r="FN876" s="3"/>
      <c r="FO876" s="3"/>
      <c r="FP876" s="3"/>
      <c r="FQ876" s="3"/>
      <c r="FR876" s="3"/>
    </row>
    <row x14ac:dyDescent="0.25" r="877" customHeight="1" ht="15">
      <c r="A877" s="112"/>
      <c r="B877" s="112"/>
      <c r="C877" s="107"/>
      <c r="D877" s="107"/>
      <c r="E877" s="120"/>
      <c r="F877" s="120"/>
      <c r="G877" s="128"/>
      <c r="H877" s="110"/>
      <c r="I877" s="111"/>
      <c r="J877" s="11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  <c r="FM877" s="3"/>
      <c r="FN877" s="3"/>
      <c r="FO877" s="3"/>
      <c r="FP877" s="3"/>
      <c r="FQ877" s="3"/>
      <c r="FR877" s="3"/>
    </row>
    <row x14ac:dyDescent="0.25" r="878" customHeight="1" ht="15">
      <c r="A878" s="112"/>
      <c r="B878" s="112"/>
      <c r="C878" s="107"/>
      <c r="D878" s="107"/>
      <c r="E878" s="120"/>
      <c r="F878" s="120"/>
      <c r="G878" s="128"/>
      <c r="H878" s="110"/>
      <c r="I878" s="111"/>
      <c r="J878" s="11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  <c r="FM878" s="3"/>
      <c r="FN878" s="3"/>
      <c r="FO878" s="3"/>
      <c r="FP878" s="3"/>
      <c r="FQ878" s="3"/>
      <c r="FR878" s="3"/>
    </row>
    <row x14ac:dyDescent="0.25" r="879" customHeight="1" ht="15">
      <c r="A879" s="112"/>
      <c r="B879" s="112"/>
      <c r="C879" s="107"/>
      <c r="D879" s="107"/>
      <c r="E879" s="120"/>
      <c r="F879" s="120"/>
      <c r="G879" s="128"/>
      <c r="H879" s="110"/>
      <c r="I879" s="111"/>
      <c r="J879" s="11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  <c r="FM879" s="3"/>
      <c r="FN879" s="3"/>
      <c r="FO879" s="3"/>
      <c r="FP879" s="3"/>
      <c r="FQ879" s="3"/>
      <c r="FR879" s="3"/>
    </row>
    <row x14ac:dyDescent="0.25" r="880" customHeight="1" ht="15">
      <c r="A880" s="112"/>
      <c r="B880" s="112"/>
      <c r="C880" s="107"/>
      <c r="D880" s="107"/>
      <c r="E880" s="120"/>
      <c r="F880" s="120"/>
      <c r="G880" s="128"/>
      <c r="H880" s="110"/>
      <c r="I880" s="111"/>
      <c r="J880" s="11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  <c r="FM880" s="3"/>
      <c r="FN880" s="3"/>
      <c r="FO880" s="3"/>
      <c r="FP880" s="3"/>
      <c r="FQ880" s="3"/>
      <c r="FR880" s="3"/>
    </row>
    <row x14ac:dyDescent="0.25" r="881" customHeight="1" ht="15">
      <c r="A881" s="112"/>
      <c r="B881" s="112"/>
      <c r="C881" s="107"/>
      <c r="D881" s="107"/>
      <c r="E881" s="120"/>
      <c r="F881" s="120"/>
      <c r="G881" s="128"/>
      <c r="H881" s="110"/>
      <c r="I881" s="111"/>
      <c r="J881" s="11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  <c r="FM881" s="3"/>
      <c r="FN881" s="3"/>
      <c r="FO881" s="3"/>
      <c r="FP881" s="3"/>
      <c r="FQ881" s="3"/>
      <c r="FR881" s="3"/>
    </row>
    <row x14ac:dyDescent="0.25" r="882" customHeight="1" ht="15">
      <c r="A882" s="112"/>
      <c r="B882" s="112"/>
      <c r="C882" s="107"/>
      <c r="D882" s="107"/>
      <c r="E882" s="120"/>
      <c r="F882" s="120"/>
      <c r="G882" s="128"/>
      <c r="H882" s="110"/>
      <c r="I882" s="111"/>
      <c r="J882" s="11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  <c r="FM882" s="3"/>
      <c r="FN882" s="3"/>
      <c r="FO882" s="3"/>
      <c r="FP882" s="3"/>
      <c r="FQ882" s="3"/>
      <c r="FR882" s="3"/>
    </row>
    <row x14ac:dyDescent="0.25" r="883" customHeight="1" ht="15">
      <c r="A883" s="112"/>
      <c r="B883" s="112"/>
      <c r="C883" s="107"/>
      <c r="D883" s="107"/>
      <c r="E883" s="120"/>
      <c r="F883" s="120"/>
      <c r="G883" s="128"/>
      <c r="H883" s="110"/>
      <c r="I883" s="111"/>
      <c r="J883" s="11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  <c r="FM883" s="3"/>
      <c r="FN883" s="3"/>
      <c r="FO883" s="3"/>
      <c r="FP883" s="3"/>
      <c r="FQ883" s="3"/>
      <c r="FR883" s="3"/>
    </row>
    <row x14ac:dyDescent="0.25" r="884" customHeight="1" ht="15">
      <c r="A884" s="112"/>
      <c r="B884" s="112"/>
      <c r="C884" s="107"/>
      <c r="D884" s="107"/>
      <c r="E884" s="120"/>
      <c r="F884" s="120"/>
      <c r="G884" s="128"/>
      <c r="H884" s="110"/>
      <c r="I884" s="111"/>
      <c r="J884" s="11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  <c r="FM884" s="3"/>
      <c r="FN884" s="3"/>
      <c r="FO884" s="3"/>
      <c r="FP884" s="3"/>
      <c r="FQ884" s="3"/>
      <c r="FR884" s="3"/>
    </row>
    <row x14ac:dyDescent="0.25" r="885" customHeight="1" ht="15">
      <c r="A885" s="112"/>
      <c r="B885" s="112"/>
      <c r="C885" s="107"/>
      <c r="D885" s="107"/>
      <c r="E885" s="120"/>
      <c r="F885" s="120"/>
      <c r="G885" s="128"/>
      <c r="H885" s="110"/>
      <c r="I885" s="111"/>
      <c r="J885" s="11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  <c r="FM885" s="3"/>
      <c r="FN885" s="3"/>
      <c r="FO885" s="3"/>
      <c r="FP885" s="3"/>
      <c r="FQ885" s="3"/>
      <c r="FR885" s="3"/>
    </row>
    <row x14ac:dyDescent="0.25" r="886" customHeight="1" ht="15">
      <c r="A886" s="112"/>
      <c r="B886" s="112"/>
      <c r="C886" s="107"/>
      <c r="D886" s="107"/>
      <c r="E886" s="120"/>
      <c r="F886" s="120"/>
      <c r="G886" s="128"/>
      <c r="H886" s="110"/>
      <c r="I886" s="111"/>
      <c r="J886" s="11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  <c r="FM886" s="3"/>
      <c r="FN886" s="3"/>
      <c r="FO886" s="3"/>
      <c r="FP886" s="3"/>
      <c r="FQ886" s="3"/>
      <c r="FR886" s="3"/>
    </row>
    <row x14ac:dyDescent="0.25" r="887" customHeight="1" ht="15">
      <c r="A887" s="112"/>
      <c r="B887" s="112"/>
      <c r="C887" s="107"/>
      <c r="D887" s="107"/>
      <c r="E887" s="120"/>
      <c r="F887" s="120"/>
      <c r="G887" s="128"/>
      <c r="H887" s="110"/>
      <c r="I887" s="111"/>
      <c r="J887" s="11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  <c r="FM887" s="3"/>
      <c r="FN887" s="3"/>
      <c r="FO887" s="3"/>
      <c r="FP887" s="3"/>
      <c r="FQ887" s="3"/>
      <c r="FR887" s="3"/>
    </row>
    <row x14ac:dyDescent="0.25" r="888" customHeight="1" ht="15">
      <c r="A888" s="112"/>
      <c r="B888" s="112"/>
      <c r="C888" s="107"/>
      <c r="D888" s="107"/>
      <c r="E888" s="120"/>
      <c r="F888" s="120"/>
      <c r="G888" s="128"/>
      <c r="H888" s="110"/>
      <c r="I888" s="111"/>
      <c r="J888" s="11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  <c r="FM888" s="3"/>
      <c r="FN888" s="3"/>
      <c r="FO888" s="3"/>
      <c r="FP888" s="3"/>
      <c r="FQ888" s="3"/>
      <c r="FR888" s="3"/>
    </row>
    <row x14ac:dyDescent="0.25" r="889" customHeight="1" ht="15">
      <c r="A889" s="112"/>
      <c r="B889" s="112"/>
      <c r="C889" s="107"/>
      <c r="D889" s="107"/>
      <c r="E889" s="120"/>
      <c r="F889" s="120"/>
      <c r="G889" s="128"/>
      <c r="H889" s="110"/>
      <c r="I889" s="111"/>
      <c r="J889" s="11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  <c r="FM889" s="3"/>
      <c r="FN889" s="3"/>
      <c r="FO889" s="3"/>
      <c r="FP889" s="3"/>
      <c r="FQ889" s="3"/>
      <c r="FR889" s="3"/>
    </row>
    <row x14ac:dyDescent="0.25" r="890" customHeight="1" ht="15">
      <c r="A890" s="112"/>
      <c r="B890" s="112"/>
      <c r="C890" s="107"/>
      <c r="D890" s="107"/>
      <c r="E890" s="120"/>
      <c r="F890" s="120"/>
      <c r="G890" s="128"/>
      <c r="H890" s="110"/>
      <c r="I890" s="111"/>
      <c r="J890" s="11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  <c r="FM890" s="3"/>
      <c r="FN890" s="3"/>
      <c r="FO890" s="3"/>
      <c r="FP890" s="3"/>
      <c r="FQ890" s="3"/>
      <c r="FR890" s="3"/>
    </row>
    <row x14ac:dyDescent="0.25" r="891" customHeight="1" ht="15">
      <c r="A891" s="112"/>
      <c r="B891" s="112"/>
      <c r="C891" s="107"/>
      <c r="D891" s="107"/>
      <c r="E891" s="120"/>
      <c r="F891" s="120"/>
      <c r="G891" s="128"/>
      <c r="H891" s="110"/>
      <c r="I891" s="111"/>
      <c r="J891" s="11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  <c r="FM891" s="3"/>
      <c r="FN891" s="3"/>
      <c r="FO891" s="3"/>
      <c r="FP891" s="3"/>
      <c r="FQ891" s="3"/>
      <c r="FR891" s="3"/>
    </row>
    <row x14ac:dyDescent="0.25" r="892" customHeight="1" ht="15">
      <c r="A892" s="112"/>
      <c r="B892" s="112"/>
      <c r="C892" s="107"/>
      <c r="D892" s="107"/>
      <c r="E892" s="120"/>
      <c r="F892" s="120"/>
      <c r="G892" s="128"/>
      <c r="H892" s="110"/>
      <c r="I892" s="111"/>
      <c r="J892" s="11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  <c r="FM892" s="3"/>
      <c r="FN892" s="3"/>
      <c r="FO892" s="3"/>
      <c r="FP892" s="3"/>
      <c r="FQ892" s="3"/>
      <c r="FR892" s="3"/>
    </row>
    <row x14ac:dyDescent="0.25" r="893" customHeight="1" ht="15">
      <c r="A893" s="112"/>
      <c r="B893" s="112"/>
      <c r="C893" s="107"/>
      <c r="D893" s="107"/>
      <c r="E893" s="120"/>
      <c r="F893" s="120"/>
      <c r="G893" s="128"/>
      <c r="H893" s="110"/>
      <c r="I893" s="111"/>
      <c r="J893" s="11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  <c r="FM893" s="3"/>
      <c r="FN893" s="3"/>
      <c r="FO893" s="3"/>
      <c r="FP893" s="3"/>
      <c r="FQ893" s="3"/>
      <c r="FR893" s="3"/>
    </row>
    <row x14ac:dyDescent="0.25" r="894" customHeight="1" ht="15">
      <c r="A894" s="112"/>
      <c r="B894" s="112"/>
      <c r="C894" s="107"/>
      <c r="D894" s="107"/>
      <c r="E894" s="120"/>
      <c r="F894" s="120"/>
      <c r="G894" s="128"/>
      <c r="H894" s="110"/>
      <c r="I894" s="111"/>
      <c r="J894" s="11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  <c r="FM894" s="3"/>
      <c r="FN894" s="3"/>
      <c r="FO894" s="3"/>
      <c r="FP894" s="3"/>
      <c r="FQ894" s="3"/>
      <c r="FR894" s="3"/>
    </row>
    <row x14ac:dyDescent="0.25" r="895" customHeight="1" ht="15">
      <c r="A895" s="112"/>
      <c r="B895" s="112"/>
      <c r="C895" s="107"/>
      <c r="D895" s="107"/>
      <c r="E895" s="120"/>
      <c r="F895" s="120"/>
      <c r="G895" s="128"/>
      <c r="H895" s="110"/>
      <c r="I895" s="111"/>
      <c r="J895" s="11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  <c r="FM895" s="3"/>
      <c r="FN895" s="3"/>
      <c r="FO895" s="3"/>
      <c r="FP895" s="3"/>
      <c r="FQ895" s="3"/>
      <c r="FR895" s="3"/>
    </row>
    <row x14ac:dyDescent="0.25" r="896" customHeight="1" ht="15">
      <c r="A896" s="112"/>
      <c r="B896" s="112"/>
      <c r="C896" s="107"/>
      <c r="D896" s="107"/>
      <c r="E896" s="120"/>
      <c r="F896" s="120"/>
      <c r="G896" s="128"/>
      <c r="H896" s="110"/>
      <c r="I896" s="111"/>
      <c r="J896" s="11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  <c r="FM896" s="3"/>
      <c r="FN896" s="3"/>
      <c r="FO896" s="3"/>
      <c r="FP896" s="3"/>
      <c r="FQ896" s="3"/>
      <c r="FR896" s="3"/>
    </row>
    <row x14ac:dyDescent="0.25" r="897" customHeight="1" ht="15">
      <c r="A897" s="112"/>
      <c r="B897" s="112"/>
      <c r="C897" s="107"/>
      <c r="D897" s="107"/>
      <c r="E897" s="120"/>
      <c r="F897" s="120"/>
      <c r="G897" s="128"/>
      <c r="H897" s="110"/>
      <c r="I897" s="111"/>
      <c r="J897" s="11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  <c r="FM897" s="3"/>
      <c r="FN897" s="3"/>
      <c r="FO897" s="3"/>
      <c r="FP897" s="3"/>
      <c r="FQ897" s="3"/>
      <c r="FR897" s="3"/>
    </row>
    <row x14ac:dyDescent="0.25" r="898" customHeight="1" ht="15">
      <c r="A898" s="112"/>
      <c r="B898" s="112"/>
      <c r="C898" s="107"/>
      <c r="D898" s="107"/>
      <c r="E898" s="120"/>
      <c r="F898" s="120"/>
      <c r="G898" s="128"/>
      <c r="H898" s="110"/>
      <c r="I898" s="111"/>
      <c r="J898" s="11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  <c r="FM898" s="3"/>
      <c r="FN898" s="3"/>
      <c r="FO898" s="3"/>
      <c r="FP898" s="3"/>
      <c r="FQ898" s="3"/>
      <c r="FR898" s="3"/>
    </row>
    <row x14ac:dyDescent="0.25" r="899" customHeight="1" ht="15">
      <c r="A899" s="112"/>
      <c r="B899" s="112"/>
      <c r="C899" s="107"/>
      <c r="D899" s="107"/>
      <c r="E899" s="120"/>
      <c r="F899" s="120"/>
      <c r="G899" s="128"/>
      <c r="H899" s="110"/>
      <c r="I899" s="111"/>
      <c r="J899" s="11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  <c r="FM899" s="3"/>
      <c r="FN899" s="3"/>
      <c r="FO899" s="3"/>
      <c r="FP899" s="3"/>
      <c r="FQ899" s="3"/>
      <c r="FR899" s="3"/>
    </row>
    <row x14ac:dyDescent="0.25" r="900" customHeight="1" ht="15">
      <c r="A900" s="112"/>
      <c r="B900" s="112"/>
      <c r="C900" s="107"/>
      <c r="D900" s="107"/>
      <c r="E900" s="120"/>
      <c r="F900" s="120"/>
      <c r="G900" s="128"/>
      <c r="H900" s="110"/>
      <c r="I900" s="111"/>
      <c r="J900" s="11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  <c r="FM900" s="3"/>
      <c r="FN900" s="3"/>
      <c r="FO900" s="3"/>
      <c r="FP900" s="3"/>
      <c r="FQ900" s="3"/>
      <c r="FR900" s="3"/>
    </row>
    <row x14ac:dyDescent="0.25" r="901" customHeight="1" ht="15">
      <c r="A901" s="112"/>
      <c r="B901" s="112"/>
      <c r="C901" s="107"/>
      <c r="D901" s="107"/>
      <c r="E901" s="120"/>
      <c r="F901" s="120"/>
      <c r="G901" s="128"/>
      <c r="H901" s="110"/>
      <c r="I901" s="111"/>
      <c r="J901" s="11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  <c r="FM901" s="3"/>
      <c r="FN901" s="3"/>
      <c r="FO901" s="3"/>
      <c r="FP901" s="3"/>
      <c r="FQ901" s="3"/>
      <c r="FR901" s="3"/>
    </row>
    <row x14ac:dyDescent="0.25" r="902" customHeight="1" ht="15">
      <c r="A902" s="112"/>
      <c r="B902" s="112"/>
      <c r="C902" s="107"/>
      <c r="D902" s="107"/>
      <c r="E902" s="120"/>
      <c r="F902" s="120"/>
      <c r="G902" s="128"/>
      <c r="H902" s="110"/>
      <c r="I902" s="111"/>
      <c r="J902" s="11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  <c r="FM902" s="3"/>
      <c r="FN902" s="3"/>
      <c r="FO902" s="3"/>
      <c r="FP902" s="3"/>
      <c r="FQ902" s="3"/>
      <c r="FR902" s="3"/>
    </row>
    <row x14ac:dyDescent="0.25" r="903" customHeight="1" ht="15">
      <c r="A903" s="112"/>
      <c r="B903" s="112"/>
      <c r="C903" s="107"/>
      <c r="D903" s="107"/>
      <c r="E903" s="120"/>
      <c r="F903" s="120"/>
      <c r="G903" s="128"/>
      <c r="H903" s="110"/>
      <c r="I903" s="111"/>
      <c r="J903" s="11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  <c r="FM903" s="3"/>
      <c r="FN903" s="3"/>
      <c r="FO903" s="3"/>
      <c r="FP903" s="3"/>
      <c r="FQ903" s="3"/>
      <c r="FR903" s="3"/>
    </row>
    <row x14ac:dyDescent="0.25" r="904" customHeight="1" ht="15">
      <c r="A904" s="112"/>
      <c r="B904" s="112"/>
      <c r="C904" s="107"/>
      <c r="D904" s="107"/>
      <c r="E904" s="120"/>
      <c r="F904" s="120"/>
      <c r="G904" s="128"/>
      <c r="H904" s="110"/>
      <c r="I904" s="111"/>
      <c r="J904" s="11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  <c r="FM904" s="3"/>
      <c r="FN904" s="3"/>
      <c r="FO904" s="3"/>
      <c r="FP904" s="3"/>
      <c r="FQ904" s="3"/>
      <c r="FR904" s="3"/>
    </row>
    <row x14ac:dyDescent="0.25" r="905" customHeight="1" ht="15">
      <c r="A905" s="112"/>
      <c r="B905" s="112"/>
      <c r="C905" s="107"/>
      <c r="D905" s="107"/>
      <c r="E905" s="120"/>
      <c r="F905" s="120"/>
      <c r="G905" s="128"/>
      <c r="H905" s="110"/>
      <c r="I905" s="111"/>
      <c r="J905" s="11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  <c r="FM905" s="3"/>
      <c r="FN905" s="3"/>
      <c r="FO905" s="3"/>
      <c r="FP905" s="3"/>
      <c r="FQ905" s="3"/>
      <c r="FR905" s="3"/>
    </row>
    <row x14ac:dyDescent="0.25" r="906" customHeight="1" ht="15">
      <c r="A906" s="112"/>
      <c r="B906" s="112"/>
      <c r="C906" s="107"/>
      <c r="D906" s="107"/>
      <c r="E906" s="120"/>
      <c r="F906" s="120"/>
      <c r="G906" s="128"/>
      <c r="H906" s="110"/>
      <c r="I906" s="111"/>
      <c r="J906" s="11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  <c r="FM906" s="3"/>
      <c r="FN906" s="3"/>
      <c r="FO906" s="3"/>
      <c r="FP906" s="3"/>
      <c r="FQ906" s="3"/>
      <c r="FR906" s="3"/>
    </row>
    <row x14ac:dyDescent="0.25" r="907" customHeight="1" ht="15">
      <c r="A907" s="112"/>
      <c r="B907" s="112"/>
      <c r="C907" s="107"/>
      <c r="D907" s="107"/>
      <c r="E907" s="120"/>
      <c r="F907" s="120"/>
      <c r="G907" s="128"/>
      <c r="H907" s="110"/>
      <c r="I907" s="111"/>
      <c r="J907" s="11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  <c r="EU907" s="3"/>
      <c r="EV907" s="3"/>
      <c r="EW907" s="3"/>
      <c r="EX907" s="3"/>
      <c r="EY907" s="3"/>
      <c r="EZ907" s="3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  <c r="FL907" s="3"/>
      <c r="FM907" s="3"/>
      <c r="FN907" s="3"/>
      <c r="FO907" s="3"/>
      <c r="FP907" s="3"/>
      <c r="FQ907" s="3"/>
      <c r="FR907" s="3"/>
    </row>
    <row x14ac:dyDescent="0.25" r="908" customHeight="1" ht="15">
      <c r="A908" s="112"/>
      <c r="B908" s="112"/>
      <c r="C908" s="107"/>
      <c r="D908" s="107"/>
      <c r="E908" s="120"/>
      <c r="F908" s="120"/>
      <c r="G908" s="128"/>
      <c r="H908" s="110"/>
      <c r="I908" s="111"/>
      <c r="J908" s="11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  <c r="EU908" s="3"/>
      <c r="EV908" s="3"/>
      <c r="EW908" s="3"/>
      <c r="EX908" s="3"/>
      <c r="EY908" s="3"/>
      <c r="EZ908" s="3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  <c r="FL908" s="3"/>
      <c r="FM908" s="3"/>
      <c r="FN908" s="3"/>
      <c r="FO908" s="3"/>
      <c r="FP908" s="3"/>
      <c r="FQ908" s="3"/>
      <c r="FR908" s="3"/>
    </row>
    <row x14ac:dyDescent="0.25" r="909" customHeight="1" ht="15">
      <c r="A909" s="112"/>
      <c r="B909" s="112"/>
      <c r="C909" s="107"/>
      <c r="D909" s="107"/>
      <c r="E909" s="120"/>
      <c r="F909" s="120"/>
      <c r="G909" s="128"/>
      <c r="H909" s="110"/>
      <c r="I909" s="111"/>
      <c r="J909" s="11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  <c r="EU909" s="3"/>
      <c r="EV909" s="3"/>
      <c r="EW909" s="3"/>
      <c r="EX909" s="3"/>
      <c r="EY909" s="3"/>
      <c r="EZ909" s="3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  <c r="FL909" s="3"/>
      <c r="FM909" s="3"/>
      <c r="FN909" s="3"/>
      <c r="FO909" s="3"/>
      <c r="FP909" s="3"/>
      <c r="FQ909" s="3"/>
      <c r="FR909" s="3"/>
    </row>
    <row x14ac:dyDescent="0.25" r="910" customHeight="1" ht="15">
      <c r="A910" s="112"/>
      <c r="B910" s="112"/>
      <c r="C910" s="107"/>
      <c r="D910" s="107"/>
      <c r="E910" s="120"/>
      <c r="F910" s="120"/>
      <c r="G910" s="128"/>
      <c r="H910" s="110"/>
      <c r="I910" s="111"/>
      <c r="J910" s="11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  <c r="EU910" s="3"/>
      <c r="EV910" s="3"/>
      <c r="EW910" s="3"/>
      <c r="EX910" s="3"/>
      <c r="EY910" s="3"/>
      <c r="EZ910" s="3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  <c r="FL910" s="3"/>
      <c r="FM910" s="3"/>
      <c r="FN910" s="3"/>
      <c r="FO910" s="3"/>
      <c r="FP910" s="3"/>
      <c r="FQ910" s="3"/>
      <c r="FR910" s="3"/>
    </row>
    <row x14ac:dyDescent="0.25" r="911" customHeight="1" ht="15">
      <c r="A911" s="112"/>
      <c r="B911" s="112"/>
      <c r="C911" s="107"/>
      <c r="D911" s="107"/>
      <c r="E911" s="120"/>
      <c r="F911" s="120"/>
      <c r="G911" s="128"/>
      <c r="H911" s="110"/>
      <c r="I911" s="111"/>
      <c r="J911" s="11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  <c r="EU911" s="3"/>
      <c r="EV911" s="3"/>
      <c r="EW911" s="3"/>
      <c r="EX911" s="3"/>
      <c r="EY911" s="3"/>
      <c r="EZ911" s="3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  <c r="FL911" s="3"/>
      <c r="FM911" s="3"/>
      <c r="FN911" s="3"/>
      <c r="FO911" s="3"/>
      <c r="FP911" s="3"/>
      <c r="FQ911" s="3"/>
      <c r="FR911" s="3"/>
    </row>
    <row x14ac:dyDescent="0.25" r="912" customHeight="1" ht="15">
      <c r="A912" s="112"/>
      <c r="B912" s="112"/>
      <c r="C912" s="107"/>
      <c r="D912" s="107"/>
      <c r="E912" s="120"/>
      <c r="F912" s="120"/>
      <c r="G912" s="128"/>
      <c r="H912" s="110"/>
      <c r="I912" s="111"/>
      <c r="J912" s="11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  <c r="EU912" s="3"/>
      <c r="EV912" s="3"/>
      <c r="EW912" s="3"/>
      <c r="EX912" s="3"/>
      <c r="EY912" s="3"/>
      <c r="EZ912" s="3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  <c r="FL912" s="3"/>
      <c r="FM912" s="3"/>
      <c r="FN912" s="3"/>
      <c r="FO912" s="3"/>
      <c r="FP912" s="3"/>
      <c r="FQ912" s="3"/>
      <c r="FR912" s="3"/>
    </row>
    <row x14ac:dyDescent="0.25" r="913" customHeight="1" ht="15">
      <c r="A913" s="112"/>
      <c r="B913" s="112"/>
      <c r="C913" s="107"/>
      <c r="D913" s="107"/>
      <c r="E913" s="120"/>
      <c r="F913" s="120"/>
      <c r="G913" s="128"/>
      <c r="H913" s="110"/>
      <c r="I913" s="111"/>
      <c r="J913" s="11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  <c r="EU913" s="3"/>
      <c r="EV913" s="3"/>
      <c r="EW913" s="3"/>
      <c r="EX913" s="3"/>
      <c r="EY913" s="3"/>
      <c r="EZ913" s="3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  <c r="FL913" s="3"/>
      <c r="FM913" s="3"/>
      <c r="FN913" s="3"/>
      <c r="FO913" s="3"/>
      <c r="FP913" s="3"/>
      <c r="FQ913" s="3"/>
      <c r="FR913" s="3"/>
    </row>
    <row x14ac:dyDescent="0.25" r="914" customHeight="1" ht="15">
      <c r="A914" s="112"/>
      <c r="B914" s="112"/>
      <c r="C914" s="107"/>
      <c r="D914" s="107"/>
      <c r="E914" s="120"/>
      <c r="F914" s="120"/>
      <c r="G914" s="128"/>
      <c r="H914" s="110"/>
      <c r="I914" s="111"/>
      <c r="J914" s="11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  <c r="EU914" s="3"/>
      <c r="EV914" s="3"/>
      <c r="EW914" s="3"/>
      <c r="EX914" s="3"/>
      <c r="EY914" s="3"/>
      <c r="EZ914" s="3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  <c r="FL914" s="3"/>
      <c r="FM914" s="3"/>
      <c r="FN914" s="3"/>
      <c r="FO914" s="3"/>
      <c r="FP914" s="3"/>
      <c r="FQ914" s="3"/>
      <c r="FR914" s="3"/>
    </row>
    <row x14ac:dyDescent="0.25" r="915" customHeight="1" ht="15">
      <c r="A915" s="112"/>
      <c r="B915" s="112"/>
      <c r="C915" s="107"/>
      <c r="D915" s="107"/>
      <c r="E915" s="120"/>
      <c r="F915" s="120"/>
      <c r="G915" s="128"/>
      <c r="H915" s="110"/>
      <c r="I915" s="111"/>
      <c r="J915" s="11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  <c r="EU915" s="3"/>
      <c r="EV915" s="3"/>
      <c r="EW915" s="3"/>
      <c r="EX915" s="3"/>
      <c r="EY915" s="3"/>
      <c r="EZ915" s="3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  <c r="FL915" s="3"/>
      <c r="FM915" s="3"/>
      <c r="FN915" s="3"/>
      <c r="FO915" s="3"/>
      <c r="FP915" s="3"/>
      <c r="FQ915" s="3"/>
      <c r="FR915" s="3"/>
    </row>
    <row x14ac:dyDescent="0.25" r="916" customHeight="1" ht="15">
      <c r="A916" s="112"/>
      <c r="B916" s="112"/>
      <c r="C916" s="107"/>
      <c r="D916" s="107"/>
      <c r="E916" s="120"/>
      <c r="F916" s="120"/>
      <c r="G916" s="128"/>
      <c r="H916" s="110"/>
      <c r="I916" s="111"/>
      <c r="J916" s="11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  <c r="EU916" s="3"/>
      <c r="EV916" s="3"/>
      <c r="EW916" s="3"/>
      <c r="EX916" s="3"/>
      <c r="EY916" s="3"/>
      <c r="EZ916" s="3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  <c r="FL916" s="3"/>
      <c r="FM916" s="3"/>
      <c r="FN916" s="3"/>
      <c r="FO916" s="3"/>
      <c r="FP916" s="3"/>
      <c r="FQ916" s="3"/>
      <c r="FR916" s="3"/>
    </row>
    <row x14ac:dyDescent="0.25" r="917" customHeight="1" ht="15">
      <c r="A917" s="112"/>
      <c r="B917" s="112"/>
      <c r="C917" s="107"/>
      <c r="D917" s="107"/>
      <c r="E917" s="120"/>
      <c r="F917" s="120"/>
      <c r="G917" s="128"/>
      <c r="H917" s="110"/>
      <c r="I917" s="111"/>
      <c r="J917" s="11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  <c r="EU917" s="3"/>
      <c r="EV917" s="3"/>
      <c r="EW917" s="3"/>
      <c r="EX917" s="3"/>
      <c r="EY917" s="3"/>
      <c r="EZ917" s="3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  <c r="FL917" s="3"/>
      <c r="FM917" s="3"/>
      <c r="FN917" s="3"/>
      <c r="FO917" s="3"/>
      <c r="FP917" s="3"/>
      <c r="FQ917" s="3"/>
      <c r="FR917" s="3"/>
    </row>
    <row x14ac:dyDescent="0.25" r="918" customHeight="1" ht="15">
      <c r="A918" s="112"/>
      <c r="B918" s="112"/>
      <c r="C918" s="107"/>
      <c r="D918" s="107"/>
      <c r="E918" s="120"/>
      <c r="F918" s="120"/>
      <c r="G918" s="128"/>
      <c r="H918" s="110"/>
      <c r="I918" s="111"/>
      <c r="J918" s="11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  <c r="EU918" s="3"/>
      <c r="EV918" s="3"/>
      <c r="EW918" s="3"/>
      <c r="EX918" s="3"/>
      <c r="EY918" s="3"/>
      <c r="EZ918" s="3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  <c r="FL918" s="3"/>
      <c r="FM918" s="3"/>
      <c r="FN918" s="3"/>
      <c r="FO918" s="3"/>
      <c r="FP918" s="3"/>
      <c r="FQ918" s="3"/>
      <c r="FR918" s="3"/>
    </row>
    <row x14ac:dyDescent="0.25" r="919" customHeight="1" ht="15">
      <c r="A919" s="112"/>
      <c r="B919" s="112"/>
      <c r="C919" s="107"/>
      <c r="D919" s="107"/>
      <c r="E919" s="120"/>
      <c r="F919" s="120"/>
      <c r="G919" s="128"/>
      <c r="H919" s="110"/>
      <c r="I919" s="111"/>
      <c r="J919" s="11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  <c r="EU919" s="3"/>
      <c r="EV919" s="3"/>
      <c r="EW919" s="3"/>
      <c r="EX919" s="3"/>
      <c r="EY919" s="3"/>
      <c r="EZ919" s="3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  <c r="FL919" s="3"/>
      <c r="FM919" s="3"/>
      <c r="FN919" s="3"/>
      <c r="FO919" s="3"/>
      <c r="FP919" s="3"/>
      <c r="FQ919" s="3"/>
      <c r="FR919" s="3"/>
    </row>
    <row x14ac:dyDescent="0.25" r="920" customHeight="1" ht="15">
      <c r="A920" s="112"/>
      <c r="B920" s="112"/>
      <c r="C920" s="107"/>
      <c r="D920" s="107"/>
      <c r="E920" s="120"/>
      <c r="F920" s="120"/>
      <c r="G920" s="128"/>
      <c r="H920" s="110"/>
      <c r="I920" s="111"/>
      <c r="J920" s="11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  <c r="EU920" s="3"/>
      <c r="EV920" s="3"/>
      <c r="EW920" s="3"/>
      <c r="EX920" s="3"/>
      <c r="EY920" s="3"/>
      <c r="EZ920" s="3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  <c r="FL920" s="3"/>
      <c r="FM920" s="3"/>
      <c r="FN920" s="3"/>
      <c r="FO920" s="3"/>
      <c r="FP920" s="3"/>
      <c r="FQ920" s="3"/>
      <c r="FR920" s="3"/>
    </row>
    <row x14ac:dyDescent="0.25" r="921" customHeight="1" ht="15">
      <c r="A921" s="112"/>
      <c r="B921" s="112"/>
      <c r="C921" s="107"/>
      <c r="D921" s="107"/>
      <c r="E921" s="120"/>
      <c r="F921" s="120"/>
      <c r="G921" s="128"/>
      <c r="H921" s="110"/>
      <c r="I921" s="111"/>
      <c r="J921" s="11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  <c r="EU921" s="3"/>
      <c r="EV921" s="3"/>
      <c r="EW921" s="3"/>
      <c r="EX921" s="3"/>
      <c r="EY921" s="3"/>
      <c r="EZ921" s="3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  <c r="FL921" s="3"/>
      <c r="FM921" s="3"/>
      <c r="FN921" s="3"/>
      <c r="FO921" s="3"/>
      <c r="FP921" s="3"/>
      <c r="FQ921" s="3"/>
      <c r="FR921" s="3"/>
    </row>
    <row x14ac:dyDescent="0.25" r="922" customHeight="1" ht="15">
      <c r="A922" s="112"/>
      <c r="B922" s="112"/>
      <c r="C922" s="107"/>
      <c r="D922" s="107"/>
      <c r="E922" s="120"/>
      <c r="F922" s="120"/>
      <c r="G922" s="128"/>
      <c r="H922" s="110"/>
      <c r="I922" s="111"/>
      <c r="J922" s="11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  <c r="EU922" s="3"/>
      <c r="EV922" s="3"/>
      <c r="EW922" s="3"/>
      <c r="EX922" s="3"/>
      <c r="EY922" s="3"/>
      <c r="EZ922" s="3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  <c r="FL922" s="3"/>
      <c r="FM922" s="3"/>
      <c r="FN922" s="3"/>
      <c r="FO922" s="3"/>
      <c r="FP922" s="3"/>
      <c r="FQ922" s="3"/>
      <c r="FR922" s="3"/>
    </row>
    <row x14ac:dyDescent="0.25" r="923" customHeight="1" ht="15">
      <c r="A923" s="112"/>
      <c r="B923" s="112"/>
      <c r="C923" s="107"/>
      <c r="D923" s="107"/>
      <c r="E923" s="120"/>
      <c r="F923" s="120"/>
      <c r="G923" s="128"/>
      <c r="H923" s="110"/>
      <c r="I923" s="111"/>
      <c r="J923" s="11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  <c r="EU923" s="3"/>
      <c r="EV923" s="3"/>
      <c r="EW923" s="3"/>
      <c r="EX923" s="3"/>
      <c r="EY923" s="3"/>
      <c r="EZ923" s="3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  <c r="FL923" s="3"/>
      <c r="FM923" s="3"/>
      <c r="FN923" s="3"/>
      <c r="FO923" s="3"/>
      <c r="FP923" s="3"/>
      <c r="FQ923" s="3"/>
      <c r="FR923" s="3"/>
    </row>
    <row x14ac:dyDescent="0.25" r="924" customHeight="1" ht="15">
      <c r="A924" s="112"/>
      <c r="B924" s="112"/>
      <c r="C924" s="107"/>
      <c r="D924" s="107"/>
      <c r="E924" s="120"/>
      <c r="F924" s="120"/>
      <c r="G924" s="128"/>
      <c r="H924" s="110"/>
      <c r="I924" s="111"/>
      <c r="J924" s="11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  <c r="EU924" s="3"/>
      <c r="EV924" s="3"/>
      <c r="EW924" s="3"/>
      <c r="EX924" s="3"/>
      <c r="EY924" s="3"/>
      <c r="EZ924" s="3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  <c r="FL924" s="3"/>
      <c r="FM924" s="3"/>
      <c r="FN924" s="3"/>
      <c r="FO924" s="3"/>
      <c r="FP924" s="3"/>
      <c r="FQ924" s="3"/>
      <c r="FR924" s="3"/>
    </row>
    <row x14ac:dyDescent="0.25" r="925" customHeight="1" ht="15">
      <c r="A925" s="112"/>
      <c r="B925" s="112"/>
      <c r="C925" s="107"/>
      <c r="D925" s="107"/>
      <c r="E925" s="120"/>
      <c r="F925" s="120"/>
      <c r="G925" s="128"/>
      <c r="H925" s="110"/>
      <c r="I925" s="111"/>
      <c r="J925" s="11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  <c r="EU925" s="3"/>
      <c r="EV925" s="3"/>
      <c r="EW925" s="3"/>
      <c r="EX925" s="3"/>
      <c r="EY925" s="3"/>
      <c r="EZ925" s="3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  <c r="FL925" s="3"/>
      <c r="FM925" s="3"/>
      <c r="FN925" s="3"/>
      <c r="FO925" s="3"/>
      <c r="FP925" s="3"/>
      <c r="FQ925" s="3"/>
      <c r="FR925" s="3"/>
    </row>
    <row x14ac:dyDescent="0.25" r="926" customHeight="1" ht="15">
      <c r="A926" s="112"/>
      <c r="B926" s="112"/>
      <c r="C926" s="107"/>
      <c r="D926" s="107"/>
      <c r="E926" s="120"/>
      <c r="F926" s="120"/>
      <c r="G926" s="128"/>
      <c r="H926" s="110"/>
      <c r="I926" s="111"/>
      <c r="J926" s="11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  <c r="EU926" s="3"/>
      <c r="EV926" s="3"/>
      <c r="EW926" s="3"/>
      <c r="EX926" s="3"/>
      <c r="EY926" s="3"/>
      <c r="EZ926" s="3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  <c r="FL926" s="3"/>
      <c r="FM926" s="3"/>
      <c r="FN926" s="3"/>
      <c r="FO926" s="3"/>
      <c r="FP926" s="3"/>
      <c r="FQ926" s="3"/>
      <c r="FR926" s="3"/>
    </row>
    <row x14ac:dyDescent="0.25" r="927" customHeight="1" ht="15">
      <c r="A927" s="112"/>
      <c r="B927" s="112"/>
      <c r="C927" s="107"/>
      <c r="D927" s="107"/>
      <c r="E927" s="120"/>
      <c r="F927" s="120"/>
      <c r="G927" s="128"/>
      <c r="H927" s="110"/>
      <c r="I927" s="111"/>
      <c r="J927" s="11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  <c r="EU927" s="3"/>
      <c r="EV927" s="3"/>
      <c r="EW927" s="3"/>
      <c r="EX927" s="3"/>
      <c r="EY927" s="3"/>
      <c r="EZ927" s="3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  <c r="FL927" s="3"/>
      <c r="FM927" s="3"/>
      <c r="FN927" s="3"/>
      <c r="FO927" s="3"/>
      <c r="FP927" s="3"/>
      <c r="FQ927" s="3"/>
      <c r="FR927" s="3"/>
    </row>
    <row x14ac:dyDescent="0.25" r="928" customHeight="1" ht="15">
      <c r="A928" s="112"/>
      <c r="B928" s="112"/>
      <c r="C928" s="107"/>
      <c r="D928" s="107"/>
      <c r="E928" s="120"/>
      <c r="F928" s="120"/>
      <c r="G928" s="128"/>
      <c r="H928" s="110"/>
      <c r="I928" s="111"/>
      <c r="J928" s="11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  <c r="EU928" s="3"/>
      <c r="EV928" s="3"/>
      <c r="EW928" s="3"/>
      <c r="EX928" s="3"/>
      <c r="EY928" s="3"/>
      <c r="EZ928" s="3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  <c r="FL928" s="3"/>
      <c r="FM928" s="3"/>
      <c r="FN928" s="3"/>
      <c r="FO928" s="3"/>
      <c r="FP928" s="3"/>
      <c r="FQ928" s="3"/>
      <c r="FR928" s="3"/>
    </row>
    <row x14ac:dyDescent="0.25" r="929" customHeight="1" ht="15">
      <c r="A929" s="112"/>
      <c r="B929" s="112"/>
      <c r="C929" s="107"/>
      <c r="D929" s="107"/>
      <c r="E929" s="120"/>
      <c r="F929" s="120"/>
      <c r="G929" s="128"/>
      <c r="H929" s="110"/>
      <c r="I929" s="111"/>
      <c r="J929" s="11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  <c r="EU929" s="3"/>
      <c r="EV929" s="3"/>
      <c r="EW929" s="3"/>
      <c r="EX929" s="3"/>
      <c r="EY929" s="3"/>
      <c r="EZ929" s="3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  <c r="FL929" s="3"/>
      <c r="FM929" s="3"/>
      <c r="FN929" s="3"/>
      <c r="FO929" s="3"/>
      <c r="FP929" s="3"/>
      <c r="FQ929" s="3"/>
      <c r="FR929" s="3"/>
    </row>
    <row x14ac:dyDescent="0.25" r="930" customHeight="1" ht="15">
      <c r="A930" s="112"/>
      <c r="B930" s="112"/>
      <c r="C930" s="107"/>
      <c r="D930" s="107"/>
      <c r="E930" s="120"/>
      <c r="F930" s="120"/>
      <c r="G930" s="128"/>
      <c r="H930" s="110"/>
      <c r="I930" s="111"/>
      <c r="J930" s="11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  <c r="EU930" s="3"/>
      <c r="EV930" s="3"/>
      <c r="EW930" s="3"/>
      <c r="EX930" s="3"/>
      <c r="EY930" s="3"/>
      <c r="EZ930" s="3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  <c r="FL930" s="3"/>
      <c r="FM930" s="3"/>
      <c r="FN930" s="3"/>
      <c r="FO930" s="3"/>
      <c r="FP930" s="3"/>
      <c r="FQ930" s="3"/>
      <c r="FR930" s="3"/>
    </row>
    <row x14ac:dyDescent="0.25" r="931" customHeight="1" ht="15">
      <c r="A931" s="112"/>
      <c r="B931" s="112"/>
      <c r="C931" s="107"/>
      <c r="D931" s="107"/>
      <c r="E931" s="120"/>
      <c r="F931" s="120"/>
      <c r="G931" s="128"/>
      <c r="H931" s="110"/>
      <c r="I931" s="111"/>
      <c r="J931" s="11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  <c r="EU931" s="3"/>
      <c r="EV931" s="3"/>
      <c r="EW931" s="3"/>
      <c r="EX931" s="3"/>
      <c r="EY931" s="3"/>
      <c r="EZ931" s="3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  <c r="FL931" s="3"/>
      <c r="FM931" s="3"/>
      <c r="FN931" s="3"/>
      <c r="FO931" s="3"/>
      <c r="FP931" s="3"/>
      <c r="FQ931" s="3"/>
      <c r="FR931" s="3"/>
    </row>
    <row x14ac:dyDescent="0.25" r="932" customHeight="1" ht="15">
      <c r="A932" s="112"/>
      <c r="B932" s="112"/>
      <c r="C932" s="107"/>
      <c r="D932" s="107"/>
      <c r="E932" s="120"/>
      <c r="F932" s="120"/>
      <c r="G932" s="128"/>
      <c r="H932" s="110"/>
      <c r="I932" s="111"/>
      <c r="J932" s="11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  <c r="EU932" s="3"/>
      <c r="EV932" s="3"/>
      <c r="EW932" s="3"/>
      <c r="EX932" s="3"/>
      <c r="EY932" s="3"/>
      <c r="EZ932" s="3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  <c r="FL932" s="3"/>
      <c r="FM932" s="3"/>
      <c r="FN932" s="3"/>
      <c r="FO932" s="3"/>
      <c r="FP932" s="3"/>
      <c r="FQ932" s="3"/>
      <c r="FR932" s="3"/>
    </row>
    <row x14ac:dyDescent="0.25" r="933" customHeight="1" ht="15">
      <c r="A933" s="112"/>
      <c r="B933" s="112"/>
      <c r="C933" s="107"/>
      <c r="D933" s="107"/>
      <c r="E933" s="120"/>
      <c r="F933" s="120"/>
      <c r="G933" s="128"/>
      <c r="H933" s="110"/>
      <c r="I933" s="111"/>
      <c r="J933" s="11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  <c r="EU933" s="3"/>
      <c r="EV933" s="3"/>
      <c r="EW933" s="3"/>
      <c r="EX933" s="3"/>
      <c r="EY933" s="3"/>
      <c r="EZ933" s="3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  <c r="FL933" s="3"/>
      <c r="FM933" s="3"/>
      <c r="FN933" s="3"/>
      <c r="FO933" s="3"/>
      <c r="FP933" s="3"/>
      <c r="FQ933" s="3"/>
      <c r="FR933" s="3"/>
    </row>
    <row x14ac:dyDescent="0.25" r="934" customHeight="1" ht="15">
      <c r="A934" s="112"/>
      <c r="B934" s="112"/>
      <c r="C934" s="107"/>
      <c r="D934" s="107"/>
      <c r="E934" s="120"/>
      <c r="F934" s="120"/>
      <c r="G934" s="128"/>
      <c r="H934" s="110"/>
      <c r="I934" s="111"/>
      <c r="J934" s="11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  <c r="EU934" s="3"/>
      <c r="EV934" s="3"/>
      <c r="EW934" s="3"/>
      <c r="EX934" s="3"/>
      <c r="EY934" s="3"/>
      <c r="EZ934" s="3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  <c r="FL934" s="3"/>
      <c r="FM934" s="3"/>
      <c r="FN934" s="3"/>
      <c r="FO934" s="3"/>
      <c r="FP934" s="3"/>
      <c r="FQ934" s="3"/>
      <c r="FR934" s="3"/>
    </row>
    <row x14ac:dyDescent="0.25" r="935" customHeight="1" ht="15">
      <c r="A935" s="112"/>
      <c r="B935" s="112"/>
      <c r="C935" s="107"/>
      <c r="D935" s="107"/>
      <c r="E935" s="120"/>
      <c r="F935" s="120"/>
      <c r="G935" s="128"/>
      <c r="H935" s="110"/>
      <c r="I935" s="111"/>
      <c r="J935" s="11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  <c r="EU935" s="3"/>
      <c r="EV935" s="3"/>
      <c r="EW935" s="3"/>
      <c r="EX935" s="3"/>
      <c r="EY935" s="3"/>
      <c r="EZ935" s="3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  <c r="FL935" s="3"/>
      <c r="FM935" s="3"/>
      <c r="FN935" s="3"/>
      <c r="FO935" s="3"/>
      <c r="FP935" s="3"/>
      <c r="FQ935" s="3"/>
      <c r="FR935" s="3"/>
    </row>
    <row x14ac:dyDescent="0.25" r="936" customHeight="1" ht="15">
      <c r="A936" s="112"/>
      <c r="B936" s="112"/>
      <c r="C936" s="107"/>
      <c r="D936" s="107"/>
      <c r="E936" s="120"/>
      <c r="F936" s="120"/>
      <c r="G936" s="128"/>
      <c r="H936" s="110"/>
      <c r="I936" s="111"/>
      <c r="J936" s="11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  <c r="EU936" s="3"/>
      <c r="EV936" s="3"/>
      <c r="EW936" s="3"/>
      <c r="EX936" s="3"/>
      <c r="EY936" s="3"/>
      <c r="EZ936" s="3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  <c r="FL936" s="3"/>
      <c r="FM936" s="3"/>
      <c r="FN936" s="3"/>
      <c r="FO936" s="3"/>
      <c r="FP936" s="3"/>
      <c r="FQ936" s="3"/>
      <c r="FR936" s="3"/>
    </row>
    <row x14ac:dyDescent="0.25" r="937" customHeight="1" ht="15">
      <c r="A937" s="112"/>
      <c r="B937" s="112"/>
      <c r="C937" s="107"/>
      <c r="D937" s="107"/>
      <c r="E937" s="120"/>
      <c r="F937" s="120"/>
      <c r="G937" s="128"/>
      <c r="H937" s="110"/>
      <c r="I937" s="111"/>
      <c r="J937" s="11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  <c r="EU937" s="3"/>
      <c r="EV937" s="3"/>
      <c r="EW937" s="3"/>
      <c r="EX937" s="3"/>
      <c r="EY937" s="3"/>
      <c r="EZ937" s="3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  <c r="FL937" s="3"/>
      <c r="FM937" s="3"/>
      <c r="FN937" s="3"/>
      <c r="FO937" s="3"/>
      <c r="FP937" s="3"/>
      <c r="FQ937" s="3"/>
      <c r="FR937" s="3"/>
    </row>
    <row x14ac:dyDescent="0.25" r="938" customHeight="1" ht="15">
      <c r="A938" s="112"/>
      <c r="B938" s="112"/>
      <c r="C938" s="107"/>
      <c r="D938" s="107"/>
      <c r="E938" s="120"/>
      <c r="F938" s="120"/>
      <c r="G938" s="128"/>
      <c r="H938" s="110"/>
      <c r="I938" s="111"/>
      <c r="J938" s="11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  <c r="EU938" s="3"/>
      <c r="EV938" s="3"/>
      <c r="EW938" s="3"/>
      <c r="EX938" s="3"/>
      <c r="EY938" s="3"/>
      <c r="EZ938" s="3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  <c r="FL938" s="3"/>
      <c r="FM938" s="3"/>
      <c r="FN938" s="3"/>
      <c r="FO938" s="3"/>
      <c r="FP938" s="3"/>
      <c r="FQ938" s="3"/>
      <c r="FR938" s="3"/>
    </row>
    <row x14ac:dyDescent="0.25" r="939" customHeight="1" ht="15">
      <c r="A939" s="112"/>
      <c r="B939" s="112"/>
      <c r="C939" s="107"/>
      <c r="D939" s="107"/>
      <c r="E939" s="120"/>
      <c r="F939" s="120"/>
      <c r="G939" s="128"/>
      <c r="H939" s="110"/>
      <c r="I939" s="111"/>
      <c r="J939" s="11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  <c r="EU939" s="3"/>
      <c r="EV939" s="3"/>
      <c r="EW939" s="3"/>
      <c r="EX939" s="3"/>
      <c r="EY939" s="3"/>
      <c r="EZ939" s="3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  <c r="FL939" s="3"/>
      <c r="FM939" s="3"/>
      <c r="FN939" s="3"/>
      <c r="FO939" s="3"/>
      <c r="FP939" s="3"/>
      <c r="FQ939" s="3"/>
      <c r="FR939" s="3"/>
    </row>
    <row x14ac:dyDescent="0.25" r="940" customHeight="1" ht="15">
      <c r="A940" s="112"/>
      <c r="B940" s="112"/>
      <c r="C940" s="107"/>
      <c r="D940" s="107"/>
      <c r="E940" s="120"/>
      <c r="F940" s="120"/>
      <c r="G940" s="128"/>
      <c r="H940" s="110"/>
      <c r="I940" s="111"/>
      <c r="J940" s="11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  <c r="EU940" s="3"/>
      <c r="EV940" s="3"/>
      <c r="EW940" s="3"/>
      <c r="EX940" s="3"/>
      <c r="EY940" s="3"/>
      <c r="EZ940" s="3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  <c r="FL940" s="3"/>
      <c r="FM940" s="3"/>
      <c r="FN940" s="3"/>
      <c r="FO940" s="3"/>
      <c r="FP940" s="3"/>
      <c r="FQ940" s="3"/>
      <c r="FR940" s="3"/>
    </row>
    <row x14ac:dyDescent="0.25" r="941" customHeight="1" ht="15">
      <c r="A941" s="112"/>
      <c r="B941" s="112"/>
      <c r="C941" s="107"/>
      <c r="D941" s="107"/>
      <c r="E941" s="120"/>
      <c r="F941" s="120"/>
      <c r="G941" s="128"/>
      <c r="H941" s="110"/>
      <c r="I941" s="111"/>
      <c r="J941" s="11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  <c r="EU941" s="3"/>
      <c r="EV941" s="3"/>
      <c r="EW941" s="3"/>
      <c r="EX941" s="3"/>
      <c r="EY941" s="3"/>
      <c r="EZ941" s="3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  <c r="FL941" s="3"/>
      <c r="FM941" s="3"/>
      <c r="FN941" s="3"/>
      <c r="FO941" s="3"/>
      <c r="FP941" s="3"/>
      <c r="FQ941" s="3"/>
      <c r="FR941" s="3"/>
    </row>
    <row x14ac:dyDescent="0.25" r="942" customHeight="1" ht="15">
      <c r="A942" s="112"/>
      <c r="B942" s="112"/>
      <c r="C942" s="107"/>
      <c r="D942" s="107"/>
      <c r="E942" s="120"/>
      <c r="F942" s="120"/>
      <c r="G942" s="128"/>
      <c r="H942" s="110"/>
      <c r="I942" s="111"/>
      <c r="J942" s="11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  <c r="EU942" s="3"/>
      <c r="EV942" s="3"/>
      <c r="EW942" s="3"/>
      <c r="EX942" s="3"/>
      <c r="EY942" s="3"/>
      <c r="EZ942" s="3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  <c r="FL942" s="3"/>
      <c r="FM942" s="3"/>
      <c r="FN942" s="3"/>
      <c r="FO942" s="3"/>
      <c r="FP942" s="3"/>
      <c r="FQ942" s="3"/>
      <c r="FR942" s="3"/>
    </row>
    <row x14ac:dyDescent="0.25" r="943" customHeight="1" ht="15">
      <c r="A943" s="112"/>
      <c r="B943" s="112"/>
      <c r="C943" s="107"/>
      <c r="D943" s="107"/>
      <c r="E943" s="120"/>
      <c r="F943" s="120"/>
      <c r="G943" s="128"/>
      <c r="H943" s="110"/>
      <c r="I943" s="111"/>
      <c r="J943" s="11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  <c r="EU943" s="3"/>
      <c r="EV943" s="3"/>
      <c r="EW943" s="3"/>
      <c r="EX943" s="3"/>
      <c r="EY943" s="3"/>
      <c r="EZ943" s="3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  <c r="FL943" s="3"/>
      <c r="FM943" s="3"/>
      <c r="FN943" s="3"/>
      <c r="FO943" s="3"/>
      <c r="FP943" s="3"/>
      <c r="FQ943" s="3"/>
      <c r="FR943" s="3"/>
    </row>
    <row x14ac:dyDescent="0.25" r="944" customHeight="1" ht="15">
      <c r="A944" s="112"/>
      <c r="B944" s="112"/>
      <c r="C944" s="107"/>
      <c r="D944" s="107"/>
      <c r="E944" s="120"/>
      <c r="F944" s="120"/>
      <c r="G944" s="128"/>
      <c r="H944" s="110"/>
      <c r="I944" s="111"/>
      <c r="J944" s="11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  <c r="EU944" s="3"/>
      <c r="EV944" s="3"/>
      <c r="EW944" s="3"/>
      <c r="EX944" s="3"/>
      <c r="EY944" s="3"/>
      <c r="EZ944" s="3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  <c r="FL944" s="3"/>
      <c r="FM944" s="3"/>
      <c r="FN944" s="3"/>
      <c r="FO944" s="3"/>
      <c r="FP944" s="3"/>
      <c r="FQ944" s="3"/>
      <c r="FR944" s="3"/>
    </row>
    <row x14ac:dyDescent="0.25" r="945" customHeight="1" ht="15">
      <c r="A945" s="112"/>
      <c r="B945" s="112"/>
      <c r="C945" s="107"/>
      <c r="D945" s="107"/>
      <c r="E945" s="120"/>
      <c r="F945" s="120"/>
      <c r="G945" s="128"/>
      <c r="H945" s="110"/>
      <c r="I945" s="111"/>
      <c r="J945" s="11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  <c r="EU945" s="3"/>
      <c r="EV945" s="3"/>
      <c r="EW945" s="3"/>
      <c r="EX945" s="3"/>
      <c r="EY945" s="3"/>
      <c r="EZ945" s="3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  <c r="FL945" s="3"/>
      <c r="FM945" s="3"/>
      <c r="FN945" s="3"/>
      <c r="FO945" s="3"/>
      <c r="FP945" s="3"/>
      <c r="FQ945" s="3"/>
      <c r="FR945" s="3"/>
    </row>
    <row x14ac:dyDescent="0.25" r="946" customHeight="1" ht="15">
      <c r="A946" s="112"/>
      <c r="B946" s="112"/>
      <c r="C946" s="107"/>
      <c r="D946" s="107"/>
      <c r="E946" s="120"/>
      <c r="F946" s="120"/>
      <c r="G946" s="128"/>
      <c r="H946" s="110"/>
      <c r="I946" s="111"/>
      <c r="J946" s="11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  <c r="EU946" s="3"/>
      <c r="EV946" s="3"/>
      <c r="EW946" s="3"/>
      <c r="EX946" s="3"/>
      <c r="EY946" s="3"/>
      <c r="EZ946" s="3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  <c r="FL946" s="3"/>
      <c r="FM946" s="3"/>
      <c r="FN946" s="3"/>
      <c r="FO946" s="3"/>
      <c r="FP946" s="3"/>
      <c r="FQ946" s="3"/>
      <c r="FR946" s="3"/>
    </row>
    <row x14ac:dyDescent="0.25" r="947" customHeight="1" ht="15">
      <c r="A947" s="112"/>
      <c r="B947" s="112"/>
      <c r="C947" s="107"/>
      <c r="D947" s="107"/>
      <c r="E947" s="120"/>
      <c r="F947" s="120"/>
      <c r="G947" s="128"/>
      <c r="H947" s="110"/>
      <c r="I947" s="111"/>
      <c r="J947" s="11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  <c r="EU947" s="3"/>
      <c r="EV947" s="3"/>
      <c r="EW947" s="3"/>
      <c r="EX947" s="3"/>
      <c r="EY947" s="3"/>
      <c r="EZ947" s="3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  <c r="FL947" s="3"/>
      <c r="FM947" s="3"/>
      <c r="FN947" s="3"/>
      <c r="FO947" s="3"/>
      <c r="FP947" s="3"/>
      <c r="FQ947" s="3"/>
      <c r="FR947" s="3"/>
    </row>
    <row x14ac:dyDescent="0.25" r="948" customHeight="1" ht="15">
      <c r="A948" s="112"/>
      <c r="B948" s="112"/>
      <c r="C948" s="107"/>
      <c r="D948" s="107"/>
      <c r="E948" s="120"/>
      <c r="F948" s="120"/>
      <c r="G948" s="128"/>
      <c r="H948" s="110"/>
      <c r="I948" s="111"/>
      <c r="J948" s="11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  <c r="EU948" s="3"/>
      <c r="EV948" s="3"/>
      <c r="EW948" s="3"/>
      <c r="EX948" s="3"/>
      <c r="EY948" s="3"/>
      <c r="EZ948" s="3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  <c r="FL948" s="3"/>
      <c r="FM948" s="3"/>
      <c r="FN948" s="3"/>
      <c r="FO948" s="3"/>
      <c r="FP948" s="3"/>
      <c r="FQ948" s="3"/>
      <c r="FR948" s="3"/>
    </row>
    <row x14ac:dyDescent="0.25" r="949" customHeight="1" ht="15">
      <c r="A949" s="112"/>
      <c r="B949" s="112"/>
      <c r="C949" s="107"/>
      <c r="D949" s="107"/>
      <c r="E949" s="120"/>
      <c r="F949" s="120"/>
      <c r="G949" s="128"/>
      <c r="H949" s="110"/>
      <c r="I949" s="111"/>
      <c r="J949" s="11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  <c r="EU949" s="3"/>
      <c r="EV949" s="3"/>
      <c r="EW949" s="3"/>
      <c r="EX949" s="3"/>
      <c r="EY949" s="3"/>
      <c r="EZ949" s="3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  <c r="FL949" s="3"/>
      <c r="FM949" s="3"/>
      <c r="FN949" s="3"/>
      <c r="FO949" s="3"/>
      <c r="FP949" s="3"/>
      <c r="FQ949" s="3"/>
      <c r="FR949" s="3"/>
    </row>
    <row x14ac:dyDescent="0.25" r="950" customHeight="1" ht="15">
      <c r="A950" s="112"/>
      <c r="B950" s="112"/>
      <c r="C950" s="107"/>
      <c r="D950" s="107"/>
      <c r="E950" s="120"/>
      <c r="F950" s="120"/>
      <c r="G950" s="128"/>
      <c r="H950" s="110"/>
      <c r="I950" s="111"/>
      <c r="J950" s="11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  <c r="EU950" s="3"/>
      <c r="EV950" s="3"/>
      <c r="EW950" s="3"/>
      <c r="EX950" s="3"/>
      <c r="EY950" s="3"/>
      <c r="EZ950" s="3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  <c r="FL950" s="3"/>
      <c r="FM950" s="3"/>
      <c r="FN950" s="3"/>
      <c r="FO950" s="3"/>
      <c r="FP950" s="3"/>
      <c r="FQ950" s="3"/>
      <c r="FR950" s="3"/>
    </row>
    <row x14ac:dyDescent="0.25" r="951" customHeight="1" ht="15">
      <c r="A951" s="112"/>
      <c r="B951" s="112"/>
      <c r="C951" s="107"/>
      <c r="D951" s="107"/>
      <c r="E951" s="120"/>
      <c r="F951" s="120"/>
      <c r="G951" s="128"/>
      <c r="H951" s="110"/>
      <c r="I951" s="111"/>
      <c r="J951" s="11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  <c r="EU951" s="3"/>
      <c r="EV951" s="3"/>
      <c r="EW951" s="3"/>
      <c r="EX951" s="3"/>
      <c r="EY951" s="3"/>
      <c r="EZ951" s="3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  <c r="FL951" s="3"/>
      <c r="FM951" s="3"/>
      <c r="FN951" s="3"/>
      <c r="FO951" s="3"/>
      <c r="FP951" s="3"/>
      <c r="FQ951" s="3"/>
      <c r="FR951" s="3"/>
    </row>
    <row x14ac:dyDescent="0.25" r="952" customHeight="1" ht="15">
      <c r="A952" s="112"/>
      <c r="B952" s="112"/>
      <c r="C952" s="107"/>
      <c r="D952" s="107"/>
      <c r="E952" s="120"/>
      <c r="F952" s="120"/>
      <c r="G952" s="128"/>
      <c r="H952" s="110"/>
      <c r="I952" s="111"/>
      <c r="J952" s="11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  <c r="EU952" s="3"/>
      <c r="EV952" s="3"/>
      <c r="EW952" s="3"/>
      <c r="EX952" s="3"/>
      <c r="EY952" s="3"/>
      <c r="EZ952" s="3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  <c r="FL952" s="3"/>
      <c r="FM952" s="3"/>
      <c r="FN952" s="3"/>
      <c r="FO952" s="3"/>
      <c r="FP952" s="3"/>
      <c r="FQ952" s="3"/>
      <c r="FR952" s="3"/>
    </row>
    <row x14ac:dyDescent="0.25" r="953" customHeight="1" ht="15">
      <c r="A953" s="112"/>
      <c r="B953" s="112"/>
      <c r="C953" s="107"/>
      <c r="D953" s="107"/>
      <c r="E953" s="120"/>
      <c r="F953" s="120"/>
      <c r="G953" s="128"/>
      <c r="H953" s="110"/>
      <c r="I953" s="111"/>
      <c r="J953" s="11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  <c r="EU953" s="3"/>
      <c r="EV953" s="3"/>
      <c r="EW953" s="3"/>
      <c r="EX953" s="3"/>
      <c r="EY953" s="3"/>
      <c r="EZ953" s="3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  <c r="FL953" s="3"/>
      <c r="FM953" s="3"/>
      <c r="FN953" s="3"/>
      <c r="FO953" s="3"/>
      <c r="FP953" s="3"/>
      <c r="FQ953" s="3"/>
      <c r="FR953" s="3"/>
    </row>
    <row x14ac:dyDescent="0.25" r="954" customHeight="1" ht="15">
      <c r="A954" s="112"/>
      <c r="B954" s="112"/>
      <c r="C954" s="107"/>
      <c r="D954" s="107"/>
      <c r="E954" s="120"/>
      <c r="F954" s="120"/>
      <c r="G954" s="128"/>
      <c r="H954" s="110"/>
      <c r="I954" s="111"/>
      <c r="J954" s="11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  <c r="EU954" s="3"/>
      <c r="EV954" s="3"/>
      <c r="EW954" s="3"/>
      <c r="EX954" s="3"/>
      <c r="EY954" s="3"/>
      <c r="EZ954" s="3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  <c r="FL954" s="3"/>
      <c r="FM954" s="3"/>
      <c r="FN954" s="3"/>
      <c r="FO954" s="3"/>
      <c r="FP954" s="3"/>
      <c r="FQ954" s="3"/>
      <c r="FR954" s="3"/>
    </row>
    <row x14ac:dyDescent="0.25" r="955" customHeight="1" ht="15">
      <c r="A955" s="112"/>
      <c r="B955" s="112"/>
      <c r="C955" s="107"/>
      <c r="D955" s="107"/>
      <c r="E955" s="120"/>
      <c r="F955" s="120"/>
      <c r="G955" s="128"/>
      <c r="H955" s="110"/>
      <c r="I955" s="111"/>
      <c r="J955" s="11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  <c r="EU955" s="3"/>
      <c r="EV955" s="3"/>
      <c r="EW955" s="3"/>
      <c r="EX955" s="3"/>
      <c r="EY955" s="3"/>
      <c r="EZ955" s="3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  <c r="FL955" s="3"/>
      <c r="FM955" s="3"/>
      <c r="FN955" s="3"/>
      <c r="FO955" s="3"/>
      <c r="FP955" s="3"/>
      <c r="FQ955" s="3"/>
      <c r="FR955" s="3"/>
    </row>
    <row x14ac:dyDescent="0.25" r="956" customHeight="1" ht="15">
      <c r="A956" s="112"/>
      <c r="B956" s="112"/>
      <c r="C956" s="107"/>
      <c r="D956" s="107"/>
      <c r="E956" s="120"/>
      <c r="F956" s="120"/>
      <c r="G956" s="128"/>
      <c r="H956" s="110"/>
      <c r="I956" s="111"/>
      <c r="J956" s="11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  <c r="EU956" s="3"/>
      <c r="EV956" s="3"/>
      <c r="EW956" s="3"/>
      <c r="EX956" s="3"/>
      <c r="EY956" s="3"/>
      <c r="EZ956" s="3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  <c r="FL956" s="3"/>
      <c r="FM956" s="3"/>
      <c r="FN956" s="3"/>
      <c r="FO956" s="3"/>
      <c r="FP956" s="3"/>
      <c r="FQ956" s="3"/>
      <c r="FR956" s="3"/>
    </row>
    <row x14ac:dyDescent="0.25" r="957" customHeight="1" ht="15">
      <c r="A957" s="112"/>
      <c r="B957" s="112"/>
      <c r="C957" s="107"/>
      <c r="D957" s="107"/>
      <c r="E957" s="120"/>
      <c r="F957" s="120"/>
      <c r="G957" s="128"/>
      <c r="H957" s="110"/>
      <c r="I957" s="111"/>
      <c r="J957" s="11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  <c r="EU957" s="3"/>
      <c r="EV957" s="3"/>
      <c r="EW957" s="3"/>
      <c r="EX957" s="3"/>
      <c r="EY957" s="3"/>
      <c r="EZ957" s="3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  <c r="FL957" s="3"/>
      <c r="FM957" s="3"/>
      <c r="FN957" s="3"/>
      <c r="FO957" s="3"/>
      <c r="FP957" s="3"/>
      <c r="FQ957" s="3"/>
      <c r="FR957" s="3"/>
    </row>
    <row x14ac:dyDescent="0.25" r="958" customHeight="1" ht="15">
      <c r="A958" s="112"/>
      <c r="B958" s="112"/>
      <c r="C958" s="107"/>
      <c r="D958" s="107"/>
      <c r="E958" s="120"/>
      <c r="F958" s="120"/>
      <c r="G958" s="128"/>
      <c r="H958" s="110"/>
      <c r="I958" s="111"/>
      <c r="J958" s="11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  <c r="EU958" s="3"/>
      <c r="EV958" s="3"/>
      <c r="EW958" s="3"/>
      <c r="EX958" s="3"/>
      <c r="EY958" s="3"/>
      <c r="EZ958" s="3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  <c r="FL958" s="3"/>
      <c r="FM958" s="3"/>
      <c r="FN958" s="3"/>
      <c r="FO958" s="3"/>
      <c r="FP958" s="3"/>
      <c r="FQ958" s="3"/>
      <c r="FR958" s="3"/>
    </row>
    <row x14ac:dyDescent="0.25" r="959" customHeight="1" ht="15">
      <c r="A959" s="112"/>
      <c r="B959" s="112"/>
      <c r="C959" s="107"/>
      <c r="D959" s="107"/>
      <c r="E959" s="120"/>
      <c r="F959" s="120"/>
      <c r="G959" s="128"/>
      <c r="H959" s="110"/>
      <c r="I959" s="111"/>
      <c r="J959" s="11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  <c r="EU959" s="3"/>
      <c r="EV959" s="3"/>
      <c r="EW959" s="3"/>
      <c r="EX959" s="3"/>
      <c r="EY959" s="3"/>
      <c r="EZ959" s="3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  <c r="FL959" s="3"/>
      <c r="FM959" s="3"/>
      <c r="FN959" s="3"/>
      <c r="FO959" s="3"/>
      <c r="FP959" s="3"/>
      <c r="FQ959" s="3"/>
      <c r="FR959" s="3"/>
    </row>
    <row x14ac:dyDescent="0.25" r="960" customHeight="1" ht="15">
      <c r="A960" s="112"/>
      <c r="B960" s="112"/>
      <c r="C960" s="107"/>
      <c r="D960" s="107"/>
      <c r="E960" s="120"/>
      <c r="F960" s="120"/>
      <c r="G960" s="128"/>
      <c r="H960" s="110"/>
      <c r="I960" s="111"/>
      <c r="J960" s="11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  <c r="EU960" s="3"/>
      <c r="EV960" s="3"/>
      <c r="EW960" s="3"/>
      <c r="EX960" s="3"/>
      <c r="EY960" s="3"/>
      <c r="EZ960" s="3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  <c r="FL960" s="3"/>
      <c r="FM960" s="3"/>
      <c r="FN960" s="3"/>
      <c r="FO960" s="3"/>
      <c r="FP960" s="3"/>
      <c r="FQ960" s="3"/>
      <c r="FR960" s="3"/>
    </row>
    <row x14ac:dyDescent="0.25" r="961" customHeight="1" ht="15">
      <c r="A961" s="112"/>
      <c r="B961" s="112"/>
      <c r="C961" s="107"/>
      <c r="D961" s="107"/>
      <c r="E961" s="120"/>
      <c r="F961" s="120"/>
      <c r="G961" s="128"/>
      <c r="H961" s="110"/>
      <c r="I961" s="111"/>
      <c r="J961" s="11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  <c r="EU961" s="3"/>
      <c r="EV961" s="3"/>
      <c r="EW961" s="3"/>
      <c r="EX961" s="3"/>
      <c r="EY961" s="3"/>
      <c r="EZ961" s="3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  <c r="FL961" s="3"/>
      <c r="FM961" s="3"/>
      <c r="FN961" s="3"/>
      <c r="FO961" s="3"/>
      <c r="FP961" s="3"/>
      <c r="FQ961" s="3"/>
      <c r="FR961" s="3"/>
    </row>
    <row x14ac:dyDescent="0.25" r="962" customHeight="1" ht="15">
      <c r="A962" s="112"/>
      <c r="B962" s="112"/>
      <c r="C962" s="107"/>
      <c r="D962" s="107"/>
      <c r="E962" s="120"/>
      <c r="F962" s="120"/>
      <c r="G962" s="128"/>
      <c r="H962" s="110"/>
      <c r="I962" s="111"/>
      <c r="J962" s="11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  <c r="EU962" s="3"/>
      <c r="EV962" s="3"/>
      <c r="EW962" s="3"/>
      <c r="EX962" s="3"/>
      <c r="EY962" s="3"/>
      <c r="EZ962" s="3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  <c r="FL962" s="3"/>
      <c r="FM962" s="3"/>
      <c r="FN962" s="3"/>
      <c r="FO962" s="3"/>
      <c r="FP962" s="3"/>
      <c r="FQ962" s="3"/>
      <c r="FR962" s="3"/>
    </row>
    <row x14ac:dyDescent="0.25" r="963" customHeight="1" ht="15">
      <c r="A963" s="112"/>
      <c r="B963" s="112"/>
      <c r="C963" s="107"/>
      <c r="D963" s="107"/>
      <c r="E963" s="120"/>
      <c r="F963" s="120"/>
      <c r="G963" s="128"/>
      <c r="H963" s="110"/>
      <c r="I963" s="111"/>
      <c r="J963" s="11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  <c r="EU963" s="3"/>
      <c r="EV963" s="3"/>
      <c r="EW963" s="3"/>
      <c r="EX963" s="3"/>
      <c r="EY963" s="3"/>
      <c r="EZ963" s="3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  <c r="FL963" s="3"/>
      <c r="FM963" s="3"/>
      <c r="FN963" s="3"/>
      <c r="FO963" s="3"/>
      <c r="FP963" s="3"/>
      <c r="FQ963" s="3"/>
      <c r="FR963" s="3"/>
    </row>
    <row x14ac:dyDescent="0.25" r="964" customHeight="1" ht="15">
      <c r="A964" s="112"/>
      <c r="B964" s="112"/>
      <c r="C964" s="107"/>
      <c r="D964" s="107"/>
      <c r="E964" s="120"/>
      <c r="F964" s="120"/>
      <c r="G964" s="128"/>
      <c r="H964" s="110"/>
      <c r="I964" s="111"/>
      <c r="J964" s="11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  <c r="EU964" s="3"/>
      <c r="EV964" s="3"/>
      <c r="EW964" s="3"/>
      <c r="EX964" s="3"/>
      <c r="EY964" s="3"/>
      <c r="EZ964" s="3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  <c r="FL964" s="3"/>
      <c r="FM964" s="3"/>
      <c r="FN964" s="3"/>
      <c r="FO964" s="3"/>
      <c r="FP964" s="3"/>
      <c r="FQ964" s="3"/>
      <c r="FR964" s="3"/>
    </row>
    <row x14ac:dyDescent="0.25" r="965" customHeight="1" ht="15">
      <c r="A965" s="112"/>
      <c r="B965" s="112"/>
      <c r="C965" s="107"/>
      <c r="D965" s="107"/>
      <c r="E965" s="120"/>
      <c r="F965" s="120"/>
      <c r="G965" s="128"/>
      <c r="H965" s="110"/>
      <c r="I965" s="111"/>
      <c r="J965" s="11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  <c r="EU965" s="3"/>
      <c r="EV965" s="3"/>
      <c r="EW965" s="3"/>
      <c r="EX965" s="3"/>
      <c r="EY965" s="3"/>
      <c r="EZ965" s="3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  <c r="FL965" s="3"/>
      <c r="FM965" s="3"/>
      <c r="FN965" s="3"/>
      <c r="FO965" s="3"/>
      <c r="FP965" s="3"/>
      <c r="FQ965" s="3"/>
      <c r="FR965" s="3"/>
    </row>
    <row x14ac:dyDescent="0.25" r="966" customHeight="1" ht="15">
      <c r="A966" s="112"/>
      <c r="B966" s="112"/>
      <c r="C966" s="107"/>
      <c r="D966" s="107"/>
      <c r="E966" s="120"/>
      <c r="F966" s="120"/>
      <c r="G966" s="128"/>
      <c r="H966" s="110"/>
      <c r="I966" s="111"/>
      <c r="J966" s="11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  <c r="EU966" s="3"/>
      <c r="EV966" s="3"/>
      <c r="EW966" s="3"/>
      <c r="EX966" s="3"/>
      <c r="EY966" s="3"/>
      <c r="EZ966" s="3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  <c r="FL966" s="3"/>
      <c r="FM966" s="3"/>
      <c r="FN966" s="3"/>
      <c r="FO966" s="3"/>
      <c r="FP966" s="3"/>
      <c r="FQ966" s="3"/>
      <c r="FR966" s="3"/>
    </row>
    <row x14ac:dyDescent="0.25" r="967" customHeight="1" ht="15">
      <c r="A967" s="112"/>
      <c r="B967" s="112"/>
      <c r="C967" s="107"/>
      <c r="D967" s="107"/>
      <c r="E967" s="120"/>
      <c r="F967" s="120"/>
      <c r="G967" s="128"/>
      <c r="H967" s="110"/>
      <c r="I967" s="111"/>
      <c r="J967" s="11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  <c r="EU967" s="3"/>
      <c r="EV967" s="3"/>
      <c r="EW967" s="3"/>
      <c r="EX967" s="3"/>
      <c r="EY967" s="3"/>
      <c r="EZ967" s="3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  <c r="FL967" s="3"/>
      <c r="FM967" s="3"/>
      <c r="FN967" s="3"/>
      <c r="FO967" s="3"/>
      <c r="FP967" s="3"/>
      <c r="FQ967" s="3"/>
      <c r="FR967" s="3"/>
    </row>
    <row x14ac:dyDescent="0.25" r="968" customHeight="1" ht="15">
      <c r="A968" s="112"/>
      <c r="B968" s="112"/>
      <c r="C968" s="107"/>
      <c r="D968" s="107"/>
      <c r="E968" s="120"/>
      <c r="F968" s="120"/>
      <c r="G968" s="128"/>
      <c r="H968" s="110"/>
      <c r="I968" s="111"/>
      <c r="J968" s="11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  <c r="EU968" s="3"/>
      <c r="EV968" s="3"/>
      <c r="EW968" s="3"/>
      <c r="EX968" s="3"/>
      <c r="EY968" s="3"/>
      <c r="EZ968" s="3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  <c r="FL968" s="3"/>
      <c r="FM968" s="3"/>
      <c r="FN968" s="3"/>
      <c r="FO968" s="3"/>
      <c r="FP968" s="3"/>
      <c r="FQ968" s="3"/>
      <c r="FR968" s="3"/>
    </row>
    <row x14ac:dyDescent="0.25" r="969" customHeight="1" ht="15">
      <c r="A969" s="112"/>
      <c r="B969" s="112"/>
      <c r="C969" s="107"/>
      <c r="D969" s="107"/>
      <c r="E969" s="120"/>
      <c r="F969" s="120"/>
      <c r="G969" s="128"/>
      <c r="H969" s="110"/>
      <c r="I969" s="111"/>
      <c r="J969" s="11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  <c r="EU969" s="3"/>
      <c r="EV969" s="3"/>
      <c r="EW969" s="3"/>
      <c r="EX969" s="3"/>
      <c r="EY969" s="3"/>
      <c r="EZ969" s="3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  <c r="FL969" s="3"/>
      <c r="FM969" s="3"/>
      <c r="FN969" s="3"/>
      <c r="FO969" s="3"/>
      <c r="FP969" s="3"/>
      <c r="FQ969" s="3"/>
      <c r="FR969" s="3"/>
    </row>
    <row x14ac:dyDescent="0.25" r="970" customHeight="1" ht="15">
      <c r="A970" s="112"/>
      <c r="B970" s="112"/>
      <c r="C970" s="107"/>
      <c r="D970" s="107"/>
      <c r="E970" s="120"/>
      <c r="F970" s="120"/>
      <c r="G970" s="128"/>
      <c r="H970" s="110"/>
      <c r="I970" s="111"/>
      <c r="J970" s="11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  <c r="EU970" s="3"/>
      <c r="EV970" s="3"/>
      <c r="EW970" s="3"/>
      <c r="EX970" s="3"/>
      <c r="EY970" s="3"/>
      <c r="EZ970" s="3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  <c r="FL970" s="3"/>
      <c r="FM970" s="3"/>
      <c r="FN970" s="3"/>
      <c r="FO970" s="3"/>
      <c r="FP970" s="3"/>
      <c r="FQ970" s="3"/>
      <c r="FR970" s="3"/>
    </row>
    <row x14ac:dyDescent="0.25" r="971" customHeight="1" ht="15">
      <c r="A971" s="112"/>
      <c r="B971" s="112"/>
      <c r="C971" s="107"/>
      <c r="D971" s="107"/>
      <c r="E971" s="120"/>
      <c r="F971" s="120"/>
      <c r="G971" s="128"/>
      <c r="H971" s="110"/>
      <c r="I971" s="111"/>
      <c r="J971" s="11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  <c r="EU971" s="3"/>
      <c r="EV971" s="3"/>
      <c r="EW971" s="3"/>
      <c r="EX971" s="3"/>
      <c r="EY971" s="3"/>
      <c r="EZ971" s="3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  <c r="FL971" s="3"/>
      <c r="FM971" s="3"/>
      <c r="FN971" s="3"/>
      <c r="FO971" s="3"/>
      <c r="FP971" s="3"/>
      <c r="FQ971" s="3"/>
      <c r="FR971" s="3"/>
    </row>
    <row x14ac:dyDescent="0.25" r="972" customHeight="1" ht="15">
      <c r="A972" s="112"/>
      <c r="B972" s="112"/>
      <c r="C972" s="107"/>
      <c r="D972" s="107"/>
      <c r="E972" s="120"/>
      <c r="F972" s="120"/>
      <c r="G972" s="128"/>
      <c r="H972" s="110"/>
      <c r="I972" s="111"/>
      <c r="J972" s="11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  <c r="EU972" s="3"/>
      <c r="EV972" s="3"/>
      <c r="EW972" s="3"/>
      <c r="EX972" s="3"/>
      <c r="EY972" s="3"/>
      <c r="EZ972" s="3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  <c r="FL972" s="3"/>
      <c r="FM972" s="3"/>
      <c r="FN972" s="3"/>
      <c r="FO972" s="3"/>
      <c r="FP972" s="3"/>
      <c r="FQ972" s="3"/>
      <c r="FR972" s="3"/>
    </row>
    <row x14ac:dyDescent="0.25" r="973" customHeight="1" ht="15">
      <c r="A973" s="112"/>
      <c r="B973" s="112"/>
      <c r="C973" s="107"/>
      <c r="D973" s="107"/>
      <c r="E973" s="120"/>
      <c r="F973" s="120"/>
      <c r="G973" s="128"/>
      <c r="H973" s="110"/>
      <c r="I973" s="111"/>
      <c r="J973" s="11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  <c r="EU973" s="3"/>
      <c r="EV973" s="3"/>
      <c r="EW973" s="3"/>
      <c r="EX973" s="3"/>
      <c r="EY973" s="3"/>
      <c r="EZ973" s="3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  <c r="FL973" s="3"/>
      <c r="FM973" s="3"/>
      <c r="FN973" s="3"/>
      <c r="FO973" s="3"/>
      <c r="FP973" s="3"/>
      <c r="FQ973" s="3"/>
      <c r="FR973" s="3"/>
    </row>
    <row x14ac:dyDescent="0.25" r="974" customHeight="1" ht="15">
      <c r="A974" s="112"/>
      <c r="B974" s="112"/>
      <c r="C974" s="107"/>
      <c r="D974" s="107"/>
      <c r="E974" s="120"/>
      <c r="F974" s="120"/>
      <c r="G974" s="128"/>
      <c r="H974" s="110"/>
      <c r="I974" s="111"/>
      <c r="J974" s="11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  <c r="EU974" s="3"/>
      <c r="EV974" s="3"/>
      <c r="EW974" s="3"/>
      <c r="EX974" s="3"/>
      <c r="EY974" s="3"/>
      <c r="EZ974" s="3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  <c r="FL974" s="3"/>
      <c r="FM974" s="3"/>
      <c r="FN974" s="3"/>
      <c r="FO974" s="3"/>
      <c r="FP974" s="3"/>
      <c r="FQ974" s="3"/>
      <c r="FR974" s="3"/>
    </row>
    <row x14ac:dyDescent="0.25" r="975" customHeight="1" ht="15">
      <c r="A975" s="112"/>
      <c r="B975" s="112"/>
      <c r="C975" s="107"/>
      <c r="D975" s="107"/>
      <c r="E975" s="120"/>
      <c r="F975" s="120"/>
      <c r="G975" s="128"/>
      <c r="H975" s="110"/>
      <c r="I975" s="111"/>
      <c r="J975" s="11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  <c r="EU975" s="3"/>
      <c r="EV975" s="3"/>
      <c r="EW975" s="3"/>
      <c r="EX975" s="3"/>
      <c r="EY975" s="3"/>
      <c r="EZ975" s="3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  <c r="FL975" s="3"/>
      <c r="FM975" s="3"/>
      <c r="FN975" s="3"/>
      <c r="FO975" s="3"/>
      <c r="FP975" s="3"/>
      <c r="FQ975" s="3"/>
      <c r="FR975" s="3"/>
    </row>
    <row x14ac:dyDescent="0.25" r="976" customHeight="1" ht="15">
      <c r="A976" s="112"/>
      <c r="B976" s="112"/>
      <c r="C976" s="107"/>
      <c r="D976" s="107"/>
      <c r="E976" s="120"/>
      <c r="F976" s="120"/>
      <c r="G976" s="128"/>
      <c r="H976" s="110"/>
      <c r="I976" s="111"/>
      <c r="J976" s="11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  <c r="EU976" s="3"/>
      <c r="EV976" s="3"/>
      <c r="EW976" s="3"/>
      <c r="EX976" s="3"/>
      <c r="EY976" s="3"/>
      <c r="EZ976" s="3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  <c r="FL976" s="3"/>
      <c r="FM976" s="3"/>
      <c r="FN976" s="3"/>
      <c r="FO976" s="3"/>
      <c r="FP976" s="3"/>
      <c r="FQ976" s="3"/>
      <c r="FR976" s="3"/>
    </row>
    <row x14ac:dyDescent="0.25" r="977" customHeight="1" ht="15">
      <c r="A977" s="112"/>
      <c r="B977" s="112"/>
      <c r="C977" s="107"/>
      <c r="D977" s="107"/>
      <c r="E977" s="120"/>
      <c r="F977" s="120"/>
      <c r="G977" s="128"/>
      <c r="H977" s="110"/>
      <c r="I977" s="111"/>
      <c r="J977" s="11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  <c r="EU977" s="3"/>
      <c r="EV977" s="3"/>
      <c r="EW977" s="3"/>
      <c r="EX977" s="3"/>
      <c r="EY977" s="3"/>
      <c r="EZ977" s="3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  <c r="FL977" s="3"/>
      <c r="FM977" s="3"/>
      <c r="FN977" s="3"/>
      <c r="FO977" s="3"/>
      <c r="FP977" s="3"/>
      <c r="FQ977" s="3"/>
      <c r="FR977" s="3"/>
    </row>
    <row x14ac:dyDescent="0.25" r="978" customHeight="1" ht="15">
      <c r="A978" s="112"/>
      <c r="B978" s="112"/>
      <c r="C978" s="107"/>
      <c r="D978" s="107"/>
      <c r="E978" s="120"/>
      <c r="F978" s="120"/>
      <c r="G978" s="128"/>
      <c r="H978" s="110"/>
      <c r="I978" s="111"/>
      <c r="J978" s="11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  <c r="EU978" s="3"/>
      <c r="EV978" s="3"/>
      <c r="EW978" s="3"/>
      <c r="EX978" s="3"/>
      <c r="EY978" s="3"/>
      <c r="EZ978" s="3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  <c r="FL978" s="3"/>
      <c r="FM978" s="3"/>
      <c r="FN978" s="3"/>
      <c r="FO978" s="3"/>
      <c r="FP978" s="3"/>
      <c r="FQ978" s="3"/>
      <c r="FR978" s="3"/>
    </row>
    <row x14ac:dyDescent="0.25" r="979" customHeight="1" ht="15">
      <c r="A979" s="112"/>
      <c r="B979" s="112"/>
      <c r="C979" s="107"/>
      <c r="D979" s="107"/>
      <c r="E979" s="120"/>
      <c r="F979" s="120"/>
      <c r="G979" s="128"/>
      <c r="H979" s="110"/>
      <c r="I979" s="111"/>
      <c r="J979" s="11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  <c r="EU979" s="3"/>
      <c r="EV979" s="3"/>
      <c r="EW979" s="3"/>
      <c r="EX979" s="3"/>
      <c r="EY979" s="3"/>
      <c r="EZ979" s="3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  <c r="FL979" s="3"/>
      <c r="FM979" s="3"/>
      <c r="FN979" s="3"/>
      <c r="FO979" s="3"/>
      <c r="FP979" s="3"/>
      <c r="FQ979" s="3"/>
      <c r="FR979" s="3"/>
    </row>
    <row x14ac:dyDescent="0.25" r="980" customHeight="1" ht="15">
      <c r="A980" s="112"/>
      <c r="B980" s="112"/>
      <c r="C980" s="107"/>
      <c r="D980" s="107"/>
      <c r="E980" s="120"/>
      <c r="F980" s="120"/>
      <c r="G980" s="128"/>
      <c r="H980" s="110"/>
      <c r="I980" s="111"/>
      <c r="J980" s="11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  <c r="EU980" s="3"/>
      <c r="EV980" s="3"/>
      <c r="EW980" s="3"/>
      <c r="EX980" s="3"/>
      <c r="EY980" s="3"/>
      <c r="EZ980" s="3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  <c r="FL980" s="3"/>
      <c r="FM980" s="3"/>
      <c r="FN980" s="3"/>
      <c r="FO980" s="3"/>
      <c r="FP980" s="3"/>
      <c r="FQ980" s="3"/>
      <c r="FR980" s="3"/>
    </row>
    <row x14ac:dyDescent="0.25" r="981" customHeight="1" ht="15">
      <c r="A981" s="112"/>
      <c r="B981" s="112"/>
      <c r="C981" s="107"/>
      <c r="D981" s="107"/>
      <c r="E981" s="120"/>
      <c r="F981" s="120"/>
      <c r="G981" s="128"/>
      <c r="H981" s="110"/>
      <c r="I981" s="111"/>
      <c r="J981" s="11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  <c r="EU981" s="3"/>
      <c r="EV981" s="3"/>
      <c r="EW981" s="3"/>
      <c r="EX981" s="3"/>
      <c r="EY981" s="3"/>
      <c r="EZ981" s="3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  <c r="FL981" s="3"/>
      <c r="FM981" s="3"/>
      <c r="FN981" s="3"/>
      <c r="FO981" s="3"/>
      <c r="FP981" s="3"/>
      <c r="FQ981" s="3"/>
      <c r="FR981" s="3"/>
    </row>
    <row x14ac:dyDescent="0.25" r="982" customHeight="1" ht="15">
      <c r="A982" s="112"/>
      <c r="B982" s="112"/>
      <c r="C982" s="107"/>
      <c r="D982" s="107"/>
      <c r="E982" s="120"/>
      <c r="F982" s="120"/>
      <c r="G982" s="128"/>
      <c r="H982" s="110"/>
      <c r="I982" s="111"/>
      <c r="J982" s="11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  <c r="EU982" s="3"/>
      <c r="EV982" s="3"/>
      <c r="EW982" s="3"/>
      <c r="EX982" s="3"/>
      <c r="EY982" s="3"/>
      <c r="EZ982" s="3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  <c r="FL982" s="3"/>
      <c r="FM982" s="3"/>
      <c r="FN982" s="3"/>
      <c r="FO982" s="3"/>
      <c r="FP982" s="3"/>
      <c r="FQ982" s="3"/>
      <c r="FR982" s="3"/>
    </row>
    <row x14ac:dyDescent="0.25" r="983" customHeight="1" ht="15">
      <c r="A983" s="112"/>
      <c r="B983" s="112"/>
      <c r="C983" s="107"/>
      <c r="D983" s="107"/>
      <c r="E983" s="120"/>
      <c r="F983" s="120"/>
      <c r="G983" s="128"/>
      <c r="H983" s="110"/>
      <c r="I983" s="111"/>
      <c r="J983" s="11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  <c r="EU983" s="3"/>
      <c r="EV983" s="3"/>
      <c r="EW983" s="3"/>
      <c r="EX983" s="3"/>
      <c r="EY983" s="3"/>
      <c r="EZ983" s="3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  <c r="FL983" s="3"/>
      <c r="FM983" s="3"/>
      <c r="FN983" s="3"/>
      <c r="FO983" s="3"/>
      <c r="FP983" s="3"/>
      <c r="FQ983" s="3"/>
      <c r="FR983" s="3"/>
    </row>
    <row x14ac:dyDescent="0.25" r="984" customHeight="1" ht="15">
      <c r="A984" s="112"/>
      <c r="B984" s="112"/>
      <c r="C984" s="107"/>
      <c r="D984" s="107"/>
      <c r="E984" s="120"/>
      <c r="F984" s="120"/>
      <c r="G984" s="128"/>
      <c r="H984" s="110"/>
      <c r="I984" s="111"/>
      <c r="J984" s="11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  <c r="EU984" s="3"/>
      <c r="EV984" s="3"/>
      <c r="EW984" s="3"/>
      <c r="EX984" s="3"/>
      <c r="EY984" s="3"/>
      <c r="EZ984" s="3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  <c r="FL984" s="3"/>
      <c r="FM984" s="3"/>
      <c r="FN984" s="3"/>
      <c r="FO984" s="3"/>
      <c r="FP984" s="3"/>
      <c r="FQ984" s="3"/>
      <c r="FR984" s="3"/>
    </row>
    <row x14ac:dyDescent="0.25" r="985" customHeight="1" ht="15">
      <c r="A985" s="112"/>
      <c r="B985" s="112"/>
      <c r="C985" s="107"/>
      <c r="D985" s="107"/>
      <c r="E985" s="120"/>
      <c r="F985" s="120"/>
      <c r="G985" s="128"/>
      <c r="H985" s="110"/>
      <c r="I985" s="111"/>
      <c r="J985" s="11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  <c r="EU985" s="3"/>
      <c r="EV985" s="3"/>
      <c r="EW985" s="3"/>
      <c r="EX985" s="3"/>
      <c r="EY985" s="3"/>
      <c r="EZ985" s="3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  <c r="FL985" s="3"/>
      <c r="FM985" s="3"/>
      <c r="FN985" s="3"/>
      <c r="FO985" s="3"/>
      <c r="FP985" s="3"/>
      <c r="FQ985" s="3"/>
      <c r="FR985" s="3"/>
    </row>
    <row x14ac:dyDescent="0.25" r="986" customHeight="1" ht="15">
      <c r="A986" s="112"/>
      <c r="B986" s="112"/>
      <c r="C986" s="107"/>
      <c r="D986" s="107"/>
      <c r="E986" s="120"/>
      <c r="F986" s="120"/>
      <c r="G986" s="128"/>
      <c r="H986" s="110"/>
      <c r="I986" s="111"/>
      <c r="J986" s="11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  <c r="EU986" s="3"/>
      <c r="EV986" s="3"/>
      <c r="EW986" s="3"/>
      <c r="EX986" s="3"/>
      <c r="EY986" s="3"/>
      <c r="EZ986" s="3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  <c r="FL986" s="3"/>
      <c r="FM986" s="3"/>
      <c r="FN986" s="3"/>
      <c r="FO986" s="3"/>
      <c r="FP986" s="3"/>
      <c r="FQ986" s="3"/>
      <c r="FR986" s="3"/>
    </row>
    <row x14ac:dyDescent="0.25" r="987" customHeight="1" ht="15">
      <c r="A987" s="112"/>
      <c r="B987" s="112"/>
      <c r="C987" s="107"/>
      <c r="D987" s="107"/>
      <c r="E987" s="120"/>
      <c r="F987" s="120"/>
      <c r="G987" s="128"/>
      <c r="H987" s="110"/>
      <c r="I987" s="111"/>
      <c r="J987" s="11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  <c r="EU987" s="3"/>
      <c r="EV987" s="3"/>
      <c r="EW987" s="3"/>
      <c r="EX987" s="3"/>
      <c r="EY987" s="3"/>
      <c r="EZ987" s="3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  <c r="FL987" s="3"/>
      <c r="FM987" s="3"/>
      <c r="FN987" s="3"/>
      <c r="FO987" s="3"/>
      <c r="FP987" s="3"/>
      <c r="FQ987" s="3"/>
      <c r="FR987" s="3"/>
    </row>
    <row x14ac:dyDescent="0.25" r="988" customHeight="1" ht="15">
      <c r="A988" s="112"/>
      <c r="B988" s="112"/>
      <c r="C988" s="107"/>
      <c r="D988" s="107"/>
      <c r="E988" s="120"/>
      <c r="F988" s="120"/>
      <c r="G988" s="128"/>
      <c r="H988" s="110"/>
      <c r="I988" s="111"/>
      <c r="J988" s="11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  <c r="EU988" s="3"/>
      <c r="EV988" s="3"/>
      <c r="EW988" s="3"/>
      <c r="EX988" s="3"/>
      <c r="EY988" s="3"/>
      <c r="EZ988" s="3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  <c r="FL988" s="3"/>
      <c r="FM988" s="3"/>
      <c r="FN988" s="3"/>
      <c r="FO988" s="3"/>
      <c r="FP988" s="3"/>
      <c r="FQ988" s="3"/>
      <c r="FR988" s="3"/>
    </row>
    <row x14ac:dyDescent="0.25" r="989" customHeight="1" ht="15">
      <c r="A989" s="112"/>
      <c r="B989" s="112"/>
      <c r="C989" s="107"/>
      <c r="D989" s="107"/>
      <c r="E989" s="120"/>
      <c r="F989" s="120"/>
      <c r="G989" s="128"/>
      <c r="H989" s="110"/>
      <c r="I989" s="111"/>
      <c r="J989" s="11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  <c r="EU989" s="3"/>
      <c r="EV989" s="3"/>
      <c r="EW989" s="3"/>
      <c r="EX989" s="3"/>
      <c r="EY989" s="3"/>
      <c r="EZ989" s="3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  <c r="FL989" s="3"/>
      <c r="FM989" s="3"/>
      <c r="FN989" s="3"/>
      <c r="FO989" s="3"/>
      <c r="FP989" s="3"/>
      <c r="FQ989" s="3"/>
      <c r="FR989" s="3"/>
    </row>
    <row x14ac:dyDescent="0.25" r="990" customHeight="1" ht="15">
      <c r="A990" s="112"/>
      <c r="B990" s="112"/>
      <c r="C990" s="107"/>
      <c r="D990" s="107"/>
      <c r="E990" s="120"/>
      <c r="F990" s="120"/>
      <c r="G990" s="128"/>
      <c r="H990" s="110"/>
      <c r="I990" s="111"/>
      <c r="J990" s="11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  <c r="EU990" s="3"/>
      <c r="EV990" s="3"/>
      <c r="EW990" s="3"/>
      <c r="EX990" s="3"/>
      <c r="EY990" s="3"/>
      <c r="EZ990" s="3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  <c r="FL990" s="3"/>
      <c r="FM990" s="3"/>
      <c r="FN990" s="3"/>
      <c r="FO990" s="3"/>
      <c r="FP990" s="3"/>
      <c r="FQ990" s="3"/>
      <c r="FR990" s="3"/>
    </row>
    <row x14ac:dyDescent="0.25" r="991" customHeight="1" ht="15">
      <c r="A991" s="112"/>
      <c r="B991" s="112"/>
      <c r="C991" s="107"/>
      <c r="D991" s="107"/>
      <c r="E991" s="120"/>
      <c r="F991" s="120"/>
      <c r="G991" s="128"/>
      <c r="H991" s="110"/>
      <c r="I991" s="111"/>
      <c r="J991" s="11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  <c r="EU991" s="3"/>
      <c r="EV991" s="3"/>
      <c r="EW991" s="3"/>
      <c r="EX991" s="3"/>
      <c r="EY991" s="3"/>
      <c r="EZ991" s="3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  <c r="FL991" s="3"/>
      <c r="FM991" s="3"/>
      <c r="FN991" s="3"/>
      <c r="FO991" s="3"/>
      <c r="FP991" s="3"/>
      <c r="FQ991" s="3"/>
      <c r="FR991" s="3"/>
    </row>
    <row x14ac:dyDescent="0.25" r="992" customHeight="1" ht="15">
      <c r="A992" s="112"/>
      <c r="B992" s="112"/>
      <c r="C992" s="107"/>
      <c r="D992" s="107"/>
      <c r="E992" s="120"/>
      <c r="F992" s="120"/>
      <c r="G992" s="128"/>
      <c r="H992" s="110"/>
      <c r="I992" s="111"/>
      <c r="J992" s="11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  <c r="EU992" s="3"/>
      <c r="EV992" s="3"/>
      <c r="EW992" s="3"/>
      <c r="EX992" s="3"/>
      <c r="EY992" s="3"/>
      <c r="EZ992" s="3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  <c r="FL992" s="3"/>
      <c r="FM992" s="3"/>
      <c r="FN992" s="3"/>
      <c r="FO992" s="3"/>
      <c r="FP992" s="3"/>
      <c r="FQ992" s="3"/>
      <c r="FR992" s="3"/>
    </row>
    <row x14ac:dyDescent="0.25" r="993" customHeight="1" ht="15">
      <c r="A993" s="112"/>
      <c r="B993" s="112"/>
      <c r="C993" s="107"/>
      <c r="D993" s="107"/>
      <c r="E993" s="120"/>
      <c r="F993" s="120"/>
      <c r="G993" s="128"/>
      <c r="H993" s="110"/>
      <c r="I993" s="111"/>
      <c r="J993" s="11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  <c r="EU993" s="3"/>
      <c r="EV993" s="3"/>
      <c r="EW993" s="3"/>
      <c r="EX993" s="3"/>
      <c r="EY993" s="3"/>
      <c r="EZ993" s="3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  <c r="FL993" s="3"/>
      <c r="FM993" s="3"/>
      <c r="FN993" s="3"/>
      <c r="FO993" s="3"/>
      <c r="FP993" s="3"/>
      <c r="FQ993" s="3"/>
      <c r="FR993" s="3"/>
    </row>
    <row x14ac:dyDescent="0.25" r="994" customHeight="1" ht="15">
      <c r="A994" s="112"/>
      <c r="B994" s="112"/>
      <c r="C994" s="107"/>
      <c r="D994" s="107"/>
      <c r="E994" s="120"/>
      <c r="F994" s="120"/>
      <c r="G994" s="128"/>
      <c r="H994" s="110"/>
      <c r="I994" s="111"/>
      <c r="J994" s="11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  <c r="EU994" s="3"/>
      <c r="EV994" s="3"/>
      <c r="EW994" s="3"/>
      <c r="EX994" s="3"/>
      <c r="EY994" s="3"/>
      <c r="EZ994" s="3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  <c r="FL994" s="3"/>
      <c r="FM994" s="3"/>
      <c r="FN994" s="3"/>
      <c r="FO994" s="3"/>
      <c r="FP994" s="3"/>
      <c r="FQ994" s="3"/>
      <c r="FR994" s="3"/>
    </row>
    <row x14ac:dyDescent="0.25" r="995" customHeight="1" ht="15">
      <c r="A995" s="112"/>
      <c r="B995" s="112"/>
      <c r="C995" s="107"/>
      <c r="D995" s="107"/>
      <c r="E995" s="120"/>
      <c r="F995" s="120"/>
      <c r="G995" s="128"/>
      <c r="H995" s="110"/>
      <c r="I995" s="111"/>
      <c r="J995" s="11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  <c r="EU995" s="3"/>
      <c r="EV995" s="3"/>
      <c r="EW995" s="3"/>
      <c r="EX995" s="3"/>
      <c r="EY995" s="3"/>
      <c r="EZ995" s="3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  <c r="FL995" s="3"/>
      <c r="FM995" s="3"/>
      <c r="FN995" s="3"/>
      <c r="FO995" s="3"/>
      <c r="FP995" s="3"/>
      <c r="FQ995" s="3"/>
      <c r="FR995" s="3"/>
    </row>
    <row x14ac:dyDescent="0.25" r="996" customHeight="1" ht="15">
      <c r="A996" s="112"/>
      <c r="B996" s="112"/>
      <c r="C996" s="107"/>
      <c r="D996" s="107"/>
      <c r="E996" s="120"/>
      <c r="F996" s="120"/>
      <c r="G996" s="128"/>
      <c r="H996" s="110"/>
      <c r="I996" s="111"/>
      <c r="J996" s="11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  <c r="EU996" s="3"/>
      <c r="EV996" s="3"/>
      <c r="EW996" s="3"/>
      <c r="EX996" s="3"/>
      <c r="EY996" s="3"/>
      <c r="EZ996" s="3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  <c r="FL996" s="3"/>
      <c r="FM996" s="3"/>
      <c r="FN996" s="3"/>
      <c r="FO996" s="3"/>
      <c r="FP996" s="3"/>
      <c r="FQ996" s="3"/>
      <c r="FR996" s="3"/>
    </row>
    <row x14ac:dyDescent="0.25" r="997" customHeight="1" ht="15">
      <c r="A997" s="112"/>
      <c r="B997" s="112"/>
      <c r="C997" s="107"/>
      <c r="D997" s="107"/>
      <c r="E997" s="120"/>
      <c r="F997" s="120"/>
      <c r="G997" s="128"/>
      <c r="H997" s="110"/>
      <c r="I997" s="111"/>
      <c r="J997" s="11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  <c r="DG997" s="3"/>
      <c r="DH997" s="3"/>
      <c r="DI997" s="3"/>
      <c r="DJ997" s="3"/>
      <c r="DK997" s="3"/>
      <c r="DL997" s="3"/>
      <c r="DM997" s="3"/>
      <c r="DN997" s="3"/>
      <c r="DO997" s="3"/>
      <c r="DP997" s="3"/>
      <c r="DQ997" s="3"/>
      <c r="DR997" s="3"/>
      <c r="DS997" s="3"/>
      <c r="DT997" s="3"/>
      <c r="DU997" s="3"/>
      <c r="DV997" s="3"/>
      <c r="DW997" s="3"/>
      <c r="DX997" s="3"/>
      <c r="DY997" s="3"/>
      <c r="DZ997" s="3"/>
      <c r="EA997" s="3"/>
      <c r="EB997" s="3"/>
      <c r="EC997" s="3"/>
      <c r="ED997" s="3"/>
      <c r="EE997" s="3"/>
      <c r="EF997" s="3"/>
      <c r="EG997" s="3"/>
      <c r="EH997" s="3"/>
      <c r="EI997" s="3"/>
      <c r="EJ997" s="3"/>
      <c r="EK997" s="3"/>
      <c r="EL997" s="3"/>
      <c r="EM997" s="3"/>
      <c r="EN997" s="3"/>
      <c r="EO997" s="3"/>
      <c r="EP997" s="3"/>
      <c r="EQ997" s="3"/>
      <c r="ER997" s="3"/>
      <c r="ES997" s="3"/>
      <c r="ET997" s="3"/>
      <c r="EU997" s="3"/>
      <c r="EV997" s="3"/>
      <c r="EW997" s="3"/>
      <c r="EX997" s="3"/>
      <c r="EY997" s="3"/>
      <c r="EZ997" s="3"/>
      <c r="FA997" s="3"/>
      <c r="FB997" s="3"/>
      <c r="FC997" s="3"/>
      <c r="FD997" s="3"/>
      <c r="FE997" s="3"/>
      <c r="FF997" s="3"/>
      <c r="FG997" s="3"/>
      <c r="FH997" s="3"/>
      <c r="FI997" s="3"/>
      <c r="FJ997" s="3"/>
      <c r="FK997" s="3"/>
      <c r="FL997" s="3"/>
      <c r="FM997" s="3"/>
      <c r="FN997" s="3"/>
      <c r="FO997" s="3"/>
      <c r="FP997" s="3"/>
      <c r="FQ997" s="3"/>
      <c r="FR997" s="3"/>
    </row>
    <row x14ac:dyDescent="0.25" r="998" customHeight="1" ht="15">
      <c r="A998" s="112"/>
      <c r="B998" s="112"/>
      <c r="C998" s="107"/>
      <c r="D998" s="107"/>
      <c r="E998" s="120"/>
      <c r="F998" s="120"/>
      <c r="G998" s="128"/>
      <c r="H998" s="110"/>
      <c r="I998" s="111"/>
      <c r="J998" s="11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  <c r="DG998" s="3"/>
      <c r="DH998" s="3"/>
      <c r="DI998" s="3"/>
      <c r="DJ998" s="3"/>
      <c r="DK998" s="3"/>
      <c r="DL998" s="3"/>
      <c r="DM998" s="3"/>
      <c r="DN998" s="3"/>
      <c r="DO998" s="3"/>
      <c r="DP998" s="3"/>
      <c r="DQ998" s="3"/>
      <c r="DR998" s="3"/>
      <c r="DS998" s="3"/>
      <c r="DT998" s="3"/>
      <c r="DU998" s="3"/>
      <c r="DV998" s="3"/>
      <c r="DW998" s="3"/>
      <c r="DX998" s="3"/>
      <c r="DY998" s="3"/>
      <c r="DZ998" s="3"/>
      <c r="EA998" s="3"/>
      <c r="EB998" s="3"/>
      <c r="EC998" s="3"/>
      <c r="ED998" s="3"/>
      <c r="EE998" s="3"/>
      <c r="EF998" s="3"/>
      <c r="EG998" s="3"/>
      <c r="EH998" s="3"/>
      <c r="EI998" s="3"/>
      <c r="EJ998" s="3"/>
      <c r="EK998" s="3"/>
      <c r="EL998" s="3"/>
      <c r="EM998" s="3"/>
      <c r="EN998" s="3"/>
      <c r="EO998" s="3"/>
      <c r="EP998" s="3"/>
      <c r="EQ998" s="3"/>
      <c r="ER998" s="3"/>
      <c r="ES998" s="3"/>
      <c r="ET998" s="3"/>
      <c r="EU998" s="3"/>
      <c r="EV998" s="3"/>
      <c r="EW998" s="3"/>
      <c r="EX998" s="3"/>
      <c r="EY998" s="3"/>
      <c r="EZ998" s="3"/>
      <c r="FA998" s="3"/>
      <c r="FB998" s="3"/>
      <c r="FC998" s="3"/>
      <c r="FD998" s="3"/>
      <c r="FE998" s="3"/>
      <c r="FF998" s="3"/>
      <c r="FG998" s="3"/>
      <c r="FH998" s="3"/>
      <c r="FI998" s="3"/>
      <c r="FJ998" s="3"/>
      <c r="FK998" s="3"/>
      <c r="FL998" s="3"/>
      <c r="FM998" s="3"/>
      <c r="FN998" s="3"/>
      <c r="FO998" s="3"/>
      <c r="FP998" s="3"/>
      <c r="FQ998" s="3"/>
      <c r="FR998" s="3"/>
    </row>
    <row x14ac:dyDescent="0.25" r="999" customHeight="1" ht="15">
      <c r="A999" s="112"/>
      <c r="B999" s="112"/>
      <c r="C999" s="107"/>
      <c r="D999" s="107"/>
      <c r="E999" s="120"/>
      <c r="F999" s="120"/>
      <c r="G999" s="128"/>
      <c r="H999" s="110"/>
      <c r="I999" s="111"/>
      <c r="J999" s="11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  <c r="DG999" s="3"/>
      <c r="DH999" s="3"/>
      <c r="DI999" s="3"/>
      <c r="DJ999" s="3"/>
      <c r="DK999" s="3"/>
      <c r="DL999" s="3"/>
      <c r="DM999" s="3"/>
      <c r="DN999" s="3"/>
      <c r="DO999" s="3"/>
      <c r="DP999" s="3"/>
      <c r="DQ999" s="3"/>
      <c r="DR999" s="3"/>
      <c r="DS999" s="3"/>
      <c r="DT999" s="3"/>
      <c r="DU999" s="3"/>
      <c r="DV999" s="3"/>
      <c r="DW999" s="3"/>
      <c r="DX999" s="3"/>
      <c r="DY999" s="3"/>
      <c r="DZ999" s="3"/>
      <c r="EA999" s="3"/>
      <c r="EB999" s="3"/>
      <c r="EC999" s="3"/>
      <c r="ED999" s="3"/>
      <c r="EE999" s="3"/>
      <c r="EF999" s="3"/>
      <c r="EG999" s="3"/>
      <c r="EH999" s="3"/>
      <c r="EI999" s="3"/>
      <c r="EJ999" s="3"/>
      <c r="EK999" s="3"/>
      <c r="EL999" s="3"/>
      <c r="EM999" s="3"/>
      <c r="EN999" s="3"/>
      <c r="EO999" s="3"/>
      <c r="EP999" s="3"/>
      <c r="EQ999" s="3"/>
      <c r="ER999" s="3"/>
      <c r="ES999" s="3"/>
      <c r="ET999" s="3"/>
      <c r="EU999" s="3"/>
      <c r="EV999" s="3"/>
      <c r="EW999" s="3"/>
      <c r="EX999" s="3"/>
      <c r="EY999" s="3"/>
      <c r="EZ999" s="3"/>
      <c r="FA999" s="3"/>
      <c r="FB999" s="3"/>
      <c r="FC999" s="3"/>
      <c r="FD999" s="3"/>
      <c r="FE999" s="3"/>
      <c r="FF999" s="3"/>
      <c r="FG999" s="3"/>
      <c r="FH999" s="3"/>
      <c r="FI999" s="3"/>
      <c r="FJ999" s="3"/>
      <c r="FK999" s="3"/>
      <c r="FL999" s="3"/>
      <c r="FM999" s="3"/>
      <c r="FN999" s="3"/>
      <c r="FO999" s="3"/>
      <c r="FP999" s="3"/>
      <c r="FQ999" s="3"/>
      <c r="FR999" s="3"/>
    </row>
    <row x14ac:dyDescent="0.25" r="1000" customHeight="1" ht="15">
      <c r="A1000" s="112"/>
      <c r="B1000" s="112"/>
      <c r="C1000" s="107"/>
      <c r="D1000" s="107"/>
      <c r="E1000" s="120"/>
      <c r="F1000" s="120"/>
      <c r="G1000" s="128"/>
      <c r="H1000" s="110"/>
      <c r="I1000" s="111"/>
      <c r="J1000" s="11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  <c r="DG1000" s="3"/>
      <c r="DH1000" s="3"/>
      <c r="DI1000" s="3"/>
      <c r="DJ1000" s="3"/>
      <c r="DK1000" s="3"/>
      <c r="DL1000" s="3"/>
      <c r="DM1000" s="3"/>
      <c r="DN1000" s="3"/>
      <c r="DO1000" s="3"/>
      <c r="DP1000" s="3"/>
      <c r="DQ1000" s="3"/>
      <c r="DR1000" s="3"/>
      <c r="DS1000" s="3"/>
      <c r="DT1000" s="3"/>
      <c r="DU1000" s="3"/>
      <c r="DV1000" s="3"/>
      <c r="DW1000" s="3"/>
      <c r="DX1000" s="3"/>
      <c r="DY1000" s="3"/>
      <c r="DZ1000" s="3"/>
      <c r="EA1000" s="3"/>
      <c r="EB1000" s="3"/>
      <c r="EC1000" s="3"/>
      <c r="ED1000" s="3"/>
      <c r="EE1000" s="3"/>
      <c r="EF1000" s="3"/>
      <c r="EG1000" s="3"/>
      <c r="EH1000" s="3"/>
      <c r="EI1000" s="3"/>
      <c r="EJ1000" s="3"/>
      <c r="EK1000" s="3"/>
      <c r="EL1000" s="3"/>
      <c r="EM1000" s="3"/>
      <c r="EN1000" s="3"/>
      <c r="EO1000" s="3"/>
      <c r="EP1000" s="3"/>
      <c r="EQ1000" s="3"/>
      <c r="ER1000" s="3"/>
      <c r="ES1000" s="3"/>
      <c r="ET1000" s="3"/>
      <c r="EU1000" s="3"/>
      <c r="EV1000" s="3"/>
      <c r="EW1000" s="3"/>
      <c r="EX1000" s="3"/>
      <c r="EY1000" s="3"/>
      <c r="EZ1000" s="3"/>
      <c r="FA1000" s="3"/>
      <c r="FB1000" s="3"/>
      <c r="FC1000" s="3"/>
      <c r="FD1000" s="3"/>
      <c r="FE1000" s="3"/>
      <c r="FF1000" s="3"/>
      <c r="FG1000" s="3"/>
      <c r="FH1000" s="3"/>
      <c r="FI1000" s="3"/>
      <c r="FJ1000" s="3"/>
      <c r="FK1000" s="3"/>
      <c r="FL1000" s="3"/>
      <c r="FM1000" s="3"/>
      <c r="FN1000" s="3"/>
      <c r="FO1000" s="3"/>
      <c r="FP1000" s="3"/>
      <c r="FQ1000" s="3"/>
      <c r="FR1000" s="3"/>
    </row>
    <row x14ac:dyDescent="0.25" r="1001" customHeight="1" ht="15">
      <c r="A1001" s="112"/>
      <c r="B1001" s="112"/>
      <c r="C1001" s="107"/>
      <c r="D1001" s="107"/>
      <c r="E1001" s="120"/>
      <c r="F1001" s="120"/>
      <c r="G1001" s="128"/>
      <c r="H1001" s="110"/>
      <c r="I1001" s="111"/>
      <c r="J1001" s="11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  <c r="DG1001" s="3"/>
      <c r="DH1001" s="3"/>
      <c r="DI1001" s="3"/>
      <c r="DJ1001" s="3"/>
      <c r="DK1001" s="3"/>
      <c r="DL1001" s="3"/>
      <c r="DM1001" s="3"/>
      <c r="DN1001" s="3"/>
      <c r="DO1001" s="3"/>
      <c r="DP1001" s="3"/>
      <c r="DQ1001" s="3"/>
      <c r="DR1001" s="3"/>
      <c r="DS1001" s="3"/>
      <c r="DT1001" s="3"/>
      <c r="DU1001" s="3"/>
      <c r="DV1001" s="3"/>
      <c r="DW1001" s="3"/>
      <c r="DX1001" s="3"/>
      <c r="DY1001" s="3"/>
      <c r="DZ1001" s="3"/>
      <c r="EA1001" s="3"/>
      <c r="EB1001" s="3"/>
      <c r="EC1001" s="3"/>
      <c r="ED1001" s="3"/>
      <c r="EE1001" s="3"/>
      <c r="EF1001" s="3"/>
      <c r="EG1001" s="3"/>
      <c r="EH1001" s="3"/>
      <c r="EI1001" s="3"/>
      <c r="EJ1001" s="3"/>
      <c r="EK1001" s="3"/>
      <c r="EL1001" s="3"/>
      <c r="EM1001" s="3"/>
      <c r="EN1001" s="3"/>
      <c r="EO1001" s="3"/>
      <c r="EP1001" s="3"/>
      <c r="EQ1001" s="3"/>
      <c r="ER1001" s="3"/>
      <c r="ES1001" s="3"/>
      <c r="ET1001" s="3"/>
      <c r="EU1001" s="3"/>
      <c r="EV1001" s="3"/>
      <c r="EW1001" s="3"/>
      <c r="EX1001" s="3"/>
      <c r="EY1001" s="3"/>
      <c r="EZ1001" s="3"/>
      <c r="FA1001" s="3"/>
      <c r="FB1001" s="3"/>
      <c r="FC1001" s="3"/>
      <c r="FD1001" s="3"/>
      <c r="FE1001" s="3"/>
      <c r="FF1001" s="3"/>
      <c r="FG1001" s="3"/>
      <c r="FH1001" s="3"/>
      <c r="FI1001" s="3"/>
      <c r="FJ1001" s="3"/>
      <c r="FK1001" s="3"/>
      <c r="FL1001" s="3"/>
      <c r="FM1001" s="3"/>
      <c r="FN1001" s="3"/>
      <c r="FO1001" s="3"/>
      <c r="FP1001" s="3"/>
      <c r="FQ1001" s="3"/>
      <c r="FR1001" s="3"/>
    </row>
    <row x14ac:dyDescent="0.25" r="1002" customHeight="1" ht="15">
      <c r="A1002" s="112"/>
      <c r="B1002" s="112"/>
      <c r="C1002" s="107"/>
      <c r="D1002" s="107"/>
      <c r="E1002" s="120"/>
      <c r="F1002" s="120"/>
      <c r="G1002" s="128"/>
      <c r="H1002" s="110"/>
      <c r="I1002" s="111"/>
      <c r="J1002" s="11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  <c r="DG1002" s="3"/>
      <c r="DH1002" s="3"/>
      <c r="DI1002" s="3"/>
      <c r="DJ1002" s="3"/>
      <c r="DK1002" s="3"/>
      <c r="DL1002" s="3"/>
      <c r="DM1002" s="3"/>
      <c r="DN1002" s="3"/>
      <c r="DO1002" s="3"/>
      <c r="DP1002" s="3"/>
      <c r="DQ1002" s="3"/>
      <c r="DR1002" s="3"/>
      <c r="DS1002" s="3"/>
      <c r="DT1002" s="3"/>
      <c r="DU1002" s="3"/>
      <c r="DV1002" s="3"/>
      <c r="DW1002" s="3"/>
      <c r="DX1002" s="3"/>
      <c r="DY1002" s="3"/>
      <c r="DZ1002" s="3"/>
      <c r="EA1002" s="3"/>
      <c r="EB1002" s="3"/>
      <c r="EC1002" s="3"/>
      <c r="ED1002" s="3"/>
      <c r="EE1002" s="3"/>
      <c r="EF1002" s="3"/>
      <c r="EG1002" s="3"/>
      <c r="EH1002" s="3"/>
      <c r="EI1002" s="3"/>
      <c r="EJ1002" s="3"/>
      <c r="EK1002" s="3"/>
      <c r="EL1002" s="3"/>
      <c r="EM1002" s="3"/>
      <c r="EN1002" s="3"/>
      <c r="EO1002" s="3"/>
      <c r="EP1002" s="3"/>
      <c r="EQ1002" s="3"/>
      <c r="ER1002" s="3"/>
      <c r="ES1002" s="3"/>
      <c r="ET1002" s="3"/>
      <c r="EU1002" s="3"/>
      <c r="EV1002" s="3"/>
      <c r="EW1002" s="3"/>
      <c r="EX1002" s="3"/>
      <c r="EY1002" s="3"/>
      <c r="EZ1002" s="3"/>
      <c r="FA1002" s="3"/>
      <c r="FB1002" s="3"/>
      <c r="FC1002" s="3"/>
      <c r="FD1002" s="3"/>
      <c r="FE1002" s="3"/>
      <c r="FF1002" s="3"/>
      <c r="FG1002" s="3"/>
      <c r="FH1002" s="3"/>
      <c r="FI1002" s="3"/>
      <c r="FJ1002" s="3"/>
      <c r="FK1002" s="3"/>
      <c r="FL1002" s="3"/>
      <c r="FM1002" s="3"/>
      <c r="FN1002" s="3"/>
      <c r="FO1002" s="3"/>
      <c r="FP1002" s="3"/>
      <c r="FQ1002" s="3"/>
      <c r="FR1002" s="3"/>
    </row>
    <row x14ac:dyDescent="0.25" r="1003" customHeight="1" ht="15">
      <c r="A1003" s="112"/>
      <c r="B1003" s="112"/>
      <c r="C1003" s="107"/>
      <c r="D1003" s="107"/>
      <c r="E1003" s="120"/>
      <c r="F1003" s="120"/>
      <c r="G1003" s="128"/>
      <c r="H1003" s="110"/>
      <c r="I1003" s="111"/>
      <c r="J1003" s="11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  <c r="DG1003" s="3"/>
      <c r="DH1003" s="3"/>
      <c r="DI1003" s="3"/>
      <c r="DJ1003" s="3"/>
      <c r="DK1003" s="3"/>
      <c r="DL1003" s="3"/>
      <c r="DM1003" s="3"/>
      <c r="DN1003" s="3"/>
      <c r="DO1003" s="3"/>
      <c r="DP1003" s="3"/>
      <c r="DQ1003" s="3"/>
      <c r="DR1003" s="3"/>
      <c r="DS1003" s="3"/>
      <c r="DT1003" s="3"/>
      <c r="DU1003" s="3"/>
      <c r="DV1003" s="3"/>
      <c r="DW1003" s="3"/>
      <c r="DX1003" s="3"/>
      <c r="DY1003" s="3"/>
      <c r="DZ1003" s="3"/>
      <c r="EA1003" s="3"/>
      <c r="EB1003" s="3"/>
      <c r="EC1003" s="3"/>
      <c r="ED1003" s="3"/>
      <c r="EE1003" s="3"/>
      <c r="EF1003" s="3"/>
      <c r="EG1003" s="3"/>
      <c r="EH1003" s="3"/>
      <c r="EI1003" s="3"/>
      <c r="EJ1003" s="3"/>
      <c r="EK1003" s="3"/>
      <c r="EL1003" s="3"/>
      <c r="EM1003" s="3"/>
      <c r="EN1003" s="3"/>
      <c r="EO1003" s="3"/>
      <c r="EP1003" s="3"/>
      <c r="EQ1003" s="3"/>
      <c r="ER1003" s="3"/>
      <c r="ES1003" s="3"/>
      <c r="ET1003" s="3"/>
      <c r="EU1003" s="3"/>
      <c r="EV1003" s="3"/>
      <c r="EW1003" s="3"/>
      <c r="EX1003" s="3"/>
      <c r="EY1003" s="3"/>
      <c r="EZ1003" s="3"/>
      <c r="FA1003" s="3"/>
      <c r="FB1003" s="3"/>
      <c r="FC1003" s="3"/>
      <c r="FD1003" s="3"/>
      <c r="FE1003" s="3"/>
      <c r="FF1003" s="3"/>
      <c r="FG1003" s="3"/>
      <c r="FH1003" s="3"/>
      <c r="FI1003" s="3"/>
      <c r="FJ1003" s="3"/>
      <c r="FK1003" s="3"/>
      <c r="FL1003" s="3"/>
      <c r="FM1003" s="3"/>
      <c r="FN1003" s="3"/>
      <c r="FO1003" s="3"/>
      <c r="FP1003" s="3"/>
      <c r="FQ1003" s="3"/>
      <c r="FR1003" s="3"/>
    </row>
    <row x14ac:dyDescent="0.25" r="1004" customHeight="1" ht="15">
      <c r="A1004" s="112"/>
      <c r="B1004" s="112"/>
      <c r="C1004" s="107"/>
      <c r="D1004" s="107"/>
      <c r="E1004" s="120"/>
      <c r="F1004" s="120"/>
      <c r="G1004" s="128"/>
      <c r="H1004" s="110"/>
      <c r="I1004" s="111"/>
      <c r="J1004" s="11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  <c r="DG1004" s="3"/>
      <c r="DH1004" s="3"/>
      <c r="DI1004" s="3"/>
      <c r="DJ1004" s="3"/>
      <c r="DK1004" s="3"/>
      <c r="DL1004" s="3"/>
      <c r="DM1004" s="3"/>
      <c r="DN1004" s="3"/>
      <c r="DO1004" s="3"/>
      <c r="DP1004" s="3"/>
      <c r="DQ1004" s="3"/>
      <c r="DR1004" s="3"/>
      <c r="DS1004" s="3"/>
      <c r="DT1004" s="3"/>
      <c r="DU1004" s="3"/>
      <c r="DV1004" s="3"/>
      <c r="DW1004" s="3"/>
      <c r="DX1004" s="3"/>
      <c r="DY1004" s="3"/>
      <c r="DZ1004" s="3"/>
      <c r="EA1004" s="3"/>
      <c r="EB1004" s="3"/>
      <c r="EC1004" s="3"/>
      <c r="ED1004" s="3"/>
      <c r="EE1004" s="3"/>
      <c r="EF1004" s="3"/>
      <c r="EG1004" s="3"/>
      <c r="EH1004" s="3"/>
      <c r="EI1004" s="3"/>
      <c r="EJ1004" s="3"/>
      <c r="EK1004" s="3"/>
      <c r="EL1004" s="3"/>
      <c r="EM1004" s="3"/>
      <c r="EN1004" s="3"/>
      <c r="EO1004" s="3"/>
      <c r="EP1004" s="3"/>
      <c r="EQ1004" s="3"/>
      <c r="ER1004" s="3"/>
      <c r="ES1004" s="3"/>
      <c r="ET1004" s="3"/>
      <c r="EU1004" s="3"/>
      <c r="EV1004" s="3"/>
      <c r="EW1004" s="3"/>
      <c r="EX1004" s="3"/>
      <c r="EY1004" s="3"/>
      <c r="EZ1004" s="3"/>
      <c r="FA1004" s="3"/>
      <c r="FB1004" s="3"/>
      <c r="FC1004" s="3"/>
      <c r="FD1004" s="3"/>
      <c r="FE1004" s="3"/>
      <c r="FF1004" s="3"/>
      <c r="FG1004" s="3"/>
      <c r="FH1004" s="3"/>
      <c r="FI1004" s="3"/>
      <c r="FJ1004" s="3"/>
      <c r="FK1004" s="3"/>
      <c r="FL1004" s="3"/>
      <c r="FM1004" s="3"/>
      <c r="FN1004" s="3"/>
      <c r="FO1004" s="3"/>
      <c r="FP1004" s="3"/>
      <c r="FQ1004" s="3"/>
      <c r="FR1004" s="3"/>
    </row>
    <row x14ac:dyDescent="0.25" r="1005" customHeight="1" ht="15">
      <c r="A1005" s="112"/>
      <c r="B1005" s="112"/>
      <c r="C1005" s="107"/>
      <c r="D1005" s="107"/>
      <c r="E1005" s="120"/>
      <c r="F1005" s="120"/>
      <c r="G1005" s="128"/>
      <c r="H1005" s="110"/>
      <c r="I1005" s="111"/>
      <c r="J1005" s="11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  <c r="DG1005" s="3"/>
      <c r="DH1005" s="3"/>
      <c r="DI1005" s="3"/>
      <c r="DJ1005" s="3"/>
      <c r="DK1005" s="3"/>
      <c r="DL1005" s="3"/>
      <c r="DM1005" s="3"/>
      <c r="DN1005" s="3"/>
      <c r="DO1005" s="3"/>
      <c r="DP1005" s="3"/>
      <c r="DQ1005" s="3"/>
      <c r="DR1005" s="3"/>
      <c r="DS1005" s="3"/>
      <c r="DT1005" s="3"/>
      <c r="DU1005" s="3"/>
      <c r="DV1005" s="3"/>
      <c r="DW1005" s="3"/>
      <c r="DX1005" s="3"/>
      <c r="DY1005" s="3"/>
      <c r="DZ1005" s="3"/>
      <c r="EA1005" s="3"/>
      <c r="EB1005" s="3"/>
      <c r="EC1005" s="3"/>
      <c r="ED1005" s="3"/>
      <c r="EE1005" s="3"/>
      <c r="EF1005" s="3"/>
      <c r="EG1005" s="3"/>
      <c r="EH1005" s="3"/>
      <c r="EI1005" s="3"/>
      <c r="EJ1005" s="3"/>
      <c r="EK1005" s="3"/>
      <c r="EL1005" s="3"/>
      <c r="EM1005" s="3"/>
      <c r="EN1005" s="3"/>
      <c r="EO1005" s="3"/>
      <c r="EP1005" s="3"/>
      <c r="EQ1005" s="3"/>
      <c r="ER1005" s="3"/>
      <c r="ES1005" s="3"/>
      <c r="ET1005" s="3"/>
      <c r="EU1005" s="3"/>
      <c r="EV1005" s="3"/>
      <c r="EW1005" s="3"/>
      <c r="EX1005" s="3"/>
      <c r="EY1005" s="3"/>
      <c r="EZ1005" s="3"/>
      <c r="FA1005" s="3"/>
      <c r="FB1005" s="3"/>
      <c r="FC1005" s="3"/>
      <c r="FD1005" s="3"/>
      <c r="FE1005" s="3"/>
      <c r="FF1005" s="3"/>
      <c r="FG1005" s="3"/>
      <c r="FH1005" s="3"/>
      <c r="FI1005" s="3"/>
      <c r="FJ1005" s="3"/>
      <c r="FK1005" s="3"/>
      <c r="FL1005" s="3"/>
      <c r="FM1005" s="3"/>
      <c r="FN1005" s="3"/>
      <c r="FO1005" s="3"/>
      <c r="FP1005" s="3"/>
      <c r="FQ1005" s="3"/>
      <c r="FR1005" s="3"/>
    </row>
    <row x14ac:dyDescent="0.25" r="1006" customHeight="1" ht="15">
      <c r="A1006" s="112"/>
      <c r="B1006" s="112"/>
      <c r="C1006" s="107"/>
      <c r="D1006" s="107"/>
      <c r="E1006" s="120"/>
      <c r="F1006" s="120"/>
      <c r="G1006" s="128"/>
      <c r="H1006" s="110"/>
      <c r="I1006" s="111"/>
      <c r="J1006" s="11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  <c r="DG1006" s="3"/>
      <c r="DH1006" s="3"/>
      <c r="DI1006" s="3"/>
      <c r="DJ1006" s="3"/>
      <c r="DK1006" s="3"/>
      <c r="DL1006" s="3"/>
      <c r="DM1006" s="3"/>
      <c r="DN1006" s="3"/>
      <c r="DO1006" s="3"/>
      <c r="DP1006" s="3"/>
      <c r="DQ1006" s="3"/>
      <c r="DR1006" s="3"/>
      <c r="DS1006" s="3"/>
      <c r="DT1006" s="3"/>
      <c r="DU1006" s="3"/>
      <c r="DV1006" s="3"/>
      <c r="DW1006" s="3"/>
      <c r="DX1006" s="3"/>
      <c r="DY1006" s="3"/>
      <c r="DZ1006" s="3"/>
      <c r="EA1006" s="3"/>
      <c r="EB1006" s="3"/>
      <c r="EC1006" s="3"/>
      <c r="ED1006" s="3"/>
      <c r="EE1006" s="3"/>
      <c r="EF1006" s="3"/>
      <c r="EG1006" s="3"/>
      <c r="EH1006" s="3"/>
      <c r="EI1006" s="3"/>
      <c r="EJ1006" s="3"/>
      <c r="EK1006" s="3"/>
      <c r="EL1006" s="3"/>
      <c r="EM1006" s="3"/>
      <c r="EN1006" s="3"/>
      <c r="EO1006" s="3"/>
      <c r="EP1006" s="3"/>
      <c r="EQ1006" s="3"/>
      <c r="ER1006" s="3"/>
      <c r="ES1006" s="3"/>
      <c r="ET1006" s="3"/>
      <c r="EU1006" s="3"/>
      <c r="EV1006" s="3"/>
      <c r="EW1006" s="3"/>
      <c r="EX1006" s="3"/>
      <c r="EY1006" s="3"/>
      <c r="EZ1006" s="3"/>
      <c r="FA1006" s="3"/>
      <c r="FB1006" s="3"/>
      <c r="FC1006" s="3"/>
      <c r="FD1006" s="3"/>
      <c r="FE1006" s="3"/>
      <c r="FF1006" s="3"/>
      <c r="FG1006" s="3"/>
      <c r="FH1006" s="3"/>
      <c r="FI1006" s="3"/>
      <c r="FJ1006" s="3"/>
      <c r="FK1006" s="3"/>
      <c r="FL1006" s="3"/>
      <c r="FM1006" s="3"/>
      <c r="FN1006" s="3"/>
      <c r="FO1006" s="3"/>
      <c r="FP1006" s="3"/>
      <c r="FQ1006" s="3"/>
      <c r="FR1006" s="3"/>
    </row>
    <row x14ac:dyDescent="0.25" r="1007" customHeight="1" ht="15">
      <c r="A1007" s="112"/>
      <c r="B1007" s="112"/>
      <c r="C1007" s="107"/>
      <c r="D1007" s="107"/>
      <c r="E1007" s="120"/>
      <c r="F1007" s="120"/>
      <c r="G1007" s="128"/>
      <c r="H1007" s="110"/>
      <c r="I1007" s="111"/>
      <c r="J1007" s="11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  <c r="DG1007" s="3"/>
      <c r="DH1007" s="3"/>
      <c r="DI1007" s="3"/>
      <c r="DJ1007" s="3"/>
      <c r="DK1007" s="3"/>
      <c r="DL1007" s="3"/>
      <c r="DM1007" s="3"/>
      <c r="DN1007" s="3"/>
      <c r="DO1007" s="3"/>
      <c r="DP1007" s="3"/>
      <c r="DQ1007" s="3"/>
      <c r="DR1007" s="3"/>
      <c r="DS1007" s="3"/>
      <c r="DT1007" s="3"/>
      <c r="DU1007" s="3"/>
      <c r="DV1007" s="3"/>
      <c r="DW1007" s="3"/>
      <c r="DX1007" s="3"/>
      <c r="DY1007" s="3"/>
      <c r="DZ1007" s="3"/>
      <c r="EA1007" s="3"/>
      <c r="EB1007" s="3"/>
      <c r="EC1007" s="3"/>
      <c r="ED1007" s="3"/>
      <c r="EE1007" s="3"/>
      <c r="EF1007" s="3"/>
      <c r="EG1007" s="3"/>
      <c r="EH1007" s="3"/>
      <c r="EI1007" s="3"/>
      <c r="EJ1007" s="3"/>
      <c r="EK1007" s="3"/>
      <c r="EL1007" s="3"/>
      <c r="EM1007" s="3"/>
      <c r="EN1007" s="3"/>
      <c r="EO1007" s="3"/>
      <c r="EP1007" s="3"/>
      <c r="EQ1007" s="3"/>
      <c r="ER1007" s="3"/>
      <c r="ES1007" s="3"/>
      <c r="ET1007" s="3"/>
      <c r="EU1007" s="3"/>
      <c r="EV1007" s="3"/>
      <c r="EW1007" s="3"/>
      <c r="EX1007" s="3"/>
      <c r="EY1007" s="3"/>
      <c r="EZ1007" s="3"/>
      <c r="FA1007" s="3"/>
      <c r="FB1007" s="3"/>
      <c r="FC1007" s="3"/>
      <c r="FD1007" s="3"/>
      <c r="FE1007" s="3"/>
      <c r="FF1007" s="3"/>
      <c r="FG1007" s="3"/>
      <c r="FH1007" s="3"/>
      <c r="FI1007" s="3"/>
      <c r="FJ1007" s="3"/>
      <c r="FK1007" s="3"/>
      <c r="FL1007" s="3"/>
      <c r="FM1007" s="3"/>
      <c r="FN1007" s="3"/>
      <c r="FO1007" s="3"/>
      <c r="FP1007" s="3"/>
      <c r="FQ1007" s="3"/>
      <c r="FR1007" s="3"/>
    </row>
    <row x14ac:dyDescent="0.25" r="1008" customHeight="1" ht="15">
      <c r="A1008" s="112"/>
      <c r="B1008" s="112"/>
      <c r="C1008" s="107"/>
      <c r="D1008" s="107"/>
      <c r="E1008" s="120"/>
      <c r="F1008" s="120"/>
      <c r="G1008" s="128"/>
      <c r="H1008" s="110"/>
      <c r="I1008" s="111"/>
      <c r="J1008" s="11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  <c r="DG1008" s="3"/>
      <c r="DH1008" s="3"/>
      <c r="DI1008" s="3"/>
      <c r="DJ1008" s="3"/>
      <c r="DK1008" s="3"/>
      <c r="DL1008" s="3"/>
      <c r="DM1008" s="3"/>
      <c r="DN1008" s="3"/>
      <c r="DO1008" s="3"/>
      <c r="DP1008" s="3"/>
      <c r="DQ1008" s="3"/>
      <c r="DR1008" s="3"/>
      <c r="DS1008" s="3"/>
      <c r="DT1008" s="3"/>
      <c r="DU1008" s="3"/>
      <c r="DV1008" s="3"/>
      <c r="DW1008" s="3"/>
      <c r="DX1008" s="3"/>
      <c r="DY1008" s="3"/>
      <c r="DZ1008" s="3"/>
      <c r="EA1008" s="3"/>
      <c r="EB1008" s="3"/>
      <c r="EC1008" s="3"/>
      <c r="ED1008" s="3"/>
      <c r="EE1008" s="3"/>
      <c r="EF1008" s="3"/>
      <c r="EG1008" s="3"/>
      <c r="EH1008" s="3"/>
      <c r="EI1008" s="3"/>
      <c r="EJ1008" s="3"/>
      <c r="EK1008" s="3"/>
      <c r="EL1008" s="3"/>
      <c r="EM1008" s="3"/>
      <c r="EN1008" s="3"/>
      <c r="EO1008" s="3"/>
      <c r="EP1008" s="3"/>
      <c r="EQ1008" s="3"/>
      <c r="ER1008" s="3"/>
      <c r="ES1008" s="3"/>
      <c r="ET1008" s="3"/>
      <c r="EU1008" s="3"/>
      <c r="EV1008" s="3"/>
      <c r="EW1008" s="3"/>
      <c r="EX1008" s="3"/>
      <c r="EY1008" s="3"/>
      <c r="EZ1008" s="3"/>
      <c r="FA1008" s="3"/>
      <c r="FB1008" s="3"/>
      <c r="FC1008" s="3"/>
      <c r="FD1008" s="3"/>
      <c r="FE1008" s="3"/>
      <c r="FF1008" s="3"/>
      <c r="FG1008" s="3"/>
      <c r="FH1008" s="3"/>
      <c r="FI1008" s="3"/>
      <c r="FJ1008" s="3"/>
      <c r="FK1008" s="3"/>
      <c r="FL1008" s="3"/>
      <c r="FM1008" s="3"/>
      <c r="FN1008" s="3"/>
      <c r="FO1008" s="3"/>
      <c r="FP1008" s="3"/>
      <c r="FQ1008" s="3"/>
      <c r="FR1008" s="3"/>
    </row>
    <row x14ac:dyDescent="0.25" r="1009" customHeight="1" ht="15">
      <c r="A1009" s="112"/>
      <c r="B1009" s="112"/>
      <c r="C1009" s="107"/>
      <c r="D1009" s="107"/>
      <c r="E1009" s="120"/>
      <c r="F1009" s="120"/>
      <c r="G1009" s="128"/>
      <c r="H1009" s="110"/>
      <c r="I1009" s="111"/>
      <c r="J1009" s="11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  <c r="DG1009" s="3"/>
      <c r="DH1009" s="3"/>
      <c r="DI1009" s="3"/>
      <c r="DJ1009" s="3"/>
      <c r="DK1009" s="3"/>
      <c r="DL1009" s="3"/>
      <c r="DM1009" s="3"/>
      <c r="DN1009" s="3"/>
      <c r="DO1009" s="3"/>
      <c r="DP1009" s="3"/>
      <c r="DQ1009" s="3"/>
      <c r="DR1009" s="3"/>
      <c r="DS1009" s="3"/>
      <c r="DT1009" s="3"/>
      <c r="DU1009" s="3"/>
      <c r="DV1009" s="3"/>
      <c r="DW1009" s="3"/>
      <c r="DX1009" s="3"/>
      <c r="DY1009" s="3"/>
      <c r="DZ1009" s="3"/>
      <c r="EA1009" s="3"/>
      <c r="EB1009" s="3"/>
      <c r="EC1009" s="3"/>
      <c r="ED1009" s="3"/>
      <c r="EE1009" s="3"/>
      <c r="EF1009" s="3"/>
      <c r="EG1009" s="3"/>
      <c r="EH1009" s="3"/>
      <c r="EI1009" s="3"/>
      <c r="EJ1009" s="3"/>
      <c r="EK1009" s="3"/>
      <c r="EL1009" s="3"/>
      <c r="EM1009" s="3"/>
      <c r="EN1009" s="3"/>
      <c r="EO1009" s="3"/>
      <c r="EP1009" s="3"/>
      <c r="EQ1009" s="3"/>
      <c r="ER1009" s="3"/>
      <c r="ES1009" s="3"/>
      <c r="ET1009" s="3"/>
      <c r="EU1009" s="3"/>
      <c r="EV1009" s="3"/>
      <c r="EW1009" s="3"/>
      <c r="EX1009" s="3"/>
      <c r="EY1009" s="3"/>
      <c r="EZ1009" s="3"/>
      <c r="FA1009" s="3"/>
      <c r="FB1009" s="3"/>
      <c r="FC1009" s="3"/>
      <c r="FD1009" s="3"/>
      <c r="FE1009" s="3"/>
      <c r="FF1009" s="3"/>
      <c r="FG1009" s="3"/>
      <c r="FH1009" s="3"/>
      <c r="FI1009" s="3"/>
      <c r="FJ1009" s="3"/>
      <c r="FK1009" s="3"/>
      <c r="FL1009" s="3"/>
      <c r="FM1009" s="3"/>
      <c r="FN1009" s="3"/>
      <c r="FO1009" s="3"/>
      <c r="FP1009" s="3"/>
      <c r="FQ1009" s="3"/>
      <c r="FR1009" s="3"/>
    </row>
    <row x14ac:dyDescent="0.25" r="1010" customHeight="1" ht="15">
      <c r="A1010" s="112"/>
      <c r="B1010" s="112"/>
      <c r="C1010" s="107"/>
      <c r="D1010" s="107"/>
      <c r="E1010" s="120"/>
      <c r="F1010" s="120"/>
      <c r="G1010" s="128"/>
      <c r="H1010" s="110"/>
      <c r="I1010" s="111"/>
      <c r="J1010" s="11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  <c r="DG1010" s="3"/>
      <c r="DH1010" s="3"/>
      <c r="DI1010" s="3"/>
      <c r="DJ1010" s="3"/>
      <c r="DK1010" s="3"/>
      <c r="DL1010" s="3"/>
      <c r="DM1010" s="3"/>
      <c r="DN1010" s="3"/>
      <c r="DO1010" s="3"/>
      <c r="DP1010" s="3"/>
      <c r="DQ1010" s="3"/>
      <c r="DR1010" s="3"/>
      <c r="DS1010" s="3"/>
      <c r="DT1010" s="3"/>
      <c r="DU1010" s="3"/>
      <c r="DV1010" s="3"/>
      <c r="DW1010" s="3"/>
      <c r="DX1010" s="3"/>
      <c r="DY1010" s="3"/>
      <c r="DZ1010" s="3"/>
      <c r="EA1010" s="3"/>
      <c r="EB1010" s="3"/>
      <c r="EC1010" s="3"/>
      <c r="ED1010" s="3"/>
      <c r="EE1010" s="3"/>
      <c r="EF1010" s="3"/>
      <c r="EG1010" s="3"/>
      <c r="EH1010" s="3"/>
      <c r="EI1010" s="3"/>
      <c r="EJ1010" s="3"/>
      <c r="EK1010" s="3"/>
      <c r="EL1010" s="3"/>
      <c r="EM1010" s="3"/>
      <c r="EN1010" s="3"/>
      <c r="EO1010" s="3"/>
      <c r="EP1010" s="3"/>
      <c r="EQ1010" s="3"/>
      <c r="ER1010" s="3"/>
      <c r="ES1010" s="3"/>
      <c r="ET1010" s="3"/>
      <c r="EU1010" s="3"/>
      <c r="EV1010" s="3"/>
      <c r="EW1010" s="3"/>
      <c r="EX1010" s="3"/>
      <c r="EY1010" s="3"/>
      <c r="EZ1010" s="3"/>
      <c r="FA1010" s="3"/>
      <c r="FB1010" s="3"/>
      <c r="FC1010" s="3"/>
      <c r="FD1010" s="3"/>
      <c r="FE1010" s="3"/>
      <c r="FF1010" s="3"/>
      <c r="FG1010" s="3"/>
      <c r="FH1010" s="3"/>
      <c r="FI1010" s="3"/>
      <c r="FJ1010" s="3"/>
      <c r="FK1010" s="3"/>
      <c r="FL1010" s="3"/>
      <c r="FM1010" s="3"/>
      <c r="FN1010" s="3"/>
      <c r="FO1010" s="3"/>
      <c r="FP1010" s="3"/>
      <c r="FQ1010" s="3"/>
      <c r="FR1010" s="3"/>
    </row>
    <row x14ac:dyDescent="0.25" r="1011" customHeight="1" ht="15">
      <c r="A1011" s="112"/>
      <c r="B1011" s="112"/>
      <c r="C1011" s="107"/>
      <c r="D1011" s="107"/>
      <c r="E1011" s="120"/>
      <c r="F1011" s="120"/>
      <c r="G1011" s="128"/>
      <c r="H1011" s="110"/>
      <c r="I1011" s="111"/>
      <c r="J1011" s="11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  <c r="DG1011" s="3"/>
      <c r="DH1011" s="3"/>
      <c r="DI1011" s="3"/>
      <c r="DJ1011" s="3"/>
      <c r="DK1011" s="3"/>
      <c r="DL1011" s="3"/>
      <c r="DM1011" s="3"/>
      <c r="DN1011" s="3"/>
      <c r="DO1011" s="3"/>
      <c r="DP1011" s="3"/>
      <c r="DQ1011" s="3"/>
      <c r="DR1011" s="3"/>
      <c r="DS1011" s="3"/>
      <c r="DT1011" s="3"/>
      <c r="DU1011" s="3"/>
      <c r="DV1011" s="3"/>
      <c r="DW1011" s="3"/>
      <c r="DX1011" s="3"/>
      <c r="DY1011" s="3"/>
      <c r="DZ1011" s="3"/>
      <c r="EA1011" s="3"/>
      <c r="EB1011" s="3"/>
      <c r="EC1011" s="3"/>
      <c r="ED1011" s="3"/>
      <c r="EE1011" s="3"/>
      <c r="EF1011" s="3"/>
      <c r="EG1011" s="3"/>
      <c r="EH1011" s="3"/>
      <c r="EI1011" s="3"/>
      <c r="EJ1011" s="3"/>
      <c r="EK1011" s="3"/>
      <c r="EL1011" s="3"/>
      <c r="EM1011" s="3"/>
      <c r="EN1011" s="3"/>
      <c r="EO1011" s="3"/>
      <c r="EP1011" s="3"/>
      <c r="EQ1011" s="3"/>
      <c r="ER1011" s="3"/>
      <c r="ES1011" s="3"/>
      <c r="ET1011" s="3"/>
      <c r="EU1011" s="3"/>
      <c r="EV1011" s="3"/>
      <c r="EW1011" s="3"/>
      <c r="EX1011" s="3"/>
      <c r="EY1011" s="3"/>
      <c r="EZ1011" s="3"/>
      <c r="FA1011" s="3"/>
      <c r="FB1011" s="3"/>
      <c r="FC1011" s="3"/>
      <c r="FD1011" s="3"/>
      <c r="FE1011" s="3"/>
      <c r="FF1011" s="3"/>
      <c r="FG1011" s="3"/>
      <c r="FH1011" s="3"/>
      <c r="FI1011" s="3"/>
      <c r="FJ1011" s="3"/>
      <c r="FK1011" s="3"/>
      <c r="FL1011" s="3"/>
      <c r="FM1011" s="3"/>
      <c r="FN1011" s="3"/>
      <c r="FO1011" s="3"/>
      <c r="FP1011" s="3"/>
      <c r="FQ1011" s="3"/>
      <c r="FR1011" s="3"/>
    </row>
    <row x14ac:dyDescent="0.25" r="1012" customHeight="1" ht="15">
      <c r="A1012" s="112"/>
      <c r="B1012" s="112"/>
      <c r="C1012" s="107"/>
      <c r="D1012" s="107"/>
      <c r="E1012" s="120"/>
      <c r="F1012" s="120"/>
      <c r="G1012" s="128"/>
      <c r="H1012" s="110"/>
      <c r="I1012" s="111"/>
      <c r="J1012" s="11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  <c r="DG1012" s="3"/>
      <c r="DH1012" s="3"/>
      <c r="DI1012" s="3"/>
      <c r="DJ1012" s="3"/>
      <c r="DK1012" s="3"/>
      <c r="DL1012" s="3"/>
      <c r="DM1012" s="3"/>
      <c r="DN1012" s="3"/>
      <c r="DO1012" s="3"/>
      <c r="DP1012" s="3"/>
      <c r="DQ1012" s="3"/>
      <c r="DR1012" s="3"/>
      <c r="DS1012" s="3"/>
      <c r="DT1012" s="3"/>
      <c r="DU1012" s="3"/>
      <c r="DV1012" s="3"/>
      <c r="DW1012" s="3"/>
      <c r="DX1012" s="3"/>
      <c r="DY1012" s="3"/>
      <c r="DZ1012" s="3"/>
      <c r="EA1012" s="3"/>
      <c r="EB1012" s="3"/>
      <c r="EC1012" s="3"/>
      <c r="ED1012" s="3"/>
      <c r="EE1012" s="3"/>
      <c r="EF1012" s="3"/>
      <c r="EG1012" s="3"/>
      <c r="EH1012" s="3"/>
      <c r="EI1012" s="3"/>
      <c r="EJ1012" s="3"/>
      <c r="EK1012" s="3"/>
      <c r="EL1012" s="3"/>
      <c r="EM1012" s="3"/>
      <c r="EN1012" s="3"/>
      <c r="EO1012" s="3"/>
      <c r="EP1012" s="3"/>
      <c r="EQ1012" s="3"/>
      <c r="ER1012" s="3"/>
      <c r="ES1012" s="3"/>
      <c r="ET1012" s="3"/>
      <c r="EU1012" s="3"/>
      <c r="EV1012" s="3"/>
      <c r="EW1012" s="3"/>
      <c r="EX1012" s="3"/>
      <c r="EY1012" s="3"/>
      <c r="EZ1012" s="3"/>
      <c r="FA1012" s="3"/>
      <c r="FB1012" s="3"/>
      <c r="FC1012" s="3"/>
      <c r="FD1012" s="3"/>
      <c r="FE1012" s="3"/>
      <c r="FF1012" s="3"/>
      <c r="FG1012" s="3"/>
      <c r="FH1012" s="3"/>
      <c r="FI1012" s="3"/>
      <c r="FJ1012" s="3"/>
      <c r="FK1012" s="3"/>
      <c r="FL1012" s="3"/>
      <c r="FM1012" s="3"/>
      <c r="FN1012" s="3"/>
      <c r="FO1012" s="3"/>
      <c r="FP1012" s="3"/>
      <c r="FQ1012" s="3"/>
      <c r="FR101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4"/>
  <sheetViews>
    <sheetView workbookViewId="0"/>
  </sheetViews>
  <sheetFormatPr defaultRowHeight="15" x14ac:dyDescent="0.25"/>
  <cols>
    <col min="1" max="1" style="103" width="5.005" customWidth="1" bestFit="1"/>
    <col min="2" max="2" style="16" width="11.719285714285713" customWidth="1" bestFit="1"/>
    <col min="3" max="3" style="14" width="11.719285714285713" customWidth="1" bestFit="1"/>
    <col min="4" max="4" style="14" width="14.43357142857143" customWidth="1" bestFit="1"/>
    <col min="5" max="5" style="15" width="12.719285714285713" customWidth="1" bestFit="1"/>
    <col min="6" max="6" style="15" width="18.290714285714284" customWidth="1" bestFit="1"/>
    <col min="7" max="7" style="15" width="12.719285714285713" customWidth="1" bestFit="1"/>
  </cols>
  <sheetData>
    <row x14ac:dyDescent="0.25" r="1" customHeight="1" ht="18.75">
      <c r="A1" s="99" t="s">
        <v>64</v>
      </c>
      <c r="B1" s="99" t="s">
        <v>295</v>
      </c>
      <c r="C1" s="100" t="s">
        <v>296</v>
      </c>
      <c r="D1" s="100" t="s">
        <v>297</v>
      </c>
      <c r="E1" s="99" t="s">
        <v>298</v>
      </c>
      <c r="F1" s="99" t="s">
        <v>299</v>
      </c>
      <c r="G1" s="93" t="s">
        <v>300</v>
      </c>
    </row>
    <row x14ac:dyDescent="0.25" r="2" customHeight="1" ht="18.75">
      <c r="A2" s="101">
        <v>1</v>
      </c>
      <c r="B2" s="34">
        <v>1109</v>
      </c>
      <c r="C2" s="33" t="s">
        <v>301</v>
      </c>
      <c r="D2" s="33" t="s">
        <v>302</v>
      </c>
      <c r="E2" s="34">
        <f>SUMIF('Vehicle Readings'!C:C,'Vehicle Master'!D2,'Vehicle Readings'!G:G)</f>
      </c>
      <c r="F2" s="34">
        <f>G2/5000</f>
      </c>
      <c r="G2" s="34">
        <v>155000</v>
      </c>
    </row>
    <row x14ac:dyDescent="0.25" r="3" customHeight="1" ht="18.75">
      <c r="A3" s="101">
        <f>A2+1</f>
      </c>
      <c r="B3" s="34">
        <v>1109</v>
      </c>
      <c r="C3" s="33" t="s">
        <v>301</v>
      </c>
      <c r="D3" s="33" t="s">
        <v>303</v>
      </c>
      <c r="E3" s="34">
        <f>SUMIF('Vehicle Readings'!C:C,'Vehicle Master'!D3,'Vehicle Readings'!G:G)</f>
      </c>
      <c r="F3" s="34">
        <f>G3/5000</f>
      </c>
      <c r="G3" s="34">
        <v>155000</v>
      </c>
    </row>
    <row x14ac:dyDescent="0.25" r="4" customHeight="1" ht="18.75">
      <c r="A4" s="101">
        <f>A3+1</f>
      </c>
      <c r="B4" s="34">
        <v>1109</v>
      </c>
      <c r="C4" s="33" t="s">
        <v>301</v>
      </c>
      <c r="D4" s="33" t="s">
        <v>304</v>
      </c>
      <c r="E4" s="34">
        <f>SUMIF('Vehicle Readings'!C:C,'Vehicle Master'!D4,'Vehicle Readings'!G:G)</f>
      </c>
      <c r="F4" s="34">
        <f>G4/5000</f>
      </c>
      <c r="G4" s="34">
        <v>155000</v>
      </c>
    </row>
    <row x14ac:dyDescent="0.25" r="5" customHeight="1" ht="18.75">
      <c r="A5" s="101">
        <f>A4+1</f>
      </c>
      <c r="B5" s="34">
        <v>1109</v>
      </c>
      <c r="C5" s="33" t="s">
        <v>301</v>
      </c>
      <c r="D5" s="33" t="s">
        <v>305</v>
      </c>
      <c r="E5" s="34">
        <f>SUMIF('Vehicle Readings'!C:C,'Vehicle Master'!D5,'Vehicle Readings'!G:G)</f>
      </c>
      <c r="F5" s="34">
        <f>G5/5000</f>
      </c>
      <c r="G5" s="34">
        <v>155000</v>
      </c>
    </row>
    <row x14ac:dyDescent="0.25" r="6" customHeight="1" ht="18.75">
      <c r="A6" s="101">
        <v>5</v>
      </c>
      <c r="B6" s="34">
        <v>709</v>
      </c>
      <c r="C6" s="33" t="s">
        <v>306</v>
      </c>
      <c r="D6" s="102" t="s">
        <v>307</v>
      </c>
      <c r="E6" s="11"/>
      <c r="F6" s="11"/>
      <c r="G6" s="11"/>
    </row>
    <row x14ac:dyDescent="0.25" r="7" customHeight="1" ht="18.75">
      <c r="A7" s="101">
        <v>6</v>
      </c>
      <c r="B7" s="34">
        <v>1109</v>
      </c>
      <c r="C7" s="33" t="s">
        <v>306</v>
      </c>
      <c r="D7" s="102" t="s">
        <v>308</v>
      </c>
      <c r="E7" s="11"/>
      <c r="F7" s="11"/>
      <c r="G7" s="11"/>
    </row>
    <row x14ac:dyDescent="0.25" r="8" customHeight="1" ht="18.75">
      <c r="A8" s="101">
        <v>7</v>
      </c>
      <c r="B8" s="34">
        <v>909</v>
      </c>
      <c r="C8" s="33" t="s">
        <v>301</v>
      </c>
      <c r="D8" s="102" t="s">
        <v>309</v>
      </c>
      <c r="E8" s="34">
        <f>SUMIF('Vehicle Readings'!C:C,'Vehicle Master'!D8,'Vehicle Readings'!G:G)</f>
      </c>
      <c r="F8" s="34">
        <f>G8/(5000/3)</f>
      </c>
      <c r="G8" s="34">
        <v>50000</v>
      </c>
    </row>
    <row x14ac:dyDescent="0.25" r="9" customHeight="1" ht="18.75">
      <c r="A9" s="101">
        <v>8</v>
      </c>
      <c r="B9" s="34">
        <v>709</v>
      </c>
      <c r="C9" s="33" t="s">
        <v>301</v>
      </c>
      <c r="D9" s="102" t="s">
        <v>309</v>
      </c>
      <c r="E9" s="34">
        <f>SUMIF('Vehicle Readings'!C:C,'Vehicle Master'!D9,'Vehicle Readings'!G:G)</f>
      </c>
      <c r="F9" s="34">
        <f>G9/(5000/3)</f>
      </c>
      <c r="G9" s="34">
        <v>50000</v>
      </c>
    </row>
    <row x14ac:dyDescent="0.25" r="10" customHeight="1" ht="18.75">
      <c r="A10" s="101">
        <v>9</v>
      </c>
      <c r="B10" s="34">
        <v>2515</v>
      </c>
      <c r="C10" s="33" t="s">
        <v>310</v>
      </c>
      <c r="D10" s="102" t="s">
        <v>311</v>
      </c>
      <c r="E10" s="11"/>
      <c r="F10" s="11"/>
      <c r="G10" s="11"/>
    </row>
    <row x14ac:dyDescent="0.25" r="11" customHeight="1" ht="18.75">
      <c r="A11" s="101">
        <v>10</v>
      </c>
      <c r="B11" s="34">
        <v>2515</v>
      </c>
      <c r="C11" s="33" t="s">
        <v>310</v>
      </c>
      <c r="D11" s="102" t="s">
        <v>312</v>
      </c>
      <c r="E11" s="11"/>
      <c r="F11" s="11"/>
      <c r="G11" s="11"/>
    </row>
    <row x14ac:dyDescent="0.25" r="12" customHeight="1" ht="18.75">
      <c r="A12" s="101">
        <v>11</v>
      </c>
      <c r="B12" s="34">
        <v>2515</v>
      </c>
      <c r="C12" s="33" t="s">
        <v>306</v>
      </c>
      <c r="D12" s="102" t="s">
        <v>313</v>
      </c>
      <c r="E12" s="11"/>
      <c r="F12" s="11"/>
      <c r="G12" s="11"/>
    </row>
    <row x14ac:dyDescent="0.25" r="13" customHeight="1" ht="18.75">
      <c r="A13" s="101">
        <v>12</v>
      </c>
      <c r="B13" s="34">
        <v>2515</v>
      </c>
      <c r="C13" s="33" t="s">
        <v>306</v>
      </c>
      <c r="D13" s="102" t="s">
        <v>314</v>
      </c>
      <c r="E13" s="11"/>
      <c r="F13" s="11"/>
      <c r="G13" s="11"/>
    </row>
    <row x14ac:dyDescent="0.25" r="14" customHeight="1" ht="18.75">
      <c r="A14" s="101">
        <v>13</v>
      </c>
      <c r="B14" s="34">
        <v>2515</v>
      </c>
      <c r="C14" s="33" t="s">
        <v>306</v>
      </c>
      <c r="D14" s="102" t="s">
        <v>315</v>
      </c>
      <c r="E14" s="11"/>
      <c r="F14" s="11"/>
      <c r="G14" s="11"/>
    </row>
    <row x14ac:dyDescent="0.25" r="15" customHeight="1" ht="18.75">
      <c r="A15" s="101">
        <v>14</v>
      </c>
      <c r="B15" s="34">
        <v>2515</v>
      </c>
      <c r="C15" s="33" t="s">
        <v>306</v>
      </c>
      <c r="D15" s="102" t="s">
        <v>316</v>
      </c>
      <c r="E15" s="11"/>
      <c r="F15" s="11"/>
      <c r="G15" s="11"/>
    </row>
    <row x14ac:dyDescent="0.25" r="16" customHeight="1" ht="18.75">
      <c r="A16" s="101">
        <v>15</v>
      </c>
      <c r="B16" s="34">
        <v>2515</v>
      </c>
      <c r="C16" s="33" t="s">
        <v>306</v>
      </c>
      <c r="D16" s="102" t="s">
        <v>317</v>
      </c>
      <c r="E16" s="11"/>
      <c r="F16" s="11"/>
      <c r="G16" s="11"/>
    </row>
    <row x14ac:dyDescent="0.25" r="17" customHeight="1" ht="18.75">
      <c r="A17" s="101">
        <v>16</v>
      </c>
      <c r="B17" s="34">
        <v>2515</v>
      </c>
      <c r="C17" s="33" t="s">
        <v>306</v>
      </c>
      <c r="D17" s="102" t="s">
        <v>318</v>
      </c>
      <c r="E17" s="11"/>
      <c r="F17" s="11"/>
      <c r="G17" s="11"/>
    </row>
    <row x14ac:dyDescent="0.25" r="18" customHeight="1" ht="18.75">
      <c r="A18" s="101">
        <v>17</v>
      </c>
      <c r="B18" s="34">
        <v>2515</v>
      </c>
      <c r="C18" s="33" t="s">
        <v>306</v>
      </c>
      <c r="D18" s="102" t="s">
        <v>319</v>
      </c>
      <c r="E18" s="11"/>
      <c r="F18" s="11"/>
      <c r="G18" s="11"/>
    </row>
    <row x14ac:dyDescent="0.25" r="19" customHeight="1" ht="18.75">
      <c r="A19" s="101">
        <v>18</v>
      </c>
      <c r="B19" s="34">
        <v>2515</v>
      </c>
      <c r="C19" s="33" t="s">
        <v>306</v>
      </c>
      <c r="D19" s="102" t="s">
        <v>320</v>
      </c>
      <c r="E19" s="11"/>
      <c r="F19" s="11"/>
      <c r="G19" s="11"/>
    </row>
    <row x14ac:dyDescent="0.25" r="20" customHeight="1" ht="18.75">
      <c r="A20" s="101">
        <v>19</v>
      </c>
      <c r="B20" s="34">
        <v>1109</v>
      </c>
      <c r="C20" s="33" t="s">
        <v>306</v>
      </c>
      <c r="D20" s="102" t="s">
        <v>321</v>
      </c>
      <c r="E20" s="11"/>
      <c r="F20" s="11"/>
      <c r="G20" s="11"/>
    </row>
    <row x14ac:dyDescent="0.25" r="21" customHeight="1" ht="18.75">
      <c r="A21" s="101">
        <v>20</v>
      </c>
      <c r="B21" s="34">
        <v>1109</v>
      </c>
      <c r="C21" s="33" t="s">
        <v>306</v>
      </c>
      <c r="D21" s="102" t="s">
        <v>322</v>
      </c>
      <c r="E21" s="11"/>
      <c r="F21" s="11"/>
      <c r="G21" s="11"/>
    </row>
    <row x14ac:dyDescent="0.25" r="22" customHeight="1" ht="18.75">
      <c r="A22" s="101">
        <v>21</v>
      </c>
      <c r="B22" s="34">
        <v>1109</v>
      </c>
      <c r="C22" s="33" t="s">
        <v>306</v>
      </c>
      <c r="D22" s="102" t="s">
        <v>323</v>
      </c>
      <c r="E22" s="11"/>
      <c r="F22" s="11"/>
      <c r="G22" s="11"/>
    </row>
    <row x14ac:dyDescent="0.25" r="23" customHeight="1" ht="18.75">
      <c r="A23" s="101">
        <v>22</v>
      </c>
      <c r="B23" s="34">
        <v>1109</v>
      </c>
      <c r="C23" s="33" t="s">
        <v>306</v>
      </c>
      <c r="D23" s="102" t="s">
        <v>324</v>
      </c>
      <c r="E23" s="11"/>
      <c r="F23" s="11"/>
      <c r="G23" s="11"/>
    </row>
    <row x14ac:dyDescent="0.25" r="24" customHeight="1" ht="18.75">
      <c r="A24" s="101">
        <v>23</v>
      </c>
      <c r="B24" s="34">
        <v>2515</v>
      </c>
      <c r="C24" s="33" t="s">
        <v>306</v>
      </c>
      <c r="D24" s="102" t="s">
        <v>325</v>
      </c>
      <c r="E24" s="11"/>
      <c r="F24" s="11"/>
      <c r="G24" s="11"/>
    </row>
    <row x14ac:dyDescent="0.25" r="25" customHeight="1" ht="18.75">
      <c r="A25" s="101">
        <v>23</v>
      </c>
      <c r="B25" s="34">
        <v>2515</v>
      </c>
      <c r="C25" s="33" t="s">
        <v>306</v>
      </c>
      <c r="D25" s="102" t="s">
        <v>326</v>
      </c>
      <c r="E25" s="11"/>
      <c r="F25" s="11"/>
      <c r="G25" s="11"/>
    </row>
    <row x14ac:dyDescent="0.25" r="26" customHeight="1" ht="18.75">
      <c r="A26" s="101">
        <v>24</v>
      </c>
      <c r="B26" s="34">
        <v>2515</v>
      </c>
      <c r="C26" s="33" t="s">
        <v>306</v>
      </c>
      <c r="D26" s="102" t="s">
        <v>327</v>
      </c>
      <c r="E26" s="11"/>
      <c r="F26" s="11"/>
      <c r="G26" s="11"/>
    </row>
    <row x14ac:dyDescent="0.25" r="27" customHeight="1" ht="18.75">
      <c r="A27" s="101">
        <v>25</v>
      </c>
      <c r="B27" s="34">
        <v>2515</v>
      </c>
      <c r="C27" s="33" t="s">
        <v>306</v>
      </c>
      <c r="D27" s="33" t="s">
        <v>328</v>
      </c>
      <c r="E27" s="11"/>
      <c r="F27" s="11"/>
      <c r="G27" s="11"/>
    </row>
    <row x14ac:dyDescent="0.25" r="28" customHeight="1" ht="18.75">
      <c r="A28" s="101">
        <v>26</v>
      </c>
      <c r="B28" s="34">
        <v>2515</v>
      </c>
      <c r="C28" s="33" t="s">
        <v>306</v>
      </c>
      <c r="D28" s="33" t="s">
        <v>329</v>
      </c>
      <c r="E28" s="11"/>
      <c r="F28" s="11"/>
      <c r="G28" s="11"/>
    </row>
    <row x14ac:dyDescent="0.25" r="29" customHeight="1" ht="18.75">
      <c r="A29" s="101">
        <v>27</v>
      </c>
      <c r="B29" s="34">
        <v>2515</v>
      </c>
      <c r="C29" s="33" t="s">
        <v>306</v>
      </c>
      <c r="D29" s="33" t="s">
        <v>330</v>
      </c>
      <c r="E29" s="11"/>
      <c r="F29" s="11"/>
      <c r="G29" s="11"/>
    </row>
    <row x14ac:dyDescent="0.25" r="30" customHeight="1" ht="18.75">
      <c r="A30" s="101">
        <v>28</v>
      </c>
      <c r="B30" s="34">
        <v>2515</v>
      </c>
      <c r="C30" s="33" t="s">
        <v>306</v>
      </c>
      <c r="D30" s="33" t="s">
        <v>331</v>
      </c>
      <c r="E30" s="11"/>
      <c r="F30" s="11"/>
      <c r="G30" s="11"/>
    </row>
    <row x14ac:dyDescent="0.25" r="31" customHeight="1" ht="18.75">
      <c r="A31" s="101">
        <v>29</v>
      </c>
      <c r="B31" s="34">
        <v>2515</v>
      </c>
      <c r="C31" s="33" t="s">
        <v>306</v>
      </c>
      <c r="D31" s="33" t="s">
        <v>332</v>
      </c>
      <c r="E31" s="11"/>
      <c r="F31" s="11"/>
      <c r="G31" s="11"/>
    </row>
    <row x14ac:dyDescent="0.25" r="32" customHeight="1" ht="18.75">
      <c r="A32" s="101">
        <v>30</v>
      </c>
      <c r="B32" s="34">
        <v>2515</v>
      </c>
      <c r="C32" s="33" t="s">
        <v>306</v>
      </c>
      <c r="D32" s="33" t="s">
        <v>331</v>
      </c>
      <c r="E32" s="11"/>
      <c r="F32" s="11"/>
      <c r="G32" s="11"/>
    </row>
    <row x14ac:dyDescent="0.25" r="33" customHeight="1" ht="18.75">
      <c r="A33" s="101">
        <v>31</v>
      </c>
      <c r="B33" s="34">
        <v>2515</v>
      </c>
      <c r="C33" s="33" t="s">
        <v>306</v>
      </c>
      <c r="D33" s="33" t="s">
        <v>330</v>
      </c>
      <c r="E33" s="11"/>
      <c r="F33" s="11"/>
      <c r="G33" s="11"/>
    </row>
    <row x14ac:dyDescent="0.25" r="34" customHeight="1" ht="18.75">
      <c r="A34" s="101">
        <v>32</v>
      </c>
      <c r="B34" s="34">
        <v>2515</v>
      </c>
      <c r="C34" s="33" t="s">
        <v>306</v>
      </c>
      <c r="D34" s="33" t="s">
        <v>333</v>
      </c>
      <c r="E34" s="11"/>
      <c r="F34" s="11"/>
      <c r="G3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77"/>
  <sheetViews>
    <sheetView workbookViewId="0"/>
  </sheetViews>
  <sheetFormatPr defaultRowHeight="15" x14ac:dyDescent="0.25"/>
  <cols>
    <col min="1" max="1" style="59" width="10.147857142857141" customWidth="1" bestFit="1"/>
    <col min="2" max="2" style="16" width="8.719285714285713" customWidth="1" bestFit="1"/>
    <col min="3" max="3" style="17" width="10.290714285714287" customWidth="1" bestFit="1"/>
    <col min="4" max="4" style="16" width="11.147857142857141" customWidth="1" bestFit="1"/>
    <col min="5" max="5" style="16" width="12.290714285714287" customWidth="1" bestFit="1"/>
    <col min="6" max="6" style="16" width="11.43357142857143" customWidth="1" bestFit="1"/>
    <col min="7" max="7" style="16" width="11.147857142857141" customWidth="1" bestFit="1"/>
    <col min="8" max="8" style="16" width="12.290714285714287" customWidth="1" bestFit="1"/>
    <col min="9" max="9" style="16" width="11.43357142857143" customWidth="1" bestFit="1"/>
    <col min="10" max="10" style="16" width="11.147857142857141" customWidth="1" bestFit="1"/>
    <col min="11" max="11" style="16" width="12.290714285714287" customWidth="1" bestFit="1"/>
    <col min="12" max="12" style="16" width="11.43357142857143" customWidth="1" bestFit="1"/>
    <col min="13" max="13" style="16" width="11.147857142857141" customWidth="1" bestFit="1"/>
    <col min="14" max="14" style="16" width="12.290714285714287" customWidth="1" bestFit="1"/>
    <col min="15" max="15" style="16" width="11.43357142857143" customWidth="1" bestFit="1"/>
    <col min="16" max="16" style="16" width="11.147857142857141" customWidth="1" bestFit="1"/>
    <col min="17" max="17" style="16" width="12.290714285714287" customWidth="1" bestFit="1"/>
    <col min="18" max="18" style="16" width="11.43357142857143" customWidth="1" bestFit="1"/>
  </cols>
  <sheetData>
    <row x14ac:dyDescent="0.25" r="1" customHeight="1" ht="18.75">
      <c r="A1" s="94"/>
      <c r="B1" s="95"/>
      <c r="C1" s="96"/>
      <c r="D1" s="50" t="s">
        <v>11</v>
      </c>
      <c r="E1" s="50"/>
      <c r="F1" s="50"/>
      <c r="G1" s="50" t="s">
        <v>16</v>
      </c>
      <c r="H1" s="50"/>
      <c r="I1" s="50"/>
      <c r="J1" s="50" t="s">
        <v>19</v>
      </c>
      <c r="K1" s="50"/>
      <c r="L1" s="50"/>
      <c r="M1" s="50" t="s">
        <v>21</v>
      </c>
      <c r="N1" s="50"/>
      <c r="O1" s="50"/>
      <c r="P1" s="50" t="s">
        <v>49</v>
      </c>
      <c r="Q1" s="50"/>
      <c r="R1" s="50"/>
    </row>
    <row x14ac:dyDescent="0.25" r="2" customHeight="1" ht="18.75">
      <c r="A2" s="52" t="s">
        <v>46</v>
      </c>
      <c r="B2" s="53" t="s">
        <v>50</v>
      </c>
      <c r="C2" s="97" t="s">
        <v>294</v>
      </c>
      <c r="D2" s="53">
        <f>TRANSPOSE('Material Master'!$B$2:$B$4)</f>
      </c>
      <c r="E2" s="53" t="s">
        <v>27</v>
      </c>
      <c r="F2" s="53" t="s">
        <v>15</v>
      </c>
      <c r="G2" s="53">
        <f>TRANSPOSE('Material Master'!$B$2:$B$4)</f>
      </c>
      <c r="H2" s="53" t="s">
        <v>27</v>
      </c>
      <c r="I2" s="53" t="s">
        <v>15</v>
      </c>
      <c r="J2" s="53">
        <f>TRANSPOSE('Material Master'!$B$2:$B$4)</f>
      </c>
      <c r="K2" s="53" t="s">
        <v>27</v>
      </c>
      <c r="L2" s="53" t="s">
        <v>15</v>
      </c>
      <c r="M2" s="53">
        <f>TRANSPOSE('Material Master'!$B$2:$B$4)</f>
      </c>
      <c r="N2" s="53" t="s">
        <v>27</v>
      </c>
      <c r="O2" s="53" t="s">
        <v>15</v>
      </c>
      <c r="P2" s="53">
        <f>TRANSPOSE('Material Master'!$B$2:$B$4)</f>
      </c>
      <c r="Q2" s="53" t="s">
        <v>27</v>
      </c>
      <c r="R2" s="53" t="s">
        <v>15</v>
      </c>
    </row>
    <row x14ac:dyDescent="0.25" r="3" customHeight="1" ht="18.75">
      <c r="A3" s="55">
        <v>45734</v>
      </c>
      <c r="B3" s="56">
        <f>IF(A3&gt;TODAY(),"",COUNTA(_xlfn.UNIQUE(_xlfn._xlws.FILTER('OPs Data'!$K:$K,'OPs Data'!$D:$D='Category &amp; Range Wise Outward'!A3))))</f>
      </c>
      <c r="C3" s="98">
        <f>IF(A3&gt;TODAY(),"",SUMIF('OPs Data'!$D:$D,'Category &amp; Range Wise Outward'!$A3,'OPs Data'!O:O)/1000)</f>
      </c>
      <c r="D3" s="57">
        <f>IF(A3&gt;TODAY(),"",SUMIFS('OPs Data'!$N:$N,'OPs Data'!$F:$F,'Category &amp; Range Wise Outward'!D$1,'OPs Data'!$D:$D,'Category &amp; Range Wise Outward'!$A3,'OPs Data'!$L:$L,'Category &amp; Range Wise Outward'!D$2))</f>
      </c>
      <c r="E3" s="57">
        <f>IF(A3&gt;TODAY(),"",SUMIFS('OPs Data'!$N:$N,'OPs Data'!$F:$F,'Category &amp; Range Wise Outward'!D$1,'OPs Data'!$D:$D,'Category &amp; Range Wise Outward'!$A3,'OPs Data'!$L:$L,'Category &amp; Range Wise Outward'!E$2))</f>
      </c>
      <c r="F3" s="57">
        <f>IF(A3&gt;TODAY(),"",SUMIFS('OPs Data'!$N:$N,'OPs Data'!$F:$F,'Category &amp; Range Wise Outward'!D$1,'OPs Data'!$D:$D,'Category &amp; Range Wise Outward'!$A3,'OPs Data'!$L:$L,'Category &amp; Range Wise Outward'!F$2))</f>
      </c>
      <c r="G3" s="57">
        <f>IF(E3&gt;TODAY(),"",SUMIFS('OPs Data'!$N:$N,'OPs Data'!$F:$F,'Category &amp; Range Wise Outward'!G$1,'OPs Data'!$D:$D,'Category &amp; Range Wise Outward'!$A3,'OPs Data'!$L:$L,'Category &amp; Range Wise Outward'!G$2))</f>
      </c>
      <c r="H3" s="57">
        <f>IF(E3&gt;TODAY(),"",SUMIFS('OPs Data'!$N:$N,'OPs Data'!$F:$F,'Category &amp; Range Wise Outward'!G$1,'OPs Data'!$D:$D,'Category &amp; Range Wise Outward'!$A3,'OPs Data'!$L:$L,'Category &amp; Range Wise Outward'!H$2))</f>
      </c>
      <c r="I3" s="57">
        <f>IF(E3&gt;TODAY(),"",SUMIFS('OPs Data'!$N:$N,'OPs Data'!$F:$F,'Category &amp; Range Wise Outward'!G$1,'OPs Data'!$D:$D,'Category &amp; Range Wise Outward'!$A3,'OPs Data'!$L:$L,'Category &amp; Range Wise Outward'!I$2))</f>
      </c>
      <c r="J3" s="57">
        <f>IF(H3&gt;TODAY(),"",SUMIFS('OPs Data'!$N:$N,'OPs Data'!$F:$F,'Category &amp; Range Wise Outward'!J$1,'OPs Data'!$D:$D,'Category &amp; Range Wise Outward'!$A3,'OPs Data'!$L:$L,'Category &amp; Range Wise Outward'!J$2))</f>
      </c>
      <c r="K3" s="57">
        <f>IF(H3&gt;TODAY(),"",SUMIFS('OPs Data'!$N:$N,'OPs Data'!$F:$F,'Category &amp; Range Wise Outward'!J$1,'OPs Data'!$D:$D,'Category &amp; Range Wise Outward'!$A3,'OPs Data'!$L:$L,'Category &amp; Range Wise Outward'!K$2))</f>
      </c>
      <c r="L3" s="57">
        <f>IF(H3&gt;TODAY(),"",SUMIFS('OPs Data'!$N:$N,'OPs Data'!$F:$F,'Category &amp; Range Wise Outward'!J$1,'OPs Data'!$D:$D,'Category &amp; Range Wise Outward'!$A3,'OPs Data'!$L:$L,'Category &amp; Range Wise Outward'!L$2))</f>
      </c>
      <c r="M3" s="57">
        <f>IF(K3&gt;TODAY(),"",SUMIFS('OPs Data'!$N:$N,'OPs Data'!$F:$F,'Category &amp; Range Wise Outward'!M$1,'OPs Data'!$D:$D,'Category &amp; Range Wise Outward'!$A3,'OPs Data'!$L:$L,'Category &amp; Range Wise Outward'!M$2))</f>
      </c>
      <c r="N3" s="57">
        <f>IF(K3&gt;TODAY(),"",SUMIFS('OPs Data'!$N:$N,'OPs Data'!$F:$F,'Category &amp; Range Wise Outward'!M$1,'OPs Data'!$D:$D,'Category &amp; Range Wise Outward'!$A3,'OPs Data'!$L:$L,'Category &amp; Range Wise Outward'!N$2))</f>
      </c>
      <c r="O3" s="57">
        <f>IF(K3&gt;TODAY(),"",SUMIFS('OPs Data'!$N:$N,'OPs Data'!$F:$F,'Category &amp; Range Wise Outward'!M$1,'OPs Data'!$D:$D,'Category &amp; Range Wise Outward'!$A3,'OPs Data'!$L:$L,'Category &amp; Range Wise Outward'!O$2))</f>
      </c>
      <c r="P3" s="57">
        <f>IF($A3&gt;TODAY(),"",SUM(D3,G3,J3,M3))</f>
      </c>
      <c r="Q3" s="57">
        <f>IF($A3&gt;TODAY(),"",SUM(E3,H3,K3,N3))</f>
      </c>
      <c r="R3" s="57">
        <f>IF(R79&gt;TODAY(),"",COUNTA(_xlfn.UNIQUE(_xlfn._xlws.FILTER('OPs Data'!$K:$K,'OPs Data'!$D:$D='Category &amp; Range Wise Outward'!R79))))</f>
      </c>
    </row>
    <row x14ac:dyDescent="0.25" r="4" customHeight="1" ht="18.75">
      <c r="A4" s="55">
        <v>45735</v>
      </c>
      <c r="B4" s="56">
        <f>IF(A4&gt;TODAY(),"",COUNTA(_xlfn.UNIQUE(_xlfn._xlws.FILTER('OPs Data'!$K:$K,'OPs Data'!$D:$D='Category &amp; Range Wise Outward'!A4))))</f>
      </c>
      <c r="C4" s="98">
        <f>IF(A4&gt;TODAY(),"",SUMIF('OPs Data'!$D:$D,'Category &amp; Range Wise Outward'!$A4,'OPs Data'!O:O)/1000)</f>
      </c>
      <c r="D4" s="57">
        <f>IF(A4&gt;TODAY(),"",SUMIFS('OPs Data'!$N:$N,'OPs Data'!$F:$F,'Category &amp; Range Wise Outward'!D$1,'OPs Data'!$D:$D,'Category &amp; Range Wise Outward'!$A4,'OPs Data'!$L:$L,'Category &amp; Range Wise Outward'!D$2))</f>
      </c>
      <c r="E4" s="57">
        <f>IF(A4&gt;TODAY(),"",SUMIFS('OPs Data'!$N:$N,'OPs Data'!$F:$F,'Category &amp; Range Wise Outward'!D$1,'OPs Data'!$D:$D,'Category &amp; Range Wise Outward'!$A4,'OPs Data'!$L:$L,'Category &amp; Range Wise Outward'!E$2))</f>
      </c>
      <c r="F4" s="57">
        <f>IF(A4&gt;TODAY(),"",SUMIFS('OPs Data'!$N:$N,'OPs Data'!$F:$F,'Category &amp; Range Wise Outward'!D$1,'OPs Data'!$D:$D,'Category &amp; Range Wise Outward'!$A4,'OPs Data'!$L:$L,'Category &amp; Range Wise Outward'!F$2))</f>
      </c>
      <c r="G4" s="57">
        <f>IF(E4&gt;TODAY(),"",SUMIFS('OPs Data'!$N:$N,'OPs Data'!$F:$F,'Category &amp; Range Wise Outward'!G$1,'OPs Data'!$D:$D,'Category &amp; Range Wise Outward'!$A4,'OPs Data'!$L:$L,'Category &amp; Range Wise Outward'!G$2))</f>
      </c>
      <c r="H4" s="57">
        <f>IF(E4&gt;TODAY(),"",SUMIFS('OPs Data'!$N:$N,'OPs Data'!$F:$F,'Category &amp; Range Wise Outward'!G$1,'OPs Data'!$D:$D,'Category &amp; Range Wise Outward'!$A4,'OPs Data'!$L:$L,'Category &amp; Range Wise Outward'!H$2))</f>
      </c>
      <c r="I4" s="57">
        <f>IF(E4&gt;TODAY(),"",SUMIFS('OPs Data'!$N:$N,'OPs Data'!$F:$F,'Category &amp; Range Wise Outward'!G$1,'OPs Data'!$D:$D,'Category &amp; Range Wise Outward'!$A4,'OPs Data'!$L:$L,'Category &amp; Range Wise Outward'!I$2))</f>
      </c>
      <c r="J4" s="57">
        <f>IF(H4&gt;TODAY(),"",SUMIFS('OPs Data'!$N:$N,'OPs Data'!$F:$F,'Category &amp; Range Wise Outward'!J$1,'OPs Data'!$D:$D,'Category &amp; Range Wise Outward'!$A4,'OPs Data'!$L:$L,'Category &amp; Range Wise Outward'!J$2))</f>
      </c>
      <c r="K4" s="57">
        <f>IF(H4&gt;TODAY(),"",SUMIFS('OPs Data'!$N:$N,'OPs Data'!$F:$F,'Category &amp; Range Wise Outward'!J$1,'OPs Data'!$D:$D,'Category &amp; Range Wise Outward'!$A4,'OPs Data'!$L:$L,'Category &amp; Range Wise Outward'!K$2))</f>
      </c>
      <c r="L4" s="57">
        <f>IF(H4&gt;TODAY(),"",SUMIFS('OPs Data'!$N:$N,'OPs Data'!$F:$F,'Category &amp; Range Wise Outward'!J$1,'OPs Data'!$D:$D,'Category &amp; Range Wise Outward'!$A4,'OPs Data'!$L:$L,'Category &amp; Range Wise Outward'!L$2))</f>
      </c>
      <c r="M4" s="57">
        <f>IF(K4&gt;TODAY(),"",SUMIFS('OPs Data'!$N:$N,'OPs Data'!$F:$F,'Category &amp; Range Wise Outward'!M$1,'OPs Data'!$D:$D,'Category &amp; Range Wise Outward'!$A4,'OPs Data'!$L:$L,'Category &amp; Range Wise Outward'!M$2))</f>
      </c>
      <c r="N4" s="57">
        <f>IF(K4&gt;TODAY(),"",SUMIFS('OPs Data'!$N:$N,'OPs Data'!$F:$F,'Category &amp; Range Wise Outward'!M$1,'OPs Data'!$D:$D,'Category &amp; Range Wise Outward'!$A4,'OPs Data'!$L:$L,'Category &amp; Range Wise Outward'!N$2))</f>
      </c>
      <c r="O4" s="57">
        <f>IF(K4&gt;TODAY(),"",SUMIFS('OPs Data'!$N:$N,'OPs Data'!$F:$F,'Category &amp; Range Wise Outward'!M$1,'OPs Data'!$D:$D,'Category &amp; Range Wise Outward'!$A4,'OPs Data'!$L:$L,'Category &amp; Range Wise Outward'!O$2))</f>
      </c>
      <c r="P4" s="57">
        <f>IF($A4&gt;TODAY(),"",SUM(D4,G4,J4,M4))</f>
      </c>
      <c r="Q4" s="57">
        <f>IF($A4&gt;TODAY(),"",SUM(E4,H4,K4,N4))</f>
      </c>
      <c r="R4" s="57">
        <f>IF($A4&gt;TODAY(),"",SUM(F4,I4,L4,O4))</f>
      </c>
    </row>
    <row x14ac:dyDescent="0.25" r="5" customHeight="1" ht="18.75">
      <c r="A5" s="55">
        <v>45736</v>
      </c>
      <c r="B5" s="56">
        <f>IF(A5&gt;TODAY(),"",COUNTA(_xlfn.UNIQUE(_xlfn._xlws.FILTER('OPs Data'!$K:$K,'OPs Data'!$D:$D='Category &amp; Range Wise Outward'!A5))))</f>
      </c>
      <c r="C5" s="98">
        <f>IF(A5&gt;TODAY(),"",SUMIF('OPs Data'!$D:$D,'Category &amp; Range Wise Outward'!$A5,'OPs Data'!O:O)/1000)</f>
      </c>
      <c r="D5" s="57">
        <f>IF(A5&gt;TODAY(),"",SUMIFS('OPs Data'!$N:$N,'OPs Data'!$F:$F,'Category &amp; Range Wise Outward'!D$1,'OPs Data'!$D:$D,'Category &amp; Range Wise Outward'!$A5,'OPs Data'!$L:$L,'Category &amp; Range Wise Outward'!D$2))</f>
      </c>
      <c r="E5" s="57">
        <f>IF(A5&gt;TODAY(),"",SUMIFS('OPs Data'!$N:$N,'OPs Data'!$F:$F,'Category &amp; Range Wise Outward'!D$1,'OPs Data'!$D:$D,'Category &amp; Range Wise Outward'!$A5,'OPs Data'!$L:$L,'Category &amp; Range Wise Outward'!E$2))</f>
      </c>
      <c r="F5" s="57">
        <f>IF(A5&gt;TODAY(),"",SUMIFS('OPs Data'!$N:$N,'OPs Data'!$F:$F,'Category &amp; Range Wise Outward'!D$1,'OPs Data'!$D:$D,'Category &amp; Range Wise Outward'!$A5,'OPs Data'!$L:$L,'Category &amp; Range Wise Outward'!F$2))</f>
      </c>
      <c r="G5" s="57">
        <f>IF(E5&gt;TODAY(),"",SUMIFS('OPs Data'!$N:$N,'OPs Data'!$F:$F,'Category &amp; Range Wise Outward'!G$1,'OPs Data'!$D:$D,'Category &amp; Range Wise Outward'!$A5,'OPs Data'!$L:$L,'Category &amp; Range Wise Outward'!G$2))</f>
      </c>
      <c r="H5" s="57">
        <f>IF(E5&gt;TODAY(),"",SUMIFS('OPs Data'!$N:$N,'OPs Data'!$F:$F,'Category &amp; Range Wise Outward'!G$1,'OPs Data'!$D:$D,'Category &amp; Range Wise Outward'!$A5,'OPs Data'!$L:$L,'Category &amp; Range Wise Outward'!H$2))</f>
      </c>
      <c r="I5" s="57">
        <f>IF(E5&gt;TODAY(),"",SUMIFS('OPs Data'!$N:$N,'OPs Data'!$F:$F,'Category &amp; Range Wise Outward'!G$1,'OPs Data'!$D:$D,'Category &amp; Range Wise Outward'!$A5,'OPs Data'!$L:$L,'Category &amp; Range Wise Outward'!I$2))</f>
      </c>
      <c r="J5" s="57">
        <f>IF(H5&gt;TODAY(),"",SUMIFS('OPs Data'!$N:$N,'OPs Data'!$F:$F,'Category &amp; Range Wise Outward'!J$1,'OPs Data'!$D:$D,'Category &amp; Range Wise Outward'!$A5,'OPs Data'!$L:$L,'Category &amp; Range Wise Outward'!J$2))</f>
      </c>
      <c r="K5" s="57">
        <f>IF(H5&gt;TODAY(),"",SUMIFS('OPs Data'!$N:$N,'OPs Data'!$F:$F,'Category &amp; Range Wise Outward'!J$1,'OPs Data'!$D:$D,'Category &amp; Range Wise Outward'!$A5,'OPs Data'!$L:$L,'Category &amp; Range Wise Outward'!K$2))</f>
      </c>
      <c r="L5" s="57">
        <f>IF(H5&gt;TODAY(),"",SUMIFS('OPs Data'!$N:$N,'OPs Data'!$F:$F,'Category &amp; Range Wise Outward'!J$1,'OPs Data'!$D:$D,'Category &amp; Range Wise Outward'!$A5,'OPs Data'!$L:$L,'Category &amp; Range Wise Outward'!L$2))</f>
      </c>
      <c r="M5" s="57">
        <f>IF(K5&gt;TODAY(),"",SUMIFS('OPs Data'!$N:$N,'OPs Data'!$F:$F,'Category &amp; Range Wise Outward'!M$1,'OPs Data'!$D:$D,'Category &amp; Range Wise Outward'!$A5,'OPs Data'!$L:$L,'Category &amp; Range Wise Outward'!M$2))</f>
      </c>
      <c r="N5" s="57">
        <f>IF(K5&gt;TODAY(),"",SUMIFS('OPs Data'!$N:$N,'OPs Data'!$F:$F,'Category &amp; Range Wise Outward'!M$1,'OPs Data'!$D:$D,'Category &amp; Range Wise Outward'!$A5,'OPs Data'!$L:$L,'Category &amp; Range Wise Outward'!N$2))</f>
      </c>
      <c r="O5" s="57">
        <f>IF(K5&gt;TODAY(),"",SUMIFS('OPs Data'!$N:$N,'OPs Data'!$F:$F,'Category &amp; Range Wise Outward'!M$1,'OPs Data'!$D:$D,'Category &amp; Range Wise Outward'!$A5,'OPs Data'!$L:$L,'Category &amp; Range Wise Outward'!O$2))</f>
      </c>
      <c r="P5" s="57">
        <f>IF($A5&gt;TODAY(),"",SUM(D5,G5,J5,M5))</f>
      </c>
      <c r="Q5" s="57">
        <f>IF($A5&gt;TODAY(),"",SUM(E5,H5,K5,N5))</f>
      </c>
      <c r="R5" s="57">
        <f>IF($A5&gt;TODAY(),"",SUM(F5,I5,L5,O5))</f>
      </c>
    </row>
    <row x14ac:dyDescent="0.25" r="6" customHeight="1" ht="18.75">
      <c r="A6" s="55">
        <v>45737</v>
      </c>
      <c r="B6" s="56">
        <f>IF(A6&gt;TODAY(),"",COUNTA(_xlfn.UNIQUE(_xlfn._xlws.FILTER('OPs Data'!$K:$K,'OPs Data'!$D:$D='Category &amp; Range Wise Outward'!A6))))</f>
      </c>
      <c r="C6" s="98">
        <f>IF(A6&gt;TODAY(),"",SUMIF('OPs Data'!$D:$D,'Category &amp; Range Wise Outward'!$A6,'OPs Data'!O:O)/1000)</f>
      </c>
      <c r="D6" s="57">
        <f>IF(A6&gt;TODAY(),"",SUMIFS('OPs Data'!$N:$N,'OPs Data'!$F:$F,'Category &amp; Range Wise Outward'!D$1,'OPs Data'!$D:$D,'Category &amp; Range Wise Outward'!$A6,'OPs Data'!$L:$L,'Category &amp; Range Wise Outward'!D$2))</f>
      </c>
      <c r="E6" s="57">
        <f>IF(A6&gt;TODAY(),"",SUMIFS('OPs Data'!$N:$N,'OPs Data'!$F:$F,'Category &amp; Range Wise Outward'!D$1,'OPs Data'!$D:$D,'Category &amp; Range Wise Outward'!$A6,'OPs Data'!$L:$L,'Category &amp; Range Wise Outward'!E$2))</f>
      </c>
      <c r="F6" s="57">
        <f>IF(A6&gt;TODAY(),"",SUMIFS('OPs Data'!$N:$N,'OPs Data'!$F:$F,'Category &amp; Range Wise Outward'!D$1,'OPs Data'!$D:$D,'Category &amp; Range Wise Outward'!$A6,'OPs Data'!$L:$L,'Category &amp; Range Wise Outward'!F$2))</f>
      </c>
      <c r="G6" s="57">
        <f>IF(E6&gt;TODAY(),"",SUMIFS('OPs Data'!$N:$N,'OPs Data'!$F:$F,'Category &amp; Range Wise Outward'!G$1,'OPs Data'!$D:$D,'Category &amp; Range Wise Outward'!$A6,'OPs Data'!$L:$L,'Category &amp; Range Wise Outward'!G$2))</f>
      </c>
      <c r="H6" s="57">
        <f>IF(E6&gt;TODAY(),"",SUMIFS('OPs Data'!$N:$N,'OPs Data'!$F:$F,'Category &amp; Range Wise Outward'!G$1,'OPs Data'!$D:$D,'Category &amp; Range Wise Outward'!$A6,'OPs Data'!$L:$L,'Category &amp; Range Wise Outward'!H$2))</f>
      </c>
      <c r="I6" s="57">
        <f>IF(E6&gt;TODAY(),"",SUMIFS('OPs Data'!$N:$N,'OPs Data'!$F:$F,'Category &amp; Range Wise Outward'!G$1,'OPs Data'!$D:$D,'Category &amp; Range Wise Outward'!$A6,'OPs Data'!$L:$L,'Category &amp; Range Wise Outward'!I$2))</f>
      </c>
      <c r="J6" s="57">
        <f>IF(H6&gt;TODAY(),"",SUMIFS('OPs Data'!$N:$N,'OPs Data'!$F:$F,'Category &amp; Range Wise Outward'!J$1,'OPs Data'!$D:$D,'Category &amp; Range Wise Outward'!$A6,'OPs Data'!$L:$L,'Category &amp; Range Wise Outward'!J$2))</f>
      </c>
      <c r="K6" s="57">
        <f>IF(H6&gt;TODAY(),"",SUMIFS('OPs Data'!$N:$N,'OPs Data'!$F:$F,'Category &amp; Range Wise Outward'!J$1,'OPs Data'!$D:$D,'Category &amp; Range Wise Outward'!$A6,'OPs Data'!$L:$L,'Category &amp; Range Wise Outward'!K$2))</f>
      </c>
      <c r="L6" s="57">
        <f>IF(H6&gt;TODAY(),"",SUMIFS('OPs Data'!$N:$N,'OPs Data'!$F:$F,'Category &amp; Range Wise Outward'!J$1,'OPs Data'!$D:$D,'Category &amp; Range Wise Outward'!$A6,'OPs Data'!$L:$L,'Category &amp; Range Wise Outward'!L$2))</f>
      </c>
      <c r="M6" s="57">
        <f>IF(K6&gt;TODAY(),"",SUMIFS('OPs Data'!$N:$N,'OPs Data'!$F:$F,'Category &amp; Range Wise Outward'!M$1,'OPs Data'!$D:$D,'Category &amp; Range Wise Outward'!$A6,'OPs Data'!$L:$L,'Category &amp; Range Wise Outward'!M$2))</f>
      </c>
      <c r="N6" s="57">
        <f>IF(K6&gt;TODAY(),"",SUMIFS('OPs Data'!$N:$N,'OPs Data'!$F:$F,'Category &amp; Range Wise Outward'!M$1,'OPs Data'!$D:$D,'Category &amp; Range Wise Outward'!$A6,'OPs Data'!$L:$L,'Category &amp; Range Wise Outward'!N$2))</f>
      </c>
      <c r="O6" s="57">
        <f>IF(K6&gt;TODAY(),"",SUMIFS('OPs Data'!$N:$N,'OPs Data'!$F:$F,'Category &amp; Range Wise Outward'!M$1,'OPs Data'!$D:$D,'Category &amp; Range Wise Outward'!$A6,'OPs Data'!$L:$L,'Category &amp; Range Wise Outward'!O$2))</f>
      </c>
      <c r="P6" s="57">
        <f>IF($A6&gt;TODAY(),"",SUM(D6,G6,J6,M6))</f>
      </c>
      <c r="Q6" s="57">
        <f>IF($A6&gt;TODAY(),"",SUM(E6,H6,K6,N6))</f>
      </c>
      <c r="R6" s="57">
        <f>IF($A6&gt;TODAY(),"",SUM(F6,I6,L6,O6))</f>
      </c>
    </row>
    <row x14ac:dyDescent="0.25" r="7" customHeight="1" ht="18.75">
      <c r="A7" s="55">
        <v>45738</v>
      </c>
      <c r="B7" s="56">
        <f>IF(A7&gt;TODAY(),"",COUNTA(_xlfn.UNIQUE(_xlfn._xlws.FILTER('OPs Data'!$K:$K,'OPs Data'!$D:$D='Category &amp; Range Wise Outward'!A7))))</f>
      </c>
      <c r="C7" s="98">
        <f>IF(A7&gt;TODAY(),"",SUMIF('OPs Data'!$D:$D,'Category &amp; Range Wise Outward'!$A7,'OPs Data'!O:O)/1000)</f>
      </c>
      <c r="D7" s="57">
        <f>IF(A7&gt;TODAY(),"",SUMIFS('OPs Data'!$N:$N,'OPs Data'!$F:$F,'Category &amp; Range Wise Outward'!D$1,'OPs Data'!$D:$D,'Category &amp; Range Wise Outward'!$A7,'OPs Data'!$L:$L,'Category &amp; Range Wise Outward'!D$2))</f>
      </c>
      <c r="E7" s="57">
        <f>IF(A7&gt;TODAY(),"",SUMIFS('OPs Data'!$N:$N,'OPs Data'!$F:$F,'Category &amp; Range Wise Outward'!D$1,'OPs Data'!$D:$D,'Category &amp; Range Wise Outward'!$A7,'OPs Data'!$L:$L,'Category &amp; Range Wise Outward'!E$2))</f>
      </c>
      <c r="F7" s="57">
        <f>IF(A7&gt;TODAY(),"",SUMIFS('OPs Data'!$N:$N,'OPs Data'!$F:$F,'Category &amp; Range Wise Outward'!D$1,'OPs Data'!$D:$D,'Category &amp; Range Wise Outward'!$A7,'OPs Data'!$L:$L,'Category &amp; Range Wise Outward'!F$2))</f>
      </c>
      <c r="G7" s="57">
        <f>IF(E7&gt;TODAY(),"",SUMIFS('OPs Data'!$N:$N,'OPs Data'!$F:$F,'Category &amp; Range Wise Outward'!G$1,'OPs Data'!$D:$D,'Category &amp; Range Wise Outward'!$A7,'OPs Data'!$L:$L,'Category &amp; Range Wise Outward'!G$2))</f>
      </c>
      <c r="H7" s="57">
        <f>IF(E7&gt;TODAY(),"",SUMIFS('OPs Data'!$N:$N,'OPs Data'!$F:$F,'Category &amp; Range Wise Outward'!G$1,'OPs Data'!$D:$D,'Category &amp; Range Wise Outward'!$A7,'OPs Data'!$L:$L,'Category &amp; Range Wise Outward'!H$2))</f>
      </c>
      <c r="I7" s="57">
        <f>IF(E7&gt;TODAY(),"",SUMIFS('OPs Data'!$N:$N,'OPs Data'!$F:$F,'Category &amp; Range Wise Outward'!G$1,'OPs Data'!$D:$D,'Category &amp; Range Wise Outward'!$A7,'OPs Data'!$L:$L,'Category &amp; Range Wise Outward'!I$2))</f>
      </c>
      <c r="J7" s="57">
        <f>IF(H7&gt;TODAY(),"",SUMIFS('OPs Data'!$N:$N,'OPs Data'!$F:$F,'Category &amp; Range Wise Outward'!J$1,'OPs Data'!$D:$D,'Category &amp; Range Wise Outward'!$A7,'OPs Data'!$L:$L,'Category &amp; Range Wise Outward'!J$2))</f>
      </c>
      <c r="K7" s="57">
        <f>IF(H7&gt;TODAY(),"",SUMIFS('OPs Data'!$N:$N,'OPs Data'!$F:$F,'Category &amp; Range Wise Outward'!J$1,'OPs Data'!$D:$D,'Category &amp; Range Wise Outward'!$A7,'OPs Data'!$L:$L,'Category &amp; Range Wise Outward'!K$2))</f>
      </c>
      <c r="L7" s="57">
        <f>IF(H7&gt;TODAY(),"",SUMIFS('OPs Data'!$N:$N,'OPs Data'!$F:$F,'Category &amp; Range Wise Outward'!J$1,'OPs Data'!$D:$D,'Category &amp; Range Wise Outward'!$A7,'OPs Data'!$L:$L,'Category &amp; Range Wise Outward'!L$2))</f>
      </c>
      <c r="M7" s="57">
        <f>IF(K7&gt;TODAY(),"",SUMIFS('OPs Data'!$N:$N,'OPs Data'!$F:$F,'Category &amp; Range Wise Outward'!M$1,'OPs Data'!$D:$D,'Category &amp; Range Wise Outward'!$A7,'OPs Data'!$L:$L,'Category &amp; Range Wise Outward'!M$2))</f>
      </c>
      <c r="N7" s="57">
        <f>IF(K7&gt;TODAY(),"",SUMIFS('OPs Data'!$N:$N,'OPs Data'!$F:$F,'Category &amp; Range Wise Outward'!M$1,'OPs Data'!$D:$D,'Category &amp; Range Wise Outward'!$A7,'OPs Data'!$L:$L,'Category &amp; Range Wise Outward'!N$2))</f>
      </c>
      <c r="O7" s="57">
        <f>IF(K7&gt;TODAY(),"",SUMIFS('OPs Data'!$N:$N,'OPs Data'!$F:$F,'Category &amp; Range Wise Outward'!M$1,'OPs Data'!$D:$D,'Category &amp; Range Wise Outward'!$A7,'OPs Data'!$L:$L,'Category &amp; Range Wise Outward'!O$2))</f>
      </c>
      <c r="P7" s="57">
        <f>IF($A7&gt;TODAY(),"",SUM(D7,G7,J7,M7))</f>
      </c>
      <c r="Q7" s="57">
        <f>IF($A7&gt;TODAY(),"",SUM(E7,H7,K7,N7))</f>
      </c>
      <c r="R7" s="57">
        <f>IF($A7&gt;TODAY(),"",SUM(F7,I7,L7,O7))</f>
      </c>
    </row>
    <row x14ac:dyDescent="0.25" r="8" customHeight="1" ht="18.75">
      <c r="A8" s="55">
        <v>45739</v>
      </c>
      <c r="B8" s="56">
        <f>IF(A8&gt;TODAY(),"",COUNTA(_xlfn.UNIQUE(_xlfn._xlws.FILTER('OPs Data'!$K:$K,'OPs Data'!$D:$D='Category &amp; Range Wise Outward'!A8))))</f>
      </c>
      <c r="C8" s="98">
        <f>IF(A8&gt;TODAY(),"",SUMIF('OPs Data'!$D:$D,'Category &amp; Range Wise Outward'!$A8,'OPs Data'!O:O)/1000)</f>
      </c>
      <c r="D8" s="57">
        <f>IF(A8&gt;TODAY(),"",SUMIFS('OPs Data'!$N:$N,'OPs Data'!$F:$F,'Category &amp; Range Wise Outward'!D$1,'OPs Data'!$D:$D,'Category &amp; Range Wise Outward'!$A8,'OPs Data'!$L:$L,'Category &amp; Range Wise Outward'!D$2))</f>
      </c>
      <c r="E8" s="57">
        <f>IF(A8&gt;TODAY(),"",SUMIFS('OPs Data'!$N:$N,'OPs Data'!$F:$F,'Category &amp; Range Wise Outward'!D$1,'OPs Data'!$D:$D,'Category &amp; Range Wise Outward'!$A8,'OPs Data'!$L:$L,'Category &amp; Range Wise Outward'!E$2))</f>
      </c>
      <c r="F8" s="57">
        <f>IF(A8&gt;TODAY(),"",SUMIFS('OPs Data'!$N:$N,'OPs Data'!$F:$F,'Category &amp; Range Wise Outward'!D$1,'OPs Data'!$D:$D,'Category &amp; Range Wise Outward'!$A8,'OPs Data'!$L:$L,'Category &amp; Range Wise Outward'!F$2))</f>
      </c>
      <c r="G8" s="57">
        <f>IF(E8&gt;TODAY(),"",SUMIFS('OPs Data'!$N:$N,'OPs Data'!$F:$F,'Category &amp; Range Wise Outward'!G$1,'OPs Data'!$D:$D,'Category &amp; Range Wise Outward'!$A8,'OPs Data'!$L:$L,'Category &amp; Range Wise Outward'!G$2))</f>
      </c>
      <c r="H8" s="57">
        <f>IF(E8&gt;TODAY(),"",SUMIFS('OPs Data'!$N:$N,'OPs Data'!$F:$F,'Category &amp; Range Wise Outward'!G$1,'OPs Data'!$D:$D,'Category &amp; Range Wise Outward'!$A8,'OPs Data'!$L:$L,'Category &amp; Range Wise Outward'!H$2))</f>
      </c>
      <c r="I8" s="57">
        <f>IF(E8&gt;TODAY(),"",SUMIFS('OPs Data'!$N:$N,'OPs Data'!$F:$F,'Category &amp; Range Wise Outward'!G$1,'OPs Data'!$D:$D,'Category &amp; Range Wise Outward'!$A8,'OPs Data'!$L:$L,'Category &amp; Range Wise Outward'!I$2))</f>
      </c>
      <c r="J8" s="57">
        <f>IF(H8&gt;TODAY(),"",SUMIFS('OPs Data'!$N:$N,'OPs Data'!$F:$F,'Category &amp; Range Wise Outward'!J$1,'OPs Data'!$D:$D,'Category &amp; Range Wise Outward'!$A8,'OPs Data'!$L:$L,'Category &amp; Range Wise Outward'!J$2))</f>
      </c>
      <c r="K8" s="57">
        <f>IF(H8&gt;TODAY(),"",SUMIFS('OPs Data'!$N:$N,'OPs Data'!$F:$F,'Category &amp; Range Wise Outward'!J$1,'OPs Data'!$D:$D,'Category &amp; Range Wise Outward'!$A8,'OPs Data'!$L:$L,'Category &amp; Range Wise Outward'!K$2))</f>
      </c>
      <c r="L8" s="57">
        <f>IF(H8&gt;TODAY(),"",SUMIFS('OPs Data'!$N:$N,'OPs Data'!$F:$F,'Category &amp; Range Wise Outward'!J$1,'OPs Data'!$D:$D,'Category &amp; Range Wise Outward'!$A8,'OPs Data'!$L:$L,'Category &amp; Range Wise Outward'!L$2))</f>
      </c>
      <c r="M8" s="57">
        <f>IF(K8&gt;TODAY(),"",SUMIFS('OPs Data'!$N:$N,'OPs Data'!$F:$F,'Category &amp; Range Wise Outward'!M$1,'OPs Data'!$D:$D,'Category &amp; Range Wise Outward'!$A8,'OPs Data'!$L:$L,'Category &amp; Range Wise Outward'!M$2))</f>
      </c>
      <c r="N8" s="57">
        <f>IF(K8&gt;TODAY(),"",SUMIFS('OPs Data'!$N:$N,'OPs Data'!$F:$F,'Category &amp; Range Wise Outward'!M$1,'OPs Data'!$D:$D,'Category &amp; Range Wise Outward'!$A8,'OPs Data'!$L:$L,'Category &amp; Range Wise Outward'!N$2))</f>
      </c>
      <c r="O8" s="57">
        <f>IF(K8&gt;TODAY(),"",SUMIFS('OPs Data'!$N:$N,'OPs Data'!$F:$F,'Category &amp; Range Wise Outward'!M$1,'OPs Data'!$D:$D,'Category &amp; Range Wise Outward'!$A8,'OPs Data'!$L:$L,'Category &amp; Range Wise Outward'!O$2))</f>
      </c>
      <c r="P8" s="57">
        <f>IF($A8&gt;TODAY(),"",SUM(D8,G8,J8,M8))</f>
      </c>
      <c r="Q8" s="57">
        <f>IF($A8&gt;TODAY(),"",SUM(E8,H8,K8,N8))</f>
      </c>
      <c r="R8" s="57">
        <f>IF($A8&gt;TODAY(),"",SUM(F8,I8,L8,O8))</f>
      </c>
    </row>
    <row x14ac:dyDescent="0.25" r="9" customHeight="1" ht="18.75">
      <c r="A9" s="55">
        <v>45740</v>
      </c>
      <c r="B9" s="56">
        <f>IF(A9&gt;TODAY(),"",COUNTA(_xlfn.UNIQUE(_xlfn._xlws.FILTER('OPs Data'!$K:$K,'OPs Data'!$D:$D='Category &amp; Range Wise Outward'!A9))))</f>
      </c>
      <c r="C9" s="98">
        <f>IF(A9&gt;TODAY(),"",SUMIF('OPs Data'!$D:$D,'Category &amp; Range Wise Outward'!$A9,'OPs Data'!O:O)/1000)</f>
      </c>
      <c r="D9" s="57">
        <f>IF(A9&gt;TODAY(),"",SUMIFS('OPs Data'!$N:$N,'OPs Data'!$F:$F,'Category &amp; Range Wise Outward'!D$1,'OPs Data'!$D:$D,'Category &amp; Range Wise Outward'!$A9,'OPs Data'!$L:$L,'Category &amp; Range Wise Outward'!D$2))</f>
      </c>
      <c r="E9" s="57">
        <f>IF(A9&gt;TODAY(),"",SUMIFS('OPs Data'!$N:$N,'OPs Data'!$F:$F,'Category &amp; Range Wise Outward'!D$1,'OPs Data'!$D:$D,'Category &amp; Range Wise Outward'!$A9,'OPs Data'!$L:$L,'Category &amp; Range Wise Outward'!E$2))</f>
      </c>
      <c r="F9" s="57">
        <f>IF(A9&gt;TODAY(),"",SUMIFS('OPs Data'!$N:$N,'OPs Data'!$F:$F,'Category &amp; Range Wise Outward'!D$1,'OPs Data'!$D:$D,'Category &amp; Range Wise Outward'!$A9,'OPs Data'!$L:$L,'Category &amp; Range Wise Outward'!F$2))</f>
      </c>
      <c r="G9" s="57">
        <f>IF(E9&gt;TODAY(),"",SUMIFS('OPs Data'!$N:$N,'OPs Data'!$F:$F,'Category &amp; Range Wise Outward'!G$1,'OPs Data'!$D:$D,'Category &amp; Range Wise Outward'!$A9,'OPs Data'!$L:$L,'Category &amp; Range Wise Outward'!G$2))</f>
      </c>
      <c r="H9" s="57">
        <f>IF(E9&gt;TODAY(),"",SUMIFS('OPs Data'!$N:$N,'OPs Data'!$F:$F,'Category &amp; Range Wise Outward'!G$1,'OPs Data'!$D:$D,'Category &amp; Range Wise Outward'!$A9,'OPs Data'!$L:$L,'Category &amp; Range Wise Outward'!H$2))</f>
      </c>
      <c r="I9" s="57">
        <f>IF(E9&gt;TODAY(),"",SUMIFS('OPs Data'!$N:$N,'OPs Data'!$F:$F,'Category &amp; Range Wise Outward'!G$1,'OPs Data'!$D:$D,'Category &amp; Range Wise Outward'!$A9,'OPs Data'!$L:$L,'Category &amp; Range Wise Outward'!I$2))</f>
      </c>
      <c r="J9" s="57">
        <f>IF(H9&gt;TODAY(),"",SUMIFS('OPs Data'!$N:$N,'OPs Data'!$F:$F,'Category &amp; Range Wise Outward'!J$1,'OPs Data'!$D:$D,'Category &amp; Range Wise Outward'!$A9,'OPs Data'!$L:$L,'Category &amp; Range Wise Outward'!J$2))</f>
      </c>
      <c r="K9" s="57">
        <f>IF(H9&gt;TODAY(),"",SUMIFS('OPs Data'!$N:$N,'OPs Data'!$F:$F,'Category &amp; Range Wise Outward'!J$1,'OPs Data'!$D:$D,'Category &amp; Range Wise Outward'!$A9,'OPs Data'!$L:$L,'Category &amp; Range Wise Outward'!K$2))</f>
      </c>
      <c r="L9" s="57">
        <f>IF(H9&gt;TODAY(),"",SUMIFS('OPs Data'!$N:$N,'OPs Data'!$F:$F,'Category &amp; Range Wise Outward'!J$1,'OPs Data'!$D:$D,'Category &amp; Range Wise Outward'!$A9,'OPs Data'!$L:$L,'Category &amp; Range Wise Outward'!L$2))</f>
      </c>
      <c r="M9" s="57">
        <f>IF(K9&gt;TODAY(),"",SUMIFS('OPs Data'!$N:$N,'OPs Data'!$F:$F,'Category &amp; Range Wise Outward'!M$1,'OPs Data'!$D:$D,'Category &amp; Range Wise Outward'!$A9,'OPs Data'!$L:$L,'Category &amp; Range Wise Outward'!M$2))</f>
      </c>
      <c r="N9" s="57">
        <f>IF(K9&gt;TODAY(),"",SUMIFS('OPs Data'!$N:$N,'OPs Data'!$F:$F,'Category &amp; Range Wise Outward'!M$1,'OPs Data'!$D:$D,'Category &amp; Range Wise Outward'!$A9,'OPs Data'!$L:$L,'Category &amp; Range Wise Outward'!N$2))</f>
      </c>
      <c r="O9" s="57">
        <f>IF(K9&gt;TODAY(),"",SUMIFS('OPs Data'!$N:$N,'OPs Data'!$F:$F,'Category &amp; Range Wise Outward'!M$1,'OPs Data'!$D:$D,'Category &amp; Range Wise Outward'!$A9,'OPs Data'!$L:$L,'Category &amp; Range Wise Outward'!O$2))</f>
      </c>
      <c r="P9" s="57">
        <f>IF($A9&gt;TODAY(),"",SUM(D9,G9,J9,M9))</f>
      </c>
      <c r="Q9" s="57">
        <f>IF($A9&gt;TODAY(),"",SUM(E9,H9,K9,N9))</f>
      </c>
      <c r="R9" s="57">
        <f>IF($A9&gt;TODAY(),"",SUM(F9,I9,L9,O9))</f>
      </c>
    </row>
    <row x14ac:dyDescent="0.25" r="10" customHeight="1" ht="18.75">
      <c r="A10" s="55">
        <v>45741</v>
      </c>
      <c r="B10" s="56">
        <f>IF(A10&gt;TODAY(),"",COUNTA(_xlfn.UNIQUE(_xlfn._xlws.FILTER('OPs Data'!$K:$K,'OPs Data'!$D:$D='Category &amp; Range Wise Outward'!A10))))</f>
      </c>
      <c r="C10" s="98">
        <f>IF(A10&gt;TODAY(),"",SUMIF('OPs Data'!$D:$D,'Category &amp; Range Wise Outward'!$A10,'OPs Data'!O:O)/1000)</f>
      </c>
      <c r="D10" s="57">
        <f>IF(A10&gt;TODAY(),"",SUMIFS('OPs Data'!$N:$N,'OPs Data'!$F:$F,'Category &amp; Range Wise Outward'!D$1,'OPs Data'!$D:$D,'Category &amp; Range Wise Outward'!$A10,'OPs Data'!$L:$L,'Category &amp; Range Wise Outward'!D$2))</f>
      </c>
      <c r="E10" s="57">
        <f>IF(A10&gt;TODAY(),"",SUMIFS('OPs Data'!$N:$N,'OPs Data'!$F:$F,'Category &amp; Range Wise Outward'!D$1,'OPs Data'!$D:$D,'Category &amp; Range Wise Outward'!$A10,'OPs Data'!$L:$L,'Category &amp; Range Wise Outward'!E$2))</f>
      </c>
      <c r="F10" s="57">
        <f>IF(A10&gt;TODAY(),"",SUMIFS('OPs Data'!$N:$N,'OPs Data'!$F:$F,'Category &amp; Range Wise Outward'!D$1,'OPs Data'!$D:$D,'Category &amp; Range Wise Outward'!$A10,'OPs Data'!$L:$L,'Category &amp; Range Wise Outward'!F$2))</f>
      </c>
      <c r="G10" s="57">
        <f>IF(E10&gt;TODAY(),"",SUMIFS('OPs Data'!$N:$N,'OPs Data'!$F:$F,'Category &amp; Range Wise Outward'!G$1,'OPs Data'!$D:$D,'Category &amp; Range Wise Outward'!$A10,'OPs Data'!$L:$L,'Category &amp; Range Wise Outward'!G$2))</f>
      </c>
      <c r="H10" s="57">
        <f>IF(E10&gt;TODAY(),"",SUMIFS('OPs Data'!$N:$N,'OPs Data'!$F:$F,'Category &amp; Range Wise Outward'!G$1,'OPs Data'!$D:$D,'Category &amp; Range Wise Outward'!$A10,'OPs Data'!$L:$L,'Category &amp; Range Wise Outward'!H$2))</f>
      </c>
      <c r="I10" s="57">
        <f>IF(E10&gt;TODAY(),"",SUMIFS('OPs Data'!$N:$N,'OPs Data'!$F:$F,'Category &amp; Range Wise Outward'!G$1,'OPs Data'!$D:$D,'Category &amp; Range Wise Outward'!$A10,'OPs Data'!$L:$L,'Category &amp; Range Wise Outward'!I$2))</f>
      </c>
      <c r="J10" s="57">
        <f>IF(H10&gt;TODAY(),"",SUMIFS('OPs Data'!$N:$N,'OPs Data'!$F:$F,'Category &amp; Range Wise Outward'!J$1,'OPs Data'!$D:$D,'Category &amp; Range Wise Outward'!$A10,'OPs Data'!$L:$L,'Category &amp; Range Wise Outward'!J$2))</f>
      </c>
      <c r="K10" s="57">
        <f>IF(H10&gt;TODAY(),"",SUMIFS('OPs Data'!$N:$N,'OPs Data'!$F:$F,'Category &amp; Range Wise Outward'!J$1,'OPs Data'!$D:$D,'Category &amp; Range Wise Outward'!$A10,'OPs Data'!$L:$L,'Category &amp; Range Wise Outward'!K$2))</f>
      </c>
      <c r="L10" s="57">
        <f>IF(H10&gt;TODAY(),"",SUMIFS('OPs Data'!$N:$N,'OPs Data'!$F:$F,'Category &amp; Range Wise Outward'!J$1,'OPs Data'!$D:$D,'Category &amp; Range Wise Outward'!$A10,'OPs Data'!$L:$L,'Category &amp; Range Wise Outward'!L$2))</f>
      </c>
      <c r="M10" s="57">
        <f>IF(K10&gt;TODAY(),"",SUMIFS('OPs Data'!$N:$N,'OPs Data'!$F:$F,'Category &amp; Range Wise Outward'!M$1,'OPs Data'!$D:$D,'Category &amp; Range Wise Outward'!$A10,'OPs Data'!$L:$L,'Category &amp; Range Wise Outward'!M$2))</f>
      </c>
      <c r="N10" s="57">
        <f>IF(K10&gt;TODAY(),"",SUMIFS('OPs Data'!$N:$N,'OPs Data'!$F:$F,'Category &amp; Range Wise Outward'!M$1,'OPs Data'!$D:$D,'Category &amp; Range Wise Outward'!$A10,'OPs Data'!$L:$L,'Category &amp; Range Wise Outward'!N$2))</f>
      </c>
      <c r="O10" s="57">
        <f>IF(K10&gt;TODAY(),"",SUMIFS('OPs Data'!$N:$N,'OPs Data'!$F:$F,'Category &amp; Range Wise Outward'!M$1,'OPs Data'!$D:$D,'Category &amp; Range Wise Outward'!$A10,'OPs Data'!$L:$L,'Category &amp; Range Wise Outward'!O$2))</f>
      </c>
      <c r="P10" s="57">
        <f>IF($A10&gt;TODAY(),"",SUM(D10,G10,J10,M10))</f>
      </c>
      <c r="Q10" s="57">
        <f>IF($A10&gt;TODAY(),"",SUM(E10,H10,K10,N10))</f>
      </c>
      <c r="R10" s="57">
        <f>IF($A10&gt;TODAY(),"",SUM(F10,I10,L10,O10))</f>
      </c>
    </row>
    <row x14ac:dyDescent="0.25" r="11" customHeight="1" ht="18.75">
      <c r="A11" s="55">
        <v>45742</v>
      </c>
      <c r="B11" s="56">
        <f>IF(A11&gt;TODAY(),"",COUNTA(_xlfn.UNIQUE(_xlfn._xlws.FILTER('OPs Data'!$K:$K,'OPs Data'!$D:$D='Category &amp; Range Wise Outward'!A11))))</f>
      </c>
      <c r="C11" s="98">
        <f>IF(A11&gt;TODAY(),"",SUMIF('OPs Data'!$D:$D,'Category &amp; Range Wise Outward'!$A11,'OPs Data'!O:O)/1000)</f>
      </c>
      <c r="D11" s="57">
        <f>IF(A11&gt;TODAY(),"",SUMIFS('OPs Data'!$N:$N,'OPs Data'!$F:$F,'Category &amp; Range Wise Outward'!D$1,'OPs Data'!$D:$D,'Category &amp; Range Wise Outward'!$A11,'OPs Data'!$L:$L,'Category &amp; Range Wise Outward'!D$2))</f>
      </c>
      <c r="E11" s="57">
        <f>IF(A11&gt;TODAY(),"",SUMIFS('OPs Data'!$N:$N,'OPs Data'!$F:$F,'Category &amp; Range Wise Outward'!D$1,'OPs Data'!$D:$D,'Category &amp; Range Wise Outward'!$A11,'OPs Data'!$L:$L,'Category &amp; Range Wise Outward'!E$2))</f>
      </c>
      <c r="F11" s="57">
        <f>IF(A11&gt;TODAY(),"",SUMIFS('OPs Data'!$N:$N,'OPs Data'!$F:$F,'Category &amp; Range Wise Outward'!D$1,'OPs Data'!$D:$D,'Category &amp; Range Wise Outward'!$A11,'OPs Data'!$L:$L,'Category &amp; Range Wise Outward'!F$2))</f>
      </c>
      <c r="G11" s="57">
        <f>IF(E11&gt;TODAY(),"",SUMIFS('OPs Data'!$N:$N,'OPs Data'!$F:$F,'Category &amp; Range Wise Outward'!G$1,'OPs Data'!$D:$D,'Category &amp; Range Wise Outward'!$A11,'OPs Data'!$L:$L,'Category &amp; Range Wise Outward'!G$2))</f>
      </c>
      <c r="H11" s="57">
        <f>IF(E11&gt;TODAY(),"",SUMIFS('OPs Data'!$N:$N,'OPs Data'!$F:$F,'Category &amp; Range Wise Outward'!G$1,'OPs Data'!$D:$D,'Category &amp; Range Wise Outward'!$A11,'OPs Data'!$L:$L,'Category &amp; Range Wise Outward'!H$2))</f>
      </c>
      <c r="I11" s="57">
        <f>IF(E11&gt;TODAY(),"",SUMIFS('OPs Data'!$N:$N,'OPs Data'!$F:$F,'Category &amp; Range Wise Outward'!G$1,'OPs Data'!$D:$D,'Category &amp; Range Wise Outward'!$A11,'OPs Data'!$L:$L,'Category &amp; Range Wise Outward'!I$2))</f>
      </c>
      <c r="J11" s="57">
        <f>IF(H11&gt;TODAY(),"",SUMIFS('OPs Data'!$N:$N,'OPs Data'!$F:$F,'Category &amp; Range Wise Outward'!J$1,'OPs Data'!$D:$D,'Category &amp; Range Wise Outward'!$A11,'OPs Data'!$L:$L,'Category &amp; Range Wise Outward'!J$2))</f>
      </c>
      <c r="K11" s="57">
        <f>IF(H11&gt;TODAY(),"",SUMIFS('OPs Data'!$N:$N,'OPs Data'!$F:$F,'Category &amp; Range Wise Outward'!J$1,'OPs Data'!$D:$D,'Category &amp; Range Wise Outward'!$A11,'OPs Data'!$L:$L,'Category &amp; Range Wise Outward'!K$2))</f>
      </c>
      <c r="L11" s="57">
        <f>IF(H11&gt;TODAY(),"",SUMIFS('OPs Data'!$N:$N,'OPs Data'!$F:$F,'Category &amp; Range Wise Outward'!J$1,'OPs Data'!$D:$D,'Category &amp; Range Wise Outward'!$A11,'OPs Data'!$L:$L,'Category &amp; Range Wise Outward'!L$2))</f>
      </c>
      <c r="M11" s="57">
        <f>IF(K11&gt;TODAY(),"",SUMIFS('OPs Data'!$N:$N,'OPs Data'!$F:$F,'Category &amp; Range Wise Outward'!M$1,'OPs Data'!$D:$D,'Category &amp; Range Wise Outward'!$A11,'OPs Data'!$L:$L,'Category &amp; Range Wise Outward'!M$2))</f>
      </c>
      <c r="N11" s="57">
        <f>IF(K11&gt;TODAY(),"",SUMIFS('OPs Data'!$N:$N,'OPs Data'!$F:$F,'Category &amp; Range Wise Outward'!M$1,'OPs Data'!$D:$D,'Category &amp; Range Wise Outward'!$A11,'OPs Data'!$L:$L,'Category &amp; Range Wise Outward'!N$2))</f>
      </c>
      <c r="O11" s="57">
        <f>IF(K11&gt;TODAY(),"",SUMIFS('OPs Data'!$N:$N,'OPs Data'!$F:$F,'Category &amp; Range Wise Outward'!M$1,'OPs Data'!$D:$D,'Category &amp; Range Wise Outward'!$A11,'OPs Data'!$L:$L,'Category &amp; Range Wise Outward'!O$2))</f>
      </c>
      <c r="P11" s="57">
        <f>IF($A11&gt;TODAY(),"",SUM(D11,G11,J11,M11))</f>
      </c>
      <c r="Q11" s="57">
        <f>IF($A11&gt;TODAY(),"",SUM(E11,H11,K11,N11))</f>
      </c>
      <c r="R11" s="57">
        <f>IF($A11&gt;TODAY(),"",SUM(F11,I11,L11,O11))</f>
      </c>
    </row>
    <row x14ac:dyDescent="0.25" r="12" customHeight="1" ht="18.75">
      <c r="A12" s="55">
        <v>45743</v>
      </c>
      <c r="B12" s="56">
        <f>IF(A12&gt;TODAY(),"",COUNTA(_xlfn.UNIQUE(_xlfn._xlws.FILTER('OPs Data'!$K:$K,'OPs Data'!$D:$D='Category &amp; Range Wise Outward'!A12))))</f>
      </c>
      <c r="C12" s="98">
        <f>IF(A12&gt;TODAY(),"",SUMIF('OPs Data'!$D:$D,'Category &amp; Range Wise Outward'!$A12,'OPs Data'!O:O)/1000)</f>
      </c>
      <c r="D12" s="57">
        <f>IF(A12&gt;TODAY(),"",SUMIFS('OPs Data'!$N:$N,'OPs Data'!$F:$F,'Category &amp; Range Wise Outward'!D$1,'OPs Data'!$D:$D,'Category &amp; Range Wise Outward'!$A12,'OPs Data'!$L:$L,'Category &amp; Range Wise Outward'!D$2))</f>
      </c>
      <c r="E12" s="57">
        <f>IF(A12&gt;TODAY(),"",SUMIFS('OPs Data'!$N:$N,'OPs Data'!$F:$F,'Category &amp; Range Wise Outward'!D$1,'OPs Data'!$D:$D,'Category &amp; Range Wise Outward'!$A12,'OPs Data'!$L:$L,'Category &amp; Range Wise Outward'!E$2))</f>
      </c>
      <c r="F12" s="57">
        <f>IF(A12&gt;TODAY(),"",SUMIFS('OPs Data'!$N:$N,'OPs Data'!$F:$F,'Category &amp; Range Wise Outward'!D$1,'OPs Data'!$D:$D,'Category &amp; Range Wise Outward'!$A12,'OPs Data'!$L:$L,'Category &amp; Range Wise Outward'!F$2))</f>
      </c>
      <c r="G12" s="57">
        <f>IF(E12&gt;TODAY(),"",SUMIFS('OPs Data'!$N:$N,'OPs Data'!$F:$F,'Category &amp; Range Wise Outward'!G$1,'OPs Data'!$D:$D,'Category &amp; Range Wise Outward'!$A12,'OPs Data'!$L:$L,'Category &amp; Range Wise Outward'!G$2))</f>
      </c>
      <c r="H12" s="57">
        <f>IF(E12&gt;TODAY(),"",SUMIFS('OPs Data'!$N:$N,'OPs Data'!$F:$F,'Category &amp; Range Wise Outward'!G$1,'OPs Data'!$D:$D,'Category &amp; Range Wise Outward'!$A12,'OPs Data'!$L:$L,'Category &amp; Range Wise Outward'!H$2))</f>
      </c>
      <c r="I12" s="57">
        <f>IF(E12&gt;TODAY(),"",SUMIFS('OPs Data'!$N:$N,'OPs Data'!$F:$F,'Category &amp; Range Wise Outward'!G$1,'OPs Data'!$D:$D,'Category &amp; Range Wise Outward'!$A12,'OPs Data'!$L:$L,'Category &amp; Range Wise Outward'!I$2))</f>
      </c>
      <c r="J12" s="57">
        <f>IF(H12&gt;TODAY(),"",SUMIFS('OPs Data'!$N:$N,'OPs Data'!$F:$F,'Category &amp; Range Wise Outward'!J$1,'OPs Data'!$D:$D,'Category &amp; Range Wise Outward'!$A12,'OPs Data'!$L:$L,'Category &amp; Range Wise Outward'!J$2))</f>
      </c>
      <c r="K12" s="57">
        <f>IF(H12&gt;TODAY(),"",SUMIFS('OPs Data'!$N:$N,'OPs Data'!$F:$F,'Category &amp; Range Wise Outward'!J$1,'OPs Data'!$D:$D,'Category &amp; Range Wise Outward'!$A12,'OPs Data'!$L:$L,'Category &amp; Range Wise Outward'!K$2))</f>
      </c>
      <c r="L12" s="57">
        <f>IF(H12&gt;TODAY(),"",SUMIFS('OPs Data'!$N:$N,'OPs Data'!$F:$F,'Category &amp; Range Wise Outward'!J$1,'OPs Data'!$D:$D,'Category &amp; Range Wise Outward'!$A12,'OPs Data'!$L:$L,'Category &amp; Range Wise Outward'!L$2))</f>
      </c>
      <c r="M12" s="57">
        <f>IF(K12&gt;TODAY(),"",SUMIFS('OPs Data'!$N:$N,'OPs Data'!$F:$F,'Category &amp; Range Wise Outward'!M$1,'OPs Data'!$D:$D,'Category &amp; Range Wise Outward'!$A12,'OPs Data'!$L:$L,'Category &amp; Range Wise Outward'!M$2))</f>
      </c>
      <c r="N12" s="57">
        <f>IF(K12&gt;TODAY(),"",SUMIFS('OPs Data'!$N:$N,'OPs Data'!$F:$F,'Category &amp; Range Wise Outward'!M$1,'OPs Data'!$D:$D,'Category &amp; Range Wise Outward'!$A12,'OPs Data'!$L:$L,'Category &amp; Range Wise Outward'!N$2))</f>
      </c>
      <c r="O12" s="57">
        <f>IF(K12&gt;TODAY(),"",SUMIFS('OPs Data'!$N:$N,'OPs Data'!$F:$F,'Category &amp; Range Wise Outward'!M$1,'OPs Data'!$D:$D,'Category &amp; Range Wise Outward'!$A12,'OPs Data'!$L:$L,'Category &amp; Range Wise Outward'!O$2))</f>
      </c>
      <c r="P12" s="57">
        <f>IF($A12&gt;TODAY(),"",SUM(D12,G12,J12,M12))</f>
      </c>
      <c r="Q12" s="57">
        <f>IF($A12&gt;TODAY(),"",SUM(E12,H12,K12,N12))</f>
      </c>
      <c r="R12" s="57">
        <f>IF($A12&gt;TODAY(),"",SUM(F12,I12,L12,O12))</f>
      </c>
    </row>
    <row x14ac:dyDescent="0.25" r="13" customHeight="1" ht="18.75">
      <c r="A13" s="55">
        <v>45744</v>
      </c>
      <c r="B13" s="56">
        <f>IF(A13&gt;TODAY(),"",COUNTA(_xlfn.UNIQUE(_xlfn._xlws.FILTER('OPs Data'!$K:$K,'OPs Data'!$D:$D='Category &amp; Range Wise Outward'!A13))))</f>
      </c>
      <c r="C13" s="98">
        <f>IF(A13&gt;TODAY(),"",SUMIF('OPs Data'!$D:$D,'Category &amp; Range Wise Outward'!$A13,'OPs Data'!O:O)/1000)</f>
      </c>
      <c r="D13" s="57">
        <f>IF(A13&gt;TODAY(),"",SUMIFS('OPs Data'!$N:$N,'OPs Data'!$F:$F,'Category &amp; Range Wise Outward'!D$1,'OPs Data'!$D:$D,'Category &amp; Range Wise Outward'!$A13,'OPs Data'!$L:$L,'Category &amp; Range Wise Outward'!D$2))</f>
      </c>
      <c r="E13" s="57">
        <f>IF(A13&gt;TODAY(),"",SUMIFS('OPs Data'!$N:$N,'OPs Data'!$F:$F,'Category &amp; Range Wise Outward'!D$1,'OPs Data'!$D:$D,'Category &amp; Range Wise Outward'!$A13,'OPs Data'!$L:$L,'Category &amp; Range Wise Outward'!E$2))</f>
      </c>
      <c r="F13" s="57">
        <f>IF(A13&gt;TODAY(),"",SUMIFS('OPs Data'!$N:$N,'OPs Data'!$F:$F,'Category &amp; Range Wise Outward'!D$1,'OPs Data'!$D:$D,'Category &amp; Range Wise Outward'!$A13,'OPs Data'!$L:$L,'Category &amp; Range Wise Outward'!F$2))</f>
      </c>
      <c r="G13" s="57">
        <f>IF(E13&gt;TODAY(),"",SUMIFS('OPs Data'!$N:$N,'OPs Data'!$F:$F,'Category &amp; Range Wise Outward'!G$1,'OPs Data'!$D:$D,'Category &amp; Range Wise Outward'!$A13,'OPs Data'!$L:$L,'Category &amp; Range Wise Outward'!G$2))</f>
      </c>
      <c r="H13" s="57">
        <f>IF(E13&gt;TODAY(),"",SUMIFS('OPs Data'!$N:$N,'OPs Data'!$F:$F,'Category &amp; Range Wise Outward'!G$1,'OPs Data'!$D:$D,'Category &amp; Range Wise Outward'!$A13,'OPs Data'!$L:$L,'Category &amp; Range Wise Outward'!H$2))</f>
      </c>
      <c r="I13" s="57">
        <f>IF(E13&gt;TODAY(),"",SUMIFS('OPs Data'!$N:$N,'OPs Data'!$F:$F,'Category &amp; Range Wise Outward'!G$1,'OPs Data'!$D:$D,'Category &amp; Range Wise Outward'!$A13,'OPs Data'!$L:$L,'Category &amp; Range Wise Outward'!I$2))</f>
      </c>
      <c r="J13" s="57">
        <f>IF(H13&gt;TODAY(),"",SUMIFS('OPs Data'!$N:$N,'OPs Data'!$F:$F,'Category &amp; Range Wise Outward'!J$1,'OPs Data'!$D:$D,'Category &amp; Range Wise Outward'!$A13,'OPs Data'!$L:$L,'Category &amp; Range Wise Outward'!J$2))</f>
      </c>
      <c r="K13" s="57">
        <f>IF(H13&gt;TODAY(),"",SUMIFS('OPs Data'!$N:$N,'OPs Data'!$F:$F,'Category &amp; Range Wise Outward'!J$1,'OPs Data'!$D:$D,'Category &amp; Range Wise Outward'!$A13,'OPs Data'!$L:$L,'Category &amp; Range Wise Outward'!K$2))</f>
      </c>
      <c r="L13" s="57">
        <f>IF(H13&gt;TODAY(),"",SUMIFS('OPs Data'!$N:$N,'OPs Data'!$F:$F,'Category &amp; Range Wise Outward'!J$1,'OPs Data'!$D:$D,'Category &amp; Range Wise Outward'!$A13,'OPs Data'!$L:$L,'Category &amp; Range Wise Outward'!L$2))</f>
      </c>
      <c r="M13" s="57">
        <f>IF(K13&gt;TODAY(),"",SUMIFS('OPs Data'!$N:$N,'OPs Data'!$F:$F,'Category &amp; Range Wise Outward'!M$1,'OPs Data'!$D:$D,'Category &amp; Range Wise Outward'!$A13,'OPs Data'!$L:$L,'Category &amp; Range Wise Outward'!M$2))</f>
      </c>
      <c r="N13" s="57">
        <f>IF(K13&gt;TODAY(),"",SUMIFS('OPs Data'!$N:$N,'OPs Data'!$F:$F,'Category &amp; Range Wise Outward'!M$1,'OPs Data'!$D:$D,'Category &amp; Range Wise Outward'!$A13,'OPs Data'!$L:$L,'Category &amp; Range Wise Outward'!N$2))</f>
      </c>
      <c r="O13" s="57">
        <f>IF(K13&gt;TODAY(),"",SUMIFS('OPs Data'!$N:$N,'OPs Data'!$F:$F,'Category &amp; Range Wise Outward'!M$1,'OPs Data'!$D:$D,'Category &amp; Range Wise Outward'!$A13,'OPs Data'!$L:$L,'Category &amp; Range Wise Outward'!O$2))</f>
      </c>
      <c r="P13" s="57">
        <f>IF($A13&gt;TODAY(),"",SUM(D13,G13,J13,M13))</f>
      </c>
      <c r="Q13" s="57">
        <f>IF($A13&gt;TODAY(),"",SUM(E13,H13,K13,N13))</f>
      </c>
      <c r="R13" s="57">
        <f>IF($A13&gt;TODAY(),"",SUM(F13,I13,L13,O13))</f>
      </c>
    </row>
    <row x14ac:dyDescent="0.25" r="14" customHeight="1" ht="18.75">
      <c r="A14" s="55">
        <v>45745</v>
      </c>
      <c r="B14" s="56">
        <f>IF(A14&gt;TODAY(),"",COUNTA(_xlfn.UNIQUE(_xlfn._xlws.FILTER('OPs Data'!$K:$K,'OPs Data'!$D:$D='Category &amp; Range Wise Outward'!A14))))</f>
      </c>
      <c r="C14" s="98">
        <f>IF(A14&gt;TODAY(),"",SUMIF('OPs Data'!$D:$D,'Category &amp; Range Wise Outward'!$A14,'OPs Data'!O:O)/1000)</f>
      </c>
      <c r="D14" s="57">
        <f>IF(A14&gt;TODAY(),"",SUMIFS('OPs Data'!$N:$N,'OPs Data'!$F:$F,'Category &amp; Range Wise Outward'!D$1,'OPs Data'!$D:$D,'Category &amp; Range Wise Outward'!$A14,'OPs Data'!$L:$L,'Category &amp; Range Wise Outward'!D$2))</f>
      </c>
      <c r="E14" s="57">
        <f>IF(A14&gt;TODAY(),"",SUMIFS('OPs Data'!$N:$N,'OPs Data'!$F:$F,'Category &amp; Range Wise Outward'!D$1,'OPs Data'!$D:$D,'Category &amp; Range Wise Outward'!$A14,'OPs Data'!$L:$L,'Category &amp; Range Wise Outward'!E$2))</f>
      </c>
      <c r="F14" s="57">
        <f>IF(A14&gt;TODAY(),"",SUMIFS('OPs Data'!$N:$N,'OPs Data'!$F:$F,'Category &amp; Range Wise Outward'!D$1,'OPs Data'!$D:$D,'Category &amp; Range Wise Outward'!$A14,'OPs Data'!$L:$L,'Category &amp; Range Wise Outward'!F$2))</f>
      </c>
      <c r="G14" s="57">
        <f>IF(E14&gt;TODAY(),"",SUMIFS('OPs Data'!$N:$N,'OPs Data'!$F:$F,'Category &amp; Range Wise Outward'!G$1,'OPs Data'!$D:$D,'Category &amp; Range Wise Outward'!$A14,'OPs Data'!$L:$L,'Category &amp; Range Wise Outward'!G$2))</f>
      </c>
      <c r="H14" s="57">
        <f>IF(E14&gt;TODAY(),"",SUMIFS('OPs Data'!$N:$N,'OPs Data'!$F:$F,'Category &amp; Range Wise Outward'!G$1,'OPs Data'!$D:$D,'Category &amp; Range Wise Outward'!$A14,'OPs Data'!$L:$L,'Category &amp; Range Wise Outward'!H$2))</f>
      </c>
      <c r="I14" s="57">
        <f>IF(E14&gt;TODAY(),"",SUMIFS('OPs Data'!$N:$N,'OPs Data'!$F:$F,'Category &amp; Range Wise Outward'!G$1,'OPs Data'!$D:$D,'Category &amp; Range Wise Outward'!$A14,'OPs Data'!$L:$L,'Category &amp; Range Wise Outward'!I$2))</f>
      </c>
      <c r="J14" s="57">
        <f>IF(H14&gt;TODAY(),"",SUMIFS('OPs Data'!$N:$N,'OPs Data'!$F:$F,'Category &amp; Range Wise Outward'!J$1,'OPs Data'!$D:$D,'Category &amp; Range Wise Outward'!$A14,'OPs Data'!$L:$L,'Category &amp; Range Wise Outward'!J$2))</f>
      </c>
      <c r="K14" s="57">
        <f>IF(H14&gt;TODAY(),"",SUMIFS('OPs Data'!$N:$N,'OPs Data'!$F:$F,'Category &amp; Range Wise Outward'!J$1,'OPs Data'!$D:$D,'Category &amp; Range Wise Outward'!$A14,'OPs Data'!$L:$L,'Category &amp; Range Wise Outward'!K$2))</f>
      </c>
      <c r="L14" s="57">
        <f>IF(H14&gt;TODAY(),"",SUMIFS('OPs Data'!$N:$N,'OPs Data'!$F:$F,'Category &amp; Range Wise Outward'!J$1,'OPs Data'!$D:$D,'Category &amp; Range Wise Outward'!$A14,'OPs Data'!$L:$L,'Category &amp; Range Wise Outward'!L$2))</f>
      </c>
      <c r="M14" s="57">
        <f>IF(K14&gt;TODAY(),"",SUMIFS('OPs Data'!$N:$N,'OPs Data'!$F:$F,'Category &amp; Range Wise Outward'!M$1,'OPs Data'!$D:$D,'Category &amp; Range Wise Outward'!$A14,'OPs Data'!$L:$L,'Category &amp; Range Wise Outward'!M$2))</f>
      </c>
      <c r="N14" s="57">
        <f>IF(K14&gt;TODAY(),"",SUMIFS('OPs Data'!$N:$N,'OPs Data'!$F:$F,'Category &amp; Range Wise Outward'!M$1,'OPs Data'!$D:$D,'Category &amp; Range Wise Outward'!$A14,'OPs Data'!$L:$L,'Category &amp; Range Wise Outward'!N$2))</f>
      </c>
      <c r="O14" s="57">
        <f>IF(K14&gt;TODAY(),"",SUMIFS('OPs Data'!$N:$N,'OPs Data'!$F:$F,'Category &amp; Range Wise Outward'!M$1,'OPs Data'!$D:$D,'Category &amp; Range Wise Outward'!$A14,'OPs Data'!$L:$L,'Category &amp; Range Wise Outward'!O$2))</f>
      </c>
      <c r="P14" s="57">
        <f>IF($A14&gt;TODAY(),"",SUM(D14,G14,J14,M14))</f>
      </c>
      <c r="Q14" s="57">
        <f>IF($A14&gt;TODAY(),"",SUM(E14,H14,K14,N14))</f>
      </c>
      <c r="R14" s="57">
        <f>IF($A14&gt;TODAY(),"",SUM(F14,I14,L14,O14))</f>
      </c>
    </row>
    <row x14ac:dyDescent="0.25" r="15" customHeight="1" ht="18.75">
      <c r="A15" s="55">
        <v>45746</v>
      </c>
      <c r="B15" s="56">
        <f>IF(A15&gt;TODAY(),"",COUNTA(_xlfn.UNIQUE(_xlfn._xlws.FILTER('OPs Data'!$K:$K,'OPs Data'!$D:$D='Category &amp; Range Wise Outward'!A15))))</f>
      </c>
      <c r="C15" s="98">
        <f>IF(A15&gt;TODAY(),"",SUMIF('OPs Data'!$D:$D,'Category &amp; Range Wise Outward'!$A15,'OPs Data'!O:O)/1000)</f>
      </c>
      <c r="D15" s="57">
        <f>IF(A15&gt;TODAY(),"",SUMIFS('OPs Data'!$N:$N,'OPs Data'!$F:$F,'Category &amp; Range Wise Outward'!D$1,'OPs Data'!$D:$D,'Category &amp; Range Wise Outward'!$A15,'OPs Data'!$L:$L,'Category &amp; Range Wise Outward'!D$2))</f>
      </c>
      <c r="E15" s="57">
        <f>IF(A15&gt;TODAY(),"",SUMIFS('OPs Data'!$N:$N,'OPs Data'!$F:$F,'Category &amp; Range Wise Outward'!D$1,'OPs Data'!$D:$D,'Category &amp; Range Wise Outward'!$A15,'OPs Data'!$L:$L,'Category &amp; Range Wise Outward'!E$2))</f>
      </c>
      <c r="F15" s="57">
        <f>IF(A15&gt;TODAY(),"",SUMIFS('OPs Data'!$N:$N,'OPs Data'!$F:$F,'Category &amp; Range Wise Outward'!D$1,'OPs Data'!$D:$D,'Category &amp; Range Wise Outward'!$A15,'OPs Data'!$L:$L,'Category &amp; Range Wise Outward'!F$2))</f>
      </c>
      <c r="G15" s="57">
        <f>IF(E15&gt;TODAY(),"",SUMIFS('OPs Data'!$N:$N,'OPs Data'!$F:$F,'Category &amp; Range Wise Outward'!G$1,'OPs Data'!$D:$D,'Category &amp; Range Wise Outward'!$A15,'OPs Data'!$L:$L,'Category &amp; Range Wise Outward'!G$2))</f>
      </c>
      <c r="H15" s="57">
        <f>IF(E15&gt;TODAY(),"",SUMIFS('OPs Data'!$N:$N,'OPs Data'!$F:$F,'Category &amp; Range Wise Outward'!G$1,'OPs Data'!$D:$D,'Category &amp; Range Wise Outward'!$A15,'OPs Data'!$L:$L,'Category &amp; Range Wise Outward'!H$2))</f>
      </c>
      <c r="I15" s="57">
        <f>IF(E15&gt;TODAY(),"",SUMIFS('OPs Data'!$N:$N,'OPs Data'!$F:$F,'Category &amp; Range Wise Outward'!G$1,'OPs Data'!$D:$D,'Category &amp; Range Wise Outward'!$A15,'OPs Data'!$L:$L,'Category &amp; Range Wise Outward'!I$2))</f>
      </c>
      <c r="J15" s="57">
        <f>IF(H15&gt;TODAY(),"",SUMIFS('OPs Data'!$N:$N,'OPs Data'!$F:$F,'Category &amp; Range Wise Outward'!J$1,'OPs Data'!$D:$D,'Category &amp; Range Wise Outward'!$A15,'OPs Data'!$L:$L,'Category &amp; Range Wise Outward'!J$2))</f>
      </c>
      <c r="K15" s="57">
        <f>IF(H15&gt;TODAY(),"",SUMIFS('OPs Data'!$N:$N,'OPs Data'!$F:$F,'Category &amp; Range Wise Outward'!J$1,'OPs Data'!$D:$D,'Category &amp; Range Wise Outward'!$A15,'OPs Data'!$L:$L,'Category &amp; Range Wise Outward'!K$2))</f>
      </c>
      <c r="L15" s="57">
        <f>IF(H15&gt;TODAY(),"",SUMIFS('OPs Data'!$N:$N,'OPs Data'!$F:$F,'Category &amp; Range Wise Outward'!J$1,'OPs Data'!$D:$D,'Category &amp; Range Wise Outward'!$A15,'OPs Data'!$L:$L,'Category &amp; Range Wise Outward'!L$2))</f>
      </c>
      <c r="M15" s="57">
        <f>IF(K15&gt;TODAY(),"",SUMIFS('OPs Data'!$N:$N,'OPs Data'!$F:$F,'Category &amp; Range Wise Outward'!M$1,'OPs Data'!$D:$D,'Category &amp; Range Wise Outward'!$A15,'OPs Data'!$L:$L,'Category &amp; Range Wise Outward'!M$2))</f>
      </c>
      <c r="N15" s="57">
        <f>IF(K15&gt;TODAY(),"",SUMIFS('OPs Data'!$N:$N,'OPs Data'!$F:$F,'Category &amp; Range Wise Outward'!M$1,'OPs Data'!$D:$D,'Category &amp; Range Wise Outward'!$A15,'OPs Data'!$L:$L,'Category &amp; Range Wise Outward'!N$2))</f>
      </c>
      <c r="O15" s="57">
        <f>IF(K15&gt;TODAY(),"",SUMIFS('OPs Data'!$N:$N,'OPs Data'!$F:$F,'Category &amp; Range Wise Outward'!M$1,'OPs Data'!$D:$D,'Category &amp; Range Wise Outward'!$A15,'OPs Data'!$L:$L,'Category &amp; Range Wise Outward'!O$2))</f>
      </c>
      <c r="P15" s="57">
        <f>IF($A15&gt;TODAY(),"",SUM(D15,G15,J15,M15))</f>
      </c>
      <c r="Q15" s="57">
        <f>IF($A15&gt;TODAY(),"",SUM(E15,H15,K15,N15))</f>
      </c>
      <c r="R15" s="57">
        <f>IF($A15&gt;TODAY(),"",SUM(F15,I15,L15,O15))</f>
      </c>
    </row>
    <row x14ac:dyDescent="0.25" r="16" customHeight="1" ht="18.75">
      <c r="A16" s="55">
        <v>45747</v>
      </c>
      <c r="B16" s="56">
        <f>IF(A16&gt;TODAY(),"",COUNTA(_xlfn.UNIQUE(_xlfn._xlws.FILTER('OPs Data'!$K:$K,'OPs Data'!$D:$D='Category &amp; Range Wise Outward'!A16))))</f>
      </c>
      <c r="C16" s="98">
        <f>IF(A16&gt;TODAY(),"",SUMIF('OPs Data'!$D:$D,'Category &amp; Range Wise Outward'!$A16,'OPs Data'!O:O)/1000)</f>
      </c>
      <c r="D16" s="57">
        <f>IF(A16&gt;TODAY(),"",SUMIFS('OPs Data'!$N:$N,'OPs Data'!$F:$F,'Category &amp; Range Wise Outward'!D$1,'OPs Data'!$D:$D,'Category &amp; Range Wise Outward'!$A16,'OPs Data'!$L:$L,'Category &amp; Range Wise Outward'!D$2))</f>
      </c>
      <c r="E16" s="57">
        <f>IF(A16&gt;TODAY(),"",SUMIFS('OPs Data'!$N:$N,'OPs Data'!$F:$F,'Category &amp; Range Wise Outward'!D$1,'OPs Data'!$D:$D,'Category &amp; Range Wise Outward'!$A16,'OPs Data'!$L:$L,'Category &amp; Range Wise Outward'!E$2))</f>
      </c>
      <c r="F16" s="57">
        <f>IF(A16&gt;TODAY(),"",SUMIFS('OPs Data'!$N:$N,'OPs Data'!$F:$F,'Category &amp; Range Wise Outward'!D$1,'OPs Data'!$D:$D,'Category &amp; Range Wise Outward'!$A16,'OPs Data'!$L:$L,'Category &amp; Range Wise Outward'!F$2))</f>
      </c>
      <c r="G16" s="57">
        <f>IF(E16&gt;TODAY(),"",SUMIFS('OPs Data'!$N:$N,'OPs Data'!$F:$F,'Category &amp; Range Wise Outward'!G$1,'OPs Data'!$D:$D,'Category &amp; Range Wise Outward'!$A16,'OPs Data'!$L:$L,'Category &amp; Range Wise Outward'!G$2))</f>
      </c>
      <c r="H16" s="57">
        <f>IF(E16&gt;TODAY(),"",SUMIFS('OPs Data'!$N:$N,'OPs Data'!$F:$F,'Category &amp; Range Wise Outward'!G$1,'OPs Data'!$D:$D,'Category &amp; Range Wise Outward'!$A16,'OPs Data'!$L:$L,'Category &amp; Range Wise Outward'!H$2))</f>
      </c>
      <c r="I16" s="57">
        <f>IF(E16&gt;TODAY(),"",SUMIFS('OPs Data'!$N:$N,'OPs Data'!$F:$F,'Category &amp; Range Wise Outward'!G$1,'OPs Data'!$D:$D,'Category &amp; Range Wise Outward'!$A16,'OPs Data'!$L:$L,'Category &amp; Range Wise Outward'!I$2))</f>
      </c>
      <c r="J16" s="57">
        <f>IF(H16&gt;TODAY(),"",SUMIFS('OPs Data'!$N:$N,'OPs Data'!$F:$F,'Category &amp; Range Wise Outward'!J$1,'OPs Data'!$D:$D,'Category &amp; Range Wise Outward'!$A16,'OPs Data'!$L:$L,'Category &amp; Range Wise Outward'!J$2))</f>
      </c>
      <c r="K16" s="57">
        <f>IF(H16&gt;TODAY(),"",SUMIFS('OPs Data'!$N:$N,'OPs Data'!$F:$F,'Category &amp; Range Wise Outward'!J$1,'OPs Data'!$D:$D,'Category &amp; Range Wise Outward'!$A16,'OPs Data'!$L:$L,'Category &amp; Range Wise Outward'!K$2))</f>
      </c>
      <c r="L16" s="57">
        <f>IF(H16&gt;TODAY(),"",SUMIFS('OPs Data'!$N:$N,'OPs Data'!$F:$F,'Category &amp; Range Wise Outward'!J$1,'OPs Data'!$D:$D,'Category &amp; Range Wise Outward'!$A16,'OPs Data'!$L:$L,'Category &amp; Range Wise Outward'!L$2))</f>
      </c>
      <c r="M16" s="57">
        <f>IF(K16&gt;TODAY(),"",SUMIFS('OPs Data'!$N:$N,'OPs Data'!$F:$F,'Category &amp; Range Wise Outward'!M$1,'OPs Data'!$D:$D,'Category &amp; Range Wise Outward'!$A16,'OPs Data'!$L:$L,'Category &amp; Range Wise Outward'!M$2))</f>
      </c>
      <c r="N16" s="57">
        <f>IF(K16&gt;TODAY(),"",SUMIFS('OPs Data'!$N:$N,'OPs Data'!$F:$F,'Category &amp; Range Wise Outward'!M$1,'OPs Data'!$D:$D,'Category &amp; Range Wise Outward'!$A16,'OPs Data'!$L:$L,'Category &amp; Range Wise Outward'!N$2))</f>
      </c>
      <c r="O16" s="57">
        <f>IF(K16&gt;TODAY(),"",SUMIFS('OPs Data'!$N:$N,'OPs Data'!$F:$F,'Category &amp; Range Wise Outward'!M$1,'OPs Data'!$D:$D,'Category &amp; Range Wise Outward'!$A16,'OPs Data'!$L:$L,'Category &amp; Range Wise Outward'!O$2))</f>
      </c>
      <c r="P16" s="57">
        <f>IF($A16&gt;TODAY(),"",SUM(D16,G16,J16,M16))</f>
      </c>
      <c r="Q16" s="57">
        <f>IF($A16&gt;TODAY(),"",SUM(E16,H16,K16,N16))</f>
      </c>
      <c r="R16" s="57">
        <f>IF($A16&gt;TODAY(),"",SUM(F16,I16,L16,O16))</f>
      </c>
    </row>
    <row x14ac:dyDescent="0.25" r="17" customHeight="1" ht="18.75">
      <c r="A17" s="55">
        <v>45748</v>
      </c>
      <c r="B17" s="56">
        <f>IF(A17&gt;TODAY(),"",COUNTA(_xlfn.UNIQUE(_xlfn._xlws.FILTER('OPs Data'!$K:$K,'OPs Data'!$D:$D='Category &amp; Range Wise Outward'!A17))))</f>
      </c>
      <c r="C17" s="98">
        <f>IF(A17&gt;TODAY(),"",SUMIF('OPs Data'!$D:$D,'Category &amp; Range Wise Outward'!$A17,'OPs Data'!O:O)/1000)</f>
      </c>
      <c r="D17" s="57">
        <f>IF(A17&gt;TODAY(),"",SUMIFS('OPs Data'!$N:$N,'OPs Data'!$F:$F,'Category &amp; Range Wise Outward'!D$1,'OPs Data'!$D:$D,'Category &amp; Range Wise Outward'!$A17,'OPs Data'!$L:$L,'Category &amp; Range Wise Outward'!D$2))</f>
      </c>
      <c r="E17" s="57">
        <f>IF(A17&gt;TODAY(),"",SUMIFS('OPs Data'!$N:$N,'OPs Data'!$F:$F,'Category &amp; Range Wise Outward'!D$1,'OPs Data'!$D:$D,'Category &amp; Range Wise Outward'!$A17,'OPs Data'!$L:$L,'Category &amp; Range Wise Outward'!E$2))</f>
      </c>
      <c r="F17" s="57">
        <f>IF(A17&gt;TODAY(),"",SUMIFS('OPs Data'!$N:$N,'OPs Data'!$F:$F,'Category &amp; Range Wise Outward'!D$1,'OPs Data'!$D:$D,'Category &amp; Range Wise Outward'!$A17,'OPs Data'!$L:$L,'Category &amp; Range Wise Outward'!F$2))</f>
      </c>
      <c r="G17" s="57">
        <f>IF(E17&gt;TODAY(),"",SUMIFS('OPs Data'!$N:$N,'OPs Data'!$F:$F,'Category &amp; Range Wise Outward'!G$1,'OPs Data'!$D:$D,'Category &amp; Range Wise Outward'!$A17,'OPs Data'!$L:$L,'Category &amp; Range Wise Outward'!G$2))</f>
      </c>
      <c r="H17" s="57">
        <f>IF(E17&gt;TODAY(),"",SUMIFS('OPs Data'!$N:$N,'OPs Data'!$F:$F,'Category &amp; Range Wise Outward'!G$1,'OPs Data'!$D:$D,'Category &amp; Range Wise Outward'!$A17,'OPs Data'!$L:$L,'Category &amp; Range Wise Outward'!H$2))</f>
      </c>
      <c r="I17" s="57">
        <f>IF(E17&gt;TODAY(),"",SUMIFS('OPs Data'!$N:$N,'OPs Data'!$F:$F,'Category &amp; Range Wise Outward'!G$1,'OPs Data'!$D:$D,'Category &amp; Range Wise Outward'!$A17,'OPs Data'!$L:$L,'Category &amp; Range Wise Outward'!I$2))</f>
      </c>
      <c r="J17" s="57">
        <f>IF(H17&gt;TODAY(),"",SUMIFS('OPs Data'!$N:$N,'OPs Data'!$F:$F,'Category &amp; Range Wise Outward'!J$1,'OPs Data'!$D:$D,'Category &amp; Range Wise Outward'!$A17,'OPs Data'!$L:$L,'Category &amp; Range Wise Outward'!J$2))</f>
      </c>
      <c r="K17" s="57">
        <f>IF(H17&gt;TODAY(),"",SUMIFS('OPs Data'!$N:$N,'OPs Data'!$F:$F,'Category &amp; Range Wise Outward'!J$1,'OPs Data'!$D:$D,'Category &amp; Range Wise Outward'!$A17,'OPs Data'!$L:$L,'Category &amp; Range Wise Outward'!K$2))</f>
      </c>
      <c r="L17" s="57">
        <f>IF(H17&gt;TODAY(),"",SUMIFS('OPs Data'!$N:$N,'OPs Data'!$F:$F,'Category &amp; Range Wise Outward'!J$1,'OPs Data'!$D:$D,'Category &amp; Range Wise Outward'!$A17,'OPs Data'!$L:$L,'Category &amp; Range Wise Outward'!L$2))</f>
      </c>
      <c r="M17" s="57">
        <f>IF(K17&gt;TODAY(),"",SUMIFS('OPs Data'!$N:$N,'OPs Data'!$F:$F,'Category &amp; Range Wise Outward'!M$1,'OPs Data'!$D:$D,'Category &amp; Range Wise Outward'!$A17,'OPs Data'!$L:$L,'Category &amp; Range Wise Outward'!M$2))</f>
      </c>
      <c r="N17" s="57">
        <f>IF(K17&gt;TODAY(),"",SUMIFS('OPs Data'!$N:$N,'OPs Data'!$F:$F,'Category &amp; Range Wise Outward'!M$1,'OPs Data'!$D:$D,'Category &amp; Range Wise Outward'!$A17,'OPs Data'!$L:$L,'Category &amp; Range Wise Outward'!N$2))</f>
      </c>
      <c r="O17" s="57">
        <f>IF(K17&gt;TODAY(),"",SUMIFS('OPs Data'!$N:$N,'OPs Data'!$F:$F,'Category &amp; Range Wise Outward'!M$1,'OPs Data'!$D:$D,'Category &amp; Range Wise Outward'!$A17,'OPs Data'!$L:$L,'Category &amp; Range Wise Outward'!O$2))</f>
      </c>
      <c r="P17" s="57">
        <f>IF($A17&gt;TODAY(),"",SUM(D17,G17,J17,M17))</f>
      </c>
      <c r="Q17" s="57">
        <f>IF($A17&gt;TODAY(),"",SUM(E17,H17,K17,N17))</f>
      </c>
      <c r="R17" s="57">
        <f>IF($A17&gt;TODAY(),"",SUM(F17,I17,L17,O17))</f>
      </c>
    </row>
    <row x14ac:dyDescent="0.25" r="18" customHeight="1" ht="18.75">
      <c r="A18" s="55">
        <v>45749</v>
      </c>
      <c r="B18" s="56">
        <f>IF(A18&gt;TODAY(),"",COUNTA(_xlfn.UNIQUE(_xlfn._xlws.FILTER('OPs Data'!$K:$K,'OPs Data'!$D:$D='Category &amp; Range Wise Outward'!A18))))</f>
      </c>
      <c r="C18" s="98">
        <f>IF(A18&gt;TODAY(),"",SUMIF('OPs Data'!$D:$D,'Category &amp; Range Wise Outward'!$A18,'OPs Data'!O:O)/1000)</f>
      </c>
      <c r="D18" s="57">
        <f>IF(A18&gt;TODAY(),"",SUMIFS('OPs Data'!$N:$N,'OPs Data'!$F:$F,'Category &amp; Range Wise Outward'!D$1,'OPs Data'!$D:$D,'Category &amp; Range Wise Outward'!$A18,'OPs Data'!$L:$L,'Category &amp; Range Wise Outward'!D$2))</f>
      </c>
      <c r="E18" s="57">
        <f>IF(A18&gt;TODAY(),"",SUMIFS('OPs Data'!$N:$N,'OPs Data'!$F:$F,'Category &amp; Range Wise Outward'!D$1,'OPs Data'!$D:$D,'Category &amp; Range Wise Outward'!$A18,'OPs Data'!$L:$L,'Category &amp; Range Wise Outward'!E$2))</f>
      </c>
      <c r="F18" s="57">
        <f>IF(A18&gt;TODAY(),"",SUMIFS('OPs Data'!$N:$N,'OPs Data'!$F:$F,'Category &amp; Range Wise Outward'!D$1,'OPs Data'!$D:$D,'Category &amp; Range Wise Outward'!$A18,'OPs Data'!$L:$L,'Category &amp; Range Wise Outward'!F$2))</f>
      </c>
      <c r="G18" s="57">
        <f>IF(E18&gt;TODAY(),"",SUMIFS('OPs Data'!$N:$N,'OPs Data'!$F:$F,'Category &amp; Range Wise Outward'!G$1,'OPs Data'!$D:$D,'Category &amp; Range Wise Outward'!$A18,'OPs Data'!$L:$L,'Category &amp; Range Wise Outward'!G$2))</f>
      </c>
      <c r="H18" s="57">
        <f>IF(E18&gt;TODAY(),"",SUMIFS('OPs Data'!$N:$N,'OPs Data'!$F:$F,'Category &amp; Range Wise Outward'!G$1,'OPs Data'!$D:$D,'Category &amp; Range Wise Outward'!$A18,'OPs Data'!$L:$L,'Category &amp; Range Wise Outward'!H$2))</f>
      </c>
      <c r="I18" s="57">
        <f>IF(E18&gt;TODAY(),"",SUMIFS('OPs Data'!$N:$N,'OPs Data'!$F:$F,'Category &amp; Range Wise Outward'!G$1,'OPs Data'!$D:$D,'Category &amp; Range Wise Outward'!$A18,'OPs Data'!$L:$L,'Category &amp; Range Wise Outward'!I$2))</f>
      </c>
      <c r="J18" s="57">
        <f>IF(H18&gt;TODAY(),"",SUMIFS('OPs Data'!$N:$N,'OPs Data'!$F:$F,'Category &amp; Range Wise Outward'!J$1,'OPs Data'!$D:$D,'Category &amp; Range Wise Outward'!$A18,'OPs Data'!$L:$L,'Category &amp; Range Wise Outward'!J$2))</f>
      </c>
      <c r="K18" s="57">
        <f>IF(H18&gt;TODAY(),"",SUMIFS('OPs Data'!$N:$N,'OPs Data'!$F:$F,'Category &amp; Range Wise Outward'!J$1,'OPs Data'!$D:$D,'Category &amp; Range Wise Outward'!$A18,'OPs Data'!$L:$L,'Category &amp; Range Wise Outward'!K$2))</f>
      </c>
      <c r="L18" s="57">
        <f>IF(H18&gt;TODAY(),"",SUMIFS('OPs Data'!$N:$N,'OPs Data'!$F:$F,'Category &amp; Range Wise Outward'!J$1,'OPs Data'!$D:$D,'Category &amp; Range Wise Outward'!$A18,'OPs Data'!$L:$L,'Category &amp; Range Wise Outward'!L$2))</f>
      </c>
      <c r="M18" s="57">
        <f>IF(K18&gt;TODAY(),"",SUMIFS('OPs Data'!$N:$N,'OPs Data'!$F:$F,'Category &amp; Range Wise Outward'!M$1,'OPs Data'!$D:$D,'Category &amp; Range Wise Outward'!$A18,'OPs Data'!$L:$L,'Category &amp; Range Wise Outward'!M$2))</f>
      </c>
      <c r="N18" s="57">
        <f>IF(K18&gt;TODAY(),"",SUMIFS('OPs Data'!$N:$N,'OPs Data'!$F:$F,'Category &amp; Range Wise Outward'!M$1,'OPs Data'!$D:$D,'Category &amp; Range Wise Outward'!$A18,'OPs Data'!$L:$L,'Category &amp; Range Wise Outward'!N$2))</f>
      </c>
      <c r="O18" s="57">
        <f>IF(K18&gt;TODAY(),"",SUMIFS('OPs Data'!$N:$N,'OPs Data'!$F:$F,'Category &amp; Range Wise Outward'!M$1,'OPs Data'!$D:$D,'Category &amp; Range Wise Outward'!$A18,'OPs Data'!$L:$L,'Category &amp; Range Wise Outward'!O$2))</f>
      </c>
      <c r="P18" s="57">
        <f>IF($A18&gt;TODAY(),"",SUM(D18,G18,J18,M18))</f>
      </c>
      <c r="Q18" s="57">
        <f>IF($A18&gt;TODAY(),"",SUM(E18,H18,K18,N18))</f>
      </c>
      <c r="R18" s="57">
        <f>IF($A18&gt;TODAY(),"",SUM(F18,I18,L18,O18))</f>
      </c>
    </row>
    <row x14ac:dyDescent="0.25" r="19" customHeight="1" ht="18.75">
      <c r="A19" s="55">
        <v>45750</v>
      </c>
      <c r="B19" s="56">
        <f>IF(A19&gt;TODAY(),"",COUNTA(_xlfn.UNIQUE(_xlfn._xlws.FILTER('OPs Data'!$K:$K,'OPs Data'!$D:$D='Category &amp; Range Wise Outward'!A19))))</f>
      </c>
      <c r="C19" s="98">
        <f>IF(A19&gt;TODAY(),"",SUMIF('OPs Data'!$D:$D,'Category &amp; Range Wise Outward'!$A19,'OPs Data'!O:O)/1000)</f>
      </c>
      <c r="D19" s="57">
        <f>IF(A19&gt;TODAY(),"",SUMIFS('OPs Data'!$N:$N,'OPs Data'!$F:$F,'Category &amp; Range Wise Outward'!D$1,'OPs Data'!$D:$D,'Category &amp; Range Wise Outward'!$A19,'OPs Data'!$L:$L,'Category &amp; Range Wise Outward'!D$2))</f>
      </c>
      <c r="E19" s="57">
        <f>IF(A19&gt;TODAY(),"",SUMIFS('OPs Data'!$N:$N,'OPs Data'!$F:$F,'Category &amp; Range Wise Outward'!D$1,'OPs Data'!$D:$D,'Category &amp; Range Wise Outward'!$A19,'OPs Data'!$L:$L,'Category &amp; Range Wise Outward'!E$2))</f>
      </c>
      <c r="F19" s="57">
        <f>IF(A19&gt;TODAY(),"",SUMIFS('OPs Data'!$N:$N,'OPs Data'!$F:$F,'Category &amp; Range Wise Outward'!D$1,'OPs Data'!$D:$D,'Category &amp; Range Wise Outward'!$A19,'OPs Data'!$L:$L,'Category &amp; Range Wise Outward'!F$2))</f>
      </c>
      <c r="G19" s="57">
        <f>IF(E19&gt;TODAY(),"",SUMIFS('OPs Data'!$N:$N,'OPs Data'!$F:$F,'Category &amp; Range Wise Outward'!G$1,'OPs Data'!$D:$D,'Category &amp; Range Wise Outward'!$A19,'OPs Data'!$L:$L,'Category &amp; Range Wise Outward'!G$2))</f>
      </c>
      <c r="H19" s="57">
        <f>IF(E19&gt;TODAY(),"",SUMIFS('OPs Data'!$N:$N,'OPs Data'!$F:$F,'Category &amp; Range Wise Outward'!G$1,'OPs Data'!$D:$D,'Category &amp; Range Wise Outward'!$A19,'OPs Data'!$L:$L,'Category &amp; Range Wise Outward'!H$2))</f>
      </c>
      <c r="I19" s="57">
        <f>IF(E19&gt;TODAY(),"",SUMIFS('OPs Data'!$N:$N,'OPs Data'!$F:$F,'Category &amp; Range Wise Outward'!G$1,'OPs Data'!$D:$D,'Category &amp; Range Wise Outward'!$A19,'OPs Data'!$L:$L,'Category &amp; Range Wise Outward'!I$2))</f>
      </c>
      <c r="J19" s="57">
        <f>IF(H19&gt;TODAY(),"",SUMIFS('OPs Data'!$N:$N,'OPs Data'!$F:$F,'Category &amp; Range Wise Outward'!J$1,'OPs Data'!$D:$D,'Category &amp; Range Wise Outward'!$A19,'OPs Data'!$L:$L,'Category &amp; Range Wise Outward'!J$2))</f>
      </c>
      <c r="K19" s="57">
        <f>IF(H19&gt;TODAY(),"",SUMIFS('OPs Data'!$N:$N,'OPs Data'!$F:$F,'Category &amp; Range Wise Outward'!J$1,'OPs Data'!$D:$D,'Category &amp; Range Wise Outward'!$A19,'OPs Data'!$L:$L,'Category &amp; Range Wise Outward'!K$2))</f>
      </c>
      <c r="L19" s="57">
        <f>IF(H19&gt;TODAY(),"",SUMIFS('OPs Data'!$N:$N,'OPs Data'!$F:$F,'Category &amp; Range Wise Outward'!J$1,'OPs Data'!$D:$D,'Category &amp; Range Wise Outward'!$A19,'OPs Data'!$L:$L,'Category &amp; Range Wise Outward'!L$2))</f>
      </c>
      <c r="M19" s="57">
        <f>IF(K19&gt;TODAY(),"",SUMIFS('OPs Data'!$N:$N,'OPs Data'!$F:$F,'Category &amp; Range Wise Outward'!M$1,'OPs Data'!$D:$D,'Category &amp; Range Wise Outward'!$A19,'OPs Data'!$L:$L,'Category &amp; Range Wise Outward'!M$2))</f>
      </c>
      <c r="N19" s="57">
        <f>IF(K19&gt;TODAY(),"",SUMIFS('OPs Data'!$N:$N,'OPs Data'!$F:$F,'Category &amp; Range Wise Outward'!M$1,'OPs Data'!$D:$D,'Category &amp; Range Wise Outward'!$A19,'OPs Data'!$L:$L,'Category &amp; Range Wise Outward'!N$2))</f>
      </c>
      <c r="O19" s="57">
        <f>IF(K19&gt;TODAY(),"",SUMIFS('OPs Data'!$N:$N,'OPs Data'!$F:$F,'Category &amp; Range Wise Outward'!M$1,'OPs Data'!$D:$D,'Category &amp; Range Wise Outward'!$A19,'OPs Data'!$L:$L,'Category &amp; Range Wise Outward'!O$2))</f>
      </c>
      <c r="P19" s="57">
        <f>IF($A19&gt;TODAY(),"",SUM(D19,G19,J19,M19))</f>
      </c>
      <c r="Q19" s="57">
        <f>IF($A19&gt;TODAY(),"",SUM(E19,H19,K19,N19))</f>
      </c>
      <c r="R19" s="57">
        <f>IF($A19&gt;TODAY(),"",SUM(F19,I19,L19,O19))</f>
      </c>
    </row>
    <row x14ac:dyDescent="0.25" r="20" customHeight="1" ht="18.75">
      <c r="A20" s="55">
        <v>45751</v>
      </c>
      <c r="B20" s="56">
        <f>IF(A20&gt;TODAY(),"",COUNTA(_xlfn.UNIQUE(_xlfn._xlws.FILTER('OPs Data'!$K:$K,'OPs Data'!$D:$D='Category &amp; Range Wise Outward'!A20))))</f>
      </c>
      <c r="C20" s="98">
        <f>IF(A20&gt;TODAY(),"",SUMIF('OPs Data'!$D:$D,'Category &amp; Range Wise Outward'!$A20,'OPs Data'!O:O)/1000)</f>
      </c>
      <c r="D20" s="57">
        <f>IF(A20&gt;TODAY(),"",SUMIFS('OPs Data'!$N:$N,'OPs Data'!$F:$F,'Category &amp; Range Wise Outward'!D$1,'OPs Data'!$D:$D,'Category &amp; Range Wise Outward'!$A20,'OPs Data'!$L:$L,'Category &amp; Range Wise Outward'!D$2))</f>
      </c>
      <c r="E20" s="57">
        <f>IF(A20&gt;TODAY(),"",SUMIFS('OPs Data'!$N:$N,'OPs Data'!$F:$F,'Category &amp; Range Wise Outward'!D$1,'OPs Data'!$D:$D,'Category &amp; Range Wise Outward'!$A20,'OPs Data'!$L:$L,'Category &amp; Range Wise Outward'!E$2))</f>
      </c>
      <c r="F20" s="57">
        <f>IF(A20&gt;TODAY(),"",SUMIFS('OPs Data'!$N:$N,'OPs Data'!$F:$F,'Category &amp; Range Wise Outward'!D$1,'OPs Data'!$D:$D,'Category &amp; Range Wise Outward'!$A20,'OPs Data'!$L:$L,'Category &amp; Range Wise Outward'!F$2))</f>
      </c>
      <c r="G20" s="57">
        <f>IF(E20&gt;TODAY(),"",SUMIFS('OPs Data'!$N:$N,'OPs Data'!$F:$F,'Category &amp; Range Wise Outward'!G$1,'OPs Data'!$D:$D,'Category &amp; Range Wise Outward'!$A20,'OPs Data'!$L:$L,'Category &amp; Range Wise Outward'!G$2))</f>
      </c>
      <c r="H20" s="57">
        <f>IF(E20&gt;TODAY(),"",SUMIFS('OPs Data'!$N:$N,'OPs Data'!$F:$F,'Category &amp; Range Wise Outward'!G$1,'OPs Data'!$D:$D,'Category &amp; Range Wise Outward'!$A20,'OPs Data'!$L:$L,'Category &amp; Range Wise Outward'!H$2))</f>
      </c>
      <c r="I20" s="57">
        <f>IF(E20&gt;TODAY(),"",SUMIFS('OPs Data'!$N:$N,'OPs Data'!$F:$F,'Category &amp; Range Wise Outward'!G$1,'OPs Data'!$D:$D,'Category &amp; Range Wise Outward'!$A20,'OPs Data'!$L:$L,'Category &amp; Range Wise Outward'!I$2))</f>
      </c>
      <c r="J20" s="57">
        <f>IF(H20&gt;TODAY(),"",SUMIFS('OPs Data'!$N:$N,'OPs Data'!$F:$F,'Category &amp; Range Wise Outward'!J$1,'OPs Data'!$D:$D,'Category &amp; Range Wise Outward'!$A20,'OPs Data'!$L:$L,'Category &amp; Range Wise Outward'!J$2))</f>
      </c>
      <c r="K20" s="57">
        <f>IF(H20&gt;TODAY(),"",SUMIFS('OPs Data'!$N:$N,'OPs Data'!$F:$F,'Category &amp; Range Wise Outward'!J$1,'OPs Data'!$D:$D,'Category &amp; Range Wise Outward'!$A20,'OPs Data'!$L:$L,'Category &amp; Range Wise Outward'!K$2))</f>
      </c>
      <c r="L20" s="57">
        <f>IF(H20&gt;TODAY(),"",SUMIFS('OPs Data'!$N:$N,'OPs Data'!$F:$F,'Category &amp; Range Wise Outward'!J$1,'OPs Data'!$D:$D,'Category &amp; Range Wise Outward'!$A20,'OPs Data'!$L:$L,'Category &amp; Range Wise Outward'!L$2))</f>
      </c>
      <c r="M20" s="57">
        <f>IF(K20&gt;TODAY(),"",SUMIFS('OPs Data'!$N:$N,'OPs Data'!$F:$F,'Category &amp; Range Wise Outward'!M$1,'OPs Data'!$D:$D,'Category &amp; Range Wise Outward'!$A20,'OPs Data'!$L:$L,'Category &amp; Range Wise Outward'!M$2))</f>
      </c>
      <c r="N20" s="57">
        <f>IF(K20&gt;TODAY(),"",SUMIFS('OPs Data'!$N:$N,'OPs Data'!$F:$F,'Category &amp; Range Wise Outward'!M$1,'OPs Data'!$D:$D,'Category &amp; Range Wise Outward'!$A20,'OPs Data'!$L:$L,'Category &amp; Range Wise Outward'!N$2))</f>
      </c>
      <c r="O20" s="57">
        <f>IF(K20&gt;TODAY(),"",SUMIFS('OPs Data'!$N:$N,'OPs Data'!$F:$F,'Category &amp; Range Wise Outward'!M$1,'OPs Data'!$D:$D,'Category &amp; Range Wise Outward'!$A20,'OPs Data'!$L:$L,'Category &amp; Range Wise Outward'!O$2))</f>
      </c>
      <c r="P20" s="57">
        <f>IF($A20&gt;TODAY(),"",SUM(D20,G20,J20,M20))</f>
      </c>
      <c r="Q20" s="57">
        <f>IF($A20&gt;TODAY(),"",SUM(E20,H20,K20,N20))</f>
      </c>
      <c r="R20" s="57">
        <f>IF($A20&gt;TODAY(),"",SUM(F20,I20,L20,O20))</f>
      </c>
    </row>
    <row x14ac:dyDescent="0.25" r="21" customHeight="1" ht="18.75">
      <c r="A21" s="55">
        <v>45752</v>
      </c>
      <c r="B21" s="56">
        <f>IF(A21&gt;TODAY(),"",COUNTA(_xlfn.UNIQUE(_xlfn._xlws.FILTER('OPs Data'!$K:$K,'OPs Data'!$D:$D='Category &amp; Range Wise Outward'!A21))))</f>
      </c>
      <c r="C21" s="98">
        <f>IF(A21&gt;TODAY(),"",SUMIF('OPs Data'!$D:$D,'Category &amp; Range Wise Outward'!$A21,'OPs Data'!O:O)/1000)</f>
      </c>
      <c r="D21" s="57">
        <f>IF(A21&gt;TODAY(),"",SUMIFS('OPs Data'!$N:$N,'OPs Data'!$F:$F,'Category &amp; Range Wise Outward'!D$1,'OPs Data'!$D:$D,'Category &amp; Range Wise Outward'!$A21,'OPs Data'!$L:$L,'Category &amp; Range Wise Outward'!D$2))</f>
      </c>
      <c r="E21" s="57">
        <f>IF(A21&gt;TODAY(),"",SUMIFS('OPs Data'!$N:$N,'OPs Data'!$F:$F,'Category &amp; Range Wise Outward'!D$1,'OPs Data'!$D:$D,'Category &amp; Range Wise Outward'!$A21,'OPs Data'!$L:$L,'Category &amp; Range Wise Outward'!E$2))</f>
      </c>
      <c r="F21" s="57">
        <f>IF(A21&gt;TODAY(),"",SUMIFS('OPs Data'!$N:$N,'OPs Data'!$F:$F,'Category &amp; Range Wise Outward'!D$1,'OPs Data'!$D:$D,'Category &amp; Range Wise Outward'!$A21,'OPs Data'!$L:$L,'Category &amp; Range Wise Outward'!F$2))</f>
      </c>
      <c r="G21" s="57">
        <f>IF(E21&gt;TODAY(),"",SUMIFS('OPs Data'!$N:$N,'OPs Data'!$F:$F,'Category &amp; Range Wise Outward'!G$1,'OPs Data'!$D:$D,'Category &amp; Range Wise Outward'!$A21,'OPs Data'!$L:$L,'Category &amp; Range Wise Outward'!G$2))</f>
      </c>
      <c r="H21" s="57">
        <f>IF(E21&gt;TODAY(),"",SUMIFS('OPs Data'!$N:$N,'OPs Data'!$F:$F,'Category &amp; Range Wise Outward'!G$1,'OPs Data'!$D:$D,'Category &amp; Range Wise Outward'!$A21,'OPs Data'!$L:$L,'Category &amp; Range Wise Outward'!H$2))</f>
      </c>
      <c r="I21" s="57">
        <f>IF(E21&gt;TODAY(),"",SUMIFS('OPs Data'!$N:$N,'OPs Data'!$F:$F,'Category &amp; Range Wise Outward'!G$1,'OPs Data'!$D:$D,'Category &amp; Range Wise Outward'!$A21,'OPs Data'!$L:$L,'Category &amp; Range Wise Outward'!I$2))</f>
      </c>
      <c r="J21" s="57">
        <f>IF(H21&gt;TODAY(),"",SUMIFS('OPs Data'!$N:$N,'OPs Data'!$F:$F,'Category &amp; Range Wise Outward'!J$1,'OPs Data'!$D:$D,'Category &amp; Range Wise Outward'!$A21,'OPs Data'!$L:$L,'Category &amp; Range Wise Outward'!J$2))</f>
      </c>
      <c r="K21" s="57">
        <f>IF(H21&gt;TODAY(),"",SUMIFS('OPs Data'!$N:$N,'OPs Data'!$F:$F,'Category &amp; Range Wise Outward'!J$1,'OPs Data'!$D:$D,'Category &amp; Range Wise Outward'!$A21,'OPs Data'!$L:$L,'Category &amp; Range Wise Outward'!K$2))</f>
      </c>
      <c r="L21" s="57">
        <f>IF(H21&gt;TODAY(),"",SUMIFS('OPs Data'!$N:$N,'OPs Data'!$F:$F,'Category &amp; Range Wise Outward'!J$1,'OPs Data'!$D:$D,'Category &amp; Range Wise Outward'!$A21,'OPs Data'!$L:$L,'Category &amp; Range Wise Outward'!L$2))</f>
      </c>
      <c r="M21" s="57">
        <f>IF(K21&gt;TODAY(),"",SUMIFS('OPs Data'!$N:$N,'OPs Data'!$F:$F,'Category &amp; Range Wise Outward'!M$1,'OPs Data'!$D:$D,'Category &amp; Range Wise Outward'!$A21,'OPs Data'!$L:$L,'Category &amp; Range Wise Outward'!M$2))</f>
      </c>
      <c r="N21" s="57">
        <f>IF(K21&gt;TODAY(),"",SUMIFS('OPs Data'!$N:$N,'OPs Data'!$F:$F,'Category &amp; Range Wise Outward'!M$1,'OPs Data'!$D:$D,'Category &amp; Range Wise Outward'!$A21,'OPs Data'!$L:$L,'Category &amp; Range Wise Outward'!N$2))</f>
      </c>
      <c r="O21" s="57">
        <f>IF(K21&gt;TODAY(),"",SUMIFS('OPs Data'!$N:$N,'OPs Data'!$F:$F,'Category &amp; Range Wise Outward'!M$1,'OPs Data'!$D:$D,'Category &amp; Range Wise Outward'!$A21,'OPs Data'!$L:$L,'Category &amp; Range Wise Outward'!O$2))</f>
      </c>
      <c r="P21" s="57">
        <f>IF($A21&gt;TODAY(),"",SUM(D21,G21,J21,M21))</f>
      </c>
      <c r="Q21" s="57">
        <f>IF($A21&gt;TODAY(),"",SUM(E21,H21,K21,N21))</f>
      </c>
      <c r="R21" s="57">
        <f>IF($A21&gt;TODAY(),"",SUM(F21,I21,L21,O21))</f>
      </c>
    </row>
    <row x14ac:dyDescent="0.25" r="22" customHeight="1" ht="18.75">
      <c r="A22" s="55">
        <v>45753</v>
      </c>
      <c r="B22" s="56">
        <f>IF(A22&gt;TODAY(),"",COUNTA(_xlfn.UNIQUE(_xlfn._xlws.FILTER('OPs Data'!$K:$K,'OPs Data'!$D:$D='Category &amp; Range Wise Outward'!A22))))</f>
      </c>
      <c r="C22" s="98">
        <f>IF(A22&gt;TODAY(),"",SUMIF('OPs Data'!$D:$D,'Category &amp; Range Wise Outward'!$A22,'OPs Data'!O:O)/1000)</f>
      </c>
      <c r="D22" s="57">
        <f>IF(A22&gt;TODAY(),"",SUMIFS('OPs Data'!$N:$N,'OPs Data'!$F:$F,'Category &amp; Range Wise Outward'!D$1,'OPs Data'!$D:$D,'Category &amp; Range Wise Outward'!$A22,'OPs Data'!$L:$L,'Category &amp; Range Wise Outward'!D$2))</f>
      </c>
      <c r="E22" s="57">
        <f>IF(A22&gt;TODAY(),"",SUMIFS('OPs Data'!$N:$N,'OPs Data'!$F:$F,'Category &amp; Range Wise Outward'!D$1,'OPs Data'!$D:$D,'Category &amp; Range Wise Outward'!$A22,'OPs Data'!$L:$L,'Category &amp; Range Wise Outward'!E$2))</f>
      </c>
      <c r="F22" s="57">
        <f>IF(A22&gt;TODAY(),"",SUMIFS('OPs Data'!$N:$N,'OPs Data'!$F:$F,'Category &amp; Range Wise Outward'!D$1,'OPs Data'!$D:$D,'Category &amp; Range Wise Outward'!$A22,'OPs Data'!$L:$L,'Category &amp; Range Wise Outward'!F$2))</f>
      </c>
      <c r="G22" s="57">
        <f>IF(E22&gt;TODAY(),"",SUMIFS('OPs Data'!$N:$N,'OPs Data'!$F:$F,'Category &amp; Range Wise Outward'!G$1,'OPs Data'!$D:$D,'Category &amp; Range Wise Outward'!$A22,'OPs Data'!$L:$L,'Category &amp; Range Wise Outward'!G$2))</f>
      </c>
      <c r="H22" s="57">
        <f>IF(E22&gt;TODAY(),"",SUMIFS('OPs Data'!$N:$N,'OPs Data'!$F:$F,'Category &amp; Range Wise Outward'!G$1,'OPs Data'!$D:$D,'Category &amp; Range Wise Outward'!$A22,'OPs Data'!$L:$L,'Category &amp; Range Wise Outward'!H$2))</f>
      </c>
      <c r="I22" s="57">
        <f>IF(E22&gt;TODAY(),"",SUMIFS('OPs Data'!$N:$N,'OPs Data'!$F:$F,'Category &amp; Range Wise Outward'!G$1,'OPs Data'!$D:$D,'Category &amp; Range Wise Outward'!$A22,'OPs Data'!$L:$L,'Category &amp; Range Wise Outward'!I$2))</f>
      </c>
      <c r="J22" s="57">
        <f>IF(H22&gt;TODAY(),"",SUMIFS('OPs Data'!$N:$N,'OPs Data'!$F:$F,'Category &amp; Range Wise Outward'!J$1,'OPs Data'!$D:$D,'Category &amp; Range Wise Outward'!$A22,'OPs Data'!$L:$L,'Category &amp; Range Wise Outward'!J$2))</f>
      </c>
      <c r="K22" s="57">
        <f>IF(H22&gt;TODAY(),"",SUMIFS('OPs Data'!$N:$N,'OPs Data'!$F:$F,'Category &amp; Range Wise Outward'!J$1,'OPs Data'!$D:$D,'Category &amp; Range Wise Outward'!$A22,'OPs Data'!$L:$L,'Category &amp; Range Wise Outward'!K$2))</f>
      </c>
      <c r="L22" s="57">
        <f>IF(H22&gt;TODAY(),"",SUMIFS('OPs Data'!$N:$N,'OPs Data'!$F:$F,'Category &amp; Range Wise Outward'!J$1,'OPs Data'!$D:$D,'Category &amp; Range Wise Outward'!$A22,'OPs Data'!$L:$L,'Category &amp; Range Wise Outward'!L$2))</f>
      </c>
      <c r="M22" s="57">
        <f>IF(K22&gt;TODAY(),"",SUMIFS('OPs Data'!$N:$N,'OPs Data'!$F:$F,'Category &amp; Range Wise Outward'!M$1,'OPs Data'!$D:$D,'Category &amp; Range Wise Outward'!$A22,'OPs Data'!$L:$L,'Category &amp; Range Wise Outward'!M$2))</f>
      </c>
      <c r="N22" s="57">
        <f>IF(K22&gt;TODAY(),"",SUMIFS('OPs Data'!$N:$N,'OPs Data'!$F:$F,'Category &amp; Range Wise Outward'!M$1,'OPs Data'!$D:$D,'Category &amp; Range Wise Outward'!$A22,'OPs Data'!$L:$L,'Category &amp; Range Wise Outward'!N$2))</f>
      </c>
      <c r="O22" s="57">
        <f>IF(K22&gt;TODAY(),"",SUMIFS('OPs Data'!$N:$N,'OPs Data'!$F:$F,'Category &amp; Range Wise Outward'!M$1,'OPs Data'!$D:$D,'Category &amp; Range Wise Outward'!$A22,'OPs Data'!$L:$L,'Category &amp; Range Wise Outward'!O$2))</f>
      </c>
      <c r="P22" s="57">
        <f>IF($A22&gt;TODAY(),"",SUM(D22,G22,J22,M22))</f>
      </c>
      <c r="Q22" s="57">
        <f>IF($A22&gt;TODAY(),"",SUM(E22,H22,K22,N22))</f>
      </c>
      <c r="R22" s="57">
        <f>IF($A22&gt;TODAY(),"",SUM(F22,I22,L22,O22))</f>
      </c>
    </row>
    <row x14ac:dyDescent="0.25" r="23" customHeight="1" ht="18.75">
      <c r="A23" s="55">
        <v>45754</v>
      </c>
      <c r="B23" s="56">
        <f>IF(A23&gt;TODAY(),"",COUNTA(_xlfn.UNIQUE(_xlfn._xlws.FILTER('OPs Data'!$K:$K,'OPs Data'!$D:$D='Category &amp; Range Wise Outward'!A23))))</f>
      </c>
      <c r="C23" s="98">
        <f>IF(A23&gt;TODAY(),"",SUMIF('OPs Data'!$D:$D,'Category &amp; Range Wise Outward'!$A23,'OPs Data'!O:O)/1000)</f>
      </c>
      <c r="D23" s="57">
        <f>IF(A23&gt;TODAY(),"",SUMIFS('OPs Data'!$N:$N,'OPs Data'!$F:$F,'Category &amp; Range Wise Outward'!D$1,'OPs Data'!$D:$D,'Category &amp; Range Wise Outward'!$A23,'OPs Data'!$L:$L,'Category &amp; Range Wise Outward'!D$2))</f>
      </c>
      <c r="E23" s="57">
        <f>IF(A23&gt;TODAY(),"",SUMIFS('OPs Data'!$N:$N,'OPs Data'!$F:$F,'Category &amp; Range Wise Outward'!D$1,'OPs Data'!$D:$D,'Category &amp; Range Wise Outward'!$A23,'OPs Data'!$L:$L,'Category &amp; Range Wise Outward'!E$2))</f>
      </c>
      <c r="F23" s="57">
        <f>IF(A23&gt;TODAY(),"",SUMIFS('OPs Data'!$N:$N,'OPs Data'!$F:$F,'Category &amp; Range Wise Outward'!D$1,'OPs Data'!$D:$D,'Category &amp; Range Wise Outward'!$A23,'OPs Data'!$L:$L,'Category &amp; Range Wise Outward'!F$2))</f>
      </c>
      <c r="G23" s="57">
        <f>IF(E23&gt;TODAY(),"",SUMIFS('OPs Data'!$N:$N,'OPs Data'!$F:$F,'Category &amp; Range Wise Outward'!G$1,'OPs Data'!$D:$D,'Category &amp; Range Wise Outward'!$A23,'OPs Data'!$L:$L,'Category &amp; Range Wise Outward'!G$2))</f>
      </c>
      <c r="H23" s="57">
        <f>IF(E23&gt;TODAY(),"",SUMIFS('OPs Data'!$N:$N,'OPs Data'!$F:$F,'Category &amp; Range Wise Outward'!G$1,'OPs Data'!$D:$D,'Category &amp; Range Wise Outward'!$A23,'OPs Data'!$L:$L,'Category &amp; Range Wise Outward'!H$2))</f>
      </c>
      <c r="I23" s="57">
        <f>IF(E23&gt;TODAY(),"",SUMIFS('OPs Data'!$N:$N,'OPs Data'!$F:$F,'Category &amp; Range Wise Outward'!G$1,'OPs Data'!$D:$D,'Category &amp; Range Wise Outward'!$A23,'OPs Data'!$L:$L,'Category &amp; Range Wise Outward'!I$2))</f>
      </c>
      <c r="J23" s="57">
        <f>IF(H23&gt;TODAY(),"",SUMIFS('OPs Data'!$N:$N,'OPs Data'!$F:$F,'Category &amp; Range Wise Outward'!J$1,'OPs Data'!$D:$D,'Category &amp; Range Wise Outward'!$A23,'OPs Data'!$L:$L,'Category &amp; Range Wise Outward'!J$2))</f>
      </c>
      <c r="K23" s="57">
        <f>IF(H23&gt;TODAY(),"",SUMIFS('OPs Data'!$N:$N,'OPs Data'!$F:$F,'Category &amp; Range Wise Outward'!J$1,'OPs Data'!$D:$D,'Category &amp; Range Wise Outward'!$A23,'OPs Data'!$L:$L,'Category &amp; Range Wise Outward'!K$2))</f>
      </c>
      <c r="L23" s="57">
        <f>IF(H23&gt;TODAY(),"",SUMIFS('OPs Data'!$N:$N,'OPs Data'!$F:$F,'Category &amp; Range Wise Outward'!J$1,'OPs Data'!$D:$D,'Category &amp; Range Wise Outward'!$A23,'OPs Data'!$L:$L,'Category &amp; Range Wise Outward'!L$2))</f>
      </c>
      <c r="M23" s="57">
        <f>IF(K23&gt;TODAY(),"",SUMIFS('OPs Data'!$N:$N,'OPs Data'!$F:$F,'Category &amp; Range Wise Outward'!M$1,'OPs Data'!$D:$D,'Category &amp; Range Wise Outward'!$A23,'OPs Data'!$L:$L,'Category &amp; Range Wise Outward'!M$2))</f>
      </c>
      <c r="N23" s="57">
        <f>IF(K23&gt;TODAY(),"",SUMIFS('OPs Data'!$N:$N,'OPs Data'!$F:$F,'Category &amp; Range Wise Outward'!M$1,'OPs Data'!$D:$D,'Category &amp; Range Wise Outward'!$A23,'OPs Data'!$L:$L,'Category &amp; Range Wise Outward'!N$2))</f>
      </c>
      <c r="O23" s="57">
        <f>IF(K23&gt;TODAY(),"",SUMIFS('OPs Data'!$N:$N,'OPs Data'!$F:$F,'Category &amp; Range Wise Outward'!M$1,'OPs Data'!$D:$D,'Category &amp; Range Wise Outward'!$A23,'OPs Data'!$L:$L,'Category &amp; Range Wise Outward'!O$2))</f>
      </c>
      <c r="P23" s="57">
        <f>IF($A23&gt;TODAY(),"",SUM(D23,G23,J23,M23))</f>
      </c>
      <c r="Q23" s="57">
        <f>IF($A23&gt;TODAY(),"",SUM(E23,H23,K23,N23))</f>
      </c>
      <c r="R23" s="57">
        <f>IF($A23&gt;TODAY(),"",SUM(F23,I23,L23,O23))</f>
      </c>
    </row>
    <row x14ac:dyDescent="0.25" r="24" customHeight="1" ht="18.75">
      <c r="A24" s="55">
        <v>45755</v>
      </c>
      <c r="B24" s="56">
        <f>IF(A24&gt;TODAY(),"",COUNTA(_xlfn.UNIQUE(_xlfn._xlws.FILTER('OPs Data'!$K:$K,'OPs Data'!$D:$D='Category &amp; Range Wise Outward'!A24))))</f>
      </c>
      <c r="C24" s="98">
        <f>IF(A24&gt;TODAY(),"",SUMIF('OPs Data'!$D:$D,'Category &amp; Range Wise Outward'!$A24,'OPs Data'!O:O)/1000)</f>
      </c>
      <c r="D24" s="57">
        <f>IF(A24&gt;TODAY(),"",SUMIFS('OPs Data'!$N:$N,'OPs Data'!$F:$F,'Category &amp; Range Wise Outward'!D$1,'OPs Data'!$D:$D,'Category &amp; Range Wise Outward'!$A24,'OPs Data'!$L:$L,'Category &amp; Range Wise Outward'!D$2))</f>
      </c>
      <c r="E24" s="57">
        <f>IF(A24&gt;TODAY(),"",SUMIFS('OPs Data'!$N:$N,'OPs Data'!$F:$F,'Category &amp; Range Wise Outward'!D$1,'OPs Data'!$D:$D,'Category &amp; Range Wise Outward'!$A24,'OPs Data'!$L:$L,'Category &amp; Range Wise Outward'!E$2))</f>
      </c>
      <c r="F24" s="57">
        <f>IF(A24&gt;TODAY(),"",SUMIFS('OPs Data'!$N:$N,'OPs Data'!$F:$F,'Category &amp; Range Wise Outward'!D$1,'OPs Data'!$D:$D,'Category &amp; Range Wise Outward'!$A24,'OPs Data'!$L:$L,'Category &amp; Range Wise Outward'!F$2))</f>
      </c>
      <c r="G24" s="57">
        <f>IF(E24&gt;TODAY(),"",SUMIFS('OPs Data'!$N:$N,'OPs Data'!$F:$F,'Category &amp; Range Wise Outward'!G$1,'OPs Data'!$D:$D,'Category &amp; Range Wise Outward'!$A24,'OPs Data'!$L:$L,'Category &amp; Range Wise Outward'!G$2))</f>
      </c>
      <c r="H24" s="57">
        <f>IF(E24&gt;TODAY(),"",SUMIFS('OPs Data'!$N:$N,'OPs Data'!$F:$F,'Category &amp; Range Wise Outward'!G$1,'OPs Data'!$D:$D,'Category &amp; Range Wise Outward'!$A24,'OPs Data'!$L:$L,'Category &amp; Range Wise Outward'!H$2))</f>
      </c>
      <c r="I24" s="57">
        <f>IF(E24&gt;TODAY(),"",SUMIFS('OPs Data'!$N:$N,'OPs Data'!$F:$F,'Category &amp; Range Wise Outward'!G$1,'OPs Data'!$D:$D,'Category &amp; Range Wise Outward'!$A24,'OPs Data'!$L:$L,'Category &amp; Range Wise Outward'!I$2))</f>
      </c>
      <c r="J24" s="57">
        <f>IF(H24&gt;TODAY(),"",SUMIFS('OPs Data'!$N:$N,'OPs Data'!$F:$F,'Category &amp; Range Wise Outward'!J$1,'OPs Data'!$D:$D,'Category &amp; Range Wise Outward'!$A24,'OPs Data'!$L:$L,'Category &amp; Range Wise Outward'!J$2))</f>
      </c>
      <c r="K24" s="57">
        <f>IF(H24&gt;TODAY(),"",SUMIFS('OPs Data'!$N:$N,'OPs Data'!$F:$F,'Category &amp; Range Wise Outward'!J$1,'OPs Data'!$D:$D,'Category &amp; Range Wise Outward'!$A24,'OPs Data'!$L:$L,'Category &amp; Range Wise Outward'!K$2))</f>
      </c>
      <c r="L24" s="57">
        <f>IF(H24&gt;TODAY(),"",SUMIFS('OPs Data'!$N:$N,'OPs Data'!$F:$F,'Category &amp; Range Wise Outward'!J$1,'OPs Data'!$D:$D,'Category &amp; Range Wise Outward'!$A24,'OPs Data'!$L:$L,'Category &amp; Range Wise Outward'!L$2))</f>
      </c>
      <c r="M24" s="57">
        <f>IF(K24&gt;TODAY(),"",SUMIFS('OPs Data'!$N:$N,'OPs Data'!$F:$F,'Category &amp; Range Wise Outward'!M$1,'OPs Data'!$D:$D,'Category &amp; Range Wise Outward'!$A24,'OPs Data'!$L:$L,'Category &amp; Range Wise Outward'!M$2))</f>
      </c>
      <c r="N24" s="57">
        <f>IF(K24&gt;TODAY(),"",SUMIFS('OPs Data'!$N:$N,'OPs Data'!$F:$F,'Category &amp; Range Wise Outward'!M$1,'OPs Data'!$D:$D,'Category &amp; Range Wise Outward'!$A24,'OPs Data'!$L:$L,'Category &amp; Range Wise Outward'!N$2))</f>
      </c>
      <c r="O24" s="57">
        <f>IF(K24&gt;TODAY(),"",SUMIFS('OPs Data'!$N:$N,'OPs Data'!$F:$F,'Category &amp; Range Wise Outward'!M$1,'OPs Data'!$D:$D,'Category &amp; Range Wise Outward'!$A24,'OPs Data'!$L:$L,'Category &amp; Range Wise Outward'!O$2))</f>
      </c>
      <c r="P24" s="57">
        <f>IF($A24&gt;TODAY(),"",SUM(D24,G24,J24,M24))</f>
      </c>
      <c r="Q24" s="57">
        <f>IF($A24&gt;TODAY(),"",SUM(E24,H24,K24,N24))</f>
      </c>
      <c r="R24" s="57">
        <f>IF($A24&gt;TODAY(),"",SUM(F24,I24,L24,O24))</f>
      </c>
    </row>
    <row x14ac:dyDescent="0.25" r="25" customHeight="1" ht="18.75">
      <c r="A25" s="55">
        <v>45756</v>
      </c>
      <c r="B25" s="56">
        <f>IF(A25&gt;TODAY(),"",COUNTA(_xlfn.UNIQUE(_xlfn._xlws.FILTER('OPs Data'!$K:$K,'OPs Data'!$D:$D='Category &amp; Range Wise Outward'!A25))))</f>
      </c>
      <c r="C25" s="98">
        <f>IF(A25&gt;TODAY(),"",SUMIF('OPs Data'!$D:$D,'Category &amp; Range Wise Outward'!$A25,'OPs Data'!O:O)/1000)</f>
      </c>
      <c r="D25" s="57">
        <f>IF(A25&gt;TODAY(),"",SUMIFS('OPs Data'!$N:$N,'OPs Data'!$F:$F,'Category &amp; Range Wise Outward'!D$1,'OPs Data'!$D:$D,'Category &amp; Range Wise Outward'!$A25,'OPs Data'!$L:$L,'Category &amp; Range Wise Outward'!D$2))</f>
      </c>
      <c r="E25" s="57">
        <f>IF(A25&gt;TODAY(),"",SUMIFS('OPs Data'!$N:$N,'OPs Data'!$F:$F,'Category &amp; Range Wise Outward'!D$1,'OPs Data'!$D:$D,'Category &amp; Range Wise Outward'!$A25,'OPs Data'!$L:$L,'Category &amp; Range Wise Outward'!E$2))</f>
      </c>
      <c r="F25" s="57">
        <f>IF(A25&gt;TODAY(),"",SUMIFS('OPs Data'!$N:$N,'OPs Data'!$F:$F,'Category &amp; Range Wise Outward'!D$1,'OPs Data'!$D:$D,'Category &amp; Range Wise Outward'!$A25,'OPs Data'!$L:$L,'Category &amp; Range Wise Outward'!F$2))</f>
      </c>
      <c r="G25" s="57">
        <f>IF(E25&gt;TODAY(),"",SUMIFS('OPs Data'!$N:$N,'OPs Data'!$F:$F,'Category &amp; Range Wise Outward'!G$1,'OPs Data'!$D:$D,'Category &amp; Range Wise Outward'!$A25,'OPs Data'!$L:$L,'Category &amp; Range Wise Outward'!G$2))</f>
      </c>
      <c r="H25" s="57">
        <f>IF(E25&gt;TODAY(),"",SUMIFS('OPs Data'!$N:$N,'OPs Data'!$F:$F,'Category &amp; Range Wise Outward'!G$1,'OPs Data'!$D:$D,'Category &amp; Range Wise Outward'!$A25,'OPs Data'!$L:$L,'Category &amp; Range Wise Outward'!H$2))</f>
      </c>
      <c r="I25" s="57">
        <f>IF(E25&gt;TODAY(),"",SUMIFS('OPs Data'!$N:$N,'OPs Data'!$F:$F,'Category &amp; Range Wise Outward'!G$1,'OPs Data'!$D:$D,'Category &amp; Range Wise Outward'!$A25,'OPs Data'!$L:$L,'Category &amp; Range Wise Outward'!I$2))</f>
      </c>
      <c r="J25" s="57">
        <f>IF(H25&gt;TODAY(),"",SUMIFS('OPs Data'!$N:$N,'OPs Data'!$F:$F,'Category &amp; Range Wise Outward'!J$1,'OPs Data'!$D:$D,'Category &amp; Range Wise Outward'!$A25,'OPs Data'!$L:$L,'Category &amp; Range Wise Outward'!J$2))</f>
      </c>
      <c r="K25" s="57">
        <f>IF(H25&gt;TODAY(),"",SUMIFS('OPs Data'!$N:$N,'OPs Data'!$F:$F,'Category &amp; Range Wise Outward'!J$1,'OPs Data'!$D:$D,'Category &amp; Range Wise Outward'!$A25,'OPs Data'!$L:$L,'Category &amp; Range Wise Outward'!K$2))</f>
      </c>
      <c r="L25" s="57">
        <f>IF(H25&gt;TODAY(),"",SUMIFS('OPs Data'!$N:$N,'OPs Data'!$F:$F,'Category &amp; Range Wise Outward'!J$1,'OPs Data'!$D:$D,'Category &amp; Range Wise Outward'!$A25,'OPs Data'!$L:$L,'Category &amp; Range Wise Outward'!L$2))</f>
      </c>
      <c r="M25" s="57">
        <f>IF(K25&gt;TODAY(),"",SUMIFS('OPs Data'!$N:$N,'OPs Data'!$F:$F,'Category &amp; Range Wise Outward'!M$1,'OPs Data'!$D:$D,'Category &amp; Range Wise Outward'!$A25,'OPs Data'!$L:$L,'Category &amp; Range Wise Outward'!M$2))</f>
      </c>
      <c r="N25" s="57">
        <f>IF(K25&gt;TODAY(),"",SUMIFS('OPs Data'!$N:$N,'OPs Data'!$F:$F,'Category &amp; Range Wise Outward'!M$1,'OPs Data'!$D:$D,'Category &amp; Range Wise Outward'!$A25,'OPs Data'!$L:$L,'Category &amp; Range Wise Outward'!N$2))</f>
      </c>
      <c r="O25" s="57">
        <f>IF(K25&gt;TODAY(),"",SUMIFS('OPs Data'!$N:$N,'OPs Data'!$F:$F,'Category &amp; Range Wise Outward'!M$1,'OPs Data'!$D:$D,'Category &amp; Range Wise Outward'!$A25,'OPs Data'!$L:$L,'Category &amp; Range Wise Outward'!O$2))</f>
      </c>
      <c r="P25" s="57">
        <f>IF($A25&gt;TODAY(),"",SUM(D25,G25,J25,M25))</f>
      </c>
      <c r="Q25" s="57">
        <f>IF($A25&gt;TODAY(),"",SUM(E25,H25,K25,N25))</f>
      </c>
      <c r="R25" s="57">
        <f>IF($A25&gt;TODAY(),"",SUM(F25,I25,L25,O25))</f>
      </c>
    </row>
    <row x14ac:dyDescent="0.25" r="26" customHeight="1" ht="18.75">
      <c r="A26" s="55">
        <v>45757</v>
      </c>
      <c r="B26" s="56">
        <f>IF(A26&gt;TODAY(),"",COUNTA(_xlfn.UNIQUE(_xlfn._xlws.FILTER('OPs Data'!$K:$K,'OPs Data'!$D:$D='Category &amp; Range Wise Outward'!A26))))</f>
      </c>
      <c r="C26" s="98">
        <f>IF(A26&gt;TODAY(),"",SUMIF('OPs Data'!$D:$D,'Category &amp; Range Wise Outward'!$A26,'OPs Data'!O:O)/1000)</f>
      </c>
      <c r="D26" s="57">
        <f>IF(A26&gt;TODAY(),"",SUMIFS('OPs Data'!$N:$N,'OPs Data'!$F:$F,'Category &amp; Range Wise Outward'!D$1,'OPs Data'!$D:$D,'Category &amp; Range Wise Outward'!$A26,'OPs Data'!$L:$L,'Category &amp; Range Wise Outward'!D$2))</f>
      </c>
      <c r="E26" s="57">
        <f>IF(A26&gt;TODAY(),"",SUMIFS('OPs Data'!$N:$N,'OPs Data'!$F:$F,'Category &amp; Range Wise Outward'!D$1,'OPs Data'!$D:$D,'Category &amp; Range Wise Outward'!$A26,'OPs Data'!$L:$L,'Category &amp; Range Wise Outward'!E$2))</f>
      </c>
      <c r="F26" s="57">
        <f>IF(A26&gt;TODAY(),"",SUMIFS('OPs Data'!$N:$N,'OPs Data'!$F:$F,'Category &amp; Range Wise Outward'!D$1,'OPs Data'!$D:$D,'Category &amp; Range Wise Outward'!$A26,'OPs Data'!$L:$L,'Category &amp; Range Wise Outward'!F$2))</f>
      </c>
      <c r="G26" s="57">
        <f>IF(E26&gt;TODAY(),"",SUMIFS('OPs Data'!$N:$N,'OPs Data'!$F:$F,'Category &amp; Range Wise Outward'!G$1,'OPs Data'!$D:$D,'Category &amp; Range Wise Outward'!$A26,'OPs Data'!$L:$L,'Category &amp; Range Wise Outward'!G$2))</f>
      </c>
      <c r="H26" s="57">
        <f>IF(E26&gt;TODAY(),"",SUMIFS('OPs Data'!$N:$N,'OPs Data'!$F:$F,'Category &amp; Range Wise Outward'!G$1,'OPs Data'!$D:$D,'Category &amp; Range Wise Outward'!$A26,'OPs Data'!$L:$L,'Category &amp; Range Wise Outward'!H$2))</f>
      </c>
      <c r="I26" s="57">
        <f>IF(E26&gt;TODAY(),"",SUMIFS('OPs Data'!$N:$N,'OPs Data'!$F:$F,'Category &amp; Range Wise Outward'!G$1,'OPs Data'!$D:$D,'Category &amp; Range Wise Outward'!$A26,'OPs Data'!$L:$L,'Category &amp; Range Wise Outward'!I$2))</f>
      </c>
      <c r="J26" s="57">
        <f>IF(H26&gt;TODAY(),"",SUMIFS('OPs Data'!$N:$N,'OPs Data'!$F:$F,'Category &amp; Range Wise Outward'!J$1,'OPs Data'!$D:$D,'Category &amp; Range Wise Outward'!$A26,'OPs Data'!$L:$L,'Category &amp; Range Wise Outward'!J$2))</f>
      </c>
      <c r="K26" s="57">
        <f>IF(H26&gt;TODAY(),"",SUMIFS('OPs Data'!$N:$N,'OPs Data'!$F:$F,'Category &amp; Range Wise Outward'!J$1,'OPs Data'!$D:$D,'Category &amp; Range Wise Outward'!$A26,'OPs Data'!$L:$L,'Category &amp; Range Wise Outward'!K$2))</f>
      </c>
      <c r="L26" s="57">
        <f>IF(H26&gt;TODAY(),"",SUMIFS('OPs Data'!$N:$N,'OPs Data'!$F:$F,'Category &amp; Range Wise Outward'!J$1,'OPs Data'!$D:$D,'Category &amp; Range Wise Outward'!$A26,'OPs Data'!$L:$L,'Category &amp; Range Wise Outward'!L$2))</f>
      </c>
      <c r="M26" s="57">
        <f>IF(K26&gt;TODAY(),"",SUMIFS('OPs Data'!$N:$N,'OPs Data'!$F:$F,'Category &amp; Range Wise Outward'!M$1,'OPs Data'!$D:$D,'Category &amp; Range Wise Outward'!$A26,'OPs Data'!$L:$L,'Category &amp; Range Wise Outward'!M$2))</f>
      </c>
      <c r="N26" s="57">
        <f>IF(K26&gt;TODAY(),"",SUMIFS('OPs Data'!$N:$N,'OPs Data'!$F:$F,'Category &amp; Range Wise Outward'!M$1,'OPs Data'!$D:$D,'Category &amp; Range Wise Outward'!$A26,'OPs Data'!$L:$L,'Category &amp; Range Wise Outward'!N$2))</f>
      </c>
      <c r="O26" s="57">
        <f>IF(K26&gt;TODAY(),"",SUMIFS('OPs Data'!$N:$N,'OPs Data'!$F:$F,'Category &amp; Range Wise Outward'!M$1,'OPs Data'!$D:$D,'Category &amp; Range Wise Outward'!$A26,'OPs Data'!$L:$L,'Category &amp; Range Wise Outward'!O$2))</f>
      </c>
      <c r="P26" s="57">
        <f>IF($A26&gt;TODAY(),"",SUM(D26,G26,J26,M26))</f>
      </c>
      <c r="Q26" s="57">
        <f>IF($A26&gt;TODAY(),"",SUM(E26,H26,K26,N26))</f>
      </c>
      <c r="R26" s="57">
        <f>IF($A26&gt;TODAY(),"",SUM(F26,I26,L26,O26))</f>
      </c>
    </row>
    <row x14ac:dyDescent="0.25" r="27" customHeight="1" ht="18.75">
      <c r="A27" s="55">
        <v>45758</v>
      </c>
      <c r="B27" s="56">
        <f>IF(A27&gt;TODAY(),"",COUNTA(_xlfn.UNIQUE(_xlfn._xlws.FILTER('OPs Data'!$K:$K,'OPs Data'!$D:$D='Category &amp; Range Wise Outward'!A27))))</f>
      </c>
      <c r="C27" s="98">
        <f>IF(A27&gt;TODAY(),"",SUMIF('OPs Data'!$D:$D,'Category &amp; Range Wise Outward'!$A27,'OPs Data'!O:O)/1000)</f>
      </c>
      <c r="D27" s="57">
        <f>IF(A27&gt;TODAY(),"",SUMIFS('OPs Data'!$N:$N,'OPs Data'!$F:$F,'Category &amp; Range Wise Outward'!D$1,'OPs Data'!$D:$D,'Category &amp; Range Wise Outward'!$A27,'OPs Data'!$L:$L,'Category &amp; Range Wise Outward'!D$2))</f>
      </c>
      <c r="E27" s="57">
        <f>IF(A27&gt;TODAY(),"",SUMIFS('OPs Data'!$N:$N,'OPs Data'!$F:$F,'Category &amp; Range Wise Outward'!D$1,'OPs Data'!$D:$D,'Category &amp; Range Wise Outward'!$A27,'OPs Data'!$L:$L,'Category &amp; Range Wise Outward'!E$2))</f>
      </c>
      <c r="F27" s="57">
        <f>IF(A27&gt;TODAY(),"",SUMIFS('OPs Data'!$N:$N,'OPs Data'!$F:$F,'Category &amp; Range Wise Outward'!D$1,'OPs Data'!$D:$D,'Category &amp; Range Wise Outward'!$A27,'OPs Data'!$L:$L,'Category &amp; Range Wise Outward'!F$2))</f>
      </c>
      <c r="G27" s="57">
        <f>IF(E27&gt;TODAY(),"",SUMIFS('OPs Data'!$N:$N,'OPs Data'!$F:$F,'Category &amp; Range Wise Outward'!G$1,'OPs Data'!$D:$D,'Category &amp; Range Wise Outward'!$A27,'OPs Data'!$L:$L,'Category &amp; Range Wise Outward'!G$2))</f>
      </c>
      <c r="H27" s="57">
        <f>IF(E27&gt;TODAY(),"",SUMIFS('OPs Data'!$N:$N,'OPs Data'!$F:$F,'Category &amp; Range Wise Outward'!G$1,'OPs Data'!$D:$D,'Category &amp; Range Wise Outward'!$A27,'OPs Data'!$L:$L,'Category &amp; Range Wise Outward'!H$2))</f>
      </c>
      <c r="I27" s="57">
        <f>IF(E27&gt;TODAY(),"",SUMIFS('OPs Data'!$N:$N,'OPs Data'!$F:$F,'Category &amp; Range Wise Outward'!G$1,'OPs Data'!$D:$D,'Category &amp; Range Wise Outward'!$A27,'OPs Data'!$L:$L,'Category &amp; Range Wise Outward'!I$2))</f>
      </c>
      <c r="J27" s="57">
        <f>IF(H27&gt;TODAY(),"",SUMIFS('OPs Data'!$N:$N,'OPs Data'!$F:$F,'Category &amp; Range Wise Outward'!J$1,'OPs Data'!$D:$D,'Category &amp; Range Wise Outward'!$A27,'OPs Data'!$L:$L,'Category &amp; Range Wise Outward'!J$2))</f>
      </c>
      <c r="K27" s="57">
        <f>IF(H27&gt;TODAY(),"",SUMIFS('OPs Data'!$N:$N,'OPs Data'!$F:$F,'Category &amp; Range Wise Outward'!J$1,'OPs Data'!$D:$D,'Category &amp; Range Wise Outward'!$A27,'OPs Data'!$L:$L,'Category &amp; Range Wise Outward'!K$2))</f>
      </c>
      <c r="L27" s="57">
        <f>IF(H27&gt;TODAY(),"",SUMIFS('OPs Data'!$N:$N,'OPs Data'!$F:$F,'Category &amp; Range Wise Outward'!J$1,'OPs Data'!$D:$D,'Category &amp; Range Wise Outward'!$A27,'OPs Data'!$L:$L,'Category &amp; Range Wise Outward'!L$2))</f>
      </c>
      <c r="M27" s="57">
        <f>IF(K27&gt;TODAY(),"",SUMIFS('OPs Data'!$N:$N,'OPs Data'!$F:$F,'Category &amp; Range Wise Outward'!M$1,'OPs Data'!$D:$D,'Category &amp; Range Wise Outward'!$A27,'OPs Data'!$L:$L,'Category &amp; Range Wise Outward'!M$2))</f>
      </c>
      <c r="N27" s="57">
        <f>IF(K27&gt;TODAY(),"",SUMIFS('OPs Data'!$N:$N,'OPs Data'!$F:$F,'Category &amp; Range Wise Outward'!M$1,'OPs Data'!$D:$D,'Category &amp; Range Wise Outward'!$A27,'OPs Data'!$L:$L,'Category &amp; Range Wise Outward'!N$2))</f>
      </c>
      <c r="O27" s="57">
        <f>IF(K27&gt;TODAY(),"",SUMIFS('OPs Data'!$N:$N,'OPs Data'!$F:$F,'Category &amp; Range Wise Outward'!M$1,'OPs Data'!$D:$D,'Category &amp; Range Wise Outward'!$A27,'OPs Data'!$L:$L,'Category &amp; Range Wise Outward'!O$2))</f>
      </c>
      <c r="P27" s="57">
        <f>IF($A27&gt;TODAY(),"",SUM(D27,G27,J27,M27))</f>
      </c>
      <c r="Q27" s="57">
        <f>IF($A27&gt;TODAY(),"",SUM(E27,H27,K27,N27))</f>
      </c>
      <c r="R27" s="57">
        <f>IF($A27&gt;TODAY(),"",SUM(F27,I27,L27,O27))</f>
      </c>
    </row>
    <row x14ac:dyDescent="0.25" r="28" customHeight="1" ht="18.75">
      <c r="A28" s="55">
        <v>45759</v>
      </c>
      <c r="B28" s="56">
        <f>IF(A28&gt;TODAY(),"",COUNTA(_xlfn.UNIQUE(_xlfn._xlws.FILTER('OPs Data'!$K:$K,'OPs Data'!$D:$D='Category &amp; Range Wise Outward'!A28))))</f>
      </c>
      <c r="C28" s="98">
        <f>IF(A28&gt;TODAY(),"",SUMIF('OPs Data'!$D:$D,'Category &amp; Range Wise Outward'!$A28,'OPs Data'!O:O)/1000)</f>
      </c>
      <c r="D28" s="57">
        <f>IF(A28&gt;TODAY(),"",SUMIFS('OPs Data'!$N:$N,'OPs Data'!$F:$F,'Category &amp; Range Wise Outward'!D$1,'OPs Data'!$D:$D,'Category &amp; Range Wise Outward'!$A28,'OPs Data'!$L:$L,'Category &amp; Range Wise Outward'!D$2))</f>
      </c>
      <c r="E28" s="57">
        <f>IF(A28&gt;TODAY(),"",SUMIFS('OPs Data'!$N:$N,'OPs Data'!$F:$F,'Category &amp; Range Wise Outward'!D$1,'OPs Data'!$D:$D,'Category &amp; Range Wise Outward'!$A28,'OPs Data'!$L:$L,'Category &amp; Range Wise Outward'!E$2))</f>
      </c>
      <c r="F28" s="57">
        <f>IF(A28&gt;TODAY(),"",SUMIFS('OPs Data'!$N:$N,'OPs Data'!$F:$F,'Category &amp; Range Wise Outward'!D$1,'OPs Data'!$D:$D,'Category &amp; Range Wise Outward'!$A28,'OPs Data'!$L:$L,'Category &amp; Range Wise Outward'!F$2))</f>
      </c>
      <c r="G28" s="57">
        <f>IF(E28&gt;TODAY(),"",SUMIFS('OPs Data'!$N:$N,'OPs Data'!$F:$F,'Category &amp; Range Wise Outward'!G$1,'OPs Data'!$D:$D,'Category &amp; Range Wise Outward'!$A28,'OPs Data'!$L:$L,'Category &amp; Range Wise Outward'!G$2))</f>
      </c>
      <c r="H28" s="57">
        <f>IF(E28&gt;TODAY(),"",SUMIFS('OPs Data'!$N:$N,'OPs Data'!$F:$F,'Category &amp; Range Wise Outward'!G$1,'OPs Data'!$D:$D,'Category &amp; Range Wise Outward'!$A28,'OPs Data'!$L:$L,'Category &amp; Range Wise Outward'!H$2))</f>
      </c>
      <c r="I28" s="57">
        <f>IF(E28&gt;TODAY(),"",SUMIFS('OPs Data'!$N:$N,'OPs Data'!$F:$F,'Category &amp; Range Wise Outward'!G$1,'OPs Data'!$D:$D,'Category &amp; Range Wise Outward'!$A28,'OPs Data'!$L:$L,'Category &amp; Range Wise Outward'!I$2))</f>
      </c>
      <c r="J28" s="57">
        <f>IF(H28&gt;TODAY(),"",SUMIFS('OPs Data'!$N:$N,'OPs Data'!$F:$F,'Category &amp; Range Wise Outward'!J$1,'OPs Data'!$D:$D,'Category &amp; Range Wise Outward'!$A28,'OPs Data'!$L:$L,'Category &amp; Range Wise Outward'!J$2))</f>
      </c>
      <c r="K28" s="57">
        <f>IF(H28&gt;TODAY(),"",SUMIFS('OPs Data'!$N:$N,'OPs Data'!$F:$F,'Category &amp; Range Wise Outward'!J$1,'OPs Data'!$D:$D,'Category &amp; Range Wise Outward'!$A28,'OPs Data'!$L:$L,'Category &amp; Range Wise Outward'!K$2))</f>
      </c>
      <c r="L28" s="57">
        <f>IF(H28&gt;TODAY(),"",SUMIFS('OPs Data'!$N:$N,'OPs Data'!$F:$F,'Category &amp; Range Wise Outward'!J$1,'OPs Data'!$D:$D,'Category &amp; Range Wise Outward'!$A28,'OPs Data'!$L:$L,'Category &amp; Range Wise Outward'!L$2))</f>
      </c>
      <c r="M28" s="57">
        <f>IF(K28&gt;TODAY(),"",SUMIFS('OPs Data'!$N:$N,'OPs Data'!$F:$F,'Category &amp; Range Wise Outward'!M$1,'OPs Data'!$D:$D,'Category &amp; Range Wise Outward'!$A28,'OPs Data'!$L:$L,'Category &amp; Range Wise Outward'!M$2))</f>
      </c>
      <c r="N28" s="57">
        <f>IF(K28&gt;TODAY(),"",SUMIFS('OPs Data'!$N:$N,'OPs Data'!$F:$F,'Category &amp; Range Wise Outward'!M$1,'OPs Data'!$D:$D,'Category &amp; Range Wise Outward'!$A28,'OPs Data'!$L:$L,'Category &amp; Range Wise Outward'!N$2))</f>
      </c>
      <c r="O28" s="57">
        <f>IF(K28&gt;TODAY(),"",SUMIFS('OPs Data'!$N:$N,'OPs Data'!$F:$F,'Category &amp; Range Wise Outward'!M$1,'OPs Data'!$D:$D,'Category &amp; Range Wise Outward'!$A28,'OPs Data'!$L:$L,'Category &amp; Range Wise Outward'!O$2))</f>
      </c>
      <c r="P28" s="57">
        <f>IF($A28&gt;TODAY(),"",SUM(D28,G28,J28,M28))</f>
      </c>
      <c r="Q28" s="57">
        <f>IF($A28&gt;TODAY(),"",SUM(E28,H28,K28,N28))</f>
      </c>
      <c r="R28" s="57">
        <f>IF($A28&gt;TODAY(),"",SUM(F28,I28,L28,O28))</f>
      </c>
    </row>
    <row x14ac:dyDescent="0.25" r="29" customHeight="1" ht="18.75">
      <c r="A29" s="55">
        <v>45760</v>
      </c>
      <c r="B29" s="56">
        <f>IF(A29&gt;TODAY(),"",COUNTA(_xlfn.UNIQUE(_xlfn._xlws.FILTER('OPs Data'!$K:$K,'OPs Data'!$D:$D='Category &amp; Range Wise Outward'!A29))))</f>
      </c>
      <c r="C29" s="98">
        <f>IF(A29&gt;TODAY(),"",SUMIF('OPs Data'!$D:$D,'Category &amp; Range Wise Outward'!$A29,'OPs Data'!O:O)/1000)</f>
      </c>
      <c r="D29" s="57">
        <f>IF(A29&gt;TODAY(),"",SUMIFS('OPs Data'!$N:$N,'OPs Data'!$F:$F,'Category &amp; Range Wise Outward'!D$1,'OPs Data'!$D:$D,'Category &amp; Range Wise Outward'!$A29,'OPs Data'!$L:$L,'Category &amp; Range Wise Outward'!D$2))</f>
      </c>
      <c r="E29" s="57">
        <f>IF(A29&gt;TODAY(),"",SUMIFS('OPs Data'!$N:$N,'OPs Data'!$F:$F,'Category &amp; Range Wise Outward'!D$1,'OPs Data'!$D:$D,'Category &amp; Range Wise Outward'!$A29,'OPs Data'!$L:$L,'Category &amp; Range Wise Outward'!E$2))</f>
      </c>
      <c r="F29" s="57">
        <f>IF(A29&gt;TODAY(),"",SUMIFS('OPs Data'!$N:$N,'OPs Data'!$F:$F,'Category &amp; Range Wise Outward'!D$1,'OPs Data'!$D:$D,'Category &amp; Range Wise Outward'!$A29,'OPs Data'!$L:$L,'Category &amp; Range Wise Outward'!F$2))</f>
      </c>
      <c r="G29" s="57">
        <f>IF(E29&gt;TODAY(),"",SUMIFS('OPs Data'!$N:$N,'OPs Data'!$F:$F,'Category &amp; Range Wise Outward'!G$1,'OPs Data'!$D:$D,'Category &amp; Range Wise Outward'!$A29,'OPs Data'!$L:$L,'Category &amp; Range Wise Outward'!G$2))</f>
      </c>
      <c r="H29" s="57">
        <f>IF(E29&gt;TODAY(),"",SUMIFS('OPs Data'!$N:$N,'OPs Data'!$F:$F,'Category &amp; Range Wise Outward'!G$1,'OPs Data'!$D:$D,'Category &amp; Range Wise Outward'!$A29,'OPs Data'!$L:$L,'Category &amp; Range Wise Outward'!H$2))</f>
      </c>
      <c r="I29" s="57">
        <f>IF(E29&gt;TODAY(),"",SUMIFS('OPs Data'!$N:$N,'OPs Data'!$F:$F,'Category &amp; Range Wise Outward'!G$1,'OPs Data'!$D:$D,'Category &amp; Range Wise Outward'!$A29,'OPs Data'!$L:$L,'Category &amp; Range Wise Outward'!I$2))</f>
      </c>
      <c r="J29" s="57">
        <f>IF(H29&gt;TODAY(),"",SUMIFS('OPs Data'!$N:$N,'OPs Data'!$F:$F,'Category &amp; Range Wise Outward'!J$1,'OPs Data'!$D:$D,'Category &amp; Range Wise Outward'!$A29,'OPs Data'!$L:$L,'Category &amp; Range Wise Outward'!J$2))</f>
      </c>
      <c r="K29" s="57">
        <f>IF(H29&gt;TODAY(),"",SUMIFS('OPs Data'!$N:$N,'OPs Data'!$F:$F,'Category &amp; Range Wise Outward'!J$1,'OPs Data'!$D:$D,'Category &amp; Range Wise Outward'!$A29,'OPs Data'!$L:$L,'Category &amp; Range Wise Outward'!K$2))</f>
      </c>
      <c r="L29" s="57">
        <f>IF(H29&gt;TODAY(),"",SUMIFS('OPs Data'!$N:$N,'OPs Data'!$F:$F,'Category &amp; Range Wise Outward'!J$1,'OPs Data'!$D:$D,'Category &amp; Range Wise Outward'!$A29,'OPs Data'!$L:$L,'Category &amp; Range Wise Outward'!L$2))</f>
      </c>
      <c r="M29" s="57">
        <f>IF(K29&gt;TODAY(),"",SUMIFS('OPs Data'!$N:$N,'OPs Data'!$F:$F,'Category &amp; Range Wise Outward'!M$1,'OPs Data'!$D:$D,'Category &amp; Range Wise Outward'!$A29,'OPs Data'!$L:$L,'Category &amp; Range Wise Outward'!M$2))</f>
      </c>
      <c r="N29" s="57">
        <f>IF(K29&gt;TODAY(),"",SUMIFS('OPs Data'!$N:$N,'OPs Data'!$F:$F,'Category &amp; Range Wise Outward'!M$1,'OPs Data'!$D:$D,'Category &amp; Range Wise Outward'!$A29,'OPs Data'!$L:$L,'Category &amp; Range Wise Outward'!N$2))</f>
      </c>
      <c r="O29" s="57">
        <f>IF(K29&gt;TODAY(),"",SUMIFS('OPs Data'!$N:$N,'OPs Data'!$F:$F,'Category &amp; Range Wise Outward'!M$1,'OPs Data'!$D:$D,'Category &amp; Range Wise Outward'!$A29,'OPs Data'!$L:$L,'Category &amp; Range Wise Outward'!O$2))</f>
      </c>
      <c r="P29" s="57">
        <f>IF($A29&gt;TODAY(),"",SUM(D29,G29,J29,M29))</f>
      </c>
      <c r="Q29" s="57">
        <f>IF($A29&gt;TODAY(),"",SUM(E29,H29,K29,N29))</f>
      </c>
      <c r="R29" s="57">
        <f>IF($A29&gt;TODAY(),"",SUM(F29,I29,L29,O29))</f>
      </c>
    </row>
    <row x14ac:dyDescent="0.25" r="30" customHeight="1" ht="18.75">
      <c r="A30" s="55">
        <v>45761</v>
      </c>
      <c r="B30" s="56">
        <f>IF(A30&gt;TODAY(),"",COUNTA(_xlfn.UNIQUE(_xlfn._xlws.FILTER('OPs Data'!$K:$K,'OPs Data'!$D:$D='Category &amp; Range Wise Outward'!A30))))</f>
      </c>
      <c r="C30" s="98">
        <f>IF(A30&gt;TODAY(),"",SUMIF('OPs Data'!$D:$D,'Category &amp; Range Wise Outward'!$A30,'OPs Data'!O:O)/1000)</f>
      </c>
      <c r="D30" s="57">
        <f>IF(A30&gt;TODAY(),"",SUMIFS('OPs Data'!$N:$N,'OPs Data'!$F:$F,'Category &amp; Range Wise Outward'!D$1,'OPs Data'!$D:$D,'Category &amp; Range Wise Outward'!$A30,'OPs Data'!$L:$L,'Category &amp; Range Wise Outward'!D$2))</f>
      </c>
      <c r="E30" s="57">
        <f>IF(A30&gt;TODAY(),"",SUMIFS('OPs Data'!$N:$N,'OPs Data'!$F:$F,'Category &amp; Range Wise Outward'!D$1,'OPs Data'!$D:$D,'Category &amp; Range Wise Outward'!$A30,'OPs Data'!$L:$L,'Category &amp; Range Wise Outward'!E$2))</f>
      </c>
      <c r="F30" s="57">
        <f>IF(A30&gt;TODAY(),"",SUMIFS('OPs Data'!$N:$N,'OPs Data'!$F:$F,'Category &amp; Range Wise Outward'!D$1,'OPs Data'!$D:$D,'Category &amp; Range Wise Outward'!$A30,'OPs Data'!$L:$L,'Category &amp; Range Wise Outward'!F$2))</f>
      </c>
      <c r="G30" s="57">
        <f>IF(E30&gt;TODAY(),"",SUMIFS('OPs Data'!$N:$N,'OPs Data'!$F:$F,'Category &amp; Range Wise Outward'!G$1,'OPs Data'!$D:$D,'Category &amp; Range Wise Outward'!$A30,'OPs Data'!$L:$L,'Category &amp; Range Wise Outward'!G$2))</f>
      </c>
      <c r="H30" s="57">
        <f>IF(E30&gt;TODAY(),"",SUMIFS('OPs Data'!$N:$N,'OPs Data'!$F:$F,'Category &amp; Range Wise Outward'!G$1,'OPs Data'!$D:$D,'Category &amp; Range Wise Outward'!$A30,'OPs Data'!$L:$L,'Category &amp; Range Wise Outward'!H$2))</f>
      </c>
      <c r="I30" s="57">
        <f>IF(E30&gt;TODAY(),"",SUMIFS('OPs Data'!$N:$N,'OPs Data'!$F:$F,'Category &amp; Range Wise Outward'!G$1,'OPs Data'!$D:$D,'Category &amp; Range Wise Outward'!$A30,'OPs Data'!$L:$L,'Category &amp; Range Wise Outward'!I$2))</f>
      </c>
      <c r="J30" s="57">
        <f>IF(H30&gt;TODAY(),"",SUMIFS('OPs Data'!$N:$N,'OPs Data'!$F:$F,'Category &amp; Range Wise Outward'!J$1,'OPs Data'!$D:$D,'Category &amp; Range Wise Outward'!$A30,'OPs Data'!$L:$L,'Category &amp; Range Wise Outward'!J$2))</f>
      </c>
      <c r="K30" s="57">
        <f>IF(H30&gt;TODAY(),"",SUMIFS('OPs Data'!$N:$N,'OPs Data'!$F:$F,'Category &amp; Range Wise Outward'!J$1,'OPs Data'!$D:$D,'Category &amp; Range Wise Outward'!$A30,'OPs Data'!$L:$L,'Category &amp; Range Wise Outward'!K$2))</f>
      </c>
      <c r="L30" s="57">
        <f>IF(H30&gt;TODAY(),"",SUMIFS('OPs Data'!$N:$N,'OPs Data'!$F:$F,'Category &amp; Range Wise Outward'!J$1,'OPs Data'!$D:$D,'Category &amp; Range Wise Outward'!$A30,'OPs Data'!$L:$L,'Category &amp; Range Wise Outward'!L$2))</f>
      </c>
      <c r="M30" s="57">
        <f>IF(K30&gt;TODAY(),"",SUMIFS('OPs Data'!$N:$N,'OPs Data'!$F:$F,'Category &amp; Range Wise Outward'!M$1,'OPs Data'!$D:$D,'Category &amp; Range Wise Outward'!$A30,'OPs Data'!$L:$L,'Category &amp; Range Wise Outward'!M$2))</f>
      </c>
      <c r="N30" s="57">
        <f>IF(K30&gt;TODAY(),"",SUMIFS('OPs Data'!$N:$N,'OPs Data'!$F:$F,'Category &amp; Range Wise Outward'!M$1,'OPs Data'!$D:$D,'Category &amp; Range Wise Outward'!$A30,'OPs Data'!$L:$L,'Category &amp; Range Wise Outward'!N$2))</f>
      </c>
      <c r="O30" s="57">
        <f>IF(K30&gt;TODAY(),"",SUMIFS('OPs Data'!$N:$N,'OPs Data'!$F:$F,'Category &amp; Range Wise Outward'!M$1,'OPs Data'!$D:$D,'Category &amp; Range Wise Outward'!$A30,'OPs Data'!$L:$L,'Category &amp; Range Wise Outward'!O$2))</f>
      </c>
      <c r="P30" s="57">
        <f>IF($A30&gt;TODAY(),"",SUM(D30,G30,J30,M30))</f>
      </c>
      <c r="Q30" s="57">
        <f>IF($A30&gt;TODAY(),"",SUM(E30,H30,K30,N30))</f>
      </c>
      <c r="R30" s="57">
        <f>IF($A30&gt;TODAY(),"",SUM(F30,I30,L30,O30))</f>
      </c>
    </row>
    <row x14ac:dyDescent="0.25" r="31" customHeight="1" ht="18.75">
      <c r="A31" s="55">
        <v>45762</v>
      </c>
      <c r="B31" s="56">
        <f>IF(A31&gt;TODAY(),"",COUNTA(_xlfn.UNIQUE(_xlfn._xlws.FILTER('OPs Data'!$K:$K,'OPs Data'!$D:$D='Category &amp; Range Wise Outward'!A31))))</f>
      </c>
      <c r="C31" s="98">
        <f>IF(A31&gt;TODAY(),"",SUMIF('OPs Data'!$D:$D,'Category &amp; Range Wise Outward'!$A31,'OPs Data'!O:O)/1000)</f>
      </c>
      <c r="D31" s="57">
        <f>IF(A31&gt;TODAY(),"",SUMIFS('OPs Data'!$N:$N,'OPs Data'!$F:$F,'Category &amp; Range Wise Outward'!D$1,'OPs Data'!$D:$D,'Category &amp; Range Wise Outward'!$A31,'OPs Data'!$L:$L,'Category &amp; Range Wise Outward'!D$2))</f>
      </c>
      <c r="E31" s="57">
        <f>IF(A31&gt;TODAY(),"",SUMIFS('OPs Data'!$N:$N,'OPs Data'!$F:$F,'Category &amp; Range Wise Outward'!D$1,'OPs Data'!$D:$D,'Category &amp; Range Wise Outward'!$A31,'OPs Data'!$L:$L,'Category &amp; Range Wise Outward'!E$2))</f>
      </c>
      <c r="F31" s="57">
        <f>IF(A31&gt;TODAY(),"",SUMIFS('OPs Data'!$N:$N,'OPs Data'!$F:$F,'Category &amp; Range Wise Outward'!D$1,'OPs Data'!$D:$D,'Category &amp; Range Wise Outward'!$A31,'OPs Data'!$L:$L,'Category &amp; Range Wise Outward'!F$2))</f>
      </c>
      <c r="G31" s="57">
        <f>IF(E31&gt;TODAY(),"",SUMIFS('OPs Data'!$N:$N,'OPs Data'!$F:$F,'Category &amp; Range Wise Outward'!G$1,'OPs Data'!$D:$D,'Category &amp; Range Wise Outward'!$A31,'OPs Data'!$L:$L,'Category &amp; Range Wise Outward'!G$2))</f>
      </c>
      <c r="H31" s="57">
        <f>IF(E31&gt;TODAY(),"",SUMIFS('OPs Data'!$N:$N,'OPs Data'!$F:$F,'Category &amp; Range Wise Outward'!G$1,'OPs Data'!$D:$D,'Category &amp; Range Wise Outward'!$A31,'OPs Data'!$L:$L,'Category &amp; Range Wise Outward'!H$2))</f>
      </c>
      <c r="I31" s="57">
        <f>IF(E31&gt;TODAY(),"",SUMIFS('OPs Data'!$N:$N,'OPs Data'!$F:$F,'Category &amp; Range Wise Outward'!G$1,'OPs Data'!$D:$D,'Category &amp; Range Wise Outward'!$A31,'OPs Data'!$L:$L,'Category &amp; Range Wise Outward'!I$2))</f>
      </c>
      <c r="J31" s="57">
        <f>IF(H31&gt;TODAY(),"",SUMIFS('OPs Data'!$N:$N,'OPs Data'!$F:$F,'Category &amp; Range Wise Outward'!J$1,'OPs Data'!$D:$D,'Category &amp; Range Wise Outward'!$A31,'OPs Data'!$L:$L,'Category &amp; Range Wise Outward'!J$2))</f>
      </c>
      <c r="K31" s="57">
        <f>IF(H31&gt;TODAY(),"",SUMIFS('OPs Data'!$N:$N,'OPs Data'!$F:$F,'Category &amp; Range Wise Outward'!J$1,'OPs Data'!$D:$D,'Category &amp; Range Wise Outward'!$A31,'OPs Data'!$L:$L,'Category &amp; Range Wise Outward'!K$2))</f>
      </c>
      <c r="L31" s="57">
        <f>IF(H31&gt;TODAY(),"",SUMIFS('OPs Data'!$N:$N,'OPs Data'!$F:$F,'Category &amp; Range Wise Outward'!J$1,'OPs Data'!$D:$D,'Category &amp; Range Wise Outward'!$A31,'OPs Data'!$L:$L,'Category &amp; Range Wise Outward'!L$2))</f>
      </c>
      <c r="M31" s="57">
        <f>IF(K31&gt;TODAY(),"",SUMIFS('OPs Data'!$N:$N,'OPs Data'!$F:$F,'Category &amp; Range Wise Outward'!M$1,'OPs Data'!$D:$D,'Category &amp; Range Wise Outward'!$A31,'OPs Data'!$L:$L,'Category &amp; Range Wise Outward'!M$2))</f>
      </c>
      <c r="N31" s="57">
        <f>IF(K31&gt;TODAY(),"",SUMIFS('OPs Data'!$N:$N,'OPs Data'!$F:$F,'Category &amp; Range Wise Outward'!M$1,'OPs Data'!$D:$D,'Category &amp; Range Wise Outward'!$A31,'OPs Data'!$L:$L,'Category &amp; Range Wise Outward'!N$2))</f>
      </c>
      <c r="O31" s="57">
        <f>IF(K31&gt;TODAY(),"",SUMIFS('OPs Data'!$N:$N,'OPs Data'!$F:$F,'Category &amp; Range Wise Outward'!M$1,'OPs Data'!$D:$D,'Category &amp; Range Wise Outward'!$A31,'OPs Data'!$L:$L,'Category &amp; Range Wise Outward'!O$2))</f>
      </c>
      <c r="P31" s="57">
        <f>IF($A31&gt;TODAY(),"",SUM(D31,G31,J31,M31))</f>
      </c>
      <c r="Q31" s="57">
        <f>IF($A31&gt;TODAY(),"",SUM(E31,H31,K31,N31))</f>
      </c>
      <c r="R31" s="57">
        <f>IF($A31&gt;TODAY(),"",SUM(F31,I31,L31,O31))</f>
      </c>
    </row>
    <row x14ac:dyDescent="0.25" r="32" customHeight="1" ht="18.75">
      <c r="A32" s="55">
        <v>45763</v>
      </c>
      <c r="B32" s="56">
        <f>IF(A32&gt;TODAY(),"",COUNTA(_xlfn.UNIQUE(_xlfn._xlws.FILTER('OPs Data'!$K:$K,'OPs Data'!$D:$D='Category &amp; Range Wise Outward'!A32))))</f>
      </c>
      <c r="C32" s="98">
        <f>IF(A32&gt;TODAY(),"",SUMIF('OPs Data'!$D:$D,'Category &amp; Range Wise Outward'!$A32,'OPs Data'!O:O)/1000)</f>
      </c>
      <c r="D32" s="57">
        <f>IF(A32&gt;TODAY(),"",SUMIFS('OPs Data'!$N:$N,'OPs Data'!$F:$F,'Category &amp; Range Wise Outward'!D$1,'OPs Data'!$D:$D,'Category &amp; Range Wise Outward'!$A32,'OPs Data'!$L:$L,'Category &amp; Range Wise Outward'!D$2))</f>
      </c>
      <c r="E32" s="57">
        <f>IF(A32&gt;TODAY(),"",SUMIFS('OPs Data'!$N:$N,'OPs Data'!$F:$F,'Category &amp; Range Wise Outward'!D$1,'OPs Data'!$D:$D,'Category &amp; Range Wise Outward'!$A32,'OPs Data'!$L:$L,'Category &amp; Range Wise Outward'!E$2))</f>
      </c>
      <c r="F32" s="57">
        <f>IF(A32&gt;TODAY(),"",SUMIFS('OPs Data'!$N:$N,'OPs Data'!$F:$F,'Category &amp; Range Wise Outward'!D$1,'OPs Data'!$D:$D,'Category &amp; Range Wise Outward'!$A32,'OPs Data'!$L:$L,'Category &amp; Range Wise Outward'!F$2))</f>
      </c>
      <c r="G32" s="57">
        <f>IF(E32&gt;TODAY(),"",SUMIFS('OPs Data'!$N:$N,'OPs Data'!$F:$F,'Category &amp; Range Wise Outward'!G$1,'OPs Data'!$D:$D,'Category &amp; Range Wise Outward'!$A32,'OPs Data'!$L:$L,'Category &amp; Range Wise Outward'!G$2))</f>
      </c>
      <c r="H32" s="57">
        <f>IF(E32&gt;TODAY(),"",SUMIFS('OPs Data'!$N:$N,'OPs Data'!$F:$F,'Category &amp; Range Wise Outward'!G$1,'OPs Data'!$D:$D,'Category &amp; Range Wise Outward'!$A32,'OPs Data'!$L:$L,'Category &amp; Range Wise Outward'!H$2))</f>
      </c>
      <c r="I32" s="57">
        <f>IF(E32&gt;TODAY(),"",SUMIFS('OPs Data'!$N:$N,'OPs Data'!$F:$F,'Category &amp; Range Wise Outward'!G$1,'OPs Data'!$D:$D,'Category &amp; Range Wise Outward'!$A32,'OPs Data'!$L:$L,'Category &amp; Range Wise Outward'!I$2))</f>
      </c>
      <c r="J32" s="57">
        <f>IF(H32&gt;TODAY(),"",SUMIFS('OPs Data'!$N:$N,'OPs Data'!$F:$F,'Category &amp; Range Wise Outward'!J$1,'OPs Data'!$D:$D,'Category &amp; Range Wise Outward'!$A32,'OPs Data'!$L:$L,'Category &amp; Range Wise Outward'!J$2))</f>
      </c>
      <c r="K32" s="57">
        <f>IF(H32&gt;TODAY(),"",SUMIFS('OPs Data'!$N:$N,'OPs Data'!$F:$F,'Category &amp; Range Wise Outward'!J$1,'OPs Data'!$D:$D,'Category &amp; Range Wise Outward'!$A32,'OPs Data'!$L:$L,'Category &amp; Range Wise Outward'!K$2))</f>
      </c>
      <c r="L32" s="57">
        <f>IF(H32&gt;TODAY(),"",SUMIFS('OPs Data'!$N:$N,'OPs Data'!$F:$F,'Category &amp; Range Wise Outward'!J$1,'OPs Data'!$D:$D,'Category &amp; Range Wise Outward'!$A32,'OPs Data'!$L:$L,'Category &amp; Range Wise Outward'!L$2))</f>
      </c>
      <c r="M32" s="57">
        <f>IF(K32&gt;TODAY(),"",SUMIFS('OPs Data'!$N:$N,'OPs Data'!$F:$F,'Category &amp; Range Wise Outward'!M$1,'OPs Data'!$D:$D,'Category &amp; Range Wise Outward'!$A32,'OPs Data'!$L:$L,'Category &amp; Range Wise Outward'!M$2))</f>
      </c>
      <c r="N32" s="57">
        <f>IF(K32&gt;TODAY(),"",SUMIFS('OPs Data'!$N:$N,'OPs Data'!$F:$F,'Category &amp; Range Wise Outward'!M$1,'OPs Data'!$D:$D,'Category &amp; Range Wise Outward'!$A32,'OPs Data'!$L:$L,'Category &amp; Range Wise Outward'!N$2))</f>
      </c>
      <c r="O32" s="57">
        <f>IF(K32&gt;TODAY(),"",SUMIFS('OPs Data'!$N:$N,'OPs Data'!$F:$F,'Category &amp; Range Wise Outward'!M$1,'OPs Data'!$D:$D,'Category &amp; Range Wise Outward'!$A32,'OPs Data'!$L:$L,'Category &amp; Range Wise Outward'!O$2))</f>
      </c>
      <c r="P32" s="57">
        <f>IF($A32&gt;TODAY(),"",SUM(D32,G32,J32,M32))</f>
      </c>
      <c r="Q32" s="57">
        <f>IF($A32&gt;TODAY(),"",SUM(E32,H32,K32,N32))</f>
      </c>
      <c r="R32" s="57">
        <f>IF($A32&gt;TODAY(),"",SUM(F32,I32,L32,O32))</f>
      </c>
    </row>
    <row x14ac:dyDescent="0.25" r="33" customHeight="1" ht="18.75">
      <c r="A33" s="55">
        <v>45764</v>
      </c>
      <c r="B33" s="56">
        <f>IF(A33&gt;TODAY(),"",COUNTA(_xlfn.UNIQUE(_xlfn._xlws.FILTER('OPs Data'!$K:$K,'OPs Data'!$D:$D='Category &amp; Range Wise Outward'!A33))))</f>
      </c>
      <c r="C33" s="98">
        <f>IF(A33&gt;TODAY(),"",SUMIF('OPs Data'!$D:$D,'Category &amp; Range Wise Outward'!$A33,'OPs Data'!O:O)/1000)</f>
      </c>
      <c r="D33" s="57">
        <f>IF(A33&gt;TODAY(),"",SUMIFS('OPs Data'!$N:$N,'OPs Data'!$F:$F,'Category &amp; Range Wise Outward'!D$1,'OPs Data'!$D:$D,'Category &amp; Range Wise Outward'!$A33,'OPs Data'!$L:$L,'Category &amp; Range Wise Outward'!D$2))</f>
      </c>
      <c r="E33" s="57">
        <f>IF(A33&gt;TODAY(),"",SUMIFS('OPs Data'!$N:$N,'OPs Data'!$F:$F,'Category &amp; Range Wise Outward'!D$1,'OPs Data'!$D:$D,'Category &amp; Range Wise Outward'!$A33,'OPs Data'!$L:$L,'Category &amp; Range Wise Outward'!E$2))</f>
      </c>
      <c r="F33" s="57">
        <f>IF(A33&gt;TODAY(),"",SUMIFS('OPs Data'!$N:$N,'OPs Data'!$F:$F,'Category &amp; Range Wise Outward'!D$1,'OPs Data'!$D:$D,'Category &amp; Range Wise Outward'!$A33,'OPs Data'!$L:$L,'Category &amp; Range Wise Outward'!F$2))</f>
      </c>
      <c r="G33" s="57">
        <f>IF(E33&gt;TODAY(),"",SUMIFS('OPs Data'!$N:$N,'OPs Data'!$F:$F,'Category &amp; Range Wise Outward'!G$1,'OPs Data'!$D:$D,'Category &amp; Range Wise Outward'!$A33,'OPs Data'!$L:$L,'Category &amp; Range Wise Outward'!G$2))</f>
      </c>
      <c r="H33" s="57">
        <f>IF(E33&gt;TODAY(),"",SUMIFS('OPs Data'!$N:$N,'OPs Data'!$F:$F,'Category &amp; Range Wise Outward'!G$1,'OPs Data'!$D:$D,'Category &amp; Range Wise Outward'!$A33,'OPs Data'!$L:$L,'Category &amp; Range Wise Outward'!H$2))</f>
      </c>
      <c r="I33" s="57">
        <f>IF(E33&gt;TODAY(),"",SUMIFS('OPs Data'!$N:$N,'OPs Data'!$F:$F,'Category &amp; Range Wise Outward'!G$1,'OPs Data'!$D:$D,'Category &amp; Range Wise Outward'!$A33,'OPs Data'!$L:$L,'Category &amp; Range Wise Outward'!I$2))</f>
      </c>
      <c r="J33" s="57">
        <f>IF(H33&gt;TODAY(),"",SUMIFS('OPs Data'!$N:$N,'OPs Data'!$F:$F,'Category &amp; Range Wise Outward'!J$1,'OPs Data'!$D:$D,'Category &amp; Range Wise Outward'!$A33,'OPs Data'!$L:$L,'Category &amp; Range Wise Outward'!J$2))</f>
      </c>
      <c r="K33" s="57">
        <f>IF(H33&gt;TODAY(),"",SUMIFS('OPs Data'!$N:$N,'OPs Data'!$F:$F,'Category &amp; Range Wise Outward'!J$1,'OPs Data'!$D:$D,'Category &amp; Range Wise Outward'!$A33,'OPs Data'!$L:$L,'Category &amp; Range Wise Outward'!K$2))</f>
      </c>
      <c r="L33" s="57">
        <f>IF(H33&gt;TODAY(),"",SUMIFS('OPs Data'!$N:$N,'OPs Data'!$F:$F,'Category &amp; Range Wise Outward'!J$1,'OPs Data'!$D:$D,'Category &amp; Range Wise Outward'!$A33,'OPs Data'!$L:$L,'Category &amp; Range Wise Outward'!L$2))</f>
      </c>
      <c r="M33" s="57">
        <f>IF(K33&gt;TODAY(),"",SUMIFS('OPs Data'!$N:$N,'OPs Data'!$F:$F,'Category &amp; Range Wise Outward'!M$1,'OPs Data'!$D:$D,'Category &amp; Range Wise Outward'!$A33,'OPs Data'!$L:$L,'Category &amp; Range Wise Outward'!M$2))</f>
      </c>
      <c r="N33" s="57">
        <f>IF(K33&gt;TODAY(),"",SUMIFS('OPs Data'!$N:$N,'OPs Data'!$F:$F,'Category &amp; Range Wise Outward'!M$1,'OPs Data'!$D:$D,'Category &amp; Range Wise Outward'!$A33,'OPs Data'!$L:$L,'Category &amp; Range Wise Outward'!N$2))</f>
      </c>
      <c r="O33" s="57">
        <f>IF(K33&gt;TODAY(),"",SUMIFS('OPs Data'!$N:$N,'OPs Data'!$F:$F,'Category &amp; Range Wise Outward'!M$1,'OPs Data'!$D:$D,'Category &amp; Range Wise Outward'!$A33,'OPs Data'!$L:$L,'Category &amp; Range Wise Outward'!O$2))</f>
      </c>
      <c r="P33" s="57">
        <f>IF($A33&gt;TODAY(),"",SUM(D33,G33,J33,M33))</f>
      </c>
      <c r="Q33" s="57">
        <f>IF($A33&gt;TODAY(),"",SUM(E33,H33,K33,N33))</f>
      </c>
      <c r="R33" s="57">
        <f>IF($A33&gt;TODAY(),"",SUM(F33,I33,L33,O33))</f>
      </c>
    </row>
    <row x14ac:dyDescent="0.25" r="34" customHeight="1" ht="18.75">
      <c r="A34" s="55">
        <v>45765</v>
      </c>
      <c r="B34" s="56">
        <f>IF(A34&gt;TODAY(),"",COUNTA(_xlfn.UNIQUE(_xlfn._xlws.FILTER('OPs Data'!$K:$K,'OPs Data'!$D:$D='Category &amp; Range Wise Outward'!A34))))</f>
      </c>
      <c r="C34" s="98">
        <f>IF(A34&gt;TODAY(),"",SUMIF('OPs Data'!$D:$D,'Category &amp; Range Wise Outward'!$A34,'OPs Data'!O:O)/1000)</f>
      </c>
      <c r="D34" s="57">
        <f>IF(A34&gt;TODAY(),"",SUMIFS('OPs Data'!$N:$N,'OPs Data'!$F:$F,'Category &amp; Range Wise Outward'!D$1,'OPs Data'!$D:$D,'Category &amp; Range Wise Outward'!$A34,'OPs Data'!$L:$L,'Category &amp; Range Wise Outward'!D$2))</f>
      </c>
      <c r="E34" s="57">
        <f>IF(A34&gt;TODAY(),"",SUMIFS('OPs Data'!$N:$N,'OPs Data'!$F:$F,'Category &amp; Range Wise Outward'!D$1,'OPs Data'!$D:$D,'Category &amp; Range Wise Outward'!$A34,'OPs Data'!$L:$L,'Category &amp; Range Wise Outward'!E$2))</f>
      </c>
      <c r="F34" s="57">
        <f>IF(A34&gt;TODAY(),"",SUMIFS('OPs Data'!$N:$N,'OPs Data'!$F:$F,'Category &amp; Range Wise Outward'!D$1,'OPs Data'!$D:$D,'Category &amp; Range Wise Outward'!$A34,'OPs Data'!$L:$L,'Category &amp; Range Wise Outward'!F$2))</f>
      </c>
      <c r="G34" s="57">
        <f>IF(E34&gt;TODAY(),"",SUMIFS('OPs Data'!$N:$N,'OPs Data'!$F:$F,'Category &amp; Range Wise Outward'!G$1,'OPs Data'!$D:$D,'Category &amp; Range Wise Outward'!$A34,'OPs Data'!$L:$L,'Category &amp; Range Wise Outward'!G$2))</f>
      </c>
      <c r="H34" s="57">
        <f>IF(E34&gt;TODAY(),"",SUMIFS('OPs Data'!$N:$N,'OPs Data'!$F:$F,'Category &amp; Range Wise Outward'!G$1,'OPs Data'!$D:$D,'Category &amp; Range Wise Outward'!$A34,'OPs Data'!$L:$L,'Category &amp; Range Wise Outward'!H$2))</f>
      </c>
      <c r="I34" s="57">
        <f>IF(E34&gt;TODAY(),"",SUMIFS('OPs Data'!$N:$N,'OPs Data'!$F:$F,'Category &amp; Range Wise Outward'!G$1,'OPs Data'!$D:$D,'Category &amp; Range Wise Outward'!$A34,'OPs Data'!$L:$L,'Category &amp; Range Wise Outward'!I$2))</f>
      </c>
      <c r="J34" s="57">
        <f>IF(H34&gt;TODAY(),"",SUMIFS('OPs Data'!$N:$N,'OPs Data'!$F:$F,'Category &amp; Range Wise Outward'!J$1,'OPs Data'!$D:$D,'Category &amp; Range Wise Outward'!$A34,'OPs Data'!$L:$L,'Category &amp; Range Wise Outward'!J$2))</f>
      </c>
      <c r="K34" s="57">
        <f>IF(H34&gt;TODAY(),"",SUMIFS('OPs Data'!$N:$N,'OPs Data'!$F:$F,'Category &amp; Range Wise Outward'!J$1,'OPs Data'!$D:$D,'Category &amp; Range Wise Outward'!$A34,'OPs Data'!$L:$L,'Category &amp; Range Wise Outward'!K$2))</f>
      </c>
      <c r="L34" s="57">
        <f>IF(H34&gt;TODAY(),"",SUMIFS('OPs Data'!$N:$N,'OPs Data'!$F:$F,'Category &amp; Range Wise Outward'!J$1,'OPs Data'!$D:$D,'Category &amp; Range Wise Outward'!$A34,'OPs Data'!$L:$L,'Category &amp; Range Wise Outward'!L$2))</f>
      </c>
      <c r="M34" s="57">
        <f>IF(K34&gt;TODAY(),"",SUMIFS('OPs Data'!$N:$N,'OPs Data'!$F:$F,'Category &amp; Range Wise Outward'!M$1,'OPs Data'!$D:$D,'Category &amp; Range Wise Outward'!$A34,'OPs Data'!$L:$L,'Category &amp; Range Wise Outward'!M$2))</f>
      </c>
      <c r="N34" s="57">
        <f>IF(K34&gt;TODAY(),"",SUMIFS('OPs Data'!$N:$N,'OPs Data'!$F:$F,'Category &amp; Range Wise Outward'!M$1,'OPs Data'!$D:$D,'Category &amp; Range Wise Outward'!$A34,'OPs Data'!$L:$L,'Category &amp; Range Wise Outward'!N$2))</f>
      </c>
      <c r="O34" s="57">
        <f>IF(K34&gt;TODAY(),"",SUMIFS('OPs Data'!$N:$N,'OPs Data'!$F:$F,'Category &amp; Range Wise Outward'!M$1,'OPs Data'!$D:$D,'Category &amp; Range Wise Outward'!$A34,'OPs Data'!$L:$L,'Category &amp; Range Wise Outward'!O$2))</f>
      </c>
      <c r="P34" s="57">
        <f>IF($A34&gt;TODAY(),"",SUM(D34,G34,J34,M34))</f>
      </c>
      <c r="Q34" s="57">
        <f>IF($A34&gt;TODAY(),"",SUM(E34,H34,K34,N34))</f>
      </c>
      <c r="R34" s="57">
        <f>IF($A34&gt;TODAY(),"",SUM(F34,I34,L34,O34))</f>
      </c>
    </row>
    <row x14ac:dyDescent="0.25" r="35" customHeight="1" ht="18.75">
      <c r="A35" s="55">
        <v>45766</v>
      </c>
      <c r="B35" s="56">
        <f>IF(A35&gt;TODAY(),"",COUNTA(_xlfn.UNIQUE(_xlfn._xlws.FILTER('OPs Data'!$K:$K,'OPs Data'!$D:$D='Category &amp; Range Wise Outward'!A35))))</f>
      </c>
      <c r="C35" s="98">
        <f>IF(A35&gt;TODAY(),"",SUMIF('OPs Data'!$D:$D,'Category &amp; Range Wise Outward'!$A35,'OPs Data'!O:O)/1000)</f>
      </c>
      <c r="D35" s="57">
        <f>IF(A35&gt;TODAY(),"",SUMIFS('OPs Data'!$N:$N,'OPs Data'!$F:$F,'Category &amp; Range Wise Outward'!D$1,'OPs Data'!$D:$D,'Category &amp; Range Wise Outward'!$A35,'OPs Data'!$L:$L,'Category &amp; Range Wise Outward'!D$2))</f>
      </c>
      <c r="E35" s="57">
        <f>IF(A35&gt;TODAY(),"",SUMIFS('OPs Data'!$N:$N,'OPs Data'!$F:$F,'Category &amp; Range Wise Outward'!D$1,'OPs Data'!$D:$D,'Category &amp; Range Wise Outward'!$A35,'OPs Data'!$L:$L,'Category &amp; Range Wise Outward'!E$2))</f>
      </c>
      <c r="F35" s="57">
        <f>IF(A35&gt;TODAY(),"",SUMIFS('OPs Data'!$N:$N,'OPs Data'!$F:$F,'Category &amp; Range Wise Outward'!D$1,'OPs Data'!$D:$D,'Category &amp; Range Wise Outward'!$A35,'OPs Data'!$L:$L,'Category &amp; Range Wise Outward'!F$2))</f>
      </c>
      <c r="G35" s="57">
        <f>IF(E35&gt;TODAY(),"",SUMIFS('OPs Data'!$N:$N,'OPs Data'!$F:$F,'Category &amp; Range Wise Outward'!G$1,'OPs Data'!$D:$D,'Category &amp; Range Wise Outward'!$A35,'OPs Data'!$L:$L,'Category &amp; Range Wise Outward'!G$2))</f>
      </c>
      <c r="H35" s="57">
        <f>IF(E35&gt;TODAY(),"",SUMIFS('OPs Data'!$N:$N,'OPs Data'!$F:$F,'Category &amp; Range Wise Outward'!G$1,'OPs Data'!$D:$D,'Category &amp; Range Wise Outward'!$A35,'OPs Data'!$L:$L,'Category &amp; Range Wise Outward'!H$2))</f>
      </c>
      <c r="I35" s="57">
        <f>IF(E35&gt;TODAY(),"",SUMIFS('OPs Data'!$N:$N,'OPs Data'!$F:$F,'Category &amp; Range Wise Outward'!G$1,'OPs Data'!$D:$D,'Category &amp; Range Wise Outward'!$A35,'OPs Data'!$L:$L,'Category &amp; Range Wise Outward'!I$2))</f>
      </c>
      <c r="J35" s="57">
        <f>IF(H35&gt;TODAY(),"",SUMIFS('OPs Data'!$N:$N,'OPs Data'!$F:$F,'Category &amp; Range Wise Outward'!J$1,'OPs Data'!$D:$D,'Category &amp; Range Wise Outward'!$A35,'OPs Data'!$L:$L,'Category &amp; Range Wise Outward'!J$2))</f>
      </c>
      <c r="K35" s="57">
        <f>IF(H35&gt;TODAY(),"",SUMIFS('OPs Data'!$N:$N,'OPs Data'!$F:$F,'Category &amp; Range Wise Outward'!J$1,'OPs Data'!$D:$D,'Category &amp; Range Wise Outward'!$A35,'OPs Data'!$L:$L,'Category &amp; Range Wise Outward'!K$2))</f>
      </c>
      <c r="L35" s="57">
        <f>IF(H35&gt;TODAY(),"",SUMIFS('OPs Data'!$N:$N,'OPs Data'!$F:$F,'Category &amp; Range Wise Outward'!J$1,'OPs Data'!$D:$D,'Category &amp; Range Wise Outward'!$A35,'OPs Data'!$L:$L,'Category &amp; Range Wise Outward'!L$2))</f>
      </c>
      <c r="M35" s="57">
        <f>IF(K35&gt;TODAY(),"",SUMIFS('OPs Data'!$N:$N,'OPs Data'!$F:$F,'Category &amp; Range Wise Outward'!M$1,'OPs Data'!$D:$D,'Category &amp; Range Wise Outward'!$A35,'OPs Data'!$L:$L,'Category &amp; Range Wise Outward'!M$2))</f>
      </c>
      <c r="N35" s="57">
        <f>IF(K35&gt;TODAY(),"",SUMIFS('OPs Data'!$N:$N,'OPs Data'!$F:$F,'Category &amp; Range Wise Outward'!M$1,'OPs Data'!$D:$D,'Category &amp; Range Wise Outward'!$A35,'OPs Data'!$L:$L,'Category &amp; Range Wise Outward'!N$2))</f>
      </c>
      <c r="O35" s="57">
        <f>IF(K35&gt;TODAY(),"",SUMIFS('OPs Data'!$N:$N,'OPs Data'!$F:$F,'Category &amp; Range Wise Outward'!M$1,'OPs Data'!$D:$D,'Category &amp; Range Wise Outward'!$A35,'OPs Data'!$L:$L,'Category &amp; Range Wise Outward'!O$2))</f>
      </c>
      <c r="P35" s="57">
        <f>IF($A35&gt;TODAY(),"",SUM(D35,G35,J35,M35))</f>
      </c>
      <c r="Q35" s="57">
        <f>IF($A35&gt;TODAY(),"",SUM(E35,H35,K35,N35))</f>
      </c>
      <c r="R35" s="57">
        <f>IF($A35&gt;TODAY(),"",SUM(F35,I35,L35,O35))</f>
      </c>
    </row>
    <row x14ac:dyDescent="0.25" r="36" customHeight="1" ht="18.75">
      <c r="A36" s="55">
        <v>45767</v>
      </c>
      <c r="B36" s="56">
        <f>IF(A36&gt;TODAY(),"",COUNTA(_xlfn.UNIQUE(_xlfn._xlws.FILTER('OPs Data'!$K:$K,'OPs Data'!$D:$D='Category &amp; Range Wise Outward'!A36))))</f>
      </c>
      <c r="C36" s="98">
        <f>IF(A36&gt;TODAY(),"",SUMIF('OPs Data'!$D:$D,'Category &amp; Range Wise Outward'!$A36,'OPs Data'!O:O)/1000)</f>
      </c>
      <c r="D36" s="57">
        <f>IF(A36&gt;TODAY(),"",SUMIFS('OPs Data'!$N:$N,'OPs Data'!$F:$F,'Category &amp; Range Wise Outward'!D$1,'OPs Data'!$D:$D,'Category &amp; Range Wise Outward'!$A36,'OPs Data'!$L:$L,'Category &amp; Range Wise Outward'!D$2))</f>
      </c>
      <c r="E36" s="57">
        <f>IF(A36&gt;TODAY(),"",SUMIFS('OPs Data'!$N:$N,'OPs Data'!$F:$F,'Category &amp; Range Wise Outward'!D$1,'OPs Data'!$D:$D,'Category &amp; Range Wise Outward'!$A36,'OPs Data'!$L:$L,'Category &amp; Range Wise Outward'!E$2))</f>
      </c>
      <c r="F36" s="57">
        <f>IF(A36&gt;TODAY(),"",SUMIFS('OPs Data'!$N:$N,'OPs Data'!$F:$F,'Category &amp; Range Wise Outward'!D$1,'OPs Data'!$D:$D,'Category &amp; Range Wise Outward'!$A36,'OPs Data'!$L:$L,'Category &amp; Range Wise Outward'!F$2))</f>
      </c>
      <c r="G36" s="57">
        <f>IF(E36&gt;TODAY(),"",SUMIFS('OPs Data'!$N:$N,'OPs Data'!$F:$F,'Category &amp; Range Wise Outward'!G$1,'OPs Data'!$D:$D,'Category &amp; Range Wise Outward'!$A36,'OPs Data'!$L:$L,'Category &amp; Range Wise Outward'!G$2))</f>
      </c>
      <c r="H36" s="57">
        <f>IF(E36&gt;TODAY(),"",SUMIFS('OPs Data'!$N:$N,'OPs Data'!$F:$F,'Category &amp; Range Wise Outward'!G$1,'OPs Data'!$D:$D,'Category &amp; Range Wise Outward'!$A36,'OPs Data'!$L:$L,'Category &amp; Range Wise Outward'!H$2))</f>
      </c>
      <c r="I36" s="57">
        <f>IF(E36&gt;TODAY(),"",SUMIFS('OPs Data'!$N:$N,'OPs Data'!$F:$F,'Category &amp; Range Wise Outward'!G$1,'OPs Data'!$D:$D,'Category &amp; Range Wise Outward'!$A36,'OPs Data'!$L:$L,'Category &amp; Range Wise Outward'!I$2))</f>
      </c>
      <c r="J36" s="57">
        <f>IF(H36&gt;TODAY(),"",SUMIFS('OPs Data'!$N:$N,'OPs Data'!$F:$F,'Category &amp; Range Wise Outward'!J$1,'OPs Data'!$D:$D,'Category &amp; Range Wise Outward'!$A36,'OPs Data'!$L:$L,'Category &amp; Range Wise Outward'!J$2))</f>
      </c>
      <c r="K36" s="57">
        <f>IF(H36&gt;TODAY(),"",SUMIFS('OPs Data'!$N:$N,'OPs Data'!$F:$F,'Category &amp; Range Wise Outward'!J$1,'OPs Data'!$D:$D,'Category &amp; Range Wise Outward'!$A36,'OPs Data'!$L:$L,'Category &amp; Range Wise Outward'!K$2))</f>
      </c>
      <c r="L36" s="57">
        <f>IF(H36&gt;TODAY(),"",SUMIFS('OPs Data'!$N:$N,'OPs Data'!$F:$F,'Category &amp; Range Wise Outward'!J$1,'OPs Data'!$D:$D,'Category &amp; Range Wise Outward'!$A36,'OPs Data'!$L:$L,'Category &amp; Range Wise Outward'!L$2))</f>
      </c>
      <c r="M36" s="57">
        <f>IF(K36&gt;TODAY(),"",SUMIFS('OPs Data'!$N:$N,'OPs Data'!$F:$F,'Category &amp; Range Wise Outward'!M$1,'OPs Data'!$D:$D,'Category &amp; Range Wise Outward'!$A36,'OPs Data'!$L:$L,'Category &amp; Range Wise Outward'!M$2))</f>
      </c>
      <c r="N36" s="57">
        <f>IF(K36&gt;TODAY(),"",SUMIFS('OPs Data'!$N:$N,'OPs Data'!$F:$F,'Category &amp; Range Wise Outward'!M$1,'OPs Data'!$D:$D,'Category &amp; Range Wise Outward'!$A36,'OPs Data'!$L:$L,'Category &amp; Range Wise Outward'!N$2))</f>
      </c>
      <c r="O36" s="57">
        <f>IF(K36&gt;TODAY(),"",SUMIFS('OPs Data'!$N:$N,'OPs Data'!$F:$F,'Category &amp; Range Wise Outward'!M$1,'OPs Data'!$D:$D,'Category &amp; Range Wise Outward'!$A36,'OPs Data'!$L:$L,'Category &amp; Range Wise Outward'!O$2))</f>
      </c>
      <c r="P36" s="57">
        <f>IF($A36&gt;TODAY(),"",SUM(D36,G36,J36,M36))</f>
      </c>
      <c r="Q36" s="57">
        <f>IF($A36&gt;TODAY(),"",SUM(E36,H36,K36,N36))</f>
      </c>
      <c r="R36" s="57">
        <f>IF($A36&gt;TODAY(),"",SUM(F36,I36,L36,O36))</f>
      </c>
    </row>
    <row x14ac:dyDescent="0.25" r="37" customHeight="1" ht="18.75">
      <c r="A37" s="55">
        <v>45768</v>
      </c>
      <c r="B37" s="56">
        <f>IF(A37&gt;TODAY(),"",COUNTA(_xlfn.UNIQUE(_xlfn._xlws.FILTER('OPs Data'!$K:$K,'OPs Data'!$D:$D='Category &amp; Range Wise Outward'!A37))))</f>
      </c>
      <c r="C37" s="98">
        <f>IF(A37&gt;TODAY(),"",SUMIF('OPs Data'!$D:$D,'Category &amp; Range Wise Outward'!$A37,'OPs Data'!O:O)/1000)</f>
      </c>
      <c r="D37" s="57">
        <f>IF(A37&gt;TODAY(),"",SUMIFS('OPs Data'!$N:$N,'OPs Data'!$F:$F,'Category &amp; Range Wise Outward'!D$1,'OPs Data'!$D:$D,'Category &amp; Range Wise Outward'!$A37,'OPs Data'!$L:$L,'Category &amp; Range Wise Outward'!D$2))</f>
      </c>
      <c r="E37" s="57">
        <f>IF(A37&gt;TODAY(),"",SUMIFS('OPs Data'!$N:$N,'OPs Data'!$F:$F,'Category &amp; Range Wise Outward'!D$1,'OPs Data'!$D:$D,'Category &amp; Range Wise Outward'!$A37,'OPs Data'!$L:$L,'Category &amp; Range Wise Outward'!E$2))</f>
      </c>
      <c r="F37" s="57">
        <f>IF(A37&gt;TODAY(),"",SUMIFS('OPs Data'!$N:$N,'OPs Data'!$F:$F,'Category &amp; Range Wise Outward'!D$1,'OPs Data'!$D:$D,'Category &amp; Range Wise Outward'!$A37,'OPs Data'!$L:$L,'Category &amp; Range Wise Outward'!F$2))</f>
      </c>
      <c r="G37" s="57">
        <f>IF(E37&gt;TODAY(),"",SUMIFS('OPs Data'!$N:$N,'OPs Data'!$F:$F,'Category &amp; Range Wise Outward'!G$1,'OPs Data'!$D:$D,'Category &amp; Range Wise Outward'!$A37,'OPs Data'!$L:$L,'Category &amp; Range Wise Outward'!G$2))</f>
      </c>
      <c r="H37" s="57">
        <f>IF(E37&gt;TODAY(),"",SUMIFS('OPs Data'!$N:$N,'OPs Data'!$F:$F,'Category &amp; Range Wise Outward'!G$1,'OPs Data'!$D:$D,'Category &amp; Range Wise Outward'!$A37,'OPs Data'!$L:$L,'Category &amp; Range Wise Outward'!H$2))</f>
      </c>
      <c r="I37" s="57">
        <f>IF(E37&gt;TODAY(),"",SUMIFS('OPs Data'!$N:$N,'OPs Data'!$F:$F,'Category &amp; Range Wise Outward'!G$1,'OPs Data'!$D:$D,'Category &amp; Range Wise Outward'!$A37,'OPs Data'!$L:$L,'Category &amp; Range Wise Outward'!I$2))</f>
      </c>
      <c r="J37" s="57">
        <f>IF(H37&gt;TODAY(),"",SUMIFS('OPs Data'!$N:$N,'OPs Data'!$F:$F,'Category &amp; Range Wise Outward'!J$1,'OPs Data'!$D:$D,'Category &amp; Range Wise Outward'!$A37,'OPs Data'!$L:$L,'Category &amp; Range Wise Outward'!J$2))</f>
      </c>
      <c r="K37" s="57">
        <f>IF(H37&gt;TODAY(),"",SUMIFS('OPs Data'!$N:$N,'OPs Data'!$F:$F,'Category &amp; Range Wise Outward'!J$1,'OPs Data'!$D:$D,'Category &amp; Range Wise Outward'!$A37,'OPs Data'!$L:$L,'Category &amp; Range Wise Outward'!K$2))</f>
      </c>
      <c r="L37" s="57">
        <f>IF(H37&gt;TODAY(),"",SUMIFS('OPs Data'!$N:$N,'OPs Data'!$F:$F,'Category &amp; Range Wise Outward'!J$1,'OPs Data'!$D:$D,'Category &amp; Range Wise Outward'!$A37,'OPs Data'!$L:$L,'Category &amp; Range Wise Outward'!L$2))</f>
      </c>
      <c r="M37" s="57">
        <f>IF(K37&gt;TODAY(),"",SUMIFS('OPs Data'!$N:$N,'OPs Data'!$F:$F,'Category &amp; Range Wise Outward'!M$1,'OPs Data'!$D:$D,'Category &amp; Range Wise Outward'!$A37,'OPs Data'!$L:$L,'Category &amp; Range Wise Outward'!M$2))</f>
      </c>
      <c r="N37" s="57">
        <f>IF(K37&gt;TODAY(),"",SUMIFS('OPs Data'!$N:$N,'OPs Data'!$F:$F,'Category &amp; Range Wise Outward'!M$1,'OPs Data'!$D:$D,'Category &amp; Range Wise Outward'!$A37,'OPs Data'!$L:$L,'Category &amp; Range Wise Outward'!N$2))</f>
      </c>
      <c r="O37" s="57">
        <f>IF(K37&gt;TODAY(),"",SUMIFS('OPs Data'!$N:$N,'OPs Data'!$F:$F,'Category &amp; Range Wise Outward'!M$1,'OPs Data'!$D:$D,'Category &amp; Range Wise Outward'!$A37,'OPs Data'!$L:$L,'Category &amp; Range Wise Outward'!O$2))</f>
      </c>
      <c r="P37" s="57">
        <f>IF($A37&gt;TODAY(),"",SUM(D37,G37,J37,M37))</f>
      </c>
      <c r="Q37" s="57">
        <f>IF($A37&gt;TODAY(),"",SUM(E37,H37,K37,N37))</f>
      </c>
      <c r="R37" s="57">
        <f>IF($A37&gt;TODAY(),"",SUM(F37,I37,L37,O37))</f>
      </c>
    </row>
    <row x14ac:dyDescent="0.25" r="38" customHeight="1" ht="18.75">
      <c r="A38" s="55">
        <v>45769</v>
      </c>
      <c r="B38" s="56">
        <f>IF(A38&gt;TODAY(),"",COUNTA(_xlfn.UNIQUE(_xlfn._xlws.FILTER('OPs Data'!$K:$K,'OPs Data'!$D:$D='Category &amp; Range Wise Outward'!A38))))</f>
      </c>
      <c r="C38" s="98">
        <f>IF(A38&gt;TODAY(),"",SUMIF('OPs Data'!$D:$D,'Category &amp; Range Wise Outward'!$A38,'OPs Data'!O:O)/1000)</f>
      </c>
      <c r="D38" s="57">
        <f>IF(A38&gt;TODAY(),"",SUMIFS('OPs Data'!$N:$N,'OPs Data'!$F:$F,'Category &amp; Range Wise Outward'!D$1,'OPs Data'!$D:$D,'Category &amp; Range Wise Outward'!$A38,'OPs Data'!$L:$L,'Category &amp; Range Wise Outward'!D$2))</f>
      </c>
      <c r="E38" s="57">
        <f>IF(A38&gt;TODAY(),"",SUMIFS('OPs Data'!$N:$N,'OPs Data'!$F:$F,'Category &amp; Range Wise Outward'!D$1,'OPs Data'!$D:$D,'Category &amp; Range Wise Outward'!$A38,'OPs Data'!$L:$L,'Category &amp; Range Wise Outward'!E$2))</f>
      </c>
      <c r="F38" s="57">
        <f>IF(A38&gt;TODAY(),"",SUMIFS('OPs Data'!$N:$N,'OPs Data'!$F:$F,'Category &amp; Range Wise Outward'!D$1,'OPs Data'!$D:$D,'Category &amp; Range Wise Outward'!$A38,'OPs Data'!$L:$L,'Category &amp; Range Wise Outward'!F$2))</f>
      </c>
      <c r="G38" s="57">
        <f>IF(E38&gt;TODAY(),"",SUMIFS('OPs Data'!$N:$N,'OPs Data'!$F:$F,'Category &amp; Range Wise Outward'!G$1,'OPs Data'!$D:$D,'Category &amp; Range Wise Outward'!$A38,'OPs Data'!$L:$L,'Category &amp; Range Wise Outward'!G$2))</f>
      </c>
      <c r="H38" s="57">
        <f>IF(E38&gt;TODAY(),"",SUMIFS('OPs Data'!$N:$N,'OPs Data'!$F:$F,'Category &amp; Range Wise Outward'!G$1,'OPs Data'!$D:$D,'Category &amp; Range Wise Outward'!$A38,'OPs Data'!$L:$L,'Category &amp; Range Wise Outward'!H$2))</f>
      </c>
      <c r="I38" s="57">
        <f>IF(E38&gt;TODAY(),"",SUMIFS('OPs Data'!$N:$N,'OPs Data'!$F:$F,'Category &amp; Range Wise Outward'!G$1,'OPs Data'!$D:$D,'Category &amp; Range Wise Outward'!$A38,'OPs Data'!$L:$L,'Category &amp; Range Wise Outward'!I$2))</f>
      </c>
      <c r="J38" s="57">
        <f>IF(H38&gt;TODAY(),"",SUMIFS('OPs Data'!$N:$N,'OPs Data'!$F:$F,'Category &amp; Range Wise Outward'!J$1,'OPs Data'!$D:$D,'Category &amp; Range Wise Outward'!$A38,'OPs Data'!$L:$L,'Category &amp; Range Wise Outward'!J$2))</f>
      </c>
      <c r="K38" s="57">
        <f>IF(H38&gt;TODAY(),"",SUMIFS('OPs Data'!$N:$N,'OPs Data'!$F:$F,'Category &amp; Range Wise Outward'!J$1,'OPs Data'!$D:$D,'Category &amp; Range Wise Outward'!$A38,'OPs Data'!$L:$L,'Category &amp; Range Wise Outward'!K$2))</f>
      </c>
      <c r="L38" s="57">
        <f>IF(H38&gt;TODAY(),"",SUMIFS('OPs Data'!$N:$N,'OPs Data'!$F:$F,'Category &amp; Range Wise Outward'!J$1,'OPs Data'!$D:$D,'Category &amp; Range Wise Outward'!$A38,'OPs Data'!$L:$L,'Category &amp; Range Wise Outward'!L$2))</f>
      </c>
      <c r="M38" s="57">
        <f>IF(K38&gt;TODAY(),"",SUMIFS('OPs Data'!$N:$N,'OPs Data'!$F:$F,'Category &amp; Range Wise Outward'!M$1,'OPs Data'!$D:$D,'Category &amp; Range Wise Outward'!$A38,'OPs Data'!$L:$L,'Category &amp; Range Wise Outward'!M$2))</f>
      </c>
      <c r="N38" s="57">
        <f>IF(K38&gt;TODAY(),"",SUMIFS('OPs Data'!$N:$N,'OPs Data'!$F:$F,'Category &amp; Range Wise Outward'!M$1,'OPs Data'!$D:$D,'Category &amp; Range Wise Outward'!$A38,'OPs Data'!$L:$L,'Category &amp; Range Wise Outward'!N$2))</f>
      </c>
      <c r="O38" s="57">
        <f>IF(K38&gt;TODAY(),"",SUMIFS('OPs Data'!$N:$N,'OPs Data'!$F:$F,'Category &amp; Range Wise Outward'!M$1,'OPs Data'!$D:$D,'Category &amp; Range Wise Outward'!$A38,'OPs Data'!$L:$L,'Category &amp; Range Wise Outward'!O$2))</f>
      </c>
      <c r="P38" s="57">
        <f>IF($A38&gt;TODAY(),"",SUM(D38,G38,J38,M38))</f>
      </c>
      <c r="Q38" s="57">
        <f>IF($A38&gt;TODAY(),"",SUM(E38,H38,K38,N38))</f>
      </c>
      <c r="R38" s="57">
        <f>IF($A38&gt;TODAY(),"",SUM(F38,I38,L38,O38))</f>
      </c>
    </row>
    <row x14ac:dyDescent="0.25" r="39" customHeight="1" ht="18.75">
      <c r="A39" s="55">
        <v>45770</v>
      </c>
      <c r="B39" s="56">
        <f>IF(A39&gt;TODAY(),"",COUNTA(_xlfn.UNIQUE(_xlfn._xlws.FILTER('OPs Data'!$K:$K,'OPs Data'!$D:$D='Category &amp; Range Wise Outward'!A39))))</f>
      </c>
      <c r="C39" s="98">
        <f>IF(A39&gt;TODAY(),"",SUMIF('OPs Data'!$D:$D,'Category &amp; Range Wise Outward'!$A39,'OPs Data'!O:O)/1000)</f>
      </c>
      <c r="D39" s="57">
        <f>IF(A39&gt;TODAY(),"",SUMIFS('OPs Data'!$N:$N,'OPs Data'!$F:$F,'Category &amp; Range Wise Outward'!D$1,'OPs Data'!$D:$D,'Category &amp; Range Wise Outward'!$A39,'OPs Data'!$L:$L,'Category &amp; Range Wise Outward'!D$2))</f>
      </c>
      <c r="E39" s="57">
        <f>IF(A39&gt;TODAY(),"",SUMIFS('OPs Data'!$N:$N,'OPs Data'!$F:$F,'Category &amp; Range Wise Outward'!D$1,'OPs Data'!$D:$D,'Category &amp; Range Wise Outward'!$A39,'OPs Data'!$L:$L,'Category &amp; Range Wise Outward'!E$2))</f>
      </c>
      <c r="F39" s="57">
        <f>IF(A39&gt;TODAY(),"",SUMIFS('OPs Data'!$N:$N,'OPs Data'!$F:$F,'Category &amp; Range Wise Outward'!D$1,'OPs Data'!$D:$D,'Category &amp; Range Wise Outward'!$A39,'OPs Data'!$L:$L,'Category &amp; Range Wise Outward'!F$2))</f>
      </c>
      <c r="G39" s="57">
        <f>IF(E39&gt;TODAY(),"",SUMIFS('OPs Data'!$N:$N,'OPs Data'!$F:$F,'Category &amp; Range Wise Outward'!G$1,'OPs Data'!$D:$D,'Category &amp; Range Wise Outward'!$A39,'OPs Data'!$L:$L,'Category &amp; Range Wise Outward'!G$2))</f>
      </c>
      <c r="H39" s="57">
        <f>IF(E39&gt;TODAY(),"",SUMIFS('OPs Data'!$N:$N,'OPs Data'!$F:$F,'Category &amp; Range Wise Outward'!G$1,'OPs Data'!$D:$D,'Category &amp; Range Wise Outward'!$A39,'OPs Data'!$L:$L,'Category &amp; Range Wise Outward'!H$2))</f>
      </c>
      <c r="I39" s="57">
        <f>IF(E39&gt;TODAY(),"",SUMIFS('OPs Data'!$N:$N,'OPs Data'!$F:$F,'Category &amp; Range Wise Outward'!G$1,'OPs Data'!$D:$D,'Category &amp; Range Wise Outward'!$A39,'OPs Data'!$L:$L,'Category &amp; Range Wise Outward'!I$2))</f>
      </c>
      <c r="J39" s="57">
        <f>IF(H39&gt;TODAY(),"",SUMIFS('OPs Data'!$N:$N,'OPs Data'!$F:$F,'Category &amp; Range Wise Outward'!J$1,'OPs Data'!$D:$D,'Category &amp; Range Wise Outward'!$A39,'OPs Data'!$L:$L,'Category &amp; Range Wise Outward'!J$2))</f>
      </c>
      <c r="K39" s="57">
        <f>IF(H39&gt;TODAY(),"",SUMIFS('OPs Data'!$N:$N,'OPs Data'!$F:$F,'Category &amp; Range Wise Outward'!J$1,'OPs Data'!$D:$D,'Category &amp; Range Wise Outward'!$A39,'OPs Data'!$L:$L,'Category &amp; Range Wise Outward'!K$2))</f>
      </c>
      <c r="L39" s="57">
        <f>IF(H39&gt;TODAY(),"",SUMIFS('OPs Data'!$N:$N,'OPs Data'!$F:$F,'Category &amp; Range Wise Outward'!J$1,'OPs Data'!$D:$D,'Category &amp; Range Wise Outward'!$A39,'OPs Data'!$L:$L,'Category &amp; Range Wise Outward'!L$2))</f>
      </c>
      <c r="M39" s="57">
        <f>IF(K39&gt;TODAY(),"",SUMIFS('OPs Data'!$N:$N,'OPs Data'!$F:$F,'Category &amp; Range Wise Outward'!M$1,'OPs Data'!$D:$D,'Category &amp; Range Wise Outward'!$A39,'OPs Data'!$L:$L,'Category &amp; Range Wise Outward'!M$2))</f>
      </c>
      <c r="N39" s="57">
        <f>IF(K39&gt;TODAY(),"",SUMIFS('OPs Data'!$N:$N,'OPs Data'!$F:$F,'Category &amp; Range Wise Outward'!M$1,'OPs Data'!$D:$D,'Category &amp; Range Wise Outward'!$A39,'OPs Data'!$L:$L,'Category &amp; Range Wise Outward'!N$2))</f>
      </c>
      <c r="O39" s="57">
        <f>IF(K39&gt;TODAY(),"",SUMIFS('OPs Data'!$N:$N,'OPs Data'!$F:$F,'Category &amp; Range Wise Outward'!M$1,'OPs Data'!$D:$D,'Category &amp; Range Wise Outward'!$A39,'OPs Data'!$L:$L,'Category &amp; Range Wise Outward'!O$2))</f>
      </c>
      <c r="P39" s="57">
        <f>IF($A39&gt;TODAY(),"",SUM(D39,G39,J39,M39))</f>
      </c>
      <c r="Q39" s="57">
        <f>IF($A39&gt;TODAY(),"",SUM(E39,H39,K39,N39))</f>
      </c>
      <c r="R39" s="57">
        <f>IF($A39&gt;TODAY(),"",SUM(F39,I39,L39,O39))</f>
      </c>
    </row>
    <row x14ac:dyDescent="0.25" r="40" customHeight="1" ht="18.75">
      <c r="A40" s="55">
        <v>45771</v>
      </c>
      <c r="B40" s="56">
        <f>IF(A40&gt;TODAY(),"",COUNTA(_xlfn.UNIQUE(_xlfn._xlws.FILTER('OPs Data'!$K:$K,'OPs Data'!$D:$D='Category &amp; Range Wise Outward'!A40))))</f>
      </c>
      <c r="C40" s="98">
        <f>IF(A40&gt;TODAY(),"",SUMIF('OPs Data'!$D:$D,'Category &amp; Range Wise Outward'!$A40,'OPs Data'!O:O)/1000)</f>
      </c>
      <c r="D40" s="57">
        <f>IF(A40&gt;TODAY(),"",SUMIFS('OPs Data'!$N:$N,'OPs Data'!$F:$F,'Category &amp; Range Wise Outward'!D$1,'OPs Data'!$D:$D,'Category &amp; Range Wise Outward'!$A40,'OPs Data'!$L:$L,'Category &amp; Range Wise Outward'!D$2))</f>
      </c>
      <c r="E40" s="57">
        <f>IF(A40&gt;TODAY(),"",SUMIFS('OPs Data'!$N:$N,'OPs Data'!$F:$F,'Category &amp; Range Wise Outward'!D$1,'OPs Data'!$D:$D,'Category &amp; Range Wise Outward'!$A40,'OPs Data'!$L:$L,'Category &amp; Range Wise Outward'!E$2))</f>
      </c>
      <c r="F40" s="57">
        <f>IF(A40&gt;TODAY(),"",SUMIFS('OPs Data'!$N:$N,'OPs Data'!$F:$F,'Category &amp; Range Wise Outward'!D$1,'OPs Data'!$D:$D,'Category &amp; Range Wise Outward'!$A40,'OPs Data'!$L:$L,'Category &amp; Range Wise Outward'!F$2))</f>
      </c>
      <c r="G40" s="57">
        <f>IF(E40&gt;TODAY(),"",SUMIFS('OPs Data'!$N:$N,'OPs Data'!$F:$F,'Category &amp; Range Wise Outward'!G$1,'OPs Data'!$D:$D,'Category &amp; Range Wise Outward'!$A40,'OPs Data'!$L:$L,'Category &amp; Range Wise Outward'!G$2))</f>
      </c>
      <c r="H40" s="57">
        <f>IF(E40&gt;TODAY(),"",SUMIFS('OPs Data'!$N:$N,'OPs Data'!$F:$F,'Category &amp; Range Wise Outward'!G$1,'OPs Data'!$D:$D,'Category &amp; Range Wise Outward'!$A40,'OPs Data'!$L:$L,'Category &amp; Range Wise Outward'!H$2))</f>
      </c>
      <c r="I40" s="57">
        <f>IF(E40&gt;TODAY(),"",SUMIFS('OPs Data'!$N:$N,'OPs Data'!$F:$F,'Category &amp; Range Wise Outward'!G$1,'OPs Data'!$D:$D,'Category &amp; Range Wise Outward'!$A40,'OPs Data'!$L:$L,'Category &amp; Range Wise Outward'!I$2))</f>
      </c>
      <c r="J40" s="57">
        <f>IF(H40&gt;TODAY(),"",SUMIFS('OPs Data'!$N:$N,'OPs Data'!$F:$F,'Category &amp; Range Wise Outward'!J$1,'OPs Data'!$D:$D,'Category &amp; Range Wise Outward'!$A40,'OPs Data'!$L:$L,'Category &amp; Range Wise Outward'!J$2))</f>
      </c>
      <c r="K40" s="57">
        <f>IF(H40&gt;TODAY(),"",SUMIFS('OPs Data'!$N:$N,'OPs Data'!$F:$F,'Category &amp; Range Wise Outward'!J$1,'OPs Data'!$D:$D,'Category &amp; Range Wise Outward'!$A40,'OPs Data'!$L:$L,'Category &amp; Range Wise Outward'!K$2))</f>
      </c>
      <c r="L40" s="57">
        <f>IF(H40&gt;TODAY(),"",SUMIFS('OPs Data'!$N:$N,'OPs Data'!$F:$F,'Category &amp; Range Wise Outward'!J$1,'OPs Data'!$D:$D,'Category &amp; Range Wise Outward'!$A40,'OPs Data'!$L:$L,'Category &amp; Range Wise Outward'!L$2))</f>
      </c>
      <c r="M40" s="57">
        <f>IF(K40&gt;TODAY(),"",SUMIFS('OPs Data'!$N:$N,'OPs Data'!$F:$F,'Category &amp; Range Wise Outward'!M$1,'OPs Data'!$D:$D,'Category &amp; Range Wise Outward'!$A40,'OPs Data'!$L:$L,'Category &amp; Range Wise Outward'!M$2))</f>
      </c>
      <c r="N40" s="57">
        <f>IF(K40&gt;TODAY(),"",SUMIFS('OPs Data'!$N:$N,'OPs Data'!$F:$F,'Category &amp; Range Wise Outward'!M$1,'OPs Data'!$D:$D,'Category &amp; Range Wise Outward'!$A40,'OPs Data'!$L:$L,'Category &amp; Range Wise Outward'!N$2))</f>
      </c>
      <c r="O40" s="57">
        <f>IF(K40&gt;TODAY(),"",SUMIFS('OPs Data'!$N:$N,'OPs Data'!$F:$F,'Category &amp; Range Wise Outward'!M$1,'OPs Data'!$D:$D,'Category &amp; Range Wise Outward'!$A40,'OPs Data'!$L:$L,'Category &amp; Range Wise Outward'!O$2))</f>
      </c>
      <c r="P40" s="57">
        <f>IF($A40&gt;TODAY(),"",SUM(D40,G40,J40,M40))</f>
      </c>
      <c r="Q40" s="57">
        <f>IF($A40&gt;TODAY(),"",SUM(E40,H40,K40,N40))</f>
      </c>
      <c r="R40" s="57">
        <f>IF($A40&gt;TODAY(),"",SUM(F40,I40,L40,O40))</f>
      </c>
    </row>
    <row x14ac:dyDescent="0.25" r="41" customHeight="1" ht="18.75">
      <c r="A41" s="55">
        <v>45772</v>
      </c>
      <c r="B41" s="56">
        <f>IF(A41&gt;TODAY(),"",COUNTA(_xlfn.UNIQUE(_xlfn._xlws.FILTER('OPs Data'!$K:$K,'OPs Data'!$D:$D='Category &amp; Range Wise Outward'!A41))))</f>
      </c>
      <c r="C41" s="98">
        <f>IF(A41&gt;TODAY(),"",SUMIF('OPs Data'!$D:$D,'Category &amp; Range Wise Outward'!$A41,'OPs Data'!O:O)/1000)</f>
      </c>
      <c r="D41" s="57">
        <f>IF(A41&gt;TODAY(),"",SUMIFS('OPs Data'!$N:$N,'OPs Data'!$F:$F,'Category &amp; Range Wise Outward'!D$1,'OPs Data'!$D:$D,'Category &amp; Range Wise Outward'!$A41,'OPs Data'!$L:$L,'Category &amp; Range Wise Outward'!D$2))</f>
      </c>
      <c r="E41" s="57">
        <f>IF(A41&gt;TODAY(),"",SUMIFS('OPs Data'!$N:$N,'OPs Data'!$F:$F,'Category &amp; Range Wise Outward'!D$1,'OPs Data'!$D:$D,'Category &amp; Range Wise Outward'!$A41,'OPs Data'!$L:$L,'Category &amp; Range Wise Outward'!E$2))</f>
      </c>
      <c r="F41" s="57">
        <f>IF(A41&gt;TODAY(),"",SUMIFS('OPs Data'!$N:$N,'OPs Data'!$F:$F,'Category &amp; Range Wise Outward'!D$1,'OPs Data'!$D:$D,'Category &amp; Range Wise Outward'!$A41,'OPs Data'!$L:$L,'Category &amp; Range Wise Outward'!F$2))</f>
      </c>
      <c r="G41" s="57">
        <f>IF(E41&gt;TODAY(),"",SUMIFS('OPs Data'!$N:$N,'OPs Data'!$F:$F,'Category &amp; Range Wise Outward'!G$1,'OPs Data'!$D:$D,'Category &amp; Range Wise Outward'!$A41,'OPs Data'!$L:$L,'Category &amp; Range Wise Outward'!G$2))</f>
      </c>
      <c r="H41" s="57">
        <f>IF(E41&gt;TODAY(),"",SUMIFS('OPs Data'!$N:$N,'OPs Data'!$F:$F,'Category &amp; Range Wise Outward'!G$1,'OPs Data'!$D:$D,'Category &amp; Range Wise Outward'!$A41,'OPs Data'!$L:$L,'Category &amp; Range Wise Outward'!H$2))</f>
      </c>
      <c r="I41" s="57">
        <f>IF(E41&gt;TODAY(),"",SUMIFS('OPs Data'!$N:$N,'OPs Data'!$F:$F,'Category &amp; Range Wise Outward'!G$1,'OPs Data'!$D:$D,'Category &amp; Range Wise Outward'!$A41,'OPs Data'!$L:$L,'Category &amp; Range Wise Outward'!I$2))</f>
      </c>
      <c r="J41" s="57">
        <f>IF(H41&gt;TODAY(),"",SUMIFS('OPs Data'!$N:$N,'OPs Data'!$F:$F,'Category &amp; Range Wise Outward'!J$1,'OPs Data'!$D:$D,'Category &amp; Range Wise Outward'!$A41,'OPs Data'!$L:$L,'Category &amp; Range Wise Outward'!J$2))</f>
      </c>
      <c r="K41" s="57">
        <f>IF(H41&gt;TODAY(),"",SUMIFS('OPs Data'!$N:$N,'OPs Data'!$F:$F,'Category &amp; Range Wise Outward'!J$1,'OPs Data'!$D:$D,'Category &amp; Range Wise Outward'!$A41,'OPs Data'!$L:$L,'Category &amp; Range Wise Outward'!K$2))</f>
      </c>
      <c r="L41" s="57">
        <f>IF(H41&gt;TODAY(),"",SUMIFS('OPs Data'!$N:$N,'OPs Data'!$F:$F,'Category &amp; Range Wise Outward'!J$1,'OPs Data'!$D:$D,'Category &amp; Range Wise Outward'!$A41,'OPs Data'!$L:$L,'Category &amp; Range Wise Outward'!L$2))</f>
      </c>
      <c r="M41" s="57">
        <f>IF(K41&gt;TODAY(),"",SUMIFS('OPs Data'!$N:$N,'OPs Data'!$F:$F,'Category &amp; Range Wise Outward'!M$1,'OPs Data'!$D:$D,'Category &amp; Range Wise Outward'!$A41,'OPs Data'!$L:$L,'Category &amp; Range Wise Outward'!M$2))</f>
      </c>
      <c r="N41" s="57">
        <f>IF(K41&gt;TODAY(),"",SUMIFS('OPs Data'!$N:$N,'OPs Data'!$F:$F,'Category &amp; Range Wise Outward'!M$1,'OPs Data'!$D:$D,'Category &amp; Range Wise Outward'!$A41,'OPs Data'!$L:$L,'Category &amp; Range Wise Outward'!N$2))</f>
      </c>
      <c r="O41" s="57">
        <f>IF(K41&gt;TODAY(),"",SUMIFS('OPs Data'!$N:$N,'OPs Data'!$F:$F,'Category &amp; Range Wise Outward'!M$1,'OPs Data'!$D:$D,'Category &amp; Range Wise Outward'!$A41,'OPs Data'!$L:$L,'Category &amp; Range Wise Outward'!O$2))</f>
      </c>
      <c r="P41" s="57">
        <f>IF($A41&gt;TODAY(),"",SUM(D41,G41,J41,M41))</f>
      </c>
      <c r="Q41" s="57">
        <f>IF($A41&gt;TODAY(),"",SUM(E41,H41,K41,N41))</f>
      </c>
      <c r="R41" s="57">
        <f>IF($A41&gt;TODAY(),"",SUM(F41,I41,L41,O41))</f>
      </c>
    </row>
    <row x14ac:dyDescent="0.25" r="42" customHeight="1" ht="18.75">
      <c r="A42" s="55">
        <v>45773</v>
      </c>
      <c r="B42" s="56">
        <f>IF(A42&gt;TODAY(),"",COUNTA(_xlfn.UNIQUE(_xlfn._xlws.FILTER('OPs Data'!$K:$K,'OPs Data'!$D:$D='Category &amp; Range Wise Outward'!A42))))</f>
      </c>
      <c r="C42" s="98">
        <f>IF(A42&gt;TODAY(),"",SUMIF('OPs Data'!$D:$D,'Category &amp; Range Wise Outward'!$A42,'OPs Data'!O:O)/1000)</f>
      </c>
      <c r="D42" s="57">
        <f>IF(A42&gt;TODAY(),"",SUMIFS('OPs Data'!$N:$N,'OPs Data'!$F:$F,'Category &amp; Range Wise Outward'!D$1,'OPs Data'!$D:$D,'Category &amp; Range Wise Outward'!$A42,'OPs Data'!$L:$L,'Category &amp; Range Wise Outward'!D$2))</f>
      </c>
      <c r="E42" s="57">
        <f>IF(A42&gt;TODAY(),"",SUMIFS('OPs Data'!$N:$N,'OPs Data'!$F:$F,'Category &amp; Range Wise Outward'!D$1,'OPs Data'!$D:$D,'Category &amp; Range Wise Outward'!$A42,'OPs Data'!$L:$L,'Category &amp; Range Wise Outward'!E$2))</f>
      </c>
      <c r="F42" s="57">
        <f>IF(A42&gt;TODAY(),"",SUMIFS('OPs Data'!$N:$N,'OPs Data'!$F:$F,'Category &amp; Range Wise Outward'!D$1,'OPs Data'!$D:$D,'Category &amp; Range Wise Outward'!$A42,'OPs Data'!$L:$L,'Category &amp; Range Wise Outward'!F$2))</f>
      </c>
      <c r="G42" s="57">
        <f>IF(E42&gt;TODAY(),"",SUMIFS('OPs Data'!$N:$N,'OPs Data'!$F:$F,'Category &amp; Range Wise Outward'!G$1,'OPs Data'!$D:$D,'Category &amp; Range Wise Outward'!$A42,'OPs Data'!$L:$L,'Category &amp; Range Wise Outward'!G$2))</f>
      </c>
      <c r="H42" s="57">
        <f>IF(E42&gt;TODAY(),"",SUMIFS('OPs Data'!$N:$N,'OPs Data'!$F:$F,'Category &amp; Range Wise Outward'!G$1,'OPs Data'!$D:$D,'Category &amp; Range Wise Outward'!$A42,'OPs Data'!$L:$L,'Category &amp; Range Wise Outward'!H$2))</f>
      </c>
      <c r="I42" s="57">
        <f>IF(E42&gt;TODAY(),"",SUMIFS('OPs Data'!$N:$N,'OPs Data'!$F:$F,'Category &amp; Range Wise Outward'!G$1,'OPs Data'!$D:$D,'Category &amp; Range Wise Outward'!$A42,'OPs Data'!$L:$L,'Category &amp; Range Wise Outward'!I$2))</f>
      </c>
      <c r="J42" s="57">
        <f>IF(H42&gt;TODAY(),"",SUMIFS('OPs Data'!$N:$N,'OPs Data'!$F:$F,'Category &amp; Range Wise Outward'!J$1,'OPs Data'!$D:$D,'Category &amp; Range Wise Outward'!$A42,'OPs Data'!$L:$L,'Category &amp; Range Wise Outward'!J$2))</f>
      </c>
      <c r="K42" s="57">
        <f>IF(H42&gt;TODAY(),"",SUMIFS('OPs Data'!$N:$N,'OPs Data'!$F:$F,'Category &amp; Range Wise Outward'!J$1,'OPs Data'!$D:$D,'Category &amp; Range Wise Outward'!$A42,'OPs Data'!$L:$L,'Category &amp; Range Wise Outward'!K$2))</f>
      </c>
      <c r="L42" s="57">
        <f>IF(H42&gt;TODAY(),"",SUMIFS('OPs Data'!$N:$N,'OPs Data'!$F:$F,'Category &amp; Range Wise Outward'!J$1,'OPs Data'!$D:$D,'Category &amp; Range Wise Outward'!$A42,'OPs Data'!$L:$L,'Category &amp; Range Wise Outward'!L$2))</f>
      </c>
      <c r="M42" s="57">
        <f>IF(K42&gt;TODAY(),"",SUMIFS('OPs Data'!$N:$N,'OPs Data'!$F:$F,'Category &amp; Range Wise Outward'!M$1,'OPs Data'!$D:$D,'Category &amp; Range Wise Outward'!$A42,'OPs Data'!$L:$L,'Category &amp; Range Wise Outward'!M$2))</f>
      </c>
      <c r="N42" s="57">
        <f>IF(K42&gt;TODAY(),"",SUMIFS('OPs Data'!$N:$N,'OPs Data'!$F:$F,'Category &amp; Range Wise Outward'!M$1,'OPs Data'!$D:$D,'Category &amp; Range Wise Outward'!$A42,'OPs Data'!$L:$L,'Category &amp; Range Wise Outward'!N$2))</f>
      </c>
      <c r="O42" s="57">
        <f>IF(K42&gt;TODAY(),"",SUMIFS('OPs Data'!$N:$N,'OPs Data'!$F:$F,'Category &amp; Range Wise Outward'!M$1,'OPs Data'!$D:$D,'Category &amp; Range Wise Outward'!$A42,'OPs Data'!$L:$L,'Category &amp; Range Wise Outward'!O$2))</f>
      </c>
      <c r="P42" s="57">
        <f>IF($A42&gt;TODAY(),"",SUM(D42,G42,J42,M42))</f>
      </c>
      <c r="Q42" s="57">
        <f>IF($A42&gt;TODAY(),"",SUM(E42,H42,K42,N42))</f>
      </c>
      <c r="R42" s="57">
        <f>IF($A42&gt;TODAY(),"",SUM(F42,I42,L42,O42))</f>
      </c>
    </row>
    <row x14ac:dyDescent="0.25" r="43" customHeight="1" ht="18.75">
      <c r="A43" s="55">
        <v>45774</v>
      </c>
      <c r="B43" s="56">
        <f>IF(A43&gt;TODAY(),"",COUNTA(_xlfn.UNIQUE(_xlfn._xlws.FILTER('OPs Data'!$K:$K,'OPs Data'!$D:$D='Category &amp; Range Wise Outward'!A43))))</f>
      </c>
      <c r="C43" s="98">
        <f>IF(A43&gt;TODAY(),"",SUMIF('OPs Data'!$D:$D,'Category &amp; Range Wise Outward'!$A43,'OPs Data'!O:O)/1000)</f>
      </c>
      <c r="D43" s="57">
        <f>IF(A43&gt;TODAY(),"",SUMIFS('OPs Data'!$N:$N,'OPs Data'!$F:$F,'Category &amp; Range Wise Outward'!D$1,'OPs Data'!$D:$D,'Category &amp; Range Wise Outward'!$A43,'OPs Data'!$L:$L,'Category &amp; Range Wise Outward'!D$2))</f>
      </c>
      <c r="E43" s="57">
        <f>IF(A43&gt;TODAY(),"",SUMIFS('OPs Data'!$N:$N,'OPs Data'!$F:$F,'Category &amp; Range Wise Outward'!D$1,'OPs Data'!$D:$D,'Category &amp; Range Wise Outward'!$A43,'OPs Data'!$L:$L,'Category &amp; Range Wise Outward'!E$2))</f>
      </c>
      <c r="F43" s="57">
        <f>IF(A43&gt;TODAY(),"",SUMIFS('OPs Data'!$N:$N,'OPs Data'!$F:$F,'Category &amp; Range Wise Outward'!D$1,'OPs Data'!$D:$D,'Category &amp; Range Wise Outward'!$A43,'OPs Data'!$L:$L,'Category &amp; Range Wise Outward'!F$2))</f>
      </c>
      <c r="G43" s="57">
        <f>IF(E43&gt;TODAY(),"",SUMIFS('OPs Data'!$N:$N,'OPs Data'!$F:$F,'Category &amp; Range Wise Outward'!G$1,'OPs Data'!$D:$D,'Category &amp; Range Wise Outward'!$A43,'OPs Data'!$L:$L,'Category &amp; Range Wise Outward'!G$2))</f>
      </c>
      <c r="H43" s="57">
        <f>IF(E43&gt;TODAY(),"",SUMIFS('OPs Data'!$N:$N,'OPs Data'!$F:$F,'Category &amp; Range Wise Outward'!G$1,'OPs Data'!$D:$D,'Category &amp; Range Wise Outward'!$A43,'OPs Data'!$L:$L,'Category &amp; Range Wise Outward'!H$2))</f>
      </c>
      <c r="I43" s="57">
        <f>IF(E43&gt;TODAY(),"",SUMIFS('OPs Data'!$N:$N,'OPs Data'!$F:$F,'Category &amp; Range Wise Outward'!G$1,'OPs Data'!$D:$D,'Category &amp; Range Wise Outward'!$A43,'OPs Data'!$L:$L,'Category &amp; Range Wise Outward'!I$2))</f>
      </c>
      <c r="J43" s="57">
        <f>IF(H43&gt;TODAY(),"",SUMIFS('OPs Data'!$N:$N,'OPs Data'!$F:$F,'Category &amp; Range Wise Outward'!J$1,'OPs Data'!$D:$D,'Category &amp; Range Wise Outward'!$A43,'OPs Data'!$L:$L,'Category &amp; Range Wise Outward'!J$2))</f>
      </c>
      <c r="K43" s="57">
        <f>IF(H43&gt;TODAY(),"",SUMIFS('OPs Data'!$N:$N,'OPs Data'!$F:$F,'Category &amp; Range Wise Outward'!J$1,'OPs Data'!$D:$D,'Category &amp; Range Wise Outward'!$A43,'OPs Data'!$L:$L,'Category &amp; Range Wise Outward'!K$2))</f>
      </c>
      <c r="L43" s="57">
        <f>IF(H43&gt;TODAY(),"",SUMIFS('OPs Data'!$N:$N,'OPs Data'!$F:$F,'Category &amp; Range Wise Outward'!J$1,'OPs Data'!$D:$D,'Category &amp; Range Wise Outward'!$A43,'OPs Data'!$L:$L,'Category &amp; Range Wise Outward'!L$2))</f>
      </c>
      <c r="M43" s="57">
        <f>IF(K43&gt;TODAY(),"",SUMIFS('OPs Data'!$N:$N,'OPs Data'!$F:$F,'Category &amp; Range Wise Outward'!M$1,'OPs Data'!$D:$D,'Category &amp; Range Wise Outward'!$A43,'OPs Data'!$L:$L,'Category &amp; Range Wise Outward'!M$2))</f>
      </c>
      <c r="N43" s="57">
        <f>IF(K43&gt;TODAY(),"",SUMIFS('OPs Data'!$N:$N,'OPs Data'!$F:$F,'Category &amp; Range Wise Outward'!M$1,'OPs Data'!$D:$D,'Category &amp; Range Wise Outward'!$A43,'OPs Data'!$L:$L,'Category &amp; Range Wise Outward'!N$2))</f>
      </c>
      <c r="O43" s="57">
        <f>IF(K43&gt;TODAY(),"",SUMIFS('OPs Data'!$N:$N,'OPs Data'!$F:$F,'Category &amp; Range Wise Outward'!M$1,'OPs Data'!$D:$D,'Category &amp; Range Wise Outward'!$A43,'OPs Data'!$L:$L,'Category &amp; Range Wise Outward'!O$2))</f>
      </c>
      <c r="P43" s="57">
        <f>IF($A43&gt;TODAY(),"",SUM(D43,G43,J43,M43))</f>
      </c>
      <c r="Q43" s="57">
        <f>IF($A43&gt;TODAY(),"",SUM(E43,H43,K43,N43))</f>
      </c>
      <c r="R43" s="57">
        <f>IF($A43&gt;TODAY(),"",SUM(F43,I43,L43,O43))</f>
      </c>
    </row>
    <row x14ac:dyDescent="0.25" r="44" customHeight="1" ht="18.75">
      <c r="A44" s="55">
        <v>45775</v>
      </c>
      <c r="B44" s="56">
        <f>IF(A44&gt;TODAY(),"",COUNTA(_xlfn.UNIQUE(_xlfn._xlws.FILTER('OPs Data'!$K:$K,'OPs Data'!$D:$D='Category &amp; Range Wise Outward'!A44))))</f>
      </c>
      <c r="C44" s="98">
        <f>IF(A44&gt;TODAY(),"",SUMIF('OPs Data'!$D:$D,'Category &amp; Range Wise Outward'!$A44,'OPs Data'!O:O)/1000)</f>
      </c>
      <c r="D44" s="57">
        <f>IF(A44&gt;TODAY(),"",SUMIFS('OPs Data'!$N:$N,'OPs Data'!$F:$F,'Category &amp; Range Wise Outward'!D$1,'OPs Data'!$D:$D,'Category &amp; Range Wise Outward'!$A44,'OPs Data'!$L:$L,'Category &amp; Range Wise Outward'!D$2))</f>
      </c>
      <c r="E44" s="57">
        <f>IF(A44&gt;TODAY(),"",SUMIFS('OPs Data'!$N:$N,'OPs Data'!$F:$F,'Category &amp; Range Wise Outward'!D$1,'OPs Data'!$D:$D,'Category &amp; Range Wise Outward'!$A44,'OPs Data'!$L:$L,'Category &amp; Range Wise Outward'!E$2))</f>
      </c>
      <c r="F44" s="57">
        <f>IF(A44&gt;TODAY(),"",SUMIFS('OPs Data'!$N:$N,'OPs Data'!$F:$F,'Category &amp; Range Wise Outward'!D$1,'OPs Data'!$D:$D,'Category &amp; Range Wise Outward'!$A44,'OPs Data'!$L:$L,'Category &amp; Range Wise Outward'!F$2))</f>
      </c>
      <c r="G44" s="57">
        <f>IF(E44&gt;TODAY(),"",SUMIFS('OPs Data'!$N:$N,'OPs Data'!$F:$F,'Category &amp; Range Wise Outward'!G$1,'OPs Data'!$D:$D,'Category &amp; Range Wise Outward'!$A44,'OPs Data'!$L:$L,'Category &amp; Range Wise Outward'!G$2))</f>
      </c>
      <c r="H44" s="57">
        <f>IF(E44&gt;TODAY(),"",SUMIFS('OPs Data'!$N:$N,'OPs Data'!$F:$F,'Category &amp; Range Wise Outward'!G$1,'OPs Data'!$D:$D,'Category &amp; Range Wise Outward'!$A44,'OPs Data'!$L:$L,'Category &amp; Range Wise Outward'!H$2))</f>
      </c>
      <c r="I44" s="57">
        <f>IF(E44&gt;TODAY(),"",SUMIFS('OPs Data'!$N:$N,'OPs Data'!$F:$F,'Category &amp; Range Wise Outward'!G$1,'OPs Data'!$D:$D,'Category &amp; Range Wise Outward'!$A44,'OPs Data'!$L:$L,'Category &amp; Range Wise Outward'!I$2))</f>
      </c>
      <c r="J44" s="57">
        <f>IF(H44&gt;TODAY(),"",SUMIFS('OPs Data'!$N:$N,'OPs Data'!$F:$F,'Category &amp; Range Wise Outward'!J$1,'OPs Data'!$D:$D,'Category &amp; Range Wise Outward'!$A44,'OPs Data'!$L:$L,'Category &amp; Range Wise Outward'!J$2))</f>
      </c>
      <c r="K44" s="57">
        <f>IF(H44&gt;TODAY(),"",SUMIFS('OPs Data'!$N:$N,'OPs Data'!$F:$F,'Category &amp; Range Wise Outward'!J$1,'OPs Data'!$D:$D,'Category &amp; Range Wise Outward'!$A44,'OPs Data'!$L:$L,'Category &amp; Range Wise Outward'!K$2))</f>
      </c>
      <c r="L44" s="57">
        <f>IF(H44&gt;TODAY(),"",SUMIFS('OPs Data'!$N:$N,'OPs Data'!$F:$F,'Category &amp; Range Wise Outward'!J$1,'OPs Data'!$D:$D,'Category &amp; Range Wise Outward'!$A44,'OPs Data'!$L:$L,'Category &amp; Range Wise Outward'!L$2))</f>
      </c>
      <c r="M44" s="57">
        <f>IF(K44&gt;TODAY(),"",SUMIFS('OPs Data'!$N:$N,'OPs Data'!$F:$F,'Category &amp; Range Wise Outward'!M$1,'OPs Data'!$D:$D,'Category &amp; Range Wise Outward'!$A44,'OPs Data'!$L:$L,'Category &amp; Range Wise Outward'!M$2))</f>
      </c>
      <c r="N44" s="57">
        <f>IF(K44&gt;TODAY(),"",SUMIFS('OPs Data'!$N:$N,'OPs Data'!$F:$F,'Category &amp; Range Wise Outward'!M$1,'OPs Data'!$D:$D,'Category &amp; Range Wise Outward'!$A44,'OPs Data'!$L:$L,'Category &amp; Range Wise Outward'!N$2))</f>
      </c>
      <c r="O44" s="57">
        <f>IF(K44&gt;TODAY(),"",SUMIFS('OPs Data'!$N:$N,'OPs Data'!$F:$F,'Category &amp; Range Wise Outward'!M$1,'OPs Data'!$D:$D,'Category &amp; Range Wise Outward'!$A44,'OPs Data'!$L:$L,'Category &amp; Range Wise Outward'!O$2))</f>
      </c>
      <c r="P44" s="57">
        <f>IF($A44&gt;TODAY(),"",SUM(D44,G44,J44,M44))</f>
      </c>
      <c r="Q44" s="57">
        <f>IF($A44&gt;TODAY(),"",SUM(E44,H44,K44,N44))</f>
      </c>
      <c r="R44" s="57">
        <f>IF($A44&gt;TODAY(),"",SUM(F44,I44,L44,O44))</f>
      </c>
    </row>
    <row x14ac:dyDescent="0.25" r="45" customHeight="1" ht="18.75">
      <c r="A45" s="55">
        <v>45776</v>
      </c>
      <c r="B45" s="56">
        <f>IF(A45&gt;TODAY(),"",COUNTA(_xlfn.UNIQUE(_xlfn._xlws.FILTER('OPs Data'!$K:$K,'OPs Data'!$D:$D='Category &amp; Range Wise Outward'!A45))))</f>
      </c>
      <c r="C45" s="98">
        <f>IF(A45&gt;TODAY(),"",SUMIF('OPs Data'!$D:$D,'Category &amp; Range Wise Outward'!$A45,'OPs Data'!O:O)/1000)</f>
      </c>
      <c r="D45" s="57">
        <f>IF(A45&gt;TODAY(),"",SUMIFS('OPs Data'!$N:$N,'OPs Data'!$F:$F,'Category &amp; Range Wise Outward'!D$1,'OPs Data'!$D:$D,'Category &amp; Range Wise Outward'!$A45,'OPs Data'!$L:$L,'Category &amp; Range Wise Outward'!D$2))</f>
      </c>
      <c r="E45" s="57">
        <f>IF(A45&gt;TODAY(),"",SUMIFS('OPs Data'!$N:$N,'OPs Data'!$F:$F,'Category &amp; Range Wise Outward'!D$1,'OPs Data'!$D:$D,'Category &amp; Range Wise Outward'!$A45,'OPs Data'!$L:$L,'Category &amp; Range Wise Outward'!E$2))</f>
      </c>
      <c r="F45" s="57">
        <f>IF(A45&gt;TODAY(),"",SUMIFS('OPs Data'!$N:$N,'OPs Data'!$F:$F,'Category &amp; Range Wise Outward'!D$1,'OPs Data'!$D:$D,'Category &amp; Range Wise Outward'!$A45,'OPs Data'!$L:$L,'Category &amp; Range Wise Outward'!F$2))</f>
      </c>
      <c r="G45" s="57">
        <f>IF(E45&gt;TODAY(),"",SUMIFS('OPs Data'!$N:$N,'OPs Data'!$F:$F,'Category &amp; Range Wise Outward'!G$1,'OPs Data'!$D:$D,'Category &amp; Range Wise Outward'!$A45,'OPs Data'!$L:$L,'Category &amp; Range Wise Outward'!G$2))</f>
      </c>
      <c r="H45" s="57">
        <f>IF(E45&gt;TODAY(),"",SUMIFS('OPs Data'!$N:$N,'OPs Data'!$F:$F,'Category &amp; Range Wise Outward'!G$1,'OPs Data'!$D:$D,'Category &amp; Range Wise Outward'!$A45,'OPs Data'!$L:$L,'Category &amp; Range Wise Outward'!H$2))</f>
      </c>
      <c r="I45" s="57">
        <f>IF(E45&gt;TODAY(),"",SUMIFS('OPs Data'!$N:$N,'OPs Data'!$F:$F,'Category &amp; Range Wise Outward'!G$1,'OPs Data'!$D:$D,'Category &amp; Range Wise Outward'!$A45,'OPs Data'!$L:$L,'Category &amp; Range Wise Outward'!I$2))</f>
      </c>
      <c r="J45" s="57">
        <f>IF(H45&gt;TODAY(),"",SUMIFS('OPs Data'!$N:$N,'OPs Data'!$F:$F,'Category &amp; Range Wise Outward'!J$1,'OPs Data'!$D:$D,'Category &amp; Range Wise Outward'!$A45,'OPs Data'!$L:$L,'Category &amp; Range Wise Outward'!J$2))</f>
      </c>
      <c r="K45" s="57">
        <f>IF(H45&gt;TODAY(),"",SUMIFS('OPs Data'!$N:$N,'OPs Data'!$F:$F,'Category &amp; Range Wise Outward'!J$1,'OPs Data'!$D:$D,'Category &amp; Range Wise Outward'!$A45,'OPs Data'!$L:$L,'Category &amp; Range Wise Outward'!K$2))</f>
      </c>
      <c r="L45" s="57">
        <f>IF(H45&gt;TODAY(),"",SUMIFS('OPs Data'!$N:$N,'OPs Data'!$F:$F,'Category &amp; Range Wise Outward'!J$1,'OPs Data'!$D:$D,'Category &amp; Range Wise Outward'!$A45,'OPs Data'!$L:$L,'Category &amp; Range Wise Outward'!L$2))</f>
      </c>
      <c r="M45" s="57">
        <f>IF(K45&gt;TODAY(),"",SUMIFS('OPs Data'!$N:$N,'OPs Data'!$F:$F,'Category &amp; Range Wise Outward'!M$1,'OPs Data'!$D:$D,'Category &amp; Range Wise Outward'!$A45,'OPs Data'!$L:$L,'Category &amp; Range Wise Outward'!M$2))</f>
      </c>
      <c r="N45" s="57">
        <f>IF(K45&gt;TODAY(),"",SUMIFS('OPs Data'!$N:$N,'OPs Data'!$F:$F,'Category &amp; Range Wise Outward'!M$1,'OPs Data'!$D:$D,'Category &amp; Range Wise Outward'!$A45,'OPs Data'!$L:$L,'Category &amp; Range Wise Outward'!N$2))</f>
      </c>
      <c r="O45" s="57">
        <f>IF(K45&gt;TODAY(),"",SUMIFS('OPs Data'!$N:$N,'OPs Data'!$F:$F,'Category &amp; Range Wise Outward'!M$1,'OPs Data'!$D:$D,'Category &amp; Range Wise Outward'!$A45,'OPs Data'!$L:$L,'Category &amp; Range Wise Outward'!O$2))</f>
      </c>
      <c r="P45" s="57">
        <f>IF($A45&gt;TODAY(),"",SUM(D45,G45,J45,M45))</f>
      </c>
      <c r="Q45" s="57">
        <f>IF($A45&gt;TODAY(),"",SUM(E45,H45,K45,N45))</f>
      </c>
      <c r="R45" s="57">
        <f>IF($A45&gt;TODAY(),"",SUM(F45,I45,L45,O45))</f>
      </c>
    </row>
    <row x14ac:dyDescent="0.25" r="46" customHeight="1" ht="18.75">
      <c r="A46" s="55">
        <v>45777</v>
      </c>
      <c r="B46" s="56">
        <f>IF(A46&gt;TODAY(),"",COUNTA(_xlfn.UNIQUE(_xlfn._xlws.FILTER('OPs Data'!$K:$K,'OPs Data'!$D:$D='Category &amp; Range Wise Outward'!A46))))</f>
      </c>
      <c r="C46" s="98">
        <f>IF(A46&gt;TODAY(),"",SUMIF('OPs Data'!$D:$D,'Category &amp; Range Wise Outward'!$A46,'OPs Data'!O:O)/1000)</f>
      </c>
      <c r="D46" s="57">
        <f>IF(A46&gt;TODAY(),"",SUMIFS('OPs Data'!$N:$N,'OPs Data'!$F:$F,'Category &amp; Range Wise Outward'!D$1,'OPs Data'!$D:$D,'Category &amp; Range Wise Outward'!$A46,'OPs Data'!$L:$L,'Category &amp; Range Wise Outward'!D$2))</f>
      </c>
      <c r="E46" s="57">
        <f>IF(A46&gt;TODAY(),"",SUMIFS('OPs Data'!$N:$N,'OPs Data'!$F:$F,'Category &amp; Range Wise Outward'!D$1,'OPs Data'!$D:$D,'Category &amp; Range Wise Outward'!$A46,'OPs Data'!$L:$L,'Category &amp; Range Wise Outward'!E$2))</f>
      </c>
      <c r="F46" s="57">
        <f>IF(A46&gt;TODAY(),"",SUMIFS('OPs Data'!$N:$N,'OPs Data'!$F:$F,'Category &amp; Range Wise Outward'!D$1,'OPs Data'!$D:$D,'Category &amp; Range Wise Outward'!$A46,'OPs Data'!$L:$L,'Category &amp; Range Wise Outward'!F$2))</f>
      </c>
      <c r="G46" s="57">
        <f>IF(E46&gt;TODAY(),"",SUMIFS('OPs Data'!$N:$N,'OPs Data'!$F:$F,'Category &amp; Range Wise Outward'!G$1,'OPs Data'!$D:$D,'Category &amp; Range Wise Outward'!$A46,'OPs Data'!$L:$L,'Category &amp; Range Wise Outward'!G$2))</f>
      </c>
      <c r="H46" s="57">
        <f>IF(E46&gt;TODAY(),"",SUMIFS('OPs Data'!$N:$N,'OPs Data'!$F:$F,'Category &amp; Range Wise Outward'!G$1,'OPs Data'!$D:$D,'Category &amp; Range Wise Outward'!$A46,'OPs Data'!$L:$L,'Category &amp; Range Wise Outward'!H$2))</f>
      </c>
      <c r="I46" s="57">
        <f>IF(E46&gt;TODAY(),"",SUMIFS('OPs Data'!$N:$N,'OPs Data'!$F:$F,'Category &amp; Range Wise Outward'!G$1,'OPs Data'!$D:$D,'Category &amp; Range Wise Outward'!$A46,'OPs Data'!$L:$L,'Category &amp; Range Wise Outward'!I$2))</f>
      </c>
      <c r="J46" s="57">
        <f>IF(H46&gt;TODAY(),"",SUMIFS('OPs Data'!$N:$N,'OPs Data'!$F:$F,'Category &amp; Range Wise Outward'!J$1,'OPs Data'!$D:$D,'Category &amp; Range Wise Outward'!$A46,'OPs Data'!$L:$L,'Category &amp; Range Wise Outward'!J$2))</f>
      </c>
      <c r="K46" s="57">
        <f>IF(H46&gt;TODAY(),"",SUMIFS('OPs Data'!$N:$N,'OPs Data'!$F:$F,'Category &amp; Range Wise Outward'!J$1,'OPs Data'!$D:$D,'Category &amp; Range Wise Outward'!$A46,'OPs Data'!$L:$L,'Category &amp; Range Wise Outward'!K$2))</f>
      </c>
      <c r="L46" s="57">
        <f>IF(H46&gt;TODAY(),"",SUMIFS('OPs Data'!$N:$N,'OPs Data'!$F:$F,'Category &amp; Range Wise Outward'!J$1,'OPs Data'!$D:$D,'Category &amp; Range Wise Outward'!$A46,'OPs Data'!$L:$L,'Category &amp; Range Wise Outward'!L$2))</f>
      </c>
      <c r="M46" s="57">
        <f>IF(K46&gt;TODAY(),"",SUMIFS('OPs Data'!$N:$N,'OPs Data'!$F:$F,'Category &amp; Range Wise Outward'!M$1,'OPs Data'!$D:$D,'Category &amp; Range Wise Outward'!$A46,'OPs Data'!$L:$L,'Category &amp; Range Wise Outward'!M$2))</f>
      </c>
      <c r="N46" s="57">
        <f>IF(K46&gt;TODAY(),"",SUMIFS('OPs Data'!$N:$N,'OPs Data'!$F:$F,'Category &amp; Range Wise Outward'!M$1,'OPs Data'!$D:$D,'Category &amp; Range Wise Outward'!$A46,'OPs Data'!$L:$L,'Category &amp; Range Wise Outward'!N$2))</f>
      </c>
      <c r="O46" s="57">
        <f>IF(K46&gt;TODAY(),"",SUMIFS('OPs Data'!$N:$N,'OPs Data'!$F:$F,'Category &amp; Range Wise Outward'!M$1,'OPs Data'!$D:$D,'Category &amp; Range Wise Outward'!$A46,'OPs Data'!$L:$L,'Category &amp; Range Wise Outward'!O$2))</f>
      </c>
      <c r="P46" s="57">
        <f>IF($A46&gt;TODAY(),"",SUM(D46,G46,J46,M46))</f>
      </c>
      <c r="Q46" s="57">
        <f>IF($A46&gt;TODAY(),"",SUM(E46,H46,K46,N46))</f>
      </c>
      <c r="R46" s="57">
        <f>IF($A46&gt;TODAY(),"",SUM(F46,I46,L46,O46))</f>
      </c>
    </row>
    <row x14ac:dyDescent="0.25" r="47" customHeight="1" ht="18.75">
      <c r="A47" s="55">
        <v>45778</v>
      </c>
      <c r="B47" s="56">
        <f>IF(A47&gt;TODAY(),"",COUNTA(_xlfn.UNIQUE(_xlfn._xlws.FILTER('OPs Data'!$K:$K,'OPs Data'!$D:$D='Category &amp; Range Wise Outward'!A47))))</f>
      </c>
      <c r="C47" s="98">
        <f>IF(A47&gt;TODAY(),"",SUMIF('OPs Data'!$D:$D,'Category &amp; Range Wise Outward'!$A47,'OPs Data'!O:O)/1000)</f>
      </c>
      <c r="D47" s="57">
        <f>IF(A47&gt;TODAY(),"",SUMIFS('OPs Data'!$N:$N,'OPs Data'!$F:$F,'Category &amp; Range Wise Outward'!D$1,'OPs Data'!$D:$D,'Category &amp; Range Wise Outward'!$A47,'OPs Data'!$L:$L,'Category &amp; Range Wise Outward'!D$2))</f>
      </c>
      <c r="E47" s="57">
        <f>IF(A47&gt;TODAY(),"",SUMIFS('OPs Data'!$N:$N,'OPs Data'!$F:$F,'Category &amp; Range Wise Outward'!D$1,'OPs Data'!$D:$D,'Category &amp; Range Wise Outward'!$A47,'OPs Data'!$L:$L,'Category &amp; Range Wise Outward'!E$2))</f>
      </c>
      <c r="F47" s="57">
        <f>IF(A47&gt;TODAY(),"",SUMIFS('OPs Data'!$N:$N,'OPs Data'!$F:$F,'Category &amp; Range Wise Outward'!D$1,'OPs Data'!$D:$D,'Category &amp; Range Wise Outward'!$A47,'OPs Data'!$L:$L,'Category &amp; Range Wise Outward'!F$2))</f>
      </c>
      <c r="G47" s="57">
        <f>IF(E47&gt;TODAY(),"",SUMIFS('OPs Data'!$N:$N,'OPs Data'!$F:$F,'Category &amp; Range Wise Outward'!G$1,'OPs Data'!$D:$D,'Category &amp; Range Wise Outward'!$A47,'OPs Data'!$L:$L,'Category &amp; Range Wise Outward'!G$2))</f>
      </c>
      <c r="H47" s="57">
        <f>IF(E47&gt;TODAY(),"",SUMIFS('OPs Data'!$N:$N,'OPs Data'!$F:$F,'Category &amp; Range Wise Outward'!G$1,'OPs Data'!$D:$D,'Category &amp; Range Wise Outward'!$A47,'OPs Data'!$L:$L,'Category &amp; Range Wise Outward'!H$2))</f>
      </c>
      <c r="I47" s="57">
        <f>IF(E47&gt;TODAY(),"",SUMIFS('OPs Data'!$N:$N,'OPs Data'!$F:$F,'Category &amp; Range Wise Outward'!G$1,'OPs Data'!$D:$D,'Category &amp; Range Wise Outward'!$A47,'OPs Data'!$L:$L,'Category &amp; Range Wise Outward'!I$2))</f>
      </c>
      <c r="J47" s="57">
        <f>IF(H47&gt;TODAY(),"",SUMIFS('OPs Data'!$N:$N,'OPs Data'!$F:$F,'Category &amp; Range Wise Outward'!J$1,'OPs Data'!$D:$D,'Category &amp; Range Wise Outward'!$A47,'OPs Data'!$L:$L,'Category &amp; Range Wise Outward'!J$2))</f>
      </c>
      <c r="K47" s="57">
        <f>IF(H47&gt;TODAY(),"",SUMIFS('OPs Data'!$N:$N,'OPs Data'!$F:$F,'Category &amp; Range Wise Outward'!J$1,'OPs Data'!$D:$D,'Category &amp; Range Wise Outward'!$A47,'OPs Data'!$L:$L,'Category &amp; Range Wise Outward'!K$2))</f>
      </c>
      <c r="L47" s="57">
        <f>IF(H47&gt;TODAY(),"",SUMIFS('OPs Data'!$N:$N,'OPs Data'!$F:$F,'Category &amp; Range Wise Outward'!J$1,'OPs Data'!$D:$D,'Category &amp; Range Wise Outward'!$A47,'OPs Data'!$L:$L,'Category &amp; Range Wise Outward'!L$2))</f>
      </c>
      <c r="M47" s="57">
        <f>IF(K47&gt;TODAY(),"",SUMIFS('OPs Data'!$N:$N,'OPs Data'!$F:$F,'Category &amp; Range Wise Outward'!M$1,'OPs Data'!$D:$D,'Category &amp; Range Wise Outward'!$A47,'OPs Data'!$L:$L,'Category &amp; Range Wise Outward'!M$2))</f>
      </c>
      <c r="N47" s="57">
        <f>IF(K47&gt;TODAY(),"",SUMIFS('OPs Data'!$N:$N,'OPs Data'!$F:$F,'Category &amp; Range Wise Outward'!M$1,'OPs Data'!$D:$D,'Category &amp; Range Wise Outward'!$A47,'OPs Data'!$L:$L,'Category &amp; Range Wise Outward'!N$2))</f>
      </c>
      <c r="O47" s="57">
        <f>IF(K47&gt;TODAY(),"",SUMIFS('OPs Data'!$N:$N,'OPs Data'!$F:$F,'Category &amp; Range Wise Outward'!M$1,'OPs Data'!$D:$D,'Category &amp; Range Wise Outward'!$A47,'OPs Data'!$L:$L,'Category &amp; Range Wise Outward'!O$2))</f>
      </c>
      <c r="P47" s="57">
        <f>IF($A47&gt;TODAY(),"",SUM(D47,G47,J47,M47))</f>
      </c>
      <c r="Q47" s="57">
        <f>IF($A47&gt;TODAY(),"",SUM(E47,H47,K47,N47))</f>
      </c>
      <c r="R47" s="57">
        <f>IF($A47&gt;TODAY(),"",SUM(F47,I47,L47,O47))</f>
      </c>
    </row>
    <row x14ac:dyDescent="0.25" r="48" customHeight="1" ht="18.75">
      <c r="A48" s="55">
        <v>45779</v>
      </c>
      <c r="B48" s="56">
        <f>IF(A48&gt;TODAY(),"",COUNTA(_xlfn.UNIQUE(_xlfn._xlws.FILTER('OPs Data'!$K:$K,'OPs Data'!$D:$D='Category &amp; Range Wise Outward'!A48))))</f>
      </c>
      <c r="C48" s="98">
        <f>IF(A48&gt;TODAY(),"",SUMIF('OPs Data'!$D:$D,'Category &amp; Range Wise Outward'!$A48,'OPs Data'!O:O)/1000)</f>
      </c>
      <c r="D48" s="57">
        <f>IF(A48&gt;TODAY(),"",SUMIFS('OPs Data'!$N:$N,'OPs Data'!$F:$F,'Category &amp; Range Wise Outward'!D$1,'OPs Data'!$D:$D,'Category &amp; Range Wise Outward'!$A48,'OPs Data'!$L:$L,'Category &amp; Range Wise Outward'!D$2))</f>
      </c>
      <c r="E48" s="57">
        <f>IF(A48&gt;TODAY(),"",SUMIFS('OPs Data'!$N:$N,'OPs Data'!$F:$F,'Category &amp; Range Wise Outward'!D$1,'OPs Data'!$D:$D,'Category &amp; Range Wise Outward'!$A48,'OPs Data'!$L:$L,'Category &amp; Range Wise Outward'!E$2))</f>
      </c>
      <c r="F48" s="57">
        <f>IF(A48&gt;TODAY(),"",SUMIFS('OPs Data'!$N:$N,'OPs Data'!$F:$F,'Category &amp; Range Wise Outward'!D$1,'OPs Data'!$D:$D,'Category &amp; Range Wise Outward'!$A48,'OPs Data'!$L:$L,'Category &amp; Range Wise Outward'!F$2))</f>
      </c>
      <c r="G48" s="57">
        <f>IF(E48&gt;TODAY(),"",SUMIFS('OPs Data'!$N:$N,'OPs Data'!$F:$F,'Category &amp; Range Wise Outward'!G$1,'OPs Data'!$D:$D,'Category &amp; Range Wise Outward'!$A48,'OPs Data'!$L:$L,'Category &amp; Range Wise Outward'!G$2))</f>
      </c>
      <c r="H48" s="57">
        <f>IF(E48&gt;TODAY(),"",SUMIFS('OPs Data'!$N:$N,'OPs Data'!$F:$F,'Category &amp; Range Wise Outward'!G$1,'OPs Data'!$D:$D,'Category &amp; Range Wise Outward'!$A48,'OPs Data'!$L:$L,'Category &amp; Range Wise Outward'!H$2))</f>
      </c>
      <c r="I48" s="57">
        <f>IF(E48&gt;TODAY(),"",SUMIFS('OPs Data'!$N:$N,'OPs Data'!$F:$F,'Category &amp; Range Wise Outward'!G$1,'OPs Data'!$D:$D,'Category &amp; Range Wise Outward'!$A48,'OPs Data'!$L:$L,'Category &amp; Range Wise Outward'!I$2))</f>
      </c>
      <c r="J48" s="57">
        <f>IF(H48&gt;TODAY(),"",SUMIFS('OPs Data'!$N:$N,'OPs Data'!$F:$F,'Category &amp; Range Wise Outward'!J$1,'OPs Data'!$D:$D,'Category &amp; Range Wise Outward'!$A48,'OPs Data'!$L:$L,'Category &amp; Range Wise Outward'!J$2))</f>
      </c>
      <c r="K48" s="57">
        <f>IF(H48&gt;TODAY(),"",SUMIFS('OPs Data'!$N:$N,'OPs Data'!$F:$F,'Category &amp; Range Wise Outward'!J$1,'OPs Data'!$D:$D,'Category &amp; Range Wise Outward'!$A48,'OPs Data'!$L:$L,'Category &amp; Range Wise Outward'!K$2))</f>
      </c>
      <c r="L48" s="57">
        <f>IF(H48&gt;TODAY(),"",SUMIFS('OPs Data'!$N:$N,'OPs Data'!$F:$F,'Category &amp; Range Wise Outward'!J$1,'OPs Data'!$D:$D,'Category &amp; Range Wise Outward'!$A48,'OPs Data'!$L:$L,'Category &amp; Range Wise Outward'!L$2))</f>
      </c>
      <c r="M48" s="57">
        <f>IF(K48&gt;TODAY(),"",SUMIFS('OPs Data'!$N:$N,'OPs Data'!$F:$F,'Category &amp; Range Wise Outward'!M$1,'OPs Data'!$D:$D,'Category &amp; Range Wise Outward'!$A48,'OPs Data'!$L:$L,'Category &amp; Range Wise Outward'!M$2))</f>
      </c>
      <c r="N48" s="57">
        <f>IF(K48&gt;TODAY(),"",SUMIFS('OPs Data'!$N:$N,'OPs Data'!$F:$F,'Category &amp; Range Wise Outward'!M$1,'OPs Data'!$D:$D,'Category &amp; Range Wise Outward'!$A48,'OPs Data'!$L:$L,'Category &amp; Range Wise Outward'!N$2))</f>
      </c>
      <c r="O48" s="57">
        <f>IF(K48&gt;TODAY(),"",SUMIFS('OPs Data'!$N:$N,'OPs Data'!$F:$F,'Category &amp; Range Wise Outward'!M$1,'OPs Data'!$D:$D,'Category &amp; Range Wise Outward'!$A48,'OPs Data'!$L:$L,'Category &amp; Range Wise Outward'!O$2))</f>
      </c>
      <c r="P48" s="57">
        <f>IF($A48&gt;TODAY(),"",SUM(D48,G48,J48,M48))</f>
      </c>
      <c r="Q48" s="57">
        <f>IF($A48&gt;TODAY(),"",SUM(E48,H48,K48,N48))</f>
      </c>
      <c r="R48" s="57">
        <f>IF($A48&gt;TODAY(),"",SUM(F48,I48,L48,O48))</f>
      </c>
    </row>
    <row x14ac:dyDescent="0.25" r="49" customHeight="1" ht="18.75">
      <c r="A49" s="55">
        <v>45780</v>
      </c>
      <c r="B49" s="56">
        <f>IF(A49&gt;TODAY(),"",COUNTA(_xlfn.UNIQUE(_xlfn._xlws.FILTER('OPs Data'!$K:$K,'OPs Data'!$D:$D='Category &amp; Range Wise Outward'!A49))))</f>
      </c>
      <c r="C49" s="98">
        <f>IF(A49&gt;TODAY(),"",SUMIF('OPs Data'!$D:$D,'Category &amp; Range Wise Outward'!$A49,'OPs Data'!O:O)/1000)</f>
      </c>
      <c r="D49" s="57">
        <f>IF(A49&gt;TODAY(),"",SUMIFS('OPs Data'!$N:$N,'OPs Data'!$F:$F,'Category &amp; Range Wise Outward'!D$1,'OPs Data'!$D:$D,'Category &amp; Range Wise Outward'!$A49,'OPs Data'!$L:$L,'Category &amp; Range Wise Outward'!D$2))</f>
      </c>
      <c r="E49" s="57">
        <f>IF(A49&gt;TODAY(),"",SUMIFS('OPs Data'!$N:$N,'OPs Data'!$F:$F,'Category &amp; Range Wise Outward'!D$1,'OPs Data'!$D:$D,'Category &amp; Range Wise Outward'!$A49,'OPs Data'!$L:$L,'Category &amp; Range Wise Outward'!E$2))</f>
      </c>
      <c r="F49" s="57">
        <f>IF(A49&gt;TODAY(),"",SUMIFS('OPs Data'!$N:$N,'OPs Data'!$F:$F,'Category &amp; Range Wise Outward'!D$1,'OPs Data'!$D:$D,'Category &amp; Range Wise Outward'!$A49,'OPs Data'!$L:$L,'Category &amp; Range Wise Outward'!F$2))</f>
      </c>
      <c r="G49" s="57">
        <f>IF(E49&gt;TODAY(),"",SUMIFS('OPs Data'!$N:$N,'OPs Data'!$F:$F,'Category &amp; Range Wise Outward'!G$1,'OPs Data'!$D:$D,'Category &amp; Range Wise Outward'!$A49,'OPs Data'!$L:$L,'Category &amp; Range Wise Outward'!G$2))</f>
      </c>
      <c r="H49" s="57">
        <f>IF(E49&gt;TODAY(),"",SUMIFS('OPs Data'!$N:$N,'OPs Data'!$F:$F,'Category &amp; Range Wise Outward'!G$1,'OPs Data'!$D:$D,'Category &amp; Range Wise Outward'!$A49,'OPs Data'!$L:$L,'Category &amp; Range Wise Outward'!H$2))</f>
      </c>
      <c r="I49" s="57">
        <f>IF(E49&gt;TODAY(),"",SUMIFS('OPs Data'!$N:$N,'OPs Data'!$F:$F,'Category &amp; Range Wise Outward'!G$1,'OPs Data'!$D:$D,'Category &amp; Range Wise Outward'!$A49,'OPs Data'!$L:$L,'Category &amp; Range Wise Outward'!I$2))</f>
      </c>
      <c r="J49" s="57">
        <f>IF(H49&gt;TODAY(),"",SUMIFS('OPs Data'!$N:$N,'OPs Data'!$F:$F,'Category &amp; Range Wise Outward'!J$1,'OPs Data'!$D:$D,'Category &amp; Range Wise Outward'!$A49,'OPs Data'!$L:$L,'Category &amp; Range Wise Outward'!J$2))</f>
      </c>
      <c r="K49" s="57">
        <f>IF(H49&gt;TODAY(),"",SUMIFS('OPs Data'!$N:$N,'OPs Data'!$F:$F,'Category &amp; Range Wise Outward'!J$1,'OPs Data'!$D:$D,'Category &amp; Range Wise Outward'!$A49,'OPs Data'!$L:$L,'Category &amp; Range Wise Outward'!K$2))</f>
      </c>
      <c r="L49" s="57">
        <f>IF(H49&gt;TODAY(),"",SUMIFS('OPs Data'!$N:$N,'OPs Data'!$F:$F,'Category &amp; Range Wise Outward'!J$1,'OPs Data'!$D:$D,'Category &amp; Range Wise Outward'!$A49,'OPs Data'!$L:$L,'Category &amp; Range Wise Outward'!L$2))</f>
      </c>
      <c r="M49" s="57">
        <f>IF(K49&gt;TODAY(),"",SUMIFS('OPs Data'!$N:$N,'OPs Data'!$F:$F,'Category &amp; Range Wise Outward'!M$1,'OPs Data'!$D:$D,'Category &amp; Range Wise Outward'!$A49,'OPs Data'!$L:$L,'Category &amp; Range Wise Outward'!M$2))</f>
      </c>
      <c r="N49" s="57">
        <f>IF(K49&gt;TODAY(),"",SUMIFS('OPs Data'!$N:$N,'OPs Data'!$F:$F,'Category &amp; Range Wise Outward'!M$1,'OPs Data'!$D:$D,'Category &amp; Range Wise Outward'!$A49,'OPs Data'!$L:$L,'Category &amp; Range Wise Outward'!N$2))</f>
      </c>
      <c r="O49" s="57">
        <f>IF(K49&gt;TODAY(),"",SUMIFS('OPs Data'!$N:$N,'OPs Data'!$F:$F,'Category &amp; Range Wise Outward'!M$1,'OPs Data'!$D:$D,'Category &amp; Range Wise Outward'!$A49,'OPs Data'!$L:$L,'Category &amp; Range Wise Outward'!O$2))</f>
      </c>
      <c r="P49" s="57">
        <f>IF($A49&gt;TODAY(),"",SUM(D49,G49,J49,M49))</f>
      </c>
      <c r="Q49" s="57">
        <f>IF($A49&gt;TODAY(),"",SUM(E49,H49,K49,N49))</f>
      </c>
      <c r="R49" s="57">
        <f>IF($A49&gt;TODAY(),"",SUM(F49,I49,L49,O49))</f>
      </c>
    </row>
    <row x14ac:dyDescent="0.25" r="50" customHeight="1" ht="18.75">
      <c r="A50" s="55">
        <v>45781</v>
      </c>
      <c r="B50" s="56">
        <f>IF(A50&gt;TODAY(),"",COUNTA(_xlfn.UNIQUE(_xlfn._xlws.FILTER('OPs Data'!$K:$K,'OPs Data'!$D:$D='Category &amp; Range Wise Outward'!A50))))</f>
      </c>
      <c r="C50" s="98">
        <f>IF(A50&gt;TODAY(),"",SUMIF('OPs Data'!$D:$D,'Category &amp; Range Wise Outward'!$A50,'OPs Data'!O:O)/1000)</f>
      </c>
      <c r="D50" s="57">
        <f>IF(A50&gt;TODAY(),"",SUMIFS('OPs Data'!$N:$N,'OPs Data'!$F:$F,'Category &amp; Range Wise Outward'!D$1,'OPs Data'!$D:$D,'Category &amp; Range Wise Outward'!$A50,'OPs Data'!$L:$L,'Category &amp; Range Wise Outward'!D$2))</f>
      </c>
      <c r="E50" s="57">
        <f>IF(A50&gt;TODAY(),"",SUMIFS('OPs Data'!$N:$N,'OPs Data'!$F:$F,'Category &amp; Range Wise Outward'!D$1,'OPs Data'!$D:$D,'Category &amp; Range Wise Outward'!$A50,'OPs Data'!$L:$L,'Category &amp; Range Wise Outward'!E$2))</f>
      </c>
      <c r="F50" s="57">
        <f>IF(A50&gt;TODAY(),"",SUMIFS('OPs Data'!$N:$N,'OPs Data'!$F:$F,'Category &amp; Range Wise Outward'!D$1,'OPs Data'!$D:$D,'Category &amp; Range Wise Outward'!$A50,'OPs Data'!$L:$L,'Category &amp; Range Wise Outward'!F$2))</f>
      </c>
      <c r="G50" s="57">
        <f>IF(E50&gt;TODAY(),"",SUMIFS('OPs Data'!$N:$N,'OPs Data'!$F:$F,'Category &amp; Range Wise Outward'!G$1,'OPs Data'!$D:$D,'Category &amp; Range Wise Outward'!$A50,'OPs Data'!$L:$L,'Category &amp; Range Wise Outward'!G$2))</f>
      </c>
      <c r="H50" s="57">
        <f>IF(E50&gt;TODAY(),"",SUMIFS('OPs Data'!$N:$N,'OPs Data'!$F:$F,'Category &amp; Range Wise Outward'!G$1,'OPs Data'!$D:$D,'Category &amp; Range Wise Outward'!$A50,'OPs Data'!$L:$L,'Category &amp; Range Wise Outward'!H$2))</f>
      </c>
      <c r="I50" s="57">
        <f>IF(E50&gt;TODAY(),"",SUMIFS('OPs Data'!$N:$N,'OPs Data'!$F:$F,'Category &amp; Range Wise Outward'!G$1,'OPs Data'!$D:$D,'Category &amp; Range Wise Outward'!$A50,'OPs Data'!$L:$L,'Category &amp; Range Wise Outward'!I$2))</f>
      </c>
      <c r="J50" s="57">
        <f>IF(H50&gt;TODAY(),"",SUMIFS('OPs Data'!$N:$N,'OPs Data'!$F:$F,'Category &amp; Range Wise Outward'!J$1,'OPs Data'!$D:$D,'Category &amp; Range Wise Outward'!$A50,'OPs Data'!$L:$L,'Category &amp; Range Wise Outward'!J$2))</f>
      </c>
      <c r="K50" s="57">
        <f>IF(H50&gt;TODAY(),"",SUMIFS('OPs Data'!$N:$N,'OPs Data'!$F:$F,'Category &amp; Range Wise Outward'!J$1,'OPs Data'!$D:$D,'Category &amp; Range Wise Outward'!$A50,'OPs Data'!$L:$L,'Category &amp; Range Wise Outward'!K$2))</f>
      </c>
      <c r="L50" s="57">
        <f>IF(H50&gt;TODAY(),"",SUMIFS('OPs Data'!$N:$N,'OPs Data'!$F:$F,'Category &amp; Range Wise Outward'!J$1,'OPs Data'!$D:$D,'Category &amp; Range Wise Outward'!$A50,'OPs Data'!$L:$L,'Category &amp; Range Wise Outward'!L$2))</f>
      </c>
      <c r="M50" s="57">
        <f>IF(K50&gt;TODAY(),"",SUMIFS('OPs Data'!$N:$N,'OPs Data'!$F:$F,'Category &amp; Range Wise Outward'!M$1,'OPs Data'!$D:$D,'Category &amp; Range Wise Outward'!$A50,'OPs Data'!$L:$L,'Category &amp; Range Wise Outward'!M$2))</f>
      </c>
      <c r="N50" s="57">
        <f>IF(K50&gt;TODAY(),"",SUMIFS('OPs Data'!$N:$N,'OPs Data'!$F:$F,'Category &amp; Range Wise Outward'!M$1,'OPs Data'!$D:$D,'Category &amp; Range Wise Outward'!$A50,'OPs Data'!$L:$L,'Category &amp; Range Wise Outward'!N$2))</f>
      </c>
      <c r="O50" s="57">
        <f>IF(K50&gt;TODAY(),"",SUMIFS('OPs Data'!$N:$N,'OPs Data'!$F:$F,'Category &amp; Range Wise Outward'!M$1,'OPs Data'!$D:$D,'Category &amp; Range Wise Outward'!$A50,'OPs Data'!$L:$L,'Category &amp; Range Wise Outward'!O$2))</f>
      </c>
      <c r="P50" s="57">
        <f>IF($A50&gt;TODAY(),"",SUM(D50,G50,J50,M50))</f>
      </c>
      <c r="Q50" s="57">
        <f>IF($A50&gt;TODAY(),"",SUM(E50,H50,K50,N50))</f>
      </c>
      <c r="R50" s="57">
        <f>IF($A50&gt;TODAY(),"",SUM(F50,I50,L50,O50))</f>
      </c>
    </row>
    <row x14ac:dyDescent="0.25" r="51" customHeight="1" ht="18.75">
      <c r="A51" s="55">
        <v>45782</v>
      </c>
      <c r="B51" s="56">
        <f>IF(A51&gt;TODAY(),"",COUNTA(_xlfn.UNIQUE(_xlfn._xlws.FILTER('OPs Data'!$K:$K,'OPs Data'!$D:$D='Category &amp; Range Wise Outward'!A51))))</f>
      </c>
      <c r="C51" s="98">
        <f>IF(A51&gt;TODAY(),"",SUMIF('OPs Data'!$D:$D,'Category &amp; Range Wise Outward'!$A51,'OPs Data'!O:O)/1000)</f>
      </c>
      <c r="D51" s="57">
        <f>IF(A51&gt;TODAY(),"",SUMIFS('OPs Data'!$N:$N,'OPs Data'!$F:$F,'Category &amp; Range Wise Outward'!D$1,'OPs Data'!$D:$D,'Category &amp; Range Wise Outward'!$A51,'OPs Data'!$L:$L,'Category &amp; Range Wise Outward'!D$2))</f>
      </c>
      <c r="E51" s="57">
        <f>IF(A51&gt;TODAY(),"",SUMIFS('OPs Data'!$N:$N,'OPs Data'!$F:$F,'Category &amp; Range Wise Outward'!D$1,'OPs Data'!$D:$D,'Category &amp; Range Wise Outward'!$A51,'OPs Data'!$L:$L,'Category &amp; Range Wise Outward'!E$2))</f>
      </c>
      <c r="F51" s="57">
        <f>IF(A51&gt;TODAY(),"",SUMIFS('OPs Data'!$N:$N,'OPs Data'!$F:$F,'Category &amp; Range Wise Outward'!D$1,'OPs Data'!$D:$D,'Category &amp; Range Wise Outward'!$A51,'OPs Data'!$L:$L,'Category &amp; Range Wise Outward'!F$2))</f>
      </c>
      <c r="G51" s="57">
        <f>IF(E51&gt;TODAY(),"",SUMIFS('OPs Data'!$N:$N,'OPs Data'!$F:$F,'Category &amp; Range Wise Outward'!G$1,'OPs Data'!$D:$D,'Category &amp; Range Wise Outward'!$A51,'OPs Data'!$L:$L,'Category &amp; Range Wise Outward'!G$2))</f>
      </c>
      <c r="H51" s="57">
        <f>IF(E51&gt;TODAY(),"",SUMIFS('OPs Data'!$N:$N,'OPs Data'!$F:$F,'Category &amp; Range Wise Outward'!G$1,'OPs Data'!$D:$D,'Category &amp; Range Wise Outward'!$A51,'OPs Data'!$L:$L,'Category &amp; Range Wise Outward'!H$2))</f>
      </c>
      <c r="I51" s="57">
        <f>IF(E51&gt;TODAY(),"",SUMIFS('OPs Data'!$N:$N,'OPs Data'!$F:$F,'Category &amp; Range Wise Outward'!G$1,'OPs Data'!$D:$D,'Category &amp; Range Wise Outward'!$A51,'OPs Data'!$L:$L,'Category &amp; Range Wise Outward'!I$2))</f>
      </c>
      <c r="J51" s="57">
        <f>IF(H51&gt;TODAY(),"",SUMIFS('OPs Data'!$N:$N,'OPs Data'!$F:$F,'Category &amp; Range Wise Outward'!J$1,'OPs Data'!$D:$D,'Category &amp; Range Wise Outward'!$A51,'OPs Data'!$L:$L,'Category &amp; Range Wise Outward'!J$2))</f>
      </c>
      <c r="K51" s="57">
        <f>IF(H51&gt;TODAY(),"",SUMIFS('OPs Data'!$N:$N,'OPs Data'!$F:$F,'Category &amp; Range Wise Outward'!J$1,'OPs Data'!$D:$D,'Category &amp; Range Wise Outward'!$A51,'OPs Data'!$L:$L,'Category &amp; Range Wise Outward'!K$2))</f>
      </c>
      <c r="L51" s="57">
        <f>IF(H51&gt;TODAY(),"",SUMIFS('OPs Data'!$N:$N,'OPs Data'!$F:$F,'Category &amp; Range Wise Outward'!J$1,'OPs Data'!$D:$D,'Category &amp; Range Wise Outward'!$A51,'OPs Data'!$L:$L,'Category &amp; Range Wise Outward'!L$2))</f>
      </c>
      <c r="M51" s="57">
        <f>IF(K51&gt;TODAY(),"",SUMIFS('OPs Data'!$N:$N,'OPs Data'!$F:$F,'Category &amp; Range Wise Outward'!M$1,'OPs Data'!$D:$D,'Category &amp; Range Wise Outward'!$A51,'OPs Data'!$L:$L,'Category &amp; Range Wise Outward'!M$2))</f>
      </c>
      <c r="N51" s="57">
        <f>IF(K51&gt;TODAY(),"",SUMIFS('OPs Data'!$N:$N,'OPs Data'!$F:$F,'Category &amp; Range Wise Outward'!M$1,'OPs Data'!$D:$D,'Category &amp; Range Wise Outward'!$A51,'OPs Data'!$L:$L,'Category &amp; Range Wise Outward'!N$2))</f>
      </c>
      <c r="O51" s="57">
        <f>IF(K51&gt;TODAY(),"",SUMIFS('OPs Data'!$N:$N,'OPs Data'!$F:$F,'Category &amp; Range Wise Outward'!M$1,'OPs Data'!$D:$D,'Category &amp; Range Wise Outward'!$A51,'OPs Data'!$L:$L,'Category &amp; Range Wise Outward'!O$2))</f>
      </c>
      <c r="P51" s="57">
        <f>IF($A51&gt;TODAY(),"",SUM(D51,G51,J51,M51))</f>
      </c>
      <c r="Q51" s="57">
        <f>IF($A51&gt;TODAY(),"",SUM(E51,H51,K51,N51))</f>
      </c>
      <c r="R51" s="57">
        <f>IF($A51&gt;TODAY(),"",SUM(F51,I51,L51,O51))</f>
      </c>
    </row>
    <row x14ac:dyDescent="0.25" r="52" customHeight="1" ht="18.75">
      <c r="A52" s="55">
        <v>45783</v>
      </c>
      <c r="B52" s="56">
        <f>IF(A52&gt;TODAY(),"",COUNTA(_xlfn.UNIQUE(_xlfn._xlws.FILTER('OPs Data'!$K:$K,'OPs Data'!$D:$D='Category &amp; Range Wise Outward'!A52))))</f>
      </c>
      <c r="C52" s="98">
        <f>IF(A52&gt;TODAY(),"",SUMIF('OPs Data'!$D:$D,'Category &amp; Range Wise Outward'!$A52,'OPs Data'!O:O)/1000)</f>
      </c>
      <c r="D52" s="57">
        <f>IF(A52&gt;TODAY(),"",SUMIFS('OPs Data'!$N:$N,'OPs Data'!$F:$F,'Category &amp; Range Wise Outward'!D$1,'OPs Data'!$D:$D,'Category &amp; Range Wise Outward'!$A52,'OPs Data'!$L:$L,'Category &amp; Range Wise Outward'!D$2))</f>
      </c>
      <c r="E52" s="57">
        <f>IF(A52&gt;TODAY(),"",SUMIFS('OPs Data'!$N:$N,'OPs Data'!$F:$F,'Category &amp; Range Wise Outward'!D$1,'OPs Data'!$D:$D,'Category &amp; Range Wise Outward'!$A52,'OPs Data'!$L:$L,'Category &amp; Range Wise Outward'!E$2))</f>
      </c>
      <c r="F52" s="57">
        <f>IF(A52&gt;TODAY(),"",SUMIFS('OPs Data'!$N:$N,'OPs Data'!$F:$F,'Category &amp; Range Wise Outward'!D$1,'OPs Data'!$D:$D,'Category &amp; Range Wise Outward'!$A52,'OPs Data'!$L:$L,'Category &amp; Range Wise Outward'!F$2))</f>
      </c>
      <c r="G52" s="57">
        <f>IF(E52&gt;TODAY(),"",SUMIFS('OPs Data'!$N:$N,'OPs Data'!$F:$F,'Category &amp; Range Wise Outward'!G$1,'OPs Data'!$D:$D,'Category &amp; Range Wise Outward'!$A52,'OPs Data'!$L:$L,'Category &amp; Range Wise Outward'!G$2))</f>
      </c>
      <c r="H52" s="57">
        <f>IF(E52&gt;TODAY(),"",SUMIFS('OPs Data'!$N:$N,'OPs Data'!$F:$F,'Category &amp; Range Wise Outward'!G$1,'OPs Data'!$D:$D,'Category &amp; Range Wise Outward'!$A52,'OPs Data'!$L:$L,'Category &amp; Range Wise Outward'!H$2))</f>
      </c>
      <c r="I52" s="57">
        <f>IF(E52&gt;TODAY(),"",SUMIFS('OPs Data'!$N:$N,'OPs Data'!$F:$F,'Category &amp; Range Wise Outward'!G$1,'OPs Data'!$D:$D,'Category &amp; Range Wise Outward'!$A52,'OPs Data'!$L:$L,'Category &amp; Range Wise Outward'!I$2))</f>
      </c>
      <c r="J52" s="57">
        <f>IF(H52&gt;TODAY(),"",SUMIFS('OPs Data'!$N:$N,'OPs Data'!$F:$F,'Category &amp; Range Wise Outward'!J$1,'OPs Data'!$D:$D,'Category &amp; Range Wise Outward'!$A52,'OPs Data'!$L:$L,'Category &amp; Range Wise Outward'!J$2))</f>
      </c>
      <c r="K52" s="57">
        <f>IF(H52&gt;TODAY(),"",SUMIFS('OPs Data'!$N:$N,'OPs Data'!$F:$F,'Category &amp; Range Wise Outward'!J$1,'OPs Data'!$D:$D,'Category &amp; Range Wise Outward'!$A52,'OPs Data'!$L:$L,'Category &amp; Range Wise Outward'!K$2))</f>
      </c>
      <c r="L52" s="57">
        <f>IF(H52&gt;TODAY(),"",SUMIFS('OPs Data'!$N:$N,'OPs Data'!$F:$F,'Category &amp; Range Wise Outward'!J$1,'OPs Data'!$D:$D,'Category &amp; Range Wise Outward'!$A52,'OPs Data'!$L:$L,'Category &amp; Range Wise Outward'!L$2))</f>
      </c>
      <c r="M52" s="57">
        <f>IF(K52&gt;TODAY(),"",SUMIFS('OPs Data'!$N:$N,'OPs Data'!$F:$F,'Category &amp; Range Wise Outward'!M$1,'OPs Data'!$D:$D,'Category &amp; Range Wise Outward'!$A52,'OPs Data'!$L:$L,'Category &amp; Range Wise Outward'!M$2))</f>
      </c>
      <c r="N52" s="57">
        <f>IF(K52&gt;TODAY(),"",SUMIFS('OPs Data'!$N:$N,'OPs Data'!$F:$F,'Category &amp; Range Wise Outward'!M$1,'OPs Data'!$D:$D,'Category &amp; Range Wise Outward'!$A52,'OPs Data'!$L:$L,'Category &amp; Range Wise Outward'!N$2))</f>
      </c>
      <c r="O52" s="57">
        <f>IF(K52&gt;TODAY(),"",SUMIFS('OPs Data'!$N:$N,'OPs Data'!$F:$F,'Category &amp; Range Wise Outward'!M$1,'OPs Data'!$D:$D,'Category &amp; Range Wise Outward'!$A52,'OPs Data'!$L:$L,'Category &amp; Range Wise Outward'!O$2))</f>
      </c>
      <c r="P52" s="57">
        <f>IF($A52&gt;TODAY(),"",SUM(D52,G52,J52,M52))</f>
      </c>
      <c r="Q52" s="57">
        <f>IF($A52&gt;TODAY(),"",SUM(E52,H52,K52,N52))</f>
      </c>
      <c r="R52" s="57">
        <f>IF($A52&gt;TODAY(),"",SUM(F52,I52,L52,O52))</f>
      </c>
    </row>
    <row x14ac:dyDescent="0.25" r="53" customHeight="1" ht="18.75">
      <c r="A53" s="55">
        <v>45784</v>
      </c>
      <c r="B53" s="56">
        <f>IF(A53&gt;TODAY(),"",COUNTA(_xlfn.UNIQUE(_xlfn._xlws.FILTER('OPs Data'!$K:$K,'OPs Data'!$D:$D='Category &amp; Range Wise Outward'!A53))))</f>
      </c>
      <c r="C53" s="98">
        <f>IF(A53&gt;TODAY(),"",SUMIF('OPs Data'!$D:$D,'Category &amp; Range Wise Outward'!$A53,'OPs Data'!O:O)/1000)</f>
      </c>
      <c r="D53" s="57">
        <f>IF(A53&gt;TODAY(),"",SUMIFS('OPs Data'!$N:$N,'OPs Data'!$F:$F,'Category &amp; Range Wise Outward'!D$1,'OPs Data'!$D:$D,'Category &amp; Range Wise Outward'!$A53,'OPs Data'!$L:$L,'Category &amp; Range Wise Outward'!D$2))</f>
      </c>
      <c r="E53" s="57">
        <f>IF(A53&gt;TODAY(),"",SUMIFS('OPs Data'!$N:$N,'OPs Data'!$F:$F,'Category &amp; Range Wise Outward'!D$1,'OPs Data'!$D:$D,'Category &amp; Range Wise Outward'!$A53,'OPs Data'!$L:$L,'Category &amp; Range Wise Outward'!E$2))</f>
      </c>
      <c r="F53" s="57">
        <f>IF(A53&gt;TODAY(),"",SUMIFS('OPs Data'!$N:$N,'OPs Data'!$F:$F,'Category &amp; Range Wise Outward'!D$1,'OPs Data'!$D:$D,'Category &amp; Range Wise Outward'!$A53,'OPs Data'!$L:$L,'Category &amp; Range Wise Outward'!F$2))</f>
      </c>
      <c r="G53" s="57">
        <f>IF(E53&gt;TODAY(),"",SUMIFS('OPs Data'!$N:$N,'OPs Data'!$F:$F,'Category &amp; Range Wise Outward'!G$1,'OPs Data'!$D:$D,'Category &amp; Range Wise Outward'!$A53,'OPs Data'!$L:$L,'Category &amp; Range Wise Outward'!G$2))</f>
      </c>
      <c r="H53" s="57">
        <f>IF(E53&gt;TODAY(),"",SUMIFS('OPs Data'!$N:$N,'OPs Data'!$F:$F,'Category &amp; Range Wise Outward'!G$1,'OPs Data'!$D:$D,'Category &amp; Range Wise Outward'!$A53,'OPs Data'!$L:$L,'Category &amp; Range Wise Outward'!H$2))</f>
      </c>
      <c r="I53" s="57">
        <f>IF(E53&gt;TODAY(),"",SUMIFS('OPs Data'!$N:$N,'OPs Data'!$F:$F,'Category &amp; Range Wise Outward'!G$1,'OPs Data'!$D:$D,'Category &amp; Range Wise Outward'!$A53,'OPs Data'!$L:$L,'Category &amp; Range Wise Outward'!I$2))</f>
      </c>
      <c r="J53" s="57">
        <f>IF(H53&gt;TODAY(),"",SUMIFS('OPs Data'!$N:$N,'OPs Data'!$F:$F,'Category &amp; Range Wise Outward'!J$1,'OPs Data'!$D:$D,'Category &amp; Range Wise Outward'!$A53,'OPs Data'!$L:$L,'Category &amp; Range Wise Outward'!J$2))</f>
      </c>
      <c r="K53" s="57">
        <f>IF(H53&gt;TODAY(),"",SUMIFS('OPs Data'!$N:$N,'OPs Data'!$F:$F,'Category &amp; Range Wise Outward'!J$1,'OPs Data'!$D:$D,'Category &amp; Range Wise Outward'!$A53,'OPs Data'!$L:$L,'Category &amp; Range Wise Outward'!K$2))</f>
      </c>
      <c r="L53" s="57">
        <f>IF(H53&gt;TODAY(),"",SUMIFS('OPs Data'!$N:$N,'OPs Data'!$F:$F,'Category &amp; Range Wise Outward'!J$1,'OPs Data'!$D:$D,'Category &amp; Range Wise Outward'!$A53,'OPs Data'!$L:$L,'Category &amp; Range Wise Outward'!L$2))</f>
      </c>
      <c r="M53" s="57">
        <f>IF(K53&gt;TODAY(),"",SUMIFS('OPs Data'!$N:$N,'OPs Data'!$F:$F,'Category &amp; Range Wise Outward'!M$1,'OPs Data'!$D:$D,'Category &amp; Range Wise Outward'!$A53,'OPs Data'!$L:$L,'Category &amp; Range Wise Outward'!M$2))</f>
      </c>
      <c r="N53" s="57">
        <f>IF(K53&gt;TODAY(),"",SUMIFS('OPs Data'!$N:$N,'OPs Data'!$F:$F,'Category &amp; Range Wise Outward'!M$1,'OPs Data'!$D:$D,'Category &amp; Range Wise Outward'!$A53,'OPs Data'!$L:$L,'Category &amp; Range Wise Outward'!N$2))</f>
      </c>
      <c r="O53" s="57">
        <f>IF(K53&gt;TODAY(),"",SUMIFS('OPs Data'!$N:$N,'OPs Data'!$F:$F,'Category &amp; Range Wise Outward'!M$1,'OPs Data'!$D:$D,'Category &amp; Range Wise Outward'!$A53,'OPs Data'!$L:$L,'Category &amp; Range Wise Outward'!O$2))</f>
      </c>
      <c r="P53" s="57">
        <f>IF($A53&gt;TODAY(),"",SUM(D53,G53,J53,M53))</f>
      </c>
      <c r="Q53" s="57">
        <f>IF($A53&gt;TODAY(),"",SUM(E53,H53,K53,N53))</f>
      </c>
      <c r="R53" s="57">
        <f>IF($A53&gt;TODAY(),"",SUM(F53,I53,L53,O53))</f>
      </c>
    </row>
    <row x14ac:dyDescent="0.25" r="54" customHeight="1" ht="18.75">
      <c r="A54" s="55">
        <v>45785</v>
      </c>
      <c r="B54" s="56">
        <f>IF(A54&gt;TODAY(),"",COUNTA(_xlfn.UNIQUE(_xlfn._xlws.FILTER('OPs Data'!$K:$K,'OPs Data'!$D:$D='Category &amp; Range Wise Outward'!A54))))</f>
      </c>
      <c r="C54" s="98">
        <f>IF(A54&gt;TODAY(),"",SUMIF('OPs Data'!$D:$D,'Category &amp; Range Wise Outward'!$A54,'OPs Data'!O:O)/1000)</f>
      </c>
      <c r="D54" s="57">
        <f>IF(A54&gt;TODAY(),"",SUMIFS('OPs Data'!$N:$N,'OPs Data'!$F:$F,'Category &amp; Range Wise Outward'!D$1,'OPs Data'!$D:$D,'Category &amp; Range Wise Outward'!$A54,'OPs Data'!$L:$L,'Category &amp; Range Wise Outward'!D$2))</f>
      </c>
      <c r="E54" s="57">
        <f>IF(A54&gt;TODAY(),"",SUMIFS('OPs Data'!$N:$N,'OPs Data'!$F:$F,'Category &amp; Range Wise Outward'!D$1,'OPs Data'!$D:$D,'Category &amp; Range Wise Outward'!$A54,'OPs Data'!$L:$L,'Category &amp; Range Wise Outward'!E$2))</f>
      </c>
      <c r="F54" s="57">
        <f>IF(A54&gt;TODAY(),"",SUMIFS('OPs Data'!$N:$N,'OPs Data'!$F:$F,'Category &amp; Range Wise Outward'!D$1,'OPs Data'!$D:$D,'Category &amp; Range Wise Outward'!$A54,'OPs Data'!$L:$L,'Category &amp; Range Wise Outward'!F$2))</f>
      </c>
      <c r="G54" s="57">
        <f>IF(E54&gt;TODAY(),"",SUMIFS('OPs Data'!$N:$N,'OPs Data'!$F:$F,'Category &amp; Range Wise Outward'!G$1,'OPs Data'!$D:$D,'Category &amp; Range Wise Outward'!$A54,'OPs Data'!$L:$L,'Category &amp; Range Wise Outward'!G$2))</f>
      </c>
      <c r="H54" s="57">
        <f>IF(E54&gt;TODAY(),"",SUMIFS('OPs Data'!$N:$N,'OPs Data'!$F:$F,'Category &amp; Range Wise Outward'!G$1,'OPs Data'!$D:$D,'Category &amp; Range Wise Outward'!$A54,'OPs Data'!$L:$L,'Category &amp; Range Wise Outward'!H$2))</f>
      </c>
      <c r="I54" s="57">
        <f>IF(E54&gt;TODAY(),"",SUMIFS('OPs Data'!$N:$N,'OPs Data'!$F:$F,'Category &amp; Range Wise Outward'!G$1,'OPs Data'!$D:$D,'Category &amp; Range Wise Outward'!$A54,'OPs Data'!$L:$L,'Category &amp; Range Wise Outward'!I$2))</f>
      </c>
      <c r="J54" s="57">
        <f>IF(H54&gt;TODAY(),"",SUMIFS('OPs Data'!$N:$N,'OPs Data'!$F:$F,'Category &amp; Range Wise Outward'!J$1,'OPs Data'!$D:$D,'Category &amp; Range Wise Outward'!$A54,'OPs Data'!$L:$L,'Category &amp; Range Wise Outward'!J$2))</f>
      </c>
      <c r="K54" s="57">
        <f>IF(H54&gt;TODAY(),"",SUMIFS('OPs Data'!$N:$N,'OPs Data'!$F:$F,'Category &amp; Range Wise Outward'!J$1,'OPs Data'!$D:$D,'Category &amp; Range Wise Outward'!$A54,'OPs Data'!$L:$L,'Category &amp; Range Wise Outward'!K$2))</f>
      </c>
      <c r="L54" s="57">
        <f>IF(H54&gt;TODAY(),"",SUMIFS('OPs Data'!$N:$N,'OPs Data'!$F:$F,'Category &amp; Range Wise Outward'!J$1,'OPs Data'!$D:$D,'Category &amp; Range Wise Outward'!$A54,'OPs Data'!$L:$L,'Category &amp; Range Wise Outward'!L$2))</f>
      </c>
      <c r="M54" s="57">
        <f>IF(K54&gt;TODAY(),"",SUMIFS('OPs Data'!$N:$N,'OPs Data'!$F:$F,'Category &amp; Range Wise Outward'!M$1,'OPs Data'!$D:$D,'Category &amp; Range Wise Outward'!$A54,'OPs Data'!$L:$L,'Category &amp; Range Wise Outward'!M$2))</f>
      </c>
      <c r="N54" s="57">
        <f>IF(K54&gt;TODAY(),"",SUMIFS('OPs Data'!$N:$N,'OPs Data'!$F:$F,'Category &amp; Range Wise Outward'!M$1,'OPs Data'!$D:$D,'Category &amp; Range Wise Outward'!$A54,'OPs Data'!$L:$L,'Category &amp; Range Wise Outward'!N$2))</f>
      </c>
      <c r="O54" s="57">
        <f>IF(K54&gt;TODAY(),"",SUMIFS('OPs Data'!$N:$N,'OPs Data'!$F:$F,'Category &amp; Range Wise Outward'!M$1,'OPs Data'!$D:$D,'Category &amp; Range Wise Outward'!$A54,'OPs Data'!$L:$L,'Category &amp; Range Wise Outward'!O$2))</f>
      </c>
      <c r="P54" s="57">
        <f>IF($A54&gt;TODAY(),"",SUM(D54,G54,J54,M54))</f>
      </c>
      <c r="Q54" s="57">
        <f>IF($A54&gt;TODAY(),"",SUM(E54,H54,K54,N54))</f>
      </c>
      <c r="R54" s="57">
        <f>IF($A54&gt;TODAY(),"",SUM(F54,I54,L54,O54))</f>
      </c>
    </row>
    <row x14ac:dyDescent="0.25" r="55" customHeight="1" ht="18.75">
      <c r="A55" s="55">
        <v>45786</v>
      </c>
      <c r="B55" s="56">
        <f>IF(A55&gt;TODAY(),"",COUNTA(_xlfn.UNIQUE(_xlfn._xlws.FILTER('OPs Data'!$K:$K,'OPs Data'!$D:$D='Category &amp; Range Wise Outward'!A55))))</f>
      </c>
      <c r="C55" s="98">
        <f>IF(A55&gt;TODAY(),"",SUMIF('OPs Data'!$D:$D,'Category &amp; Range Wise Outward'!$A55,'OPs Data'!O:O)/1000)</f>
      </c>
      <c r="D55" s="57">
        <f>IF(A55&gt;TODAY(),"",SUMIFS('OPs Data'!$N:$N,'OPs Data'!$F:$F,'Category &amp; Range Wise Outward'!D$1,'OPs Data'!$D:$D,'Category &amp; Range Wise Outward'!$A55,'OPs Data'!$L:$L,'Category &amp; Range Wise Outward'!D$2))</f>
      </c>
      <c r="E55" s="57">
        <f>IF(A55&gt;TODAY(),"",SUMIFS('OPs Data'!$N:$N,'OPs Data'!$F:$F,'Category &amp; Range Wise Outward'!D$1,'OPs Data'!$D:$D,'Category &amp; Range Wise Outward'!$A55,'OPs Data'!$L:$L,'Category &amp; Range Wise Outward'!E$2))</f>
      </c>
      <c r="F55" s="57">
        <f>IF(A55&gt;TODAY(),"",SUMIFS('OPs Data'!$N:$N,'OPs Data'!$F:$F,'Category &amp; Range Wise Outward'!D$1,'OPs Data'!$D:$D,'Category &amp; Range Wise Outward'!$A55,'OPs Data'!$L:$L,'Category &amp; Range Wise Outward'!F$2))</f>
      </c>
      <c r="G55" s="57">
        <f>IF(E55&gt;TODAY(),"",SUMIFS('OPs Data'!$N:$N,'OPs Data'!$F:$F,'Category &amp; Range Wise Outward'!G$1,'OPs Data'!$D:$D,'Category &amp; Range Wise Outward'!$A55,'OPs Data'!$L:$L,'Category &amp; Range Wise Outward'!G$2))</f>
      </c>
      <c r="H55" s="57">
        <f>IF(E55&gt;TODAY(),"",SUMIFS('OPs Data'!$N:$N,'OPs Data'!$F:$F,'Category &amp; Range Wise Outward'!G$1,'OPs Data'!$D:$D,'Category &amp; Range Wise Outward'!$A55,'OPs Data'!$L:$L,'Category &amp; Range Wise Outward'!H$2))</f>
      </c>
      <c r="I55" s="57">
        <f>IF(E55&gt;TODAY(),"",SUMIFS('OPs Data'!$N:$N,'OPs Data'!$F:$F,'Category &amp; Range Wise Outward'!G$1,'OPs Data'!$D:$D,'Category &amp; Range Wise Outward'!$A55,'OPs Data'!$L:$L,'Category &amp; Range Wise Outward'!I$2))</f>
      </c>
      <c r="J55" s="57">
        <f>IF(H55&gt;TODAY(),"",SUMIFS('OPs Data'!$N:$N,'OPs Data'!$F:$F,'Category &amp; Range Wise Outward'!J$1,'OPs Data'!$D:$D,'Category &amp; Range Wise Outward'!$A55,'OPs Data'!$L:$L,'Category &amp; Range Wise Outward'!J$2))</f>
      </c>
      <c r="K55" s="57">
        <f>IF(H55&gt;TODAY(),"",SUMIFS('OPs Data'!$N:$N,'OPs Data'!$F:$F,'Category &amp; Range Wise Outward'!J$1,'OPs Data'!$D:$D,'Category &amp; Range Wise Outward'!$A55,'OPs Data'!$L:$L,'Category &amp; Range Wise Outward'!K$2))</f>
      </c>
      <c r="L55" s="57">
        <f>IF(H55&gt;TODAY(),"",SUMIFS('OPs Data'!$N:$N,'OPs Data'!$F:$F,'Category &amp; Range Wise Outward'!J$1,'OPs Data'!$D:$D,'Category &amp; Range Wise Outward'!$A55,'OPs Data'!$L:$L,'Category &amp; Range Wise Outward'!L$2))</f>
      </c>
      <c r="M55" s="57">
        <f>IF(K55&gt;TODAY(),"",SUMIFS('OPs Data'!$N:$N,'OPs Data'!$F:$F,'Category &amp; Range Wise Outward'!M$1,'OPs Data'!$D:$D,'Category &amp; Range Wise Outward'!$A55,'OPs Data'!$L:$L,'Category &amp; Range Wise Outward'!M$2))</f>
      </c>
      <c r="N55" s="57">
        <f>IF(K55&gt;TODAY(),"",SUMIFS('OPs Data'!$N:$N,'OPs Data'!$F:$F,'Category &amp; Range Wise Outward'!M$1,'OPs Data'!$D:$D,'Category &amp; Range Wise Outward'!$A55,'OPs Data'!$L:$L,'Category &amp; Range Wise Outward'!N$2))</f>
      </c>
      <c r="O55" s="57">
        <f>IF(K55&gt;TODAY(),"",SUMIFS('OPs Data'!$N:$N,'OPs Data'!$F:$F,'Category &amp; Range Wise Outward'!M$1,'OPs Data'!$D:$D,'Category &amp; Range Wise Outward'!$A55,'OPs Data'!$L:$L,'Category &amp; Range Wise Outward'!O$2))</f>
      </c>
      <c r="P55" s="57">
        <f>IF($A55&gt;TODAY(),"",SUM(D55,G55,J55,M55))</f>
      </c>
      <c r="Q55" s="57">
        <f>IF($A55&gt;TODAY(),"",SUM(E55,H55,K55,N55))</f>
      </c>
      <c r="R55" s="57">
        <f>IF($A55&gt;TODAY(),"",SUM(F55,I55,L55,O55))</f>
      </c>
    </row>
    <row x14ac:dyDescent="0.25" r="56" customHeight="1" ht="18.75">
      <c r="A56" s="55">
        <v>45787</v>
      </c>
      <c r="B56" s="56">
        <f>IF(A56&gt;TODAY(),"",COUNTA(_xlfn.UNIQUE(_xlfn._xlws.FILTER('OPs Data'!$K:$K,'OPs Data'!$D:$D='Category &amp; Range Wise Outward'!A56))))</f>
      </c>
      <c r="C56" s="98">
        <f>IF(A56&gt;TODAY(),"",SUMIF('OPs Data'!$D:$D,'Category &amp; Range Wise Outward'!$A56,'OPs Data'!O:O)/1000)</f>
      </c>
      <c r="D56" s="57">
        <f>IF(A56&gt;TODAY(),"",SUMIFS('OPs Data'!$N:$N,'OPs Data'!$F:$F,'Category &amp; Range Wise Outward'!D$1,'OPs Data'!$D:$D,'Category &amp; Range Wise Outward'!$A56,'OPs Data'!$L:$L,'Category &amp; Range Wise Outward'!D$2))</f>
      </c>
      <c r="E56" s="57">
        <f>IF(A56&gt;TODAY(),"",SUMIFS('OPs Data'!$N:$N,'OPs Data'!$F:$F,'Category &amp; Range Wise Outward'!D$1,'OPs Data'!$D:$D,'Category &amp; Range Wise Outward'!$A56,'OPs Data'!$L:$L,'Category &amp; Range Wise Outward'!E$2))</f>
      </c>
      <c r="F56" s="57">
        <f>IF(A56&gt;TODAY(),"",SUMIFS('OPs Data'!$N:$N,'OPs Data'!$F:$F,'Category &amp; Range Wise Outward'!D$1,'OPs Data'!$D:$D,'Category &amp; Range Wise Outward'!$A56,'OPs Data'!$L:$L,'Category &amp; Range Wise Outward'!F$2))</f>
      </c>
      <c r="G56" s="57">
        <f>IF(E56&gt;TODAY(),"",SUMIFS('OPs Data'!$N:$N,'OPs Data'!$F:$F,'Category &amp; Range Wise Outward'!G$1,'OPs Data'!$D:$D,'Category &amp; Range Wise Outward'!$A56,'OPs Data'!$L:$L,'Category &amp; Range Wise Outward'!G$2))</f>
      </c>
      <c r="H56" s="57">
        <f>IF(E56&gt;TODAY(),"",SUMIFS('OPs Data'!$N:$N,'OPs Data'!$F:$F,'Category &amp; Range Wise Outward'!G$1,'OPs Data'!$D:$D,'Category &amp; Range Wise Outward'!$A56,'OPs Data'!$L:$L,'Category &amp; Range Wise Outward'!H$2))</f>
      </c>
      <c r="I56" s="57">
        <f>IF(E56&gt;TODAY(),"",SUMIFS('OPs Data'!$N:$N,'OPs Data'!$F:$F,'Category &amp; Range Wise Outward'!G$1,'OPs Data'!$D:$D,'Category &amp; Range Wise Outward'!$A56,'OPs Data'!$L:$L,'Category &amp; Range Wise Outward'!I$2))</f>
      </c>
      <c r="J56" s="57">
        <f>IF(H56&gt;TODAY(),"",SUMIFS('OPs Data'!$N:$N,'OPs Data'!$F:$F,'Category &amp; Range Wise Outward'!J$1,'OPs Data'!$D:$D,'Category &amp; Range Wise Outward'!$A56,'OPs Data'!$L:$L,'Category &amp; Range Wise Outward'!J$2))</f>
      </c>
      <c r="K56" s="57">
        <f>IF(H56&gt;TODAY(),"",SUMIFS('OPs Data'!$N:$N,'OPs Data'!$F:$F,'Category &amp; Range Wise Outward'!J$1,'OPs Data'!$D:$D,'Category &amp; Range Wise Outward'!$A56,'OPs Data'!$L:$L,'Category &amp; Range Wise Outward'!K$2))</f>
      </c>
      <c r="L56" s="57">
        <f>IF(H56&gt;TODAY(),"",SUMIFS('OPs Data'!$N:$N,'OPs Data'!$F:$F,'Category &amp; Range Wise Outward'!J$1,'OPs Data'!$D:$D,'Category &amp; Range Wise Outward'!$A56,'OPs Data'!$L:$L,'Category &amp; Range Wise Outward'!L$2))</f>
      </c>
      <c r="M56" s="57">
        <f>IF(K56&gt;TODAY(),"",SUMIFS('OPs Data'!$N:$N,'OPs Data'!$F:$F,'Category &amp; Range Wise Outward'!M$1,'OPs Data'!$D:$D,'Category &amp; Range Wise Outward'!$A56,'OPs Data'!$L:$L,'Category &amp; Range Wise Outward'!M$2))</f>
      </c>
      <c r="N56" s="57">
        <f>IF(K56&gt;TODAY(),"",SUMIFS('OPs Data'!$N:$N,'OPs Data'!$F:$F,'Category &amp; Range Wise Outward'!M$1,'OPs Data'!$D:$D,'Category &amp; Range Wise Outward'!$A56,'OPs Data'!$L:$L,'Category &amp; Range Wise Outward'!N$2))</f>
      </c>
      <c r="O56" s="57">
        <f>IF(K56&gt;TODAY(),"",SUMIFS('OPs Data'!$N:$N,'OPs Data'!$F:$F,'Category &amp; Range Wise Outward'!M$1,'OPs Data'!$D:$D,'Category &amp; Range Wise Outward'!$A56,'OPs Data'!$L:$L,'Category &amp; Range Wise Outward'!O$2))</f>
      </c>
      <c r="P56" s="57">
        <f>IF($A56&gt;TODAY(),"",SUM(D56,G56,J56,M56))</f>
      </c>
      <c r="Q56" s="57">
        <f>IF($A56&gt;TODAY(),"",SUM(E56,H56,K56,N56))</f>
      </c>
      <c r="R56" s="57">
        <f>IF($A56&gt;TODAY(),"",SUM(F56,I56,L56,O56))</f>
      </c>
    </row>
    <row x14ac:dyDescent="0.25" r="57" customHeight="1" ht="18.75">
      <c r="A57" s="55">
        <v>45788</v>
      </c>
      <c r="B57" s="56">
        <f>IF(A57&gt;TODAY(),"",COUNTA(_xlfn.UNIQUE(_xlfn._xlws.FILTER('OPs Data'!$K:$K,'OPs Data'!$D:$D='Category &amp; Range Wise Outward'!A57))))</f>
      </c>
      <c r="C57" s="98">
        <f>IF(A57&gt;TODAY(),"",SUMIF('OPs Data'!$D:$D,'Category &amp; Range Wise Outward'!$A57,'OPs Data'!O:O)/1000)</f>
      </c>
      <c r="D57" s="57">
        <f>IF(A57&gt;TODAY(),"",SUMIFS('OPs Data'!$N:$N,'OPs Data'!$F:$F,'Category &amp; Range Wise Outward'!D$1,'OPs Data'!$D:$D,'Category &amp; Range Wise Outward'!$A57,'OPs Data'!$L:$L,'Category &amp; Range Wise Outward'!D$2))</f>
      </c>
      <c r="E57" s="57">
        <f>IF(A57&gt;TODAY(),"",SUMIFS('OPs Data'!$N:$N,'OPs Data'!$F:$F,'Category &amp; Range Wise Outward'!D$1,'OPs Data'!$D:$D,'Category &amp; Range Wise Outward'!$A57,'OPs Data'!$L:$L,'Category &amp; Range Wise Outward'!E$2))</f>
      </c>
      <c r="F57" s="57">
        <f>IF(A57&gt;TODAY(),"",SUMIFS('OPs Data'!$N:$N,'OPs Data'!$F:$F,'Category &amp; Range Wise Outward'!D$1,'OPs Data'!$D:$D,'Category &amp; Range Wise Outward'!$A57,'OPs Data'!$L:$L,'Category &amp; Range Wise Outward'!F$2))</f>
      </c>
      <c r="G57" s="57">
        <f>IF(E57&gt;TODAY(),"",SUMIFS('OPs Data'!$N:$N,'OPs Data'!$F:$F,'Category &amp; Range Wise Outward'!G$1,'OPs Data'!$D:$D,'Category &amp; Range Wise Outward'!$A57,'OPs Data'!$L:$L,'Category &amp; Range Wise Outward'!G$2))</f>
      </c>
      <c r="H57" s="57">
        <f>IF(E57&gt;TODAY(),"",SUMIFS('OPs Data'!$N:$N,'OPs Data'!$F:$F,'Category &amp; Range Wise Outward'!G$1,'OPs Data'!$D:$D,'Category &amp; Range Wise Outward'!$A57,'OPs Data'!$L:$L,'Category &amp; Range Wise Outward'!H$2))</f>
      </c>
      <c r="I57" s="57">
        <f>IF(E57&gt;TODAY(),"",SUMIFS('OPs Data'!$N:$N,'OPs Data'!$F:$F,'Category &amp; Range Wise Outward'!G$1,'OPs Data'!$D:$D,'Category &amp; Range Wise Outward'!$A57,'OPs Data'!$L:$L,'Category &amp; Range Wise Outward'!I$2))</f>
      </c>
      <c r="J57" s="57">
        <f>IF(H57&gt;TODAY(),"",SUMIFS('OPs Data'!$N:$N,'OPs Data'!$F:$F,'Category &amp; Range Wise Outward'!J$1,'OPs Data'!$D:$D,'Category &amp; Range Wise Outward'!$A57,'OPs Data'!$L:$L,'Category &amp; Range Wise Outward'!J$2))</f>
      </c>
      <c r="K57" s="57">
        <f>IF(H57&gt;TODAY(),"",SUMIFS('OPs Data'!$N:$N,'OPs Data'!$F:$F,'Category &amp; Range Wise Outward'!J$1,'OPs Data'!$D:$D,'Category &amp; Range Wise Outward'!$A57,'OPs Data'!$L:$L,'Category &amp; Range Wise Outward'!K$2))</f>
      </c>
      <c r="L57" s="57">
        <f>IF(H57&gt;TODAY(),"",SUMIFS('OPs Data'!$N:$N,'OPs Data'!$F:$F,'Category &amp; Range Wise Outward'!J$1,'OPs Data'!$D:$D,'Category &amp; Range Wise Outward'!$A57,'OPs Data'!$L:$L,'Category &amp; Range Wise Outward'!L$2))</f>
      </c>
      <c r="M57" s="57">
        <f>IF(K57&gt;TODAY(),"",SUMIFS('OPs Data'!$N:$N,'OPs Data'!$F:$F,'Category &amp; Range Wise Outward'!M$1,'OPs Data'!$D:$D,'Category &amp; Range Wise Outward'!$A57,'OPs Data'!$L:$L,'Category &amp; Range Wise Outward'!M$2))</f>
      </c>
      <c r="N57" s="57">
        <f>IF(K57&gt;TODAY(),"",SUMIFS('OPs Data'!$N:$N,'OPs Data'!$F:$F,'Category &amp; Range Wise Outward'!M$1,'OPs Data'!$D:$D,'Category &amp; Range Wise Outward'!$A57,'OPs Data'!$L:$L,'Category &amp; Range Wise Outward'!N$2))</f>
      </c>
      <c r="O57" s="57">
        <f>IF(K57&gt;TODAY(),"",SUMIFS('OPs Data'!$N:$N,'OPs Data'!$F:$F,'Category &amp; Range Wise Outward'!M$1,'OPs Data'!$D:$D,'Category &amp; Range Wise Outward'!$A57,'OPs Data'!$L:$L,'Category &amp; Range Wise Outward'!O$2))</f>
      </c>
      <c r="P57" s="57">
        <f>IF($A57&gt;TODAY(),"",SUM(D57,G57,J57,M57))</f>
      </c>
      <c r="Q57" s="57">
        <f>IF($A57&gt;TODAY(),"",SUM(E57,H57,K57,N57))</f>
      </c>
      <c r="R57" s="57">
        <f>IF($A57&gt;TODAY(),"",SUM(F57,I57,L57,O57))</f>
      </c>
    </row>
    <row x14ac:dyDescent="0.25" r="58" customHeight="1" ht="18.75">
      <c r="A58" s="55">
        <v>45789</v>
      </c>
      <c r="B58" s="56">
        <f>IF(A58&gt;TODAY(),"",COUNTA(_xlfn.UNIQUE(_xlfn._xlws.FILTER('OPs Data'!$K:$K,'OPs Data'!$D:$D='Category &amp; Range Wise Outward'!A58))))</f>
      </c>
      <c r="C58" s="98">
        <f>IF(A58&gt;TODAY(),"",SUMIF('OPs Data'!$D:$D,'Category &amp; Range Wise Outward'!$A58,'OPs Data'!O:O)/1000)</f>
      </c>
      <c r="D58" s="57">
        <f>IF(A58&gt;TODAY(),"",SUMIFS('OPs Data'!$N:$N,'OPs Data'!$F:$F,'Category &amp; Range Wise Outward'!D$1,'OPs Data'!$D:$D,'Category &amp; Range Wise Outward'!$A58,'OPs Data'!$L:$L,'Category &amp; Range Wise Outward'!D$2))</f>
      </c>
      <c r="E58" s="57">
        <f>IF(A58&gt;TODAY(),"",SUMIFS('OPs Data'!$N:$N,'OPs Data'!$F:$F,'Category &amp; Range Wise Outward'!D$1,'OPs Data'!$D:$D,'Category &amp; Range Wise Outward'!$A58,'OPs Data'!$L:$L,'Category &amp; Range Wise Outward'!E$2))</f>
      </c>
      <c r="F58" s="57">
        <f>IF(A58&gt;TODAY(),"",SUMIFS('OPs Data'!$N:$N,'OPs Data'!$F:$F,'Category &amp; Range Wise Outward'!D$1,'OPs Data'!$D:$D,'Category &amp; Range Wise Outward'!$A58,'OPs Data'!$L:$L,'Category &amp; Range Wise Outward'!F$2))</f>
      </c>
      <c r="G58" s="57">
        <f>IF(E58&gt;TODAY(),"",SUMIFS('OPs Data'!$N:$N,'OPs Data'!$F:$F,'Category &amp; Range Wise Outward'!G$1,'OPs Data'!$D:$D,'Category &amp; Range Wise Outward'!$A58,'OPs Data'!$L:$L,'Category &amp; Range Wise Outward'!G$2))</f>
      </c>
      <c r="H58" s="57">
        <f>IF(E58&gt;TODAY(),"",SUMIFS('OPs Data'!$N:$N,'OPs Data'!$F:$F,'Category &amp; Range Wise Outward'!G$1,'OPs Data'!$D:$D,'Category &amp; Range Wise Outward'!$A58,'OPs Data'!$L:$L,'Category &amp; Range Wise Outward'!H$2))</f>
      </c>
      <c r="I58" s="57">
        <f>IF(E58&gt;TODAY(),"",SUMIFS('OPs Data'!$N:$N,'OPs Data'!$F:$F,'Category &amp; Range Wise Outward'!G$1,'OPs Data'!$D:$D,'Category &amp; Range Wise Outward'!$A58,'OPs Data'!$L:$L,'Category &amp; Range Wise Outward'!I$2))</f>
      </c>
      <c r="J58" s="57">
        <f>IF(H58&gt;TODAY(),"",SUMIFS('OPs Data'!$N:$N,'OPs Data'!$F:$F,'Category &amp; Range Wise Outward'!J$1,'OPs Data'!$D:$D,'Category &amp; Range Wise Outward'!$A58,'OPs Data'!$L:$L,'Category &amp; Range Wise Outward'!J$2))</f>
      </c>
      <c r="K58" s="57">
        <f>IF(H58&gt;TODAY(),"",SUMIFS('OPs Data'!$N:$N,'OPs Data'!$F:$F,'Category &amp; Range Wise Outward'!J$1,'OPs Data'!$D:$D,'Category &amp; Range Wise Outward'!$A58,'OPs Data'!$L:$L,'Category &amp; Range Wise Outward'!K$2))</f>
      </c>
      <c r="L58" s="57">
        <f>IF(H58&gt;TODAY(),"",SUMIFS('OPs Data'!$N:$N,'OPs Data'!$F:$F,'Category &amp; Range Wise Outward'!J$1,'OPs Data'!$D:$D,'Category &amp; Range Wise Outward'!$A58,'OPs Data'!$L:$L,'Category &amp; Range Wise Outward'!L$2))</f>
      </c>
      <c r="M58" s="57">
        <f>IF(K58&gt;TODAY(),"",SUMIFS('OPs Data'!$N:$N,'OPs Data'!$F:$F,'Category &amp; Range Wise Outward'!M$1,'OPs Data'!$D:$D,'Category &amp; Range Wise Outward'!$A58,'OPs Data'!$L:$L,'Category &amp; Range Wise Outward'!M$2))</f>
      </c>
      <c r="N58" s="57">
        <f>IF(K58&gt;TODAY(),"",SUMIFS('OPs Data'!$N:$N,'OPs Data'!$F:$F,'Category &amp; Range Wise Outward'!M$1,'OPs Data'!$D:$D,'Category &amp; Range Wise Outward'!$A58,'OPs Data'!$L:$L,'Category &amp; Range Wise Outward'!N$2))</f>
      </c>
      <c r="O58" s="57">
        <f>IF(K58&gt;TODAY(),"",SUMIFS('OPs Data'!$N:$N,'OPs Data'!$F:$F,'Category &amp; Range Wise Outward'!M$1,'OPs Data'!$D:$D,'Category &amp; Range Wise Outward'!$A58,'OPs Data'!$L:$L,'Category &amp; Range Wise Outward'!O$2))</f>
      </c>
      <c r="P58" s="57">
        <f>IF($A58&gt;TODAY(),"",SUM(D58,G58,J58,M58))</f>
      </c>
      <c r="Q58" s="57">
        <f>IF($A58&gt;TODAY(),"",SUM(E58,H58,K58,N58))</f>
      </c>
      <c r="R58" s="57">
        <f>IF($A58&gt;TODAY(),"",SUM(F58,I58,L58,O58))</f>
      </c>
    </row>
    <row x14ac:dyDescent="0.25" r="59" customHeight="1" ht="18.75">
      <c r="A59" s="55">
        <v>45790</v>
      </c>
      <c r="B59" s="56">
        <f>IF(A59&gt;TODAY(),"",COUNTA(_xlfn.UNIQUE(_xlfn._xlws.FILTER('OPs Data'!$K:$K,'OPs Data'!$D:$D='Category &amp; Range Wise Outward'!A59))))</f>
      </c>
      <c r="C59" s="98">
        <f>IF(A59&gt;TODAY(),"",SUMIF('OPs Data'!$D:$D,'Category &amp; Range Wise Outward'!$A59,'OPs Data'!O:O)/1000)</f>
      </c>
      <c r="D59" s="57">
        <f>IF(A59&gt;TODAY(),"",SUMIFS('OPs Data'!$N:$N,'OPs Data'!$F:$F,'Category &amp; Range Wise Outward'!D$1,'OPs Data'!$D:$D,'Category &amp; Range Wise Outward'!$A59,'OPs Data'!$L:$L,'Category &amp; Range Wise Outward'!D$2))</f>
      </c>
      <c r="E59" s="57">
        <f>IF(A59&gt;TODAY(),"",SUMIFS('OPs Data'!$N:$N,'OPs Data'!$F:$F,'Category &amp; Range Wise Outward'!D$1,'OPs Data'!$D:$D,'Category &amp; Range Wise Outward'!$A59,'OPs Data'!$L:$L,'Category &amp; Range Wise Outward'!E$2))</f>
      </c>
      <c r="F59" s="57">
        <f>IF(A59&gt;TODAY(),"",SUMIFS('OPs Data'!$N:$N,'OPs Data'!$F:$F,'Category &amp; Range Wise Outward'!D$1,'OPs Data'!$D:$D,'Category &amp; Range Wise Outward'!$A59,'OPs Data'!$L:$L,'Category &amp; Range Wise Outward'!F$2))</f>
      </c>
      <c r="G59" s="57">
        <f>IF(E59&gt;TODAY(),"",SUMIFS('OPs Data'!$N:$N,'OPs Data'!$F:$F,'Category &amp; Range Wise Outward'!G$1,'OPs Data'!$D:$D,'Category &amp; Range Wise Outward'!$A59,'OPs Data'!$L:$L,'Category &amp; Range Wise Outward'!G$2))</f>
      </c>
      <c r="H59" s="57">
        <f>IF(E59&gt;TODAY(),"",SUMIFS('OPs Data'!$N:$N,'OPs Data'!$F:$F,'Category &amp; Range Wise Outward'!G$1,'OPs Data'!$D:$D,'Category &amp; Range Wise Outward'!$A59,'OPs Data'!$L:$L,'Category &amp; Range Wise Outward'!H$2))</f>
      </c>
      <c r="I59" s="57">
        <f>IF(E59&gt;TODAY(),"",SUMIFS('OPs Data'!$N:$N,'OPs Data'!$F:$F,'Category &amp; Range Wise Outward'!G$1,'OPs Data'!$D:$D,'Category &amp; Range Wise Outward'!$A59,'OPs Data'!$L:$L,'Category &amp; Range Wise Outward'!I$2))</f>
      </c>
      <c r="J59" s="57">
        <f>IF(H59&gt;TODAY(),"",SUMIFS('OPs Data'!$N:$N,'OPs Data'!$F:$F,'Category &amp; Range Wise Outward'!J$1,'OPs Data'!$D:$D,'Category &amp; Range Wise Outward'!$A59,'OPs Data'!$L:$L,'Category &amp; Range Wise Outward'!J$2))</f>
      </c>
      <c r="K59" s="57">
        <f>IF(H59&gt;TODAY(),"",SUMIFS('OPs Data'!$N:$N,'OPs Data'!$F:$F,'Category &amp; Range Wise Outward'!J$1,'OPs Data'!$D:$D,'Category &amp; Range Wise Outward'!$A59,'OPs Data'!$L:$L,'Category &amp; Range Wise Outward'!K$2))</f>
      </c>
      <c r="L59" s="57">
        <f>IF(H59&gt;TODAY(),"",SUMIFS('OPs Data'!$N:$N,'OPs Data'!$F:$F,'Category &amp; Range Wise Outward'!J$1,'OPs Data'!$D:$D,'Category &amp; Range Wise Outward'!$A59,'OPs Data'!$L:$L,'Category &amp; Range Wise Outward'!L$2))</f>
      </c>
      <c r="M59" s="57">
        <f>IF(K59&gt;TODAY(),"",SUMIFS('OPs Data'!$N:$N,'OPs Data'!$F:$F,'Category &amp; Range Wise Outward'!M$1,'OPs Data'!$D:$D,'Category &amp; Range Wise Outward'!$A59,'OPs Data'!$L:$L,'Category &amp; Range Wise Outward'!M$2))</f>
      </c>
      <c r="N59" s="57">
        <f>IF(K59&gt;TODAY(),"",SUMIFS('OPs Data'!$N:$N,'OPs Data'!$F:$F,'Category &amp; Range Wise Outward'!M$1,'OPs Data'!$D:$D,'Category &amp; Range Wise Outward'!$A59,'OPs Data'!$L:$L,'Category &amp; Range Wise Outward'!N$2))</f>
      </c>
      <c r="O59" s="57">
        <f>IF(K59&gt;TODAY(),"",SUMIFS('OPs Data'!$N:$N,'OPs Data'!$F:$F,'Category &amp; Range Wise Outward'!M$1,'OPs Data'!$D:$D,'Category &amp; Range Wise Outward'!$A59,'OPs Data'!$L:$L,'Category &amp; Range Wise Outward'!O$2))</f>
      </c>
      <c r="P59" s="57">
        <f>IF($A59&gt;TODAY(),"",SUM(D59,G59,J59,M59))</f>
      </c>
      <c r="Q59" s="57">
        <f>IF($A59&gt;TODAY(),"",SUM(E59,H59,K59,N59))</f>
      </c>
      <c r="R59" s="57">
        <f>IF($A59&gt;TODAY(),"",SUM(F59,I59,L59,O59))</f>
      </c>
    </row>
    <row x14ac:dyDescent="0.25" r="60" customHeight="1" ht="18.75">
      <c r="A60" s="55">
        <v>45791</v>
      </c>
      <c r="B60" s="56">
        <f>IF(A60&gt;TODAY(),"",COUNTA(_xlfn.UNIQUE(_xlfn._xlws.FILTER('OPs Data'!$K:$K,'OPs Data'!$D:$D='Category &amp; Range Wise Outward'!A60))))</f>
      </c>
      <c r="C60" s="98">
        <f>IF(A60&gt;TODAY(),"",SUMIF('OPs Data'!$D:$D,'Category &amp; Range Wise Outward'!$A60,'OPs Data'!O:O)/1000)</f>
      </c>
      <c r="D60" s="57">
        <f>IF(A60&gt;TODAY(),"",SUMIFS('OPs Data'!$N:$N,'OPs Data'!$F:$F,'Category &amp; Range Wise Outward'!D$1,'OPs Data'!$D:$D,'Category &amp; Range Wise Outward'!$A60,'OPs Data'!$L:$L,'Category &amp; Range Wise Outward'!D$2))</f>
      </c>
      <c r="E60" s="57">
        <f>IF(A60&gt;TODAY(),"",SUMIFS('OPs Data'!$N:$N,'OPs Data'!$F:$F,'Category &amp; Range Wise Outward'!D$1,'OPs Data'!$D:$D,'Category &amp; Range Wise Outward'!$A60,'OPs Data'!$L:$L,'Category &amp; Range Wise Outward'!E$2))</f>
      </c>
      <c r="F60" s="57">
        <f>IF(A60&gt;TODAY(),"",SUMIFS('OPs Data'!$N:$N,'OPs Data'!$F:$F,'Category &amp; Range Wise Outward'!D$1,'OPs Data'!$D:$D,'Category &amp; Range Wise Outward'!$A60,'OPs Data'!$L:$L,'Category &amp; Range Wise Outward'!F$2))</f>
      </c>
      <c r="G60" s="57">
        <f>IF(E60&gt;TODAY(),"",SUMIFS('OPs Data'!$N:$N,'OPs Data'!$F:$F,'Category &amp; Range Wise Outward'!G$1,'OPs Data'!$D:$D,'Category &amp; Range Wise Outward'!$A60,'OPs Data'!$L:$L,'Category &amp; Range Wise Outward'!G$2))</f>
      </c>
      <c r="H60" s="57">
        <f>IF(E60&gt;TODAY(),"",SUMIFS('OPs Data'!$N:$N,'OPs Data'!$F:$F,'Category &amp; Range Wise Outward'!G$1,'OPs Data'!$D:$D,'Category &amp; Range Wise Outward'!$A60,'OPs Data'!$L:$L,'Category &amp; Range Wise Outward'!H$2))</f>
      </c>
      <c r="I60" s="57">
        <f>IF(E60&gt;TODAY(),"",SUMIFS('OPs Data'!$N:$N,'OPs Data'!$F:$F,'Category &amp; Range Wise Outward'!G$1,'OPs Data'!$D:$D,'Category &amp; Range Wise Outward'!$A60,'OPs Data'!$L:$L,'Category &amp; Range Wise Outward'!I$2))</f>
      </c>
      <c r="J60" s="57">
        <f>IF(H60&gt;TODAY(),"",SUMIFS('OPs Data'!$N:$N,'OPs Data'!$F:$F,'Category &amp; Range Wise Outward'!J$1,'OPs Data'!$D:$D,'Category &amp; Range Wise Outward'!$A60,'OPs Data'!$L:$L,'Category &amp; Range Wise Outward'!J$2))</f>
      </c>
      <c r="K60" s="57">
        <f>IF(H60&gt;TODAY(),"",SUMIFS('OPs Data'!$N:$N,'OPs Data'!$F:$F,'Category &amp; Range Wise Outward'!J$1,'OPs Data'!$D:$D,'Category &amp; Range Wise Outward'!$A60,'OPs Data'!$L:$L,'Category &amp; Range Wise Outward'!K$2))</f>
      </c>
      <c r="L60" s="57">
        <f>IF(H60&gt;TODAY(),"",SUMIFS('OPs Data'!$N:$N,'OPs Data'!$F:$F,'Category &amp; Range Wise Outward'!J$1,'OPs Data'!$D:$D,'Category &amp; Range Wise Outward'!$A60,'OPs Data'!$L:$L,'Category &amp; Range Wise Outward'!L$2))</f>
      </c>
      <c r="M60" s="57">
        <f>IF(K60&gt;TODAY(),"",SUMIFS('OPs Data'!$N:$N,'OPs Data'!$F:$F,'Category &amp; Range Wise Outward'!M$1,'OPs Data'!$D:$D,'Category &amp; Range Wise Outward'!$A60,'OPs Data'!$L:$L,'Category &amp; Range Wise Outward'!M$2))</f>
      </c>
      <c r="N60" s="57">
        <f>IF(K60&gt;TODAY(),"",SUMIFS('OPs Data'!$N:$N,'OPs Data'!$F:$F,'Category &amp; Range Wise Outward'!M$1,'OPs Data'!$D:$D,'Category &amp; Range Wise Outward'!$A60,'OPs Data'!$L:$L,'Category &amp; Range Wise Outward'!N$2))</f>
      </c>
      <c r="O60" s="57">
        <f>IF(K60&gt;TODAY(),"",SUMIFS('OPs Data'!$N:$N,'OPs Data'!$F:$F,'Category &amp; Range Wise Outward'!M$1,'OPs Data'!$D:$D,'Category &amp; Range Wise Outward'!$A60,'OPs Data'!$L:$L,'Category &amp; Range Wise Outward'!O$2))</f>
      </c>
      <c r="P60" s="57">
        <f>IF($A60&gt;TODAY(),"",SUM(D60,G60,J60,M60))</f>
      </c>
      <c r="Q60" s="57">
        <f>IF($A60&gt;TODAY(),"",SUM(E60,H60,K60,N60))</f>
      </c>
      <c r="R60" s="57">
        <f>IF($A60&gt;TODAY(),"",SUM(F60,I60,L60,O60))</f>
      </c>
    </row>
    <row x14ac:dyDescent="0.25" r="61" customHeight="1" ht="18.75">
      <c r="A61" s="55">
        <v>45792</v>
      </c>
      <c r="B61" s="56">
        <f>IF(A61&gt;TODAY(),"",COUNTA(_xlfn.UNIQUE(_xlfn._xlws.FILTER('OPs Data'!$K:$K,'OPs Data'!$D:$D='Category &amp; Range Wise Outward'!A61))))</f>
      </c>
      <c r="C61" s="98">
        <f>IF(A61&gt;TODAY(),"",SUMIF('OPs Data'!$D:$D,'Category &amp; Range Wise Outward'!$A61,'OPs Data'!O:O)/1000)</f>
      </c>
      <c r="D61" s="57">
        <f>IF(A61&gt;TODAY(),"",SUMIFS('OPs Data'!$N:$N,'OPs Data'!$F:$F,'Category &amp; Range Wise Outward'!D$1,'OPs Data'!$D:$D,'Category &amp; Range Wise Outward'!$A61,'OPs Data'!$L:$L,'Category &amp; Range Wise Outward'!D$2))</f>
      </c>
      <c r="E61" s="57">
        <f>IF(A61&gt;TODAY(),"",SUMIFS('OPs Data'!$N:$N,'OPs Data'!$F:$F,'Category &amp; Range Wise Outward'!D$1,'OPs Data'!$D:$D,'Category &amp; Range Wise Outward'!$A61,'OPs Data'!$L:$L,'Category &amp; Range Wise Outward'!E$2))</f>
      </c>
      <c r="F61" s="57">
        <f>IF(A61&gt;TODAY(),"",SUMIFS('OPs Data'!$N:$N,'OPs Data'!$F:$F,'Category &amp; Range Wise Outward'!D$1,'OPs Data'!$D:$D,'Category &amp; Range Wise Outward'!$A61,'OPs Data'!$L:$L,'Category &amp; Range Wise Outward'!F$2))</f>
      </c>
      <c r="G61" s="57">
        <f>IF(E61&gt;TODAY(),"",SUMIFS('OPs Data'!$N:$N,'OPs Data'!$F:$F,'Category &amp; Range Wise Outward'!G$1,'OPs Data'!$D:$D,'Category &amp; Range Wise Outward'!$A61,'OPs Data'!$L:$L,'Category &amp; Range Wise Outward'!G$2))</f>
      </c>
      <c r="H61" s="57">
        <f>IF(E61&gt;TODAY(),"",SUMIFS('OPs Data'!$N:$N,'OPs Data'!$F:$F,'Category &amp; Range Wise Outward'!G$1,'OPs Data'!$D:$D,'Category &amp; Range Wise Outward'!$A61,'OPs Data'!$L:$L,'Category &amp; Range Wise Outward'!H$2))</f>
      </c>
      <c r="I61" s="57">
        <f>IF(E61&gt;TODAY(),"",SUMIFS('OPs Data'!$N:$N,'OPs Data'!$F:$F,'Category &amp; Range Wise Outward'!G$1,'OPs Data'!$D:$D,'Category &amp; Range Wise Outward'!$A61,'OPs Data'!$L:$L,'Category &amp; Range Wise Outward'!I$2))</f>
      </c>
      <c r="J61" s="57">
        <f>IF(H61&gt;TODAY(),"",SUMIFS('OPs Data'!$N:$N,'OPs Data'!$F:$F,'Category &amp; Range Wise Outward'!J$1,'OPs Data'!$D:$D,'Category &amp; Range Wise Outward'!$A61,'OPs Data'!$L:$L,'Category &amp; Range Wise Outward'!J$2))</f>
      </c>
      <c r="K61" s="57">
        <f>IF(H61&gt;TODAY(),"",SUMIFS('OPs Data'!$N:$N,'OPs Data'!$F:$F,'Category &amp; Range Wise Outward'!J$1,'OPs Data'!$D:$D,'Category &amp; Range Wise Outward'!$A61,'OPs Data'!$L:$L,'Category &amp; Range Wise Outward'!K$2))</f>
      </c>
      <c r="L61" s="57">
        <f>IF(H61&gt;TODAY(),"",SUMIFS('OPs Data'!$N:$N,'OPs Data'!$F:$F,'Category &amp; Range Wise Outward'!J$1,'OPs Data'!$D:$D,'Category &amp; Range Wise Outward'!$A61,'OPs Data'!$L:$L,'Category &amp; Range Wise Outward'!L$2))</f>
      </c>
      <c r="M61" s="57">
        <f>IF(K61&gt;TODAY(),"",SUMIFS('OPs Data'!$N:$N,'OPs Data'!$F:$F,'Category &amp; Range Wise Outward'!M$1,'OPs Data'!$D:$D,'Category &amp; Range Wise Outward'!$A61,'OPs Data'!$L:$L,'Category &amp; Range Wise Outward'!M$2))</f>
      </c>
      <c r="N61" s="57">
        <f>IF(K61&gt;TODAY(),"",SUMIFS('OPs Data'!$N:$N,'OPs Data'!$F:$F,'Category &amp; Range Wise Outward'!M$1,'OPs Data'!$D:$D,'Category &amp; Range Wise Outward'!$A61,'OPs Data'!$L:$L,'Category &amp; Range Wise Outward'!N$2))</f>
      </c>
      <c r="O61" s="57">
        <f>IF(K61&gt;TODAY(),"",SUMIFS('OPs Data'!$N:$N,'OPs Data'!$F:$F,'Category &amp; Range Wise Outward'!M$1,'OPs Data'!$D:$D,'Category &amp; Range Wise Outward'!$A61,'OPs Data'!$L:$L,'Category &amp; Range Wise Outward'!O$2))</f>
      </c>
      <c r="P61" s="57">
        <f>IF($A61&gt;TODAY(),"",SUM(D61,G61,J61,M61))</f>
      </c>
      <c r="Q61" s="57">
        <f>IF($A61&gt;TODAY(),"",SUM(E61,H61,K61,N61))</f>
      </c>
      <c r="R61" s="57">
        <f>IF($A61&gt;TODAY(),"",SUM(F61,I61,L61,O61))</f>
      </c>
    </row>
    <row x14ac:dyDescent="0.25" r="62" customHeight="1" ht="18.75">
      <c r="A62" s="55">
        <v>45793</v>
      </c>
      <c r="B62" s="56">
        <f>IF(A62&gt;TODAY(),"",COUNTA(_xlfn.UNIQUE(_xlfn._xlws.FILTER('OPs Data'!$K:$K,'OPs Data'!$D:$D='Category &amp; Range Wise Outward'!A62))))</f>
      </c>
      <c r="C62" s="98">
        <f>IF(A62&gt;TODAY(),"",SUMIF('OPs Data'!$D:$D,'Category &amp; Range Wise Outward'!$A62,'OPs Data'!O:O)/1000)</f>
      </c>
      <c r="D62" s="57">
        <f>IF(A62&gt;TODAY(),"",SUMIFS('OPs Data'!$N:$N,'OPs Data'!$F:$F,'Category &amp; Range Wise Outward'!D$1,'OPs Data'!$D:$D,'Category &amp; Range Wise Outward'!$A62,'OPs Data'!$L:$L,'Category &amp; Range Wise Outward'!D$2))</f>
      </c>
      <c r="E62" s="57">
        <f>IF(A62&gt;TODAY(),"",SUMIFS('OPs Data'!$N:$N,'OPs Data'!$F:$F,'Category &amp; Range Wise Outward'!D$1,'OPs Data'!$D:$D,'Category &amp; Range Wise Outward'!$A62,'OPs Data'!$L:$L,'Category &amp; Range Wise Outward'!E$2))</f>
      </c>
      <c r="F62" s="57">
        <f>IF(A62&gt;TODAY(),"",SUMIFS('OPs Data'!$N:$N,'OPs Data'!$F:$F,'Category &amp; Range Wise Outward'!D$1,'OPs Data'!$D:$D,'Category &amp; Range Wise Outward'!$A62,'OPs Data'!$L:$L,'Category &amp; Range Wise Outward'!F$2))</f>
      </c>
      <c r="G62" s="57">
        <f>IF(E62&gt;TODAY(),"",SUMIFS('OPs Data'!$N:$N,'OPs Data'!$F:$F,'Category &amp; Range Wise Outward'!G$1,'OPs Data'!$D:$D,'Category &amp; Range Wise Outward'!$A62,'OPs Data'!$L:$L,'Category &amp; Range Wise Outward'!G$2))</f>
      </c>
      <c r="H62" s="57">
        <f>IF(E62&gt;TODAY(),"",SUMIFS('OPs Data'!$N:$N,'OPs Data'!$F:$F,'Category &amp; Range Wise Outward'!G$1,'OPs Data'!$D:$D,'Category &amp; Range Wise Outward'!$A62,'OPs Data'!$L:$L,'Category &amp; Range Wise Outward'!H$2))</f>
      </c>
      <c r="I62" s="57">
        <f>IF(E62&gt;TODAY(),"",SUMIFS('OPs Data'!$N:$N,'OPs Data'!$F:$F,'Category &amp; Range Wise Outward'!G$1,'OPs Data'!$D:$D,'Category &amp; Range Wise Outward'!$A62,'OPs Data'!$L:$L,'Category &amp; Range Wise Outward'!I$2))</f>
      </c>
      <c r="J62" s="57">
        <f>IF(H62&gt;TODAY(),"",SUMIFS('OPs Data'!$N:$N,'OPs Data'!$F:$F,'Category &amp; Range Wise Outward'!J$1,'OPs Data'!$D:$D,'Category &amp; Range Wise Outward'!$A62,'OPs Data'!$L:$L,'Category &amp; Range Wise Outward'!J$2))</f>
      </c>
      <c r="K62" s="57">
        <f>IF(H62&gt;TODAY(),"",SUMIFS('OPs Data'!$N:$N,'OPs Data'!$F:$F,'Category &amp; Range Wise Outward'!J$1,'OPs Data'!$D:$D,'Category &amp; Range Wise Outward'!$A62,'OPs Data'!$L:$L,'Category &amp; Range Wise Outward'!K$2))</f>
      </c>
      <c r="L62" s="57">
        <f>IF(H62&gt;TODAY(),"",SUMIFS('OPs Data'!$N:$N,'OPs Data'!$F:$F,'Category &amp; Range Wise Outward'!J$1,'OPs Data'!$D:$D,'Category &amp; Range Wise Outward'!$A62,'OPs Data'!$L:$L,'Category &amp; Range Wise Outward'!L$2))</f>
      </c>
      <c r="M62" s="57">
        <f>IF(K62&gt;TODAY(),"",SUMIFS('OPs Data'!$N:$N,'OPs Data'!$F:$F,'Category &amp; Range Wise Outward'!M$1,'OPs Data'!$D:$D,'Category &amp; Range Wise Outward'!$A62,'OPs Data'!$L:$L,'Category &amp; Range Wise Outward'!M$2))</f>
      </c>
      <c r="N62" s="57">
        <f>IF(K62&gt;TODAY(),"",SUMIFS('OPs Data'!$N:$N,'OPs Data'!$F:$F,'Category &amp; Range Wise Outward'!M$1,'OPs Data'!$D:$D,'Category &amp; Range Wise Outward'!$A62,'OPs Data'!$L:$L,'Category &amp; Range Wise Outward'!N$2))</f>
      </c>
      <c r="O62" s="57">
        <f>IF(K62&gt;TODAY(),"",SUMIFS('OPs Data'!$N:$N,'OPs Data'!$F:$F,'Category &amp; Range Wise Outward'!M$1,'OPs Data'!$D:$D,'Category &amp; Range Wise Outward'!$A62,'OPs Data'!$L:$L,'Category &amp; Range Wise Outward'!O$2))</f>
      </c>
      <c r="P62" s="57">
        <f>IF($A62&gt;TODAY(),"",SUM(D62,G62,J62,M62))</f>
      </c>
      <c r="Q62" s="57">
        <f>IF($A62&gt;TODAY(),"",SUM(E62,H62,K62,N62))</f>
      </c>
      <c r="R62" s="57">
        <f>IF($A62&gt;TODAY(),"",SUM(F62,I62,L62,O62))</f>
      </c>
    </row>
    <row x14ac:dyDescent="0.25" r="63" customHeight="1" ht="18.75">
      <c r="A63" s="55">
        <v>45794</v>
      </c>
      <c r="B63" s="56">
        <f>IF(A63&gt;TODAY(),"",COUNTA(_xlfn.UNIQUE(_xlfn._xlws.FILTER('OPs Data'!$K:$K,'OPs Data'!$D:$D='Category &amp; Range Wise Outward'!A63))))</f>
      </c>
      <c r="C63" s="98">
        <f>IF(A63&gt;TODAY(),"",SUMIF('OPs Data'!$D:$D,'Category &amp; Range Wise Outward'!$A63,'OPs Data'!O:O)/1000)</f>
      </c>
      <c r="D63" s="57">
        <f>IF(A63&gt;TODAY(),"",SUMIFS('OPs Data'!$N:$N,'OPs Data'!$F:$F,'Category &amp; Range Wise Outward'!D$1,'OPs Data'!$D:$D,'Category &amp; Range Wise Outward'!$A63,'OPs Data'!$L:$L,'Category &amp; Range Wise Outward'!D$2))</f>
      </c>
      <c r="E63" s="57">
        <f>IF(A63&gt;TODAY(),"",SUMIFS('OPs Data'!$N:$N,'OPs Data'!$F:$F,'Category &amp; Range Wise Outward'!D$1,'OPs Data'!$D:$D,'Category &amp; Range Wise Outward'!$A63,'OPs Data'!$L:$L,'Category &amp; Range Wise Outward'!E$2))</f>
      </c>
      <c r="F63" s="57">
        <f>IF(A63&gt;TODAY(),"",SUMIFS('OPs Data'!$N:$N,'OPs Data'!$F:$F,'Category &amp; Range Wise Outward'!D$1,'OPs Data'!$D:$D,'Category &amp; Range Wise Outward'!$A63,'OPs Data'!$L:$L,'Category &amp; Range Wise Outward'!F$2))</f>
      </c>
      <c r="G63" s="57">
        <f>IF(E63&gt;TODAY(),"",SUMIFS('OPs Data'!$N:$N,'OPs Data'!$F:$F,'Category &amp; Range Wise Outward'!G$1,'OPs Data'!$D:$D,'Category &amp; Range Wise Outward'!$A63,'OPs Data'!$L:$L,'Category &amp; Range Wise Outward'!G$2))</f>
      </c>
      <c r="H63" s="57">
        <f>IF(E63&gt;TODAY(),"",SUMIFS('OPs Data'!$N:$N,'OPs Data'!$F:$F,'Category &amp; Range Wise Outward'!G$1,'OPs Data'!$D:$D,'Category &amp; Range Wise Outward'!$A63,'OPs Data'!$L:$L,'Category &amp; Range Wise Outward'!H$2))</f>
      </c>
      <c r="I63" s="57">
        <f>IF(E63&gt;TODAY(),"",SUMIFS('OPs Data'!$N:$N,'OPs Data'!$F:$F,'Category &amp; Range Wise Outward'!G$1,'OPs Data'!$D:$D,'Category &amp; Range Wise Outward'!$A63,'OPs Data'!$L:$L,'Category &amp; Range Wise Outward'!I$2))</f>
      </c>
      <c r="J63" s="57">
        <f>IF(H63&gt;TODAY(),"",SUMIFS('OPs Data'!$N:$N,'OPs Data'!$F:$F,'Category &amp; Range Wise Outward'!J$1,'OPs Data'!$D:$D,'Category &amp; Range Wise Outward'!$A63,'OPs Data'!$L:$L,'Category &amp; Range Wise Outward'!J$2))</f>
      </c>
      <c r="K63" s="57">
        <f>IF(H63&gt;TODAY(),"",SUMIFS('OPs Data'!$N:$N,'OPs Data'!$F:$F,'Category &amp; Range Wise Outward'!J$1,'OPs Data'!$D:$D,'Category &amp; Range Wise Outward'!$A63,'OPs Data'!$L:$L,'Category &amp; Range Wise Outward'!K$2))</f>
      </c>
      <c r="L63" s="57">
        <f>IF(H63&gt;TODAY(),"",SUMIFS('OPs Data'!$N:$N,'OPs Data'!$F:$F,'Category &amp; Range Wise Outward'!J$1,'OPs Data'!$D:$D,'Category &amp; Range Wise Outward'!$A63,'OPs Data'!$L:$L,'Category &amp; Range Wise Outward'!L$2))</f>
      </c>
      <c r="M63" s="57">
        <f>IF(K63&gt;TODAY(),"",SUMIFS('OPs Data'!$N:$N,'OPs Data'!$F:$F,'Category &amp; Range Wise Outward'!M$1,'OPs Data'!$D:$D,'Category &amp; Range Wise Outward'!$A63,'OPs Data'!$L:$L,'Category &amp; Range Wise Outward'!M$2))</f>
      </c>
      <c r="N63" s="57">
        <f>IF(K63&gt;TODAY(),"",SUMIFS('OPs Data'!$N:$N,'OPs Data'!$F:$F,'Category &amp; Range Wise Outward'!M$1,'OPs Data'!$D:$D,'Category &amp; Range Wise Outward'!$A63,'OPs Data'!$L:$L,'Category &amp; Range Wise Outward'!N$2))</f>
      </c>
      <c r="O63" s="57">
        <f>IF(K63&gt;TODAY(),"",SUMIFS('OPs Data'!$N:$N,'OPs Data'!$F:$F,'Category &amp; Range Wise Outward'!M$1,'OPs Data'!$D:$D,'Category &amp; Range Wise Outward'!$A63,'OPs Data'!$L:$L,'Category &amp; Range Wise Outward'!O$2))</f>
      </c>
      <c r="P63" s="57">
        <f>IF($A63&gt;TODAY(),"",SUM(D63,G63,J63,M63))</f>
      </c>
      <c r="Q63" s="57">
        <f>IF($A63&gt;TODAY(),"",SUM(E63,H63,K63,N63))</f>
      </c>
      <c r="R63" s="57">
        <f>IF($A63&gt;TODAY(),"",SUM(F63,I63,L63,O63))</f>
      </c>
    </row>
    <row x14ac:dyDescent="0.25" r="64" customHeight="1" ht="18.75">
      <c r="A64" s="55">
        <v>45795</v>
      </c>
      <c r="B64" s="56">
        <f>IF(A64&gt;TODAY(),"",COUNTA(_xlfn.UNIQUE(_xlfn._xlws.FILTER('OPs Data'!$K:$K,'OPs Data'!$D:$D='Category &amp; Range Wise Outward'!A64))))</f>
      </c>
      <c r="C64" s="98">
        <f>IF(A64&gt;TODAY(),"",SUMIF('OPs Data'!$D:$D,'Category &amp; Range Wise Outward'!$A64,'OPs Data'!O:O)/1000)</f>
      </c>
      <c r="D64" s="57">
        <f>IF(A64&gt;TODAY(),"",SUMIFS('OPs Data'!$N:$N,'OPs Data'!$F:$F,'Category &amp; Range Wise Outward'!D$1,'OPs Data'!$D:$D,'Category &amp; Range Wise Outward'!$A64,'OPs Data'!$L:$L,'Category &amp; Range Wise Outward'!D$2))</f>
      </c>
      <c r="E64" s="57">
        <f>IF(A64&gt;TODAY(),"",SUMIFS('OPs Data'!$N:$N,'OPs Data'!$F:$F,'Category &amp; Range Wise Outward'!D$1,'OPs Data'!$D:$D,'Category &amp; Range Wise Outward'!$A64,'OPs Data'!$L:$L,'Category &amp; Range Wise Outward'!E$2))</f>
      </c>
      <c r="F64" s="57">
        <f>IF(A64&gt;TODAY(),"",SUMIFS('OPs Data'!$N:$N,'OPs Data'!$F:$F,'Category &amp; Range Wise Outward'!D$1,'OPs Data'!$D:$D,'Category &amp; Range Wise Outward'!$A64,'OPs Data'!$L:$L,'Category &amp; Range Wise Outward'!F$2))</f>
      </c>
      <c r="G64" s="57">
        <f>IF(E64&gt;TODAY(),"",SUMIFS('OPs Data'!$N:$N,'OPs Data'!$F:$F,'Category &amp; Range Wise Outward'!G$1,'OPs Data'!$D:$D,'Category &amp; Range Wise Outward'!$A64,'OPs Data'!$L:$L,'Category &amp; Range Wise Outward'!G$2))</f>
      </c>
      <c r="H64" s="57">
        <f>IF(E64&gt;TODAY(),"",SUMIFS('OPs Data'!$N:$N,'OPs Data'!$F:$F,'Category &amp; Range Wise Outward'!G$1,'OPs Data'!$D:$D,'Category &amp; Range Wise Outward'!$A64,'OPs Data'!$L:$L,'Category &amp; Range Wise Outward'!H$2))</f>
      </c>
      <c r="I64" s="57">
        <f>IF(E64&gt;TODAY(),"",SUMIFS('OPs Data'!$N:$N,'OPs Data'!$F:$F,'Category &amp; Range Wise Outward'!G$1,'OPs Data'!$D:$D,'Category &amp; Range Wise Outward'!$A64,'OPs Data'!$L:$L,'Category &amp; Range Wise Outward'!I$2))</f>
      </c>
      <c r="J64" s="57">
        <f>IF(H64&gt;TODAY(),"",SUMIFS('OPs Data'!$N:$N,'OPs Data'!$F:$F,'Category &amp; Range Wise Outward'!J$1,'OPs Data'!$D:$D,'Category &amp; Range Wise Outward'!$A64,'OPs Data'!$L:$L,'Category &amp; Range Wise Outward'!J$2))</f>
      </c>
      <c r="K64" s="57">
        <f>IF(H64&gt;TODAY(),"",SUMIFS('OPs Data'!$N:$N,'OPs Data'!$F:$F,'Category &amp; Range Wise Outward'!J$1,'OPs Data'!$D:$D,'Category &amp; Range Wise Outward'!$A64,'OPs Data'!$L:$L,'Category &amp; Range Wise Outward'!K$2))</f>
      </c>
      <c r="L64" s="57">
        <f>IF(H64&gt;TODAY(),"",SUMIFS('OPs Data'!$N:$N,'OPs Data'!$F:$F,'Category &amp; Range Wise Outward'!J$1,'OPs Data'!$D:$D,'Category &amp; Range Wise Outward'!$A64,'OPs Data'!$L:$L,'Category &amp; Range Wise Outward'!L$2))</f>
      </c>
      <c r="M64" s="57">
        <f>IF(K64&gt;TODAY(),"",SUMIFS('OPs Data'!$N:$N,'OPs Data'!$F:$F,'Category &amp; Range Wise Outward'!M$1,'OPs Data'!$D:$D,'Category &amp; Range Wise Outward'!$A64,'OPs Data'!$L:$L,'Category &amp; Range Wise Outward'!M$2))</f>
      </c>
      <c r="N64" s="57">
        <f>IF(K64&gt;TODAY(),"",SUMIFS('OPs Data'!$N:$N,'OPs Data'!$F:$F,'Category &amp; Range Wise Outward'!M$1,'OPs Data'!$D:$D,'Category &amp; Range Wise Outward'!$A64,'OPs Data'!$L:$L,'Category &amp; Range Wise Outward'!N$2))</f>
      </c>
      <c r="O64" s="57">
        <f>IF(K64&gt;TODAY(),"",SUMIFS('OPs Data'!$N:$N,'OPs Data'!$F:$F,'Category &amp; Range Wise Outward'!M$1,'OPs Data'!$D:$D,'Category &amp; Range Wise Outward'!$A64,'OPs Data'!$L:$L,'Category &amp; Range Wise Outward'!O$2))</f>
      </c>
      <c r="P64" s="57">
        <f>IF($A64&gt;TODAY(),"",SUM(D64,G64,J64,M64))</f>
      </c>
      <c r="Q64" s="57">
        <f>IF($A64&gt;TODAY(),"",SUM(E64,H64,K64,N64))</f>
      </c>
      <c r="R64" s="57">
        <f>IF($A64&gt;TODAY(),"",SUM(F64,I64,L64,O64))</f>
      </c>
    </row>
    <row x14ac:dyDescent="0.25" r="65" customHeight="1" ht="18.75">
      <c r="A65" s="55">
        <v>45796</v>
      </c>
      <c r="B65" s="56">
        <f>IF(A65&gt;TODAY(),"",COUNTA(_xlfn.UNIQUE(_xlfn._xlws.FILTER('OPs Data'!$K:$K,'OPs Data'!$D:$D='Category &amp; Range Wise Outward'!A65))))</f>
      </c>
      <c r="C65" s="98">
        <f>IF(A65&gt;TODAY(),"",SUMIF('OPs Data'!$D:$D,'Category &amp; Range Wise Outward'!$A65,'OPs Data'!O:O)/1000)</f>
      </c>
      <c r="D65" s="57">
        <f>IF(A65&gt;TODAY(),"",SUMIFS('OPs Data'!$N:$N,'OPs Data'!$F:$F,'Category &amp; Range Wise Outward'!D$1,'OPs Data'!$D:$D,'Category &amp; Range Wise Outward'!$A65,'OPs Data'!$L:$L,'Category &amp; Range Wise Outward'!D$2))</f>
      </c>
      <c r="E65" s="57">
        <f>IF(A65&gt;TODAY(),"",SUMIFS('OPs Data'!$N:$N,'OPs Data'!$F:$F,'Category &amp; Range Wise Outward'!D$1,'OPs Data'!$D:$D,'Category &amp; Range Wise Outward'!$A65,'OPs Data'!$L:$L,'Category &amp; Range Wise Outward'!E$2))</f>
      </c>
      <c r="F65" s="57">
        <f>IF(A65&gt;TODAY(),"",SUMIFS('OPs Data'!$N:$N,'OPs Data'!$F:$F,'Category &amp; Range Wise Outward'!D$1,'OPs Data'!$D:$D,'Category &amp; Range Wise Outward'!$A65,'OPs Data'!$L:$L,'Category &amp; Range Wise Outward'!F$2))</f>
      </c>
      <c r="G65" s="57">
        <f>IF(E65&gt;TODAY(),"",SUMIFS('OPs Data'!$N:$N,'OPs Data'!$F:$F,'Category &amp; Range Wise Outward'!G$1,'OPs Data'!$D:$D,'Category &amp; Range Wise Outward'!$A65,'OPs Data'!$L:$L,'Category &amp; Range Wise Outward'!G$2))</f>
      </c>
      <c r="H65" s="57">
        <f>IF(E65&gt;TODAY(),"",SUMIFS('OPs Data'!$N:$N,'OPs Data'!$F:$F,'Category &amp; Range Wise Outward'!G$1,'OPs Data'!$D:$D,'Category &amp; Range Wise Outward'!$A65,'OPs Data'!$L:$L,'Category &amp; Range Wise Outward'!H$2))</f>
      </c>
      <c r="I65" s="57">
        <f>IF(E65&gt;TODAY(),"",SUMIFS('OPs Data'!$N:$N,'OPs Data'!$F:$F,'Category &amp; Range Wise Outward'!G$1,'OPs Data'!$D:$D,'Category &amp; Range Wise Outward'!$A65,'OPs Data'!$L:$L,'Category &amp; Range Wise Outward'!I$2))</f>
      </c>
      <c r="J65" s="57">
        <f>IF(H65&gt;TODAY(),"",SUMIFS('OPs Data'!$N:$N,'OPs Data'!$F:$F,'Category &amp; Range Wise Outward'!J$1,'OPs Data'!$D:$D,'Category &amp; Range Wise Outward'!$A65,'OPs Data'!$L:$L,'Category &amp; Range Wise Outward'!J$2))</f>
      </c>
      <c r="K65" s="57">
        <f>IF(H65&gt;TODAY(),"",SUMIFS('OPs Data'!$N:$N,'OPs Data'!$F:$F,'Category &amp; Range Wise Outward'!J$1,'OPs Data'!$D:$D,'Category &amp; Range Wise Outward'!$A65,'OPs Data'!$L:$L,'Category &amp; Range Wise Outward'!K$2))</f>
      </c>
      <c r="L65" s="57">
        <f>IF(H65&gt;TODAY(),"",SUMIFS('OPs Data'!$N:$N,'OPs Data'!$F:$F,'Category &amp; Range Wise Outward'!J$1,'OPs Data'!$D:$D,'Category &amp; Range Wise Outward'!$A65,'OPs Data'!$L:$L,'Category &amp; Range Wise Outward'!L$2))</f>
      </c>
      <c r="M65" s="57">
        <f>IF(K65&gt;TODAY(),"",SUMIFS('OPs Data'!$N:$N,'OPs Data'!$F:$F,'Category &amp; Range Wise Outward'!M$1,'OPs Data'!$D:$D,'Category &amp; Range Wise Outward'!$A65,'OPs Data'!$L:$L,'Category &amp; Range Wise Outward'!M$2))</f>
      </c>
      <c r="N65" s="57">
        <f>IF(K65&gt;TODAY(),"",SUMIFS('OPs Data'!$N:$N,'OPs Data'!$F:$F,'Category &amp; Range Wise Outward'!M$1,'OPs Data'!$D:$D,'Category &amp; Range Wise Outward'!$A65,'OPs Data'!$L:$L,'Category &amp; Range Wise Outward'!N$2))</f>
      </c>
      <c r="O65" s="57">
        <f>IF(K65&gt;TODAY(),"",SUMIFS('OPs Data'!$N:$N,'OPs Data'!$F:$F,'Category &amp; Range Wise Outward'!M$1,'OPs Data'!$D:$D,'Category &amp; Range Wise Outward'!$A65,'OPs Data'!$L:$L,'Category &amp; Range Wise Outward'!O$2))</f>
      </c>
      <c r="P65" s="57">
        <f>IF($A65&gt;TODAY(),"",SUM(D65,G65,J65,M65))</f>
      </c>
      <c r="Q65" s="57">
        <f>IF($A65&gt;TODAY(),"",SUM(E65,H65,K65,N65))</f>
      </c>
      <c r="R65" s="57">
        <f>IF($A65&gt;TODAY(),"",SUM(F65,I65,L65,O65))</f>
      </c>
    </row>
    <row x14ac:dyDescent="0.25" r="66" customHeight="1" ht="18.75">
      <c r="A66" s="55">
        <v>45797</v>
      </c>
      <c r="B66" s="56">
        <f>IF(A66&gt;TODAY(),"",COUNTA(_xlfn.UNIQUE(_xlfn._xlws.FILTER('OPs Data'!$K:$K,'OPs Data'!$D:$D='Category &amp; Range Wise Outward'!A66))))</f>
      </c>
      <c r="C66" s="98">
        <f>IF(A66&gt;TODAY(),"",SUMIF('OPs Data'!$D:$D,'Category &amp; Range Wise Outward'!$A66,'OPs Data'!O:O)/1000)</f>
      </c>
      <c r="D66" s="57">
        <f>IF(A66&gt;TODAY(),"",SUMIFS('OPs Data'!$N:$N,'OPs Data'!$F:$F,'Category &amp; Range Wise Outward'!D$1,'OPs Data'!$D:$D,'Category &amp; Range Wise Outward'!$A66,'OPs Data'!$L:$L,'Category &amp; Range Wise Outward'!D$2))</f>
      </c>
      <c r="E66" s="57">
        <f>IF(A66&gt;TODAY(),"",SUMIFS('OPs Data'!$N:$N,'OPs Data'!$F:$F,'Category &amp; Range Wise Outward'!D$1,'OPs Data'!$D:$D,'Category &amp; Range Wise Outward'!$A66,'OPs Data'!$L:$L,'Category &amp; Range Wise Outward'!E$2))</f>
      </c>
      <c r="F66" s="57">
        <f>IF(A66&gt;TODAY(),"",SUMIFS('OPs Data'!$N:$N,'OPs Data'!$F:$F,'Category &amp; Range Wise Outward'!D$1,'OPs Data'!$D:$D,'Category &amp; Range Wise Outward'!$A66,'OPs Data'!$L:$L,'Category &amp; Range Wise Outward'!F$2))</f>
      </c>
      <c r="G66" s="57">
        <f>IF(E66&gt;TODAY(),"",SUMIFS('OPs Data'!$N:$N,'OPs Data'!$F:$F,'Category &amp; Range Wise Outward'!G$1,'OPs Data'!$D:$D,'Category &amp; Range Wise Outward'!$A66,'OPs Data'!$L:$L,'Category &amp; Range Wise Outward'!G$2))</f>
      </c>
      <c r="H66" s="57">
        <f>IF(E66&gt;TODAY(),"",SUMIFS('OPs Data'!$N:$N,'OPs Data'!$F:$F,'Category &amp; Range Wise Outward'!G$1,'OPs Data'!$D:$D,'Category &amp; Range Wise Outward'!$A66,'OPs Data'!$L:$L,'Category &amp; Range Wise Outward'!H$2))</f>
      </c>
      <c r="I66" s="57">
        <f>IF(E66&gt;TODAY(),"",SUMIFS('OPs Data'!$N:$N,'OPs Data'!$F:$F,'Category &amp; Range Wise Outward'!G$1,'OPs Data'!$D:$D,'Category &amp; Range Wise Outward'!$A66,'OPs Data'!$L:$L,'Category &amp; Range Wise Outward'!I$2))</f>
      </c>
      <c r="J66" s="57">
        <f>IF(H66&gt;TODAY(),"",SUMIFS('OPs Data'!$N:$N,'OPs Data'!$F:$F,'Category &amp; Range Wise Outward'!J$1,'OPs Data'!$D:$D,'Category &amp; Range Wise Outward'!$A66,'OPs Data'!$L:$L,'Category &amp; Range Wise Outward'!J$2))</f>
      </c>
      <c r="K66" s="57">
        <f>IF(H66&gt;TODAY(),"",SUMIFS('OPs Data'!$N:$N,'OPs Data'!$F:$F,'Category &amp; Range Wise Outward'!J$1,'OPs Data'!$D:$D,'Category &amp; Range Wise Outward'!$A66,'OPs Data'!$L:$L,'Category &amp; Range Wise Outward'!K$2))</f>
      </c>
      <c r="L66" s="57">
        <f>IF(H66&gt;TODAY(),"",SUMIFS('OPs Data'!$N:$N,'OPs Data'!$F:$F,'Category &amp; Range Wise Outward'!J$1,'OPs Data'!$D:$D,'Category &amp; Range Wise Outward'!$A66,'OPs Data'!$L:$L,'Category &amp; Range Wise Outward'!L$2))</f>
      </c>
      <c r="M66" s="57">
        <f>IF(K66&gt;TODAY(),"",SUMIFS('OPs Data'!$N:$N,'OPs Data'!$F:$F,'Category &amp; Range Wise Outward'!M$1,'OPs Data'!$D:$D,'Category &amp; Range Wise Outward'!$A66,'OPs Data'!$L:$L,'Category &amp; Range Wise Outward'!M$2))</f>
      </c>
      <c r="N66" s="57">
        <f>IF(K66&gt;TODAY(),"",SUMIFS('OPs Data'!$N:$N,'OPs Data'!$F:$F,'Category &amp; Range Wise Outward'!M$1,'OPs Data'!$D:$D,'Category &amp; Range Wise Outward'!$A66,'OPs Data'!$L:$L,'Category &amp; Range Wise Outward'!N$2))</f>
      </c>
      <c r="O66" s="57">
        <f>IF(K66&gt;TODAY(),"",SUMIFS('OPs Data'!$N:$N,'OPs Data'!$F:$F,'Category &amp; Range Wise Outward'!M$1,'OPs Data'!$D:$D,'Category &amp; Range Wise Outward'!$A66,'OPs Data'!$L:$L,'Category &amp; Range Wise Outward'!O$2))</f>
      </c>
      <c r="P66" s="57">
        <f>IF($A66&gt;TODAY(),"",SUM(D66,G66,J66,M66))</f>
      </c>
      <c r="Q66" s="57">
        <f>IF($A66&gt;TODAY(),"",SUM(E66,H66,K66,N66))</f>
      </c>
      <c r="R66" s="57">
        <f>IF($A66&gt;TODAY(),"",SUM(F66,I66,L66,O66))</f>
      </c>
    </row>
    <row x14ac:dyDescent="0.25" r="67" customHeight="1" ht="18.75">
      <c r="A67" s="55">
        <v>45798</v>
      </c>
      <c r="B67" s="56">
        <f>IF(A67&gt;TODAY(),"",COUNTA(_xlfn.UNIQUE(_xlfn._xlws.FILTER('OPs Data'!$K:$K,'OPs Data'!$D:$D='Category &amp; Range Wise Outward'!A67))))</f>
      </c>
      <c r="C67" s="98">
        <f>IF(A67&gt;TODAY(),"",SUMIF('OPs Data'!$D:$D,'Category &amp; Range Wise Outward'!$A67,'OPs Data'!O:O)/1000)</f>
      </c>
      <c r="D67" s="57">
        <f>IF(A67&gt;TODAY(),"",SUMIFS('OPs Data'!$N:$N,'OPs Data'!$F:$F,'Category &amp; Range Wise Outward'!D$1,'OPs Data'!$D:$D,'Category &amp; Range Wise Outward'!$A67,'OPs Data'!$L:$L,'Category &amp; Range Wise Outward'!D$2))</f>
      </c>
      <c r="E67" s="57">
        <f>IF(A67&gt;TODAY(),"",SUMIFS('OPs Data'!$N:$N,'OPs Data'!$F:$F,'Category &amp; Range Wise Outward'!D$1,'OPs Data'!$D:$D,'Category &amp; Range Wise Outward'!$A67,'OPs Data'!$L:$L,'Category &amp; Range Wise Outward'!E$2))</f>
      </c>
      <c r="F67" s="57">
        <f>IF(A67&gt;TODAY(),"",SUMIFS('OPs Data'!$N:$N,'OPs Data'!$F:$F,'Category &amp; Range Wise Outward'!D$1,'OPs Data'!$D:$D,'Category &amp; Range Wise Outward'!$A67,'OPs Data'!$L:$L,'Category &amp; Range Wise Outward'!F$2))</f>
      </c>
      <c r="G67" s="57">
        <f>IF(E67&gt;TODAY(),"",SUMIFS('OPs Data'!$N:$N,'OPs Data'!$F:$F,'Category &amp; Range Wise Outward'!G$1,'OPs Data'!$D:$D,'Category &amp; Range Wise Outward'!$A67,'OPs Data'!$L:$L,'Category &amp; Range Wise Outward'!G$2))</f>
      </c>
      <c r="H67" s="57">
        <f>IF(E67&gt;TODAY(),"",SUMIFS('OPs Data'!$N:$N,'OPs Data'!$F:$F,'Category &amp; Range Wise Outward'!G$1,'OPs Data'!$D:$D,'Category &amp; Range Wise Outward'!$A67,'OPs Data'!$L:$L,'Category &amp; Range Wise Outward'!H$2))</f>
      </c>
      <c r="I67" s="57">
        <f>IF(E67&gt;TODAY(),"",SUMIFS('OPs Data'!$N:$N,'OPs Data'!$F:$F,'Category &amp; Range Wise Outward'!G$1,'OPs Data'!$D:$D,'Category &amp; Range Wise Outward'!$A67,'OPs Data'!$L:$L,'Category &amp; Range Wise Outward'!I$2))</f>
      </c>
      <c r="J67" s="57">
        <f>IF(H67&gt;TODAY(),"",SUMIFS('OPs Data'!$N:$N,'OPs Data'!$F:$F,'Category &amp; Range Wise Outward'!J$1,'OPs Data'!$D:$D,'Category &amp; Range Wise Outward'!$A67,'OPs Data'!$L:$L,'Category &amp; Range Wise Outward'!J$2))</f>
      </c>
      <c r="K67" s="57">
        <f>IF(H67&gt;TODAY(),"",SUMIFS('OPs Data'!$N:$N,'OPs Data'!$F:$F,'Category &amp; Range Wise Outward'!J$1,'OPs Data'!$D:$D,'Category &amp; Range Wise Outward'!$A67,'OPs Data'!$L:$L,'Category &amp; Range Wise Outward'!K$2))</f>
      </c>
      <c r="L67" s="57">
        <f>IF(H67&gt;TODAY(),"",SUMIFS('OPs Data'!$N:$N,'OPs Data'!$F:$F,'Category &amp; Range Wise Outward'!J$1,'OPs Data'!$D:$D,'Category &amp; Range Wise Outward'!$A67,'OPs Data'!$L:$L,'Category &amp; Range Wise Outward'!L$2))</f>
      </c>
      <c r="M67" s="57">
        <f>IF(K67&gt;TODAY(),"",SUMIFS('OPs Data'!$N:$N,'OPs Data'!$F:$F,'Category &amp; Range Wise Outward'!M$1,'OPs Data'!$D:$D,'Category &amp; Range Wise Outward'!$A67,'OPs Data'!$L:$L,'Category &amp; Range Wise Outward'!M$2))</f>
      </c>
      <c r="N67" s="57">
        <f>IF(K67&gt;TODAY(),"",SUMIFS('OPs Data'!$N:$N,'OPs Data'!$F:$F,'Category &amp; Range Wise Outward'!M$1,'OPs Data'!$D:$D,'Category &amp; Range Wise Outward'!$A67,'OPs Data'!$L:$L,'Category &amp; Range Wise Outward'!N$2))</f>
      </c>
      <c r="O67" s="57">
        <f>IF(K67&gt;TODAY(),"",SUMIFS('OPs Data'!$N:$N,'OPs Data'!$F:$F,'Category &amp; Range Wise Outward'!M$1,'OPs Data'!$D:$D,'Category &amp; Range Wise Outward'!$A67,'OPs Data'!$L:$L,'Category &amp; Range Wise Outward'!O$2))</f>
      </c>
      <c r="P67" s="57">
        <f>IF($A67&gt;TODAY(),"",SUM(D67,G67,J67,M67))</f>
      </c>
      <c r="Q67" s="57">
        <f>IF($A67&gt;TODAY(),"",SUM(E67,H67,K67,N67))</f>
      </c>
      <c r="R67" s="57">
        <f>IF($A67&gt;TODAY(),"",SUM(F67,I67,L67,O67))</f>
      </c>
    </row>
    <row x14ac:dyDescent="0.25" r="68" customHeight="1" ht="18.75">
      <c r="A68" s="55">
        <v>45799</v>
      </c>
      <c r="B68" s="56">
        <f>IF(A68&gt;TODAY(),"",COUNTA(_xlfn.UNIQUE(_xlfn._xlws.FILTER('OPs Data'!$K:$K,'OPs Data'!$D:$D='Category &amp; Range Wise Outward'!A68))))</f>
      </c>
      <c r="C68" s="98">
        <f>IF(A68&gt;TODAY(),"",SUMIF('OPs Data'!$D:$D,'Category &amp; Range Wise Outward'!$A68,'OPs Data'!O:O)/1000)</f>
      </c>
      <c r="D68" s="57">
        <f>IF(A68&gt;TODAY(),"",SUMIFS('OPs Data'!$N:$N,'OPs Data'!$F:$F,'Category &amp; Range Wise Outward'!D$1,'OPs Data'!$D:$D,'Category &amp; Range Wise Outward'!$A68,'OPs Data'!$L:$L,'Category &amp; Range Wise Outward'!D$2))</f>
      </c>
      <c r="E68" s="57">
        <f>IF(A68&gt;TODAY(),"",SUMIFS('OPs Data'!$N:$N,'OPs Data'!$F:$F,'Category &amp; Range Wise Outward'!D$1,'OPs Data'!$D:$D,'Category &amp; Range Wise Outward'!$A68,'OPs Data'!$L:$L,'Category &amp; Range Wise Outward'!E$2))</f>
      </c>
      <c r="F68" s="57">
        <f>IF(A68&gt;TODAY(),"",SUMIFS('OPs Data'!$N:$N,'OPs Data'!$F:$F,'Category &amp; Range Wise Outward'!D$1,'OPs Data'!$D:$D,'Category &amp; Range Wise Outward'!$A68,'OPs Data'!$L:$L,'Category &amp; Range Wise Outward'!F$2))</f>
      </c>
      <c r="G68" s="57">
        <f>IF(E68&gt;TODAY(),"",SUMIFS('OPs Data'!$N:$N,'OPs Data'!$F:$F,'Category &amp; Range Wise Outward'!G$1,'OPs Data'!$D:$D,'Category &amp; Range Wise Outward'!$A68,'OPs Data'!$L:$L,'Category &amp; Range Wise Outward'!G$2))</f>
      </c>
      <c r="H68" s="57">
        <f>IF(E68&gt;TODAY(),"",SUMIFS('OPs Data'!$N:$N,'OPs Data'!$F:$F,'Category &amp; Range Wise Outward'!G$1,'OPs Data'!$D:$D,'Category &amp; Range Wise Outward'!$A68,'OPs Data'!$L:$L,'Category &amp; Range Wise Outward'!H$2))</f>
      </c>
      <c r="I68" s="57">
        <f>IF(E68&gt;TODAY(),"",SUMIFS('OPs Data'!$N:$N,'OPs Data'!$F:$F,'Category &amp; Range Wise Outward'!G$1,'OPs Data'!$D:$D,'Category &amp; Range Wise Outward'!$A68,'OPs Data'!$L:$L,'Category &amp; Range Wise Outward'!I$2))</f>
      </c>
      <c r="J68" s="57">
        <f>IF(H68&gt;TODAY(),"",SUMIFS('OPs Data'!$N:$N,'OPs Data'!$F:$F,'Category &amp; Range Wise Outward'!J$1,'OPs Data'!$D:$D,'Category &amp; Range Wise Outward'!$A68,'OPs Data'!$L:$L,'Category &amp; Range Wise Outward'!J$2))</f>
      </c>
      <c r="K68" s="57">
        <f>IF(H68&gt;TODAY(),"",SUMIFS('OPs Data'!$N:$N,'OPs Data'!$F:$F,'Category &amp; Range Wise Outward'!J$1,'OPs Data'!$D:$D,'Category &amp; Range Wise Outward'!$A68,'OPs Data'!$L:$L,'Category &amp; Range Wise Outward'!K$2))</f>
      </c>
      <c r="L68" s="57">
        <f>IF(H68&gt;TODAY(),"",SUMIFS('OPs Data'!$N:$N,'OPs Data'!$F:$F,'Category &amp; Range Wise Outward'!J$1,'OPs Data'!$D:$D,'Category &amp; Range Wise Outward'!$A68,'OPs Data'!$L:$L,'Category &amp; Range Wise Outward'!L$2))</f>
      </c>
      <c r="M68" s="57">
        <f>IF(K68&gt;TODAY(),"",SUMIFS('OPs Data'!$N:$N,'OPs Data'!$F:$F,'Category &amp; Range Wise Outward'!M$1,'OPs Data'!$D:$D,'Category &amp; Range Wise Outward'!$A68,'OPs Data'!$L:$L,'Category &amp; Range Wise Outward'!M$2))</f>
      </c>
      <c r="N68" s="57">
        <f>IF(K68&gt;TODAY(),"",SUMIFS('OPs Data'!$N:$N,'OPs Data'!$F:$F,'Category &amp; Range Wise Outward'!M$1,'OPs Data'!$D:$D,'Category &amp; Range Wise Outward'!$A68,'OPs Data'!$L:$L,'Category &amp; Range Wise Outward'!N$2))</f>
      </c>
      <c r="O68" s="57">
        <f>IF(K68&gt;TODAY(),"",SUMIFS('OPs Data'!$N:$N,'OPs Data'!$F:$F,'Category &amp; Range Wise Outward'!M$1,'OPs Data'!$D:$D,'Category &amp; Range Wise Outward'!$A68,'OPs Data'!$L:$L,'Category &amp; Range Wise Outward'!O$2))</f>
      </c>
      <c r="P68" s="57">
        <f>IF($A68&gt;TODAY(),"",SUM(D68,G68,J68,M68))</f>
      </c>
      <c r="Q68" s="57">
        <f>IF($A68&gt;TODAY(),"",SUM(E68,H68,K68,N68))</f>
      </c>
      <c r="R68" s="57">
        <f>IF($A68&gt;TODAY(),"",SUM(F68,I68,L68,O68))</f>
      </c>
    </row>
    <row x14ac:dyDescent="0.25" r="69" customHeight="1" ht="18.75">
      <c r="A69" s="55">
        <v>45800</v>
      </c>
      <c r="B69" s="56">
        <f>IF(A69&gt;TODAY(),"",COUNTA(_xlfn.UNIQUE(_xlfn._xlws.FILTER('OPs Data'!$K:$K,'OPs Data'!$D:$D='Category &amp; Range Wise Outward'!A69))))</f>
      </c>
      <c r="C69" s="98">
        <f>IF(A69&gt;TODAY(),"",SUMIF('OPs Data'!$D:$D,'Category &amp; Range Wise Outward'!$A69,'OPs Data'!O:O)/1000)</f>
      </c>
      <c r="D69" s="57">
        <f>IF(A69&gt;TODAY(),"",SUMIFS('OPs Data'!$N:$N,'OPs Data'!$F:$F,'Category &amp; Range Wise Outward'!D$1,'OPs Data'!$D:$D,'Category &amp; Range Wise Outward'!$A69,'OPs Data'!$L:$L,'Category &amp; Range Wise Outward'!D$2))</f>
      </c>
      <c r="E69" s="57">
        <f>IF(A69&gt;TODAY(),"",SUMIFS('OPs Data'!$N:$N,'OPs Data'!$F:$F,'Category &amp; Range Wise Outward'!D$1,'OPs Data'!$D:$D,'Category &amp; Range Wise Outward'!$A69,'OPs Data'!$L:$L,'Category &amp; Range Wise Outward'!E$2))</f>
      </c>
      <c r="F69" s="57">
        <f>IF(A69&gt;TODAY(),"",SUMIFS('OPs Data'!$N:$N,'OPs Data'!$F:$F,'Category &amp; Range Wise Outward'!D$1,'OPs Data'!$D:$D,'Category &amp; Range Wise Outward'!$A69,'OPs Data'!$L:$L,'Category &amp; Range Wise Outward'!F$2))</f>
      </c>
      <c r="G69" s="57">
        <f>IF(E69&gt;TODAY(),"",SUMIFS('OPs Data'!$N:$N,'OPs Data'!$F:$F,'Category &amp; Range Wise Outward'!G$1,'OPs Data'!$D:$D,'Category &amp; Range Wise Outward'!$A69,'OPs Data'!$L:$L,'Category &amp; Range Wise Outward'!G$2))</f>
      </c>
      <c r="H69" s="57">
        <f>IF(E69&gt;TODAY(),"",SUMIFS('OPs Data'!$N:$N,'OPs Data'!$F:$F,'Category &amp; Range Wise Outward'!G$1,'OPs Data'!$D:$D,'Category &amp; Range Wise Outward'!$A69,'OPs Data'!$L:$L,'Category &amp; Range Wise Outward'!H$2))</f>
      </c>
      <c r="I69" s="57">
        <f>IF(E69&gt;TODAY(),"",SUMIFS('OPs Data'!$N:$N,'OPs Data'!$F:$F,'Category &amp; Range Wise Outward'!G$1,'OPs Data'!$D:$D,'Category &amp; Range Wise Outward'!$A69,'OPs Data'!$L:$L,'Category &amp; Range Wise Outward'!I$2))</f>
      </c>
      <c r="J69" s="57">
        <f>IF(H69&gt;TODAY(),"",SUMIFS('OPs Data'!$N:$N,'OPs Data'!$F:$F,'Category &amp; Range Wise Outward'!J$1,'OPs Data'!$D:$D,'Category &amp; Range Wise Outward'!$A69,'OPs Data'!$L:$L,'Category &amp; Range Wise Outward'!J$2))</f>
      </c>
      <c r="K69" s="57">
        <f>IF(H69&gt;TODAY(),"",SUMIFS('OPs Data'!$N:$N,'OPs Data'!$F:$F,'Category &amp; Range Wise Outward'!J$1,'OPs Data'!$D:$D,'Category &amp; Range Wise Outward'!$A69,'OPs Data'!$L:$L,'Category &amp; Range Wise Outward'!K$2))</f>
      </c>
      <c r="L69" s="57">
        <f>IF(H69&gt;TODAY(),"",SUMIFS('OPs Data'!$N:$N,'OPs Data'!$F:$F,'Category &amp; Range Wise Outward'!J$1,'OPs Data'!$D:$D,'Category &amp; Range Wise Outward'!$A69,'OPs Data'!$L:$L,'Category &amp; Range Wise Outward'!L$2))</f>
      </c>
      <c r="M69" s="57">
        <f>IF(K69&gt;TODAY(),"",SUMIFS('OPs Data'!$N:$N,'OPs Data'!$F:$F,'Category &amp; Range Wise Outward'!M$1,'OPs Data'!$D:$D,'Category &amp; Range Wise Outward'!$A69,'OPs Data'!$L:$L,'Category &amp; Range Wise Outward'!M$2))</f>
      </c>
      <c r="N69" s="57">
        <f>IF(K69&gt;TODAY(),"",SUMIFS('OPs Data'!$N:$N,'OPs Data'!$F:$F,'Category &amp; Range Wise Outward'!M$1,'OPs Data'!$D:$D,'Category &amp; Range Wise Outward'!$A69,'OPs Data'!$L:$L,'Category &amp; Range Wise Outward'!N$2))</f>
      </c>
      <c r="O69" s="57">
        <f>IF(K69&gt;TODAY(),"",SUMIFS('OPs Data'!$N:$N,'OPs Data'!$F:$F,'Category &amp; Range Wise Outward'!M$1,'OPs Data'!$D:$D,'Category &amp; Range Wise Outward'!$A69,'OPs Data'!$L:$L,'Category &amp; Range Wise Outward'!O$2))</f>
      </c>
      <c r="P69" s="57">
        <f>IF($A69&gt;TODAY(),"",SUM(D69,G69,J69,M69))</f>
      </c>
      <c r="Q69" s="57">
        <f>IF($A69&gt;TODAY(),"",SUM(E69,H69,K69,N69))</f>
      </c>
      <c r="R69" s="57">
        <f>IF($A69&gt;TODAY(),"",SUM(F69,I69,L69,O69))</f>
      </c>
    </row>
    <row x14ac:dyDescent="0.25" r="70" customHeight="1" ht="18.75">
      <c r="A70" s="55">
        <v>45801</v>
      </c>
      <c r="B70" s="56">
        <f>IF(A70&gt;TODAY(),"",COUNTA(_xlfn.UNIQUE(_xlfn._xlws.FILTER('OPs Data'!$K:$K,'OPs Data'!$D:$D='Category &amp; Range Wise Outward'!A70))))</f>
      </c>
      <c r="C70" s="98">
        <f>IF(A70&gt;TODAY(),"",SUMIF('OPs Data'!$D:$D,'Category &amp; Range Wise Outward'!$A70,'OPs Data'!O:O)/1000)</f>
      </c>
      <c r="D70" s="57">
        <f>IF(A70&gt;TODAY(),"",SUMIFS('OPs Data'!$N:$N,'OPs Data'!$F:$F,'Category &amp; Range Wise Outward'!D$1,'OPs Data'!$D:$D,'Category &amp; Range Wise Outward'!$A70,'OPs Data'!$L:$L,'Category &amp; Range Wise Outward'!D$2))</f>
      </c>
      <c r="E70" s="57">
        <f>IF(A70&gt;TODAY(),"",SUMIFS('OPs Data'!$N:$N,'OPs Data'!$F:$F,'Category &amp; Range Wise Outward'!D$1,'OPs Data'!$D:$D,'Category &amp; Range Wise Outward'!$A70,'OPs Data'!$L:$L,'Category &amp; Range Wise Outward'!E$2))</f>
      </c>
      <c r="F70" s="57">
        <f>IF(A70&gt;TODAY(),"",SUMIFS('OPs Data'!$N:$N,'OPs Data'!$F:$F,'Category &amp; Range Wise Outward'!D$1,'OPs Data'!$D:$D,'Category &amp; Range Wise Outward'!$A70,'OPs Data'!$L:$L,'Category &amp; Range Wise Outward'!F$2))</f>
      </c>
      <c r="G70" s="57">
        <f>IF(E70&gt;TODAY(),"",SUMIFS('OPs Data'!$N:$N,'OPs Data'!$F:$F,'Category &amp; Range Wise Outward'!G$1,'OPs Data'!$D:$D,'Category &amp; Range Wise Outward'!$A70,'OPs Data'!$L:$L,'Category &amp; Range Wise Outward'!G$2))</f>
      </c>
      <c r="H70" s="57">
        <f>IF(E70&gt;TODAY(),"",SUMIFS('OPs Data'!$N:$N,'OPs Data'!$F:$F,'Category &amp; Range Wise Outward'!G$1,'OPs Data'!$D:$D,'Category &amp; Range Wise Outward'!$A70,'OPs Data'!$L:$L,'Category &amp; Range Wise Outward'!H$2))</f>
      </c>
      <c r="I70" s="57">
        <f>IF(E70&gt;TODAY(),"",SUMIFS('OPs Data'!$N:$N,'OPs Data'!$F:$F,'Category &amp; Range Wise Outward'!G$1,'OPs Data'!$D:$D,'Category &amp; Range Wise Outward'!$A70,'OPs Data'!$L:$L,'Category &amp; Range Wise Outward'!I$2))</f>
      </c>
      <c r="J70" s="57">
        <f>IF(H70&gt;TODAY(),"",SUMIFS('OPs Data'!$N:$N,'OPs Data'!$F:$F,'Category &amp; Range Wise Outward'!J$1,'OPs Data'!$D:$D,'Category &amp; Range Wise Outward'!$A70,'OPs Data'!$L:$L,'Category &amp; Range Wise Outward'!J$2))</f>
      </c>
      <c r="K70" s="57">
        <f>IF(H70&gt;TODAY(),"",SUMIFS('OPs Data'!$N:$N,'OPs Data'!$F:$F,'Category &amp; Range Wise Outward'!J$1,'OPs Data'!$D:$D,'Category &amp; Range Wise Outward'!$A70,'OPs Data'!$L:$L,'Category &amp; Range Wise Outward'!K$2))</f>
      </c>
      <c r="L70" s="57">
        <f>IF(H70&gt;TODAY(),"",SUMIFS('OPs Data'!$N:$N,'OPs Data'!$F:$F,'Category &amp; Range Wise Outward'!J$1,'OPs Data'!$D:$D,'Category &amp; Range Wise Outward'!$A70,'OPs Data'!$L:$L,'Category &amp; Range Wise Outward'!L$2))</f>
      </c>
      <c r="M70" s="57">
        <f>IF(K70&gt;TODAY(),"",SUMIFS('OPs Data'!$N:$N,'OPs Data'!$F:$F,'Category &amp; Range Wise Outward'!M$1,'OPs Data'!$D:$D,'Category &amp; Range Wise Outward'!$A70,'OPs Data'!$L:$L,'Category &amp; Range Wise Outward'!M$2))</f>
      </c>
      <c r="N70" s="57">
        <f>IF(K70&gt;TODAY(),"",SUMIFS('OPs Data'!$N:$N,'OPs Data'!$F:$F,'Category &amp; Range Wise Outward'!M$1,'OPs Data'!$D:$D,'Category &amp; Range Wise Outward'!$A70,'OPs Data'!$L:$L,'Category &amp; Range Wise Outward'!N$2))</f>
      </c>
      <c r="O70" s="57">
        <f>IF(K70&gt;TODAY(),"",SUMIFS('OPs Data'!$N:$N,'OPs Data'!$F:$F,'Category &amp; Range Wise Outward'!M$1,'OPs Data'!$D:$D,'Category &amp; Range Wise Outward'!$A70,'OPs Data'!$L:$L,'Category &amp; Range Wise Outward'!O$2))</f>
      </c>
      <c r="P70" s="57">
        <f>IF($A70&gt;TODAY(),"",SUM(D70,G70,J70,M70))</f>
      </c>
      <c r="Q70" s="57">
        <f>IF($A70&gt;TODAY(),"",SUM(E70,H70,K70,N70))</f>
      </c>
      <c r="R70" s="57">
        <f>IF($A70&gt;TODAY(),"",SUM(F70,I70,L70,O70))</f>
      </c>
    </row>
    <row x14ac:dyDescent="0.25" r="71" customHeight="1" ht="18.75">
      <c r="A71" s="55">
        <v>45802</v>
      </c>
      <c r="B71" s="56">
        <f>IF(A71&gt;TODAY(),"",COUNTA(_xlfn.UNIQUE(_xlfn._xlws.FILTER('OPs Data'!$K:$K,'OPs Data'!$D:$D='Category &amp; Range Wise Outward'!A71))))</f>
      </c>
      <c r="C71" s="98">
        <f>IF(A71&gt;TODAY(),"",SUMIF('OPs Data'!$D:$D,'Category &amp; Range Wise Outward'!$A71,'OPs Data'!O:O)/1000)</f>
      </c>
      <c r="D71" s="57">
        <f>IF(A71&gt;TODAY(),"",SUMIFS('OPs Data'!$N:$N,'OPs Data'!$F:$F,'Category &amp; Range Wise Outward'!D$1,'OPs Data'!$D:$D,'Category &amp; Range Wise Outward'!$A71,'OPs Data'!$L:$L,'Category &amp; Range Wise Outward'!D$2))</f>
      </c>
      <c r="E71" s="57">
        <f>IF(A71&gt;TODAY(),"",SUMIFS('OPs Data'!$N:$N,'OPs Data'!$F:$F,'Category &amp; Range Wise Outward'!D$1,'OPs Data'!$D:$D,'Category &amp; Range Wise Outward'!$A71,'OPs Data'!$L:$L,'Category &amp; Range Wise Outward'!E$2))</f>
      </c>
      <c r="F71" s="57">
        <f>IF(A71&gt;TODAY(),"",SUMIFS('OPs Data'!$N:$N,'OPs Data'!$F:$F,'Category &amp; Range Wise Outward'!D$1,'OPs Data'!$D:$D,'Category &amp; Range Wise Outward'!$A71,'OPs Data'!$L:$L,'Category &amp; Range Wise Outward'!F$2))</f>
      </c>
      <c r="G71" s="57">
        <f>IF(E71&gt;TODAY(),"",SUMIFS('OPs Data'!$N:$N,'OPs Data'!$F:$F,'Category &amp; Range Wise Outward'!G$1,'OPs Data'!$D:$D,'Category &amp; Range Wise Outward'!$A71,'OPs Data'!$L:$L,'Category &amp; Range Wise Outward'!G$2))</f>
      </c>
      <c r="H71" s="57">
        <f>IF(E71&gt;TODAY(),"",SUMIFS('OPs Data'!$N:$N,'OPs Data'!$F:$F,'Category &amp; Range Wise Outward'!G$1,'OPs Data'!$D:$D,'Category &amp; Range Wise Outward'!$A71,'OPs Data'!$L:$L,'Category &amp; Range Wise Outward'!H$2))</f>
      </c>
      <c r="I71" s="57">
        <f>IF(E71&gt;TODAY(),"",SUMIFS('OPs Data'!$N:$N,'OPs Data'!$F:$F,'Category &amp; Range Wise Outward'!G$1,'OPs Data'!$D:$D,'Category &amp; Range Wise Outward'!$A71,'OPs Data'!$L:$L,'Category &amp; Range Wise Outward'!I$2))</f>
      </c>
      <c r="J71" s="57">
        <f>IF(H71&gt;TODAY(),"",SUMIFS('OPs Data'!$N:$N,'OPs Data'!$F:$F,'Category &amp; Range Wise Outward'!J$1,'OPs Data'!$D:$D,'Category &amp; Range Wise Outward'!$A71,'OPs Data'!$L:$L,'Category &amp; Range Wise Outward'!J$2))</f>
      </c>
      <c r="K71" s="57">
        <f>IF(H71&gt;TODAY(),"",SUMIFS('OPs Data'!$N:$N,'OPs Data'!$F:$F,'Category &amp; Range Wise Outward'!J$1,'OPs Data'!$D:$D,'Category &amp; Range Wise Outward'!$A71,'OPs Data'!$L:$L,'Category &amp; Range Wise Outward'!K$2))</f>
      </c>
      <c r="L71" s="57">
        <f>IF(H71&gt;TODAY(),"",SUMIFS('OPs Data'!$N:$N,'OPs Data'!$F:$F,'Category &amp; Range Wise Outward'!J$1,'OPs Data'!$D:$D,'Category &amp; Range Wise Outward'!$A71,'OPs Data'!$L:$L,'Category &amp; Range Wise Outward'!L$2))</f>
      </c>
      <c r="M71" s="57">
        <f>IF(K71&gt;TODAY(),"",SUMIFS('OPs Data'!$N:$N,'OPs Data'!$F:$F,'Category &amp; Range Wise Outward'!M$1,'OPs Data'!$D:$D,'Category &amp; Range Wise Outward'!$A71,'OPs Data'!$L:$L,'Category &amp; Range Wise Outward'!M$2))</f>
      </c>
      <c r="N71" s="57">
        <f>IF(K71&gt;TODAY(),"",SUMIFS('OPs Data'!$N:$N,'OPs Data'!$F:$F,'Category &amp; Range Wise Outward'!M$1,'OPs Data'!$D:$D,'Category &amp; Range Wise Outward'!$A71,'OPs Data'!$L:$L,'Category &amp; Range Wise Outward'!N$2))</f>
      </c>
      <c r="O71" s="57">
        <f>IF(K71&gt;TODAY(),"",SUMIFS('OPs Data'!$N:$N,'OPs Data'!$F:$F,'Category &amp; Range Wise Outward'!M$1,'OPs Data'!$D:$D,'Category &amp; Range Wise Outward'!$A71,'OPs Data'!$L:$L,'Category &amp; Range Wise Outward'!O$2))</f>
      </c>
      <c r="P71" s="57">
        <f>IF($A71&gt;TODAY(),"",SUM(D71,G71,J71,M71))</f>
      </c>
      <c r="Q71" s="57">
        <f>IF($A71&gt;TODAY(),"",SUM(E71,H71,K71,N71))</f>
      </c>
      <c r="R71" s="57">
        <f>IF($A71&gt;TODAY(),"",SUM(F71,I71,L71,O71))</f>
      </c>
    </row>
    <row x14ac:dyDescent="0.25" r="72" customHeight="1" ht="18.75">
      <c r="A72" s="55">
        <v>45803</v>
      </c>
      <c r="B72" s="56">
        <f>IF(A72&gt;TODAY(),"",COUNTA(_xlfn.UNIQUE(_xlfn._xlws.FILTER('OPs Data'!$K:$K,'OPs Data'!$D:$D='Category &amp; Range Wise Outward'!A72))))</f>
      </c>
      <c r="C72" s="98">
        <f>IF(A72&gt;TODAY(),"",SUMIF('OPs Data'!$D:$D,'Category &amp; Range Wise Outward'!$A72,'OPs Data'!O:O)/1000)</f>
      </c>
      <c r="D72" s="57">
        <f>IF(A72&gt;TODAY(),"",SUMIFS('OPs Data'!$N:$N,'OPs Data'!$F:$F,'Category &amp; Range Wise Outward'!D$1,'OPs Data'!$D:$D,'Category &amp; Range Wise Outward'!$A72,'OPs Data'!$L:$L,'Category &amp; Range Wise Outward'!D$2))</f>
      </c>
      <c r="E72" s="57">
        <f>IF(A72&gt;TODAY(),"",SUMIFS('OPs Data'!$N:$N,'OPs Data'!$F:$F,'Category &amp; Range Wise Outward'!D$1,'OPs Data'!$D:$D,'Category &amp; Range Wise Outward'!$A72,'OPs Data'!$L:$L,'Category &amp; Range Wise Outward'!E$2))</f>
      </c>
      <c r="F72" s="57">
        <f>IF(A72&gt;TODAY(),"",SUMIFS('OPs Data'!$N:$N,'OPs Data'!$F:$F,'Category &amp; Range Wise Outward'!D$1,'OPs Data'!$D:$D,'Category &amp; Range Wise Outward'!$A72,'OPs Data'!$L:$L,'Category &amp; Range Wise Outward'!F$2))</f>
      </c>
      <c r="G72" s="57">
        <f>IF(E72&gt;TODAY(),"",SUMIFS('OPs Data'!$N:$N,'OPs Data'!$F:$F,'Category &amp; Range Wise Outward'!G$1,'OPs Data'!$D:$D,'Category &amp; Range Wise Outward'!$A72,'OPs Data'!$L:$L,'Category &amp; Range Wise Outward'!G$2))</f>
      </c>
      <c r="H72" s="57">
        <f>IF(E72&gt;TODAY(),"",SUMIFS('OPs Data'!$N:$N,'OPs Data'!$F:$F,'Category &amp; Range Wise Outward'!G$1,'OPs Data'!$D:$D,'Category &amp; Range Wise Outward'!$A72,'OPs Data'!$L:$L,'Category &amp; Range Wise Outward'!H$2))</f>
      </c>
      <c r="I72" s="57">
        <f>IF(E72&gt;TODAY(),"",SUMIFS('OPs Data'!$N:$N,'OPs Data'!$F:$F,'Category &amp; Range Wise Outward'!G$1,'OPs Data'!$D:$D,'Category &amp; Range Wise Outward'!$A72,'OPs Data'!$L:$L,'Category &amp; Range Wise Outward'!I$2))</f>
      </c>
      <c r="J72" s="57">
        <f>IF(H72&gt;TODAY(),"",SUMIFS('OPs Data'!$N:$N,'OPs Data'!$F:$F,'Category &amp; Range Wise Outward'!J$1,'OPs Data'!$D:$D,'Category &amp; Range Wise Outward'!$A72,'OPs Data'!$L:$L,'Category &amp; Range Wise Outward'!J$2))</f>
      </c>
      <c r="K72" s="57">
        <f>IF(H72&gt;TODAY(),"",SUMIFS('OPs Data'!$N:$N,'OPs Data'!$F:$F,'Category &amp; Range Wise Outward'!J$1,'OPs Data'!$D:$D,'Category &amp; Range Wise Outward'!$A72,'OPs Data'!$L:$L,'Category &amp; Range Wise Outward'!K$2))</f>
      </c>
      <c r="L72" s="57">
        <f>IF(H72&gt;TODAY(),"",SUMIFS('OPs Data'!$N:$N,'OPs Data'!$F:$F,'Category &amp; Range Wise Outward'!J$1,'OPs Data'!$D:$D,'Category &amp; Range Wise Outward'!$A72,'OPs Data'!$L:$L,'Category &amp; Range Wise Outward'!L$2))</f>
      </c>
      <c r="M72" s="57">
        <f>IF(K72&gt;TODAY(),"",SUMIFS('OPs Data'!$N:$N,'OPs Data'!$F:$F,'Category &amp; Range Wise Outward'!M$1,'OPs Data'!$D:$D,'Category &amp; Range Wise Outward'!$A72,'OPs Data'!$L:$L,'Category &amp; Range Wise Outward'!M$2))</f>
      </c>
      <c r="N72" s="57">
        <f>IF(K72&gt;TODAY(),"",SUMIFS('OPs Data'!$N:$N,'OPs Data'!$F:$F,'Category &amp; Range Wise Outward'!M$1,'OPs Data'!$D:$D,'Category &amp; Range Wise Outward'!$A72,'OPs Data'!$L:$L,'Category &amp; Range Wise Outward'!N$2))</f>
      </c>
      <c r="O72" s="57">
        <f>IF(K72&gt;TODAY(),"",SUMIFS('OPs Data'!$N:$N,'OPs Data'!$F:$F,'Category &amp; Range Wise Outward'!M$1,'OPs Data'!$D:$D,'Category &amp; Range Wise Outward'!$A72,'OPs Data'!$L:$L,'Category &amp; Range Wise Outward'!O$2))</f>
      </c>
      <c r="P72" s="57">
        <f>IF($A72&gt;TODAY(),"",SUM(D72,G72,J72,M72))</f>
      </c>
      <c r="Q72" s="57">
        <f>IF($A72&gt;TODAY(),"",SUM(E72,H72,K72,N72))</f>
      </c>
      <c r="R72" s="57">
        <f>IF($A72&gt;TODAY(),"",SUM(F72,I72,L72,O72))</f>
      </c>
    </row>
    <row x14ac:dyDescent="0.25" r="73" customHeight="1" ht="18.75">
      <c r="A73" s="55">
        <v>45804</v>
      </c>
      <c r="B73" s="56">
        <f>IF(A73&gt;TODAY(),"",COUNTA(_xlfn.UNIQUE(_xlfn._xlws.FILTER('OPs Data'!$K:$K,'OPs Data'!$D:$D='Category &amp; Range Wise Outward'!A73))))</f>
      </c>
      <c r="C73" s="98">
        <f>IF(A73&gt;TODAY(),"",SUMIF('OPs Data'!$D:$D,'Category &amp; Range Wise Outward'!$A73,'OPs Data'!O:O)/1000)</f>
      </c>
      <c r="D73" s="57">
        <f>IF(A73&gt;TODAY(),"",SUMIFS('OPs Data'!$N:$N,'OPs Data'!$F:$F,'Category &amp; Range Wise Outward'!D$1,'OPs Data'!$D:$D,'Category &amp; Range Wise Outward'!$A73,'OPs Data'!$L:$L,'Category &amp; Range Wise Outward'!D$2))</f>
      </c>
      <c r="E73" s="57">
        <f>IF(A73&gt;TODAY(),"",SUMIFS('OPs Data'!$N:$N,'OPs Data'!$F:$F,'Category &amp; Range Wise Outward'!D$1,'OPs Data'!$D:$D,'Category &amp; Range Wise Outward'!$A73,'OPs Data'!$L:$L,'Category &amp; Range Wise Outward'!E$2))</f>
      </c>
      <c r="F73" s="57">
        <f>IF(A73&gt;TODAY(),"",SUMIFS('OPs Data'!$N:$N,'OPs Data'!$F:$F,'Category &amp; Range Wise Outward'!D$1,'OPs Data'!$D:$D,'Category &amp; Range Wise Outward'!$A73,'OPs Data'!$L:$L,'Category &amp; Range Wise Outward'!F$2))</f>
      </c>
      <c r="G73" s="57">
        <f>IF(E73&gt;TODAY(),"",SUMIFS('OPs Data'!$N:$N,'OPs Data'!$F:$F,'Category &amp; Range Wise Outward'!G$1,'OPs Data'!$D:$D,'Category &amp; Range Wise Outward'!$A73,'OPs Data'!$L:$L,'Category &amp; Range Wise Outward'!G$2))</f>
      </c>
      <c r="H73" s="57">
        <f>IF(E73&gt;TODAY(),"",SUMIFS('OPs Data'!$N:$N,'OPs Data'!$F:$F,'Category &amp; Range Wise Outward'!G$1,'OPs Data'!$D:$D,'Category &amp; Range Wise Outward'!$A73,'OPs Data'!$L:$L,'Category &amp; Range Wise Outward'!H$2))</f>
      </c>
      <c r="I73" s="57">
        <f>IF(E73&gt;TODAY(),"",SUMIFS('OPs Data'!$N:$N,'OPs Data'!$F:$F,'Category &amp; Range Wise Outward'!G$1,'OPs Data'!$D:$D,'Category &amp; Range Wise Outward'!$A73,'OPs Data'!$L:$L,'Category &amp; Range Wise Outward'!I$2))</f>
      </c>
      <c r="J73" s="57">
        <f>IF(H73&gt;TODAY(),"",SUMIFS('OPs Data'!$N:$N,'OPs Data'!$F:$F,'Category &amp; Range Wise Outward'!J$1,'OPs Data'!$D:$D,'Category &amp; Range Wise Outward'!$A73,'OPs Data'!$L:$L,'Category &amp; Range Wise Outward'!J$2))</f>
      </c>
      <c r="K73" s="57">
        <f>IF(H73&gt;TODAY(),"",SUMIFS('OPs Data'!$N:$N,'OPs Data'!$F:$F,'Category &amp; Range Wise Outward'!J$1,'OPs Data'!$D:$D,'Category &amp; Range Wise Outward'!$A73,'OPs Data'!$L:$L,'Category &amp; Range Wise Outward'!K$2))</f>
      </c>
      <c r="L73" s="57">
        <f>IF(H73&gt;TODAY(),"",SUMIFS('OPs Data'!$N:$N,'OPs Data'!$F:$F,'Category &amp; Range Wise Outward'!J$1,'OPs Data'!$D:$D,'Category &amp; Range Wise Outward'!$A73,'OPs Data'!$L:$L,'Category &amp; Range Wise Outward'!L$2))</f>
      </c>
      <c r="M73" s="57">
        <f>IF(K73&gt;TODAY(),"",SUMIFS('OPs Data'!$N:$N,'OPs Data'!$F:$F,'Category &amp; Range Wise Outward'!M$1,'OPs Data'!$D:$D,'Category &amp; Range Wise Outward'!$A73,'OPs Data'!$L:$L,'Category &amp; Range Wise Outward'!M$2))</f>
      </c>
      <c r="N73" s="57">
        <f>IF(K73&gt;TODAY(),"",SUMIFS('OPs Data'!$N:$N,'OPs Data'!$F:$F,'Category &amp; Range Wise Outward'!M$1,'OPs Data'!$D:$D,'Category &amp; Range Wise Outward'!$A73,'OPs Data'!$L:$L,'Category &amp; Range Wise Outward'!N$2))</f>
      </c>
      <c r="O73" s="57">
        <f>IF(K73&gt;TODAY(),"",SUMIFS('OPs Data'!$N:$N,'OPs Data'!$F:$F,'Category &amp; Range Wise Outward'!M$1,'OPs Data'!$D:$D,'Category &amp; Range Wise Outward'!$A73,'OPs Data'!$L:$L,'Category &amp; Range Wise Outward'!O$2))</f>
      </c>
      <c r="P73" s="57">
        <f>IF($A73&gt;TODAY(),"",SUM(D73,G73,J73,M73))</f>
      </c>
      <c r="Q73" s="57">
        <f>IF($A73&gt;TODAY(),"",SUM(E73,H73,K73,N73))</f>
      </c>
      <c r="R73" s="57">
        <f>IF($A73&gt;TODAY(),"",SUM(F73,I73,L73,O73))</f>
      </c>
    </row>
    <row x14ac:dyDescent="0.25" r="74" customHeight="1" ht="18.75">
      <c r="A74" s="55">
        <v>45805</v>
      </c>
      <c r="B74" s="56">
        <f>IF(A74&gt;TODAY(),"",COUNTA(_xlfn.UNIQUE(_xlfn._xlws.FILTER('OPs Data'!$K:$K,'OPs Data'!$D:$D='Category &amp; Range Wise Outward'!A74))))</f>
      </c>
      <c r="C74" s="98">
        <f>IF(A74&gt;TODAY(),"",SUMIF('OPs Data'!$D:$D,'Category &amp; Range Wise Outward'!$A74,'OPs Data'!O:O)/1000)</f>
      </c>
      <c r="D74" s="57">
        <f>IF(A74&gt;TODAY(),"",SUMIFS('OPs Data'!$N:$N,'OPs Data'!$F:$F,'Category &amp; Range Wise Outward'!D$1,'OPs Data'!$D:$D,'Category &amp; Range Wise Outward'!$A74,'OPs Data'!$L:$L,'Category &amp; Range Wise Outward'!D$2))</f>
      </c>
      <c r="E74" s="57">
        <f>IF(A74&gt;TODAY(),"",SUMIFS('OPs Data'!$N:$N,'OPs Data'!$F:$F,'Category &amp; Range Wise Outward'!D$1,'OPs Data'!$D:$D,'Category &amp; Range Wise Outward'!$A74,'OPs Data'!$L:$L,'Category &amp; Range Wise Outward'!E$2))</f>
      </c>
      <c r="F74" s="57">
        <f>IF(A74&gt;TODAY(),"",SUMIFS('OPs Data'!$N:$N,'OPs Data'!$F:$F,'Category &amp; Range Wise Outward'!D$1,'OPs Data'!$D:$D,'Category &amp; Range Wise Outward'!$A74,'OPs Data'!$L:$L,'Category &amp; Range Wise Outward'!F$2))</f>
      </c>
      <c r="G74" s="57">
        <f>IF(E74&gt;TODAY(),"",SUMIFS('OPs Data'!$N:$N,'OPs Data'!$F:$F,'Category &amp; Range Wise Outward'!G$1,'OPs Data'!$D:$D,'Category &amp; Range Wise Outward'!$A74,'OPs Data'!$L:$L,'Category &amp; Range Wise Outward'!G$2))</f>
      </c>
      <c r="H74" s="57">
        <f>IF(E74&gt;TODAY(),"",SUMIFS('OPs Data'!$N:$N,'OPs Data'!$F:$F,'Category &amp; Range Wise Outward'!G$1,'OPs Data'!$D:$D,'Category &amp; Range Wise Outward'!$A74,'OPs Data'!$L:$L,'Category &amp; Range Wise Outward'!H$2))</f>
      </c>
      <c r="I74" s="57">
        <f>IF(E74&gt;TODAY(),"",SUMIFS('OPs Data'!$N:$N,'OPs Data'!$F:$F,'Category &amp; Range Wise Outward'!G$1,'OPs Data'!$D:$D,'Category &amp; Range Wise Outward'!$A74,'OPs Data'!$L:$L,'Category &amp; Range Wise Outward'!I$2))</f>
      </c>
      <c r="J74" s="57">
        <f>IF(H74&gt;TODAY(),"",SUMIFS('OPs Data'!$N:$N,'OPs Data'!$F:$F,'Category &amp; Range Wise Outward'!J$1,'OPs Data'!$D:$D,'Category &amp; Range Wise Outward'!$A74,'OPs Data'!$L:$L,'Category &amp; Range Wise Outward'!J$2))</f>
      </c>
      <c r="K74" s="57">
        <f>IF(H74&gt;TODAY(),"",SUMIFS('OPs Data'!$N:$N,'OPs Data'!$F:$F,'Category &amp; Range Wise Outward'!J$1,'OPs Data'!$D:$D,'Category &amp; Range Wise Outward'!$A74,'OPs Data'!$L:$L,'Category &amp; Range Wise Outward'!K$2))</f>
      </c>
      <c r="L74" s="57">
        <f>IF(H74&gt;TODAY(),"",SUMIFS('OPs Data'!$N:$N,'OPs Data'!$F:$F,'Category &amp; Range Wise Outward'!J$1,'OPs Data'!$D:$D,'Category &amp; Range Wise Outward'!$A74,'OPs Data'!$L:$L,'Category &amp; Range Wise Outward'!L$2))</f>
      </c>
      <c r="M74" s="57">
        <f>IF(K74&gt;TODAY(),"",SUMIFS('OPs Data'!$N:$N,'OPs Data'!$F:$F,'Category &amp; Range Wise Outward'!M$1,'OPs Data'!$D:$D,'Category &amp; Range Wise Outward'!$A74,'OPs Data'!$L:$L,'Category &amp; Range Wise Outward'!M$2))</f>
      </c>
      <c r="N74" s="57">
        <f>IF(K74&gt;TODAY(),"",SUMIFS('OPs Data'!$N:$N,'OPs Data'!$F:$F,'Category &amp; Range Wise Outward'!M$1,'OPs Data'!$D:$D,'Category &amp; Range Wise Outward'!$A74,'OPs Data'!$L:$L,'Category &amp; Range Wise Outward'!N$2))</f>
      </c>
      <c r="O74" s="57">
        <f>IF(K74&gt;TODAY(),"",SUMIFS('OPs Data'!$N:$N,'OPs Data'!$F:$F,'Category &amp; Range Wise Outward'!M$1,'OPs Data'!$D:$D,'Category &amp; Range Wise Outward'!$A74,'OPs Data'!$L:$L,'Category &amp; Range Wise Outward'!O$2))</f>
      </c>
      <c r="P74" s="57">
        <f>IF($A74&gt;TODAY(),"",SUM(D74,G74,J74,M74))</f>
      </c>
      <c r="Q74" s="57">
        <f>IF($A74&gt;TODAY(),"",SUM(E74,H74,K74,N74))</f>
      </c>
      <c r="R74" s="57">
        <f>IF($A74&gt;TODAY(),"",SUM(F74,I74,L74,O74))</f>
      </c>
    </row>
    <row x14ac:dyDescent="0.25" r="75" customHeight="1" ht="18.75">
      <c r="A75" s="55">
        <v>45806</v>
      </c>
      <c r="B75" s="56">
        <f>IF(A75&gt;TODAY(),"",COUNTA(_xlfn.UNIQUE(_xlfn._xlws.FILTER('OPs Data'!$K:$K,'OPs Data'!$D:$D='Category &amp; Range Wise Outward'!A75))))</f>
      </c>
      <c r="C75" s="98">
        <f>IF(A75&gt;TODAY(),"",SUMIF('OPs Data'!$D:$D,'Category &amp; Range Wise Outward'!$A75,'OPs Data'!O:O)/1000)</f>
      </c>
      <c r="D75" s="57">
        <f>IF(A75&gt;TODAY(),"",SUMIFS('OPs Data'!$N:$N,'OPs Data'!$F:$F,'Category &amp; Range Wise Outward'!D$1,'OPs Data'!$D:$D,'Category &amp; Range Wise Outward'!$A75,'OPs Data'!$L:$L,'Category &amp; Range Wise Outward'!D$2))</f>
      </c>
      <c r="E75" s="57">
        <f>IF(A75&gt;TODAY(),"",SUMIFS('OPs Data'!$N:$N,'OPs Data'!$F:$F,'Category &amp; Range Wise Outward'!D$1,'OPs Data'!$D:$D,'Category &amp; Range Wise Outward'!$A75,'OPs Data'!$L:$L,'Category &amp; Range Wise Outward'!E$2))</f>
      </c>
      <c r="F75" s="57">
        <f>IF(A75&gt;TODAY(),"",SUMIFS('OPs Data'!$N:$N,'OPs Data'!$F:$F,'Category &amp; Range Wise Outward'!D$1,'OPs Data'!$D:$D,'Category &amp; Range Wise Outward'!$A75,'OPs Data'!$L:$L,'Category &amp; Range Wise Outward'!F$2))</f>
      </c>
      <c r="G75" s="57">
        <f>IF(E75&gt;TODAY(),"",SUMIFS('OPs Data'!$N:$N,'OPs Data'!$F:$F,'Category &amp; Range Wise Outward'!G$1,'OPs Data'!$D:$D,'Category &amp; Range Wise Outward'!$A75,'OPs Data'!$L:$L,'Category &amp; Range Wise Outward'!G$2))</f>
      </c>
      <c r="H75" s="57">
        <f>IF(E75&gt;TODAY(),"",SUMIFS('OPs Data'!$N:$N,'OPs Data'!$F:$F,'Category &amp; Range Wise Outward'!G$1,'OPs Data'!$D:$D,'Category &amp; Range Wise Outward'!$A75,'OPs Data'!$L:$L,'Category &amp; Range Wise Outward'!H$2))</f>
      </c>
      <c r="I75" s="57">
        <f>IF(E75&gt;TODAY(),"",SUMIFS('OPs Data'!$N:$N,'OPs Data'!$F:$F,'Category &amp; Range Wise Outward'!G$1,'OPs Data'!$D:$D,'Category &amp; Range Wise Outward'!$A75,'OPs Data'!$L:$L,'Category &amp; Range Wise Outward'!I$2))</f>
      </c>
      <c r="J75" s="57">
        <f>IF(H75&gt;TODAY(),"",SUMIFS('OPs Data'!$N:$N,'OPs Data'!$F:$F,'Category &amp; Range Wise Outward'!J$1,'OPs Data'!$D:$D,'Category &amp; Range Wise Outward'!$A75,'OPs Data'!$L:$L,'Category &amp; Range Wise Outward'!J$2))</f>
      </c>
      <c r="K75" s="57">
        <f>IF(H75&gt;TODAY(),"",SUMIFS('OPs Data'!$N:$N,'OPs Data'!$F:$F,'Category &amp; Range Wise Outward'!J$1,'OPs Data'!$D:$D,'Category &amp; Range Wise Outward'!$A75,'OPs Data'!$L:$L,'Category &amp; Range Wise Outward'!K$2))</f>
      </c>
      <c r="L75" s="57">
        <f>IF(H75&gt;TODAY(),"",SUMIFS('OPs Data'!$N:$N,'OPs Data'!$F:$F,'Category &amp; Range Wise Outward'!J$1,'OPs Data'!$D:$D,'Category &amp; Range Wise Outward'!$A75,'OPs Data'!$L:$L,'Category &amp; Range Wise Outward'!L$2))</f>
      </c>
      <c r="M75" s="57">
        <f>IF(K75&gt;TODAY(),"",SUMIFS('OPs Data'!$N:$N,'OPs Data'!$F:$F,'Category &amp; Range Wise Outward'!M$1,'OPs Data'!$D:$D,'Category &amp; Range Wise Outward'!$A75,'OPs Data'!$L:$L,'Category &amp; Range Wise Outward'!M$2))</f>
      </c>
      <c r="N75" s="57">
        <f>IF(K75&gt;TODAY(),"",SUMIFS('OPs Data'!$N:$N,'OPs Data'!$F:$F,'Category &amp; Range Wise Outward'!M$1,'OPs Data'!$D:$D,'Category &amp; Range Wise Outward'!$A75,'OPs Data'!$L:$L,'Category &amp; Range Wise Outward'!N$2))</f>
      </c>
      <c r="O75" s="57">
        <f>IF(K75&gt;TODAY(),"",SUMIFS('OPs Data'!$N:$N,'OPs Data'!$F:$F,'Category &amp; Range Wise Outward'!M$1,'OPs Data'!$D:$D,'Category &amp; Range Wise Outward'!$A75,'OPs Data'!$L:$L,'Category &amp; Range Wise Outward'!O$2))</f>
      </c>
      <c r="P75" s="57">
        <f>IF($A75&gt;TODAY(),"",SUM(D75,G75,J75,M75))</f>
      </c>
      <c r="Q75" s="57">
        <f>IF($A75&gt;TODAY(),"",SUM(E75,H75,K75,N75))</f>
      </c>
      <c r="R75" s="57">
        <f>IF($A75&gt;TODAY(),"",SUM(F75,I75,L75,O75))</f>
      </c>
    </row>
    <row x14ac:dyDescent="0.25" r="76" customHeight="1" ht="18.75">
      <c r="A76" s="55">
        <v>45807</v>
      </c>
      <c r="B76" s="56">
        <f>IF(A76&gt;TODAY(),"",COUNTA(_xlfn.UNIQUE(_xlfn._xlws.FILTER('OPs Data'!$K:$K,'OPs Data'!$D:$D='Category &amp; Range Wise Outward'!A76))))</f>
      </c>
      <c r="C76" s="98">
        <f>IF(A76&gt;TODAY(),"",SUMIF('OPs Data'!$D:$D,'Category &amp; Range Wise Outward'!$A76,'OPs Data'!O:O)/1000)</f>
      </c>
      <c r="D76" s="57">
        <f>IF(A76&gt;TODAY(),"",SUMIFS('OPs Data'!$N:$N,'OPs Data'!$F:$F,'Category &amp; Range Wise Outward'!D$1,'OPs Data'!$D:$D,'Category &amp; Range Wise Outward'!$A76,'OPs Data'!$L:$L,'Category &amp; Range Wise Outward'!D$2))</f>
      </c>
      <c r="E76" s="57">
        <f>IF(A76&gt;TODAY(),"",SUMIFS('OPs Data'!$N:$N,'OPs Data'!$F:$F,'Category &amp; Range Wise Outward'!D$1,'OPs Data'!$D:$D,'Category &amp; Range Wise Outward'!$A76,'OPs Data'!$L:$L,'Category &amp; Range Wise Outward'!E$2))</f>
      </c>
      <c r="F76" s="57">
        <f>IF(A76&gt;TODAY(),"",SUMIFS('OPs Data'!$N:$N,'OPs Data'!$F:$F,'Category &amp; Range Wise Outward'!D$1,'OPs Data'!$D:$D,'Category &amp; Range Wise Outward'!$A76,'OPs Data'!$L:$L,'Category &amp; Range Wise Outward'!F$2))</f>
      </c>
      <c r="G76" s="57">
        <f>IF(E76&gt;TODAY(),"",SUMIFS('OPs Data'!$N:$N,'OPs Data'!$F:$F,'Category &amp; Range Wise Outward'!G$1,'OPs Data'!$D:$D,'Category &amp; Range Wise Outward'!$A76,'OPs Data'!$L:$L,'Category &amp; Range Wise Outward'!G$2))</f>
      </c>
      <c r="H76" s="57">
        <f>IF(E76&gt;TODAY(),"",SUMIFS('OPs Data'!$N:$N,'OPs Data'!$F:$F,'Category &amp; Range Wise Outward'!G$1,'OPs Data'!$D:$D,'Category &amp; Range Wise Outward'!$A76,'OPs Data'!$L:$L,'Category &amp; Range Wise Outward'!H$2))</f>
      </c>
      <c r="I76" s="57">
        <f>IF(E76&gt;TODAY(),"",SUMIFS('OPs Data'!$N:$N,'OPs Data'!$F:$F,'Category &amp; Range Wise Outward'!G$1,'OPs Data'!$D:$D,'Category &amp; Range Wise Outward'!$A76,'OPs Data'!$L:$L,'Category &amp; Range Wise Outward'!I$2))</f>
      </c>
      <c r="J76" s="57">
        <f>IF(H76&gt;TODAY(),"",SUMIFS('OPs Data'!$N:$N,'OPs Data'!$F:$F,'Category &amp; Range Wise Outward'!J$1,'OPs Data'!$D:$D,'Category &amp; Range Wise Outward'!$A76,'OPs Data'!$L:$L,'Category &amp; Range Wise Outward'!J$2))</f>
      </c>
      <c r="K76" s="57">
        <f>IF(H76&gt;TODAY(),"",SUMIFS('OPs Data'!$N:$N,'OPs Data'!$F:$F,'Category &amp; Range Wise Outward'!J$1,'OPs Data'!$D:$D,'Category &amp; Range Wise Outward'!$A76,'OPs Data'!$L:$L,'Category &amp; Range Wise Outward'!K$2))</f>
      </c>
      <c r="L76" s="57">
        <f>IF(H76&gt;TODAY(),"",SUMIFS('OPs Data'!$N:$N,'OPs Data'!$F:$F,'Category &amp; Range Wise Outward'!J$1,'OPs Data'!$D:$D,'Category &amp; Range Wise Outward'!$A76,'OPs Data'!$L:$L,'Category &amp; Range Wise Outward'!L$2))</f>
      </c>
      <c r="M76" s="57">
        <f>IF(K76&gt;TODAY(),"",SUMIFS('OPs Data'!$N:$N,'OPs Data'!$F:$F,'Category &amp; Range Wise Outward'!M$1,'OPs Data'!$D:$D,'Category &amp; Range Wise Outward'!$A76,'OPs Data'!$L:$L,'Category &amp; Range Wise Outward'!M$2))</f>
      </c>
      <c r="N76" s="57">
        <f>IF(K76&gt;TODAY(),"",SUMIFS('OPs Data'!$N:$N,'OPs Data'!$F:$F,'Category &amp; Range Wise Outward'!M$1,'OPs Data'!$D:$D,'Category &amp; Range Wise Outward'!$A76,'OPs Data'!$L:$L,'Category &amp; Range Wise Outward'!N$2))</f>
      </c>
      <c r="O76" s="57">
        <f>IF(K76&gt;TODAY(),"",SUMIFS('OPs Data'!$N:$N,'OPs Data'!$F:$F,'Category &amp; Range Wise Outward'!M$1,'OPs Data'!$D:$D,'Category &amp; Range Wise Outward'!$A76,'OPs Data'!$L:$L,'Category &amp; Range Wise Outward'!O$2))</f>
      </c>
      <c r="P76" s="57">
        <f>IF($A76&gt;TODAY(),"",SUM(D76,G76,J76,M76))</f>
      </c>
      <c r="Q76" s="57">
        <f>IF($A76&gt;TODAY(),"",SUM(E76,H76,K76,N76))</f>
      </c>
      <c r="R76" s="57">
        <f>IF($A76&gt;TODAY(),"",SUM(F76,I76,L76,O76))</f>
      </c>
    </row>
    <row x14ac:dyDescent="0.25" r="77" customHeight="1" ht="18.75">
      <c r="A77" s="55">
        <v>45808</v>
      </c>
      <c r="B77" s="56">
        <f>IF(A77&gt;TODAY(),"",COUNTA(_xlfn.UNIQUE(_xlfn._xlws.FILTER('OPs Data'!$K:$K,'OPs Data'!$D:$D='Category &amp; Range Wise Outward'!A77))))</f>
      </c>
      <c r="C77" s="98">
        <f>IF(A77&gt;TODAY(),"",SUMIF('OPs Data'!$D:$D,'Category &amp; Range Wise Outward'!$A77,'OPs Data'!O:O)/1000)</f>
      </c>
      <c r="D77" s="57">
        <f>IF(A77&gt;TODAY(),"",SUMIFS('OPs Data'!$N:$N,'OPs Data'!$F:$F,'Category &amp; Range Wise Outward'!D$1,'OPs Data'!$D:$D,'Category &amp; Range Wise Outward'!$A77,'OPs Data'!$L:$L,'Category &amp; Range Wise Outward'!D$2))</f>
      </c>
      <c r="E77" s="57">
        <f>IF(A77&gt;TODAY(),"",SUMIFS('OPs Data'!$N:$N,'OPs Data'!$F:$F,'Category &amp; Range Wise Outward'!D$1,'OPs Data'!$D:$D,'Category &amp; Range Wise Outward'!$A77,'OPs Data'!$L:$L,'Category &amp; Range Wise Outward'!E$2))</f>
      </c>
      <c r="F77" s="57">
        <f>IF(A77&gt;TODAY(),"",SUMIFS('OPs Data'!$N:$N,'OPs Data'!$F:$F,'Category &amp; Range Wise Outward'!D$1,'OPs Data'!$D:$D,'Category &amp; Range Wise Outward'!$A77,'OPs Data'!$L:$L,'Category &amp; Range Wise Outward'!F$2))</f>
      </c>
      <c r="G77" s="57">
        <f>IF(E77&gt;TODAY(),"",SUMIFS('OPs Data'!$N:$N,'OPs Data'!$F:$F,'Category &amp; Range Wise Outward'!G$1,'OPs Data'!$D:$D,'Category &amp; Range Wise Outward'!$A77,'OPs Data'!$L:$L,'Category &amp; Range Wise Outward'!G$2))</f>
      </c>
      <c r="H77" s="57">
        <f>IF(E77&gt;TODAY(),"",SUMIFS('OPs Data'!$N:$N,'OPs Data'!$F:$F,'Category &amp; Range Wise Outward'!G$1,'OPs Data'!$D:$D,'Category &amp; Range Wise Outward'!$A77,'OPs Data'!$L:$L,'Category &amp; Range Wise Outward'!H$2))</f>
      </c>
      <c r="I77" s="57">
        <f>IF(E77&gt;TODAY(),"",SUMIFS('OPs Data'!$N:$N,'OPs Data'!$F:$F,'Category &amp; Range Wise Outward'!G$1,'OPs Data'!$D:$D,'Category &amp; Range Wise Outward'!$A77,'OPs Data'!$L:$L,'Category &amp; Range Wise Outward'!I$2))</f>
      </c>
      <c r="J77" s="57">
        <f>IF(H77&gt;TODAY(),"",SUMIFS('OPs Data'!$N:$N,'OPs Data'!$F:$F,'Category &amp; Range Wise Outward'!J$1,'OPs Data'!$D:$D,'Category &amp; Range Wise Outward'!$A77,'OPs Data'!$L:$L,'Category &amp; Range Wise Outward'!J$2))</f>
      </c>
      <c r="K77" s="57">
        <f>IF(H77&gt;TODAY(),"",SUMIFS('OPs Data'!$N:$N,'OPs Data'!$F:$F,'Category &amp; Range Wise Outward'!J$1,'OPs Data'!$D:$D,'Category &amp; Range Wise Outward'!$A77,'OPs Data'!$L:$L,'Category &amp; Range Wise Outward'!K$2))</f>
      </c>
      <c r="L77" s="57">
        <f>IF(H77&gt;TODAY(),"",SUMIFS('OPs Data'!$N:$N,'OPs Data'!$F:$F,'Category &amp; Range Wise Outward'!J$1,'OPs Data'!$D:$D,'Category &amp; Range Wise Outward'!$A77,'OPs Data'!$L:$L,'Category &amp; Range Wise Outward'!L$2))</f>
      </c>
      <c r="M77" s="57">
        <f>IF(K77&gt;TODAY(),"",SUMIFS('OPs Data'!$N:$N,'OPs Data'!$F:$F,'Category &amp; Range Wise Outward'!M$1,'OPs Data'!$D:$D,'Category &amp; Range Wise Outward'!$A77,'OPs Data'!$L:$L,'Category &amp; Range Wise Outward'!M$2))</f>
      </c>
      <c r="N77" s="57">
        <f>IF(K77&gt;TODAY(),"",SUMIFS('OPs Data'!$N:$N,'OPs Data'!$F:$F,'Category &amp; Range Wise Outward'!M$1,'OPs Data'!$D:$D,'Category &amp; Range Wise Outward'!$A77,'OPs Data'!$L:$L,'Category &amp; Range Wise Outward'!N$2))</f>
      </c>
      <c r="O77" s="57">
        <f>IF(K77&gt;TODAY(),"",SUMIFS('OPs Data'!$N:$N,'OPs Data'!$F:$F,'Category &amp; Range Wise Outward'!M$1,'OPs Data'!$D:$D,'Category &amp; Range Wise Outward'!$A77,'OPs Data'!$L:$L,'Category &amp; Range Wise Outward'!O$2))</f>
      </c>
      <c r="P77" s="57">
        <f>IF($A77&gt;TODAY(),"",SUM(D77,G77,J77,M77))</f>
      </c>
      <c r="Q77" s="57">
        <f>IF($A77&gt;TODAY(),"",SUM(E77,H77,K77,N77))</f>
      </c>
      <c r="R77" s="57">
        <f>IF($A77&gt;TODAY(),"",SUM(F77,I77,L77,O77))</f>
      </c>
    </row>
  </sheetData>
  <mergeCells count="5">
    <mergeCell ref="D1:F1"/>
    <mergeCell ref="G1:I1"/>
    <mergeCell ref="J1:L1"/>
    <mergeCell ref="M1:O1"/>
    <mergeCell ref="P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08"/>
  <sheetViews>
    <sheetView workbookViewId="0"/>
  </sheetViews>
  <sheetFormatPr defaultRowHeight="15" x14ac:dyDescent="0.25"/>
  <cols>
    <col min="1" max="1" style="15" width="13.576428571428572" customWidth="1" bestFit="1"/>
    <col min="2" max="2" style="14" width="34.005" customWidth="1" bestFit="1"/>
    <col min="3" max="3" style="14" width="30.433571428571426" customWidth="1" bestFit="1"/>
    <col min="4" max="4" style="15" width="11.290714285714287" customWidth="1" bestFit="1"/>
    <col min="5" max="5" style="15" width="13.576428571428572" customWidth="1" bestFit="1"/>
    <col min="6" max="6" style="14" width="10.719285714285713" customWidth="1" bestFit="1"/>
    <col min="7" max="7" style="14" width="13.576428571428572" customWidth="1" bestFit="1"/>
  </cols>
  <sheetData>
    <row x14ac:dyDescent="0.25" r="1" customHeight="1" ht="18.75">
      <c r="A1" s="75" t="s">
        <v>64</v>
      </c>
      <c r="B1" s="24" t="s">
        <v>65</v>
      </c>
      <c r="C1" s="24" t="s">
        <v>66</v>
      </c>
      <c r="D1" s="75" t="s">
        <v>67</v>
      </c>
      <c r="E1" s="75" t="s">
        <v>68</v>
      </c>
      <c r="F1" s="76" t="s">
        <v>9</v>
      </c>
      <c r="G1" s="37"/>
    </row>
    <row x14ac:dyDescent="0.25" r="2" customHeight="1" ht="18.75">
      <c r="A2" s="77">
        <v>1</v>
      </c>
      <c r="B2" s="78" t="s">
        <v>69</v>
      </c>
      <c r="C2" s="78" t="s">
        <v>70</v>
      </c>
      <c r="D2" s="79"/>
      <c r="E2" s="77">
        <v>37</v>
      </c>
      <c r="F2" s="80">
        <f>_xlfn.IFNA(_xlfn.IFS(AND(E2&gt;0,E2&lt;101),"0-100Km",AND(E2&gt;100,E2&lt;251),"101-250Km",AND(E2&gt;250,E2&lt;401),"251-400Km",AND(E2&gt;400,E2&lt;601),"401-600Km",E2&gt;600,"Above 600Km"),0)</f>
      </c>
      <c r="G2" s="37"/>
    </row>
    <row x14ac:dyDescent="0.25" r="3" customHeight="1" ht="18.75">
      <c r="A3" s="77">
        <v>2</v>
      </c>
      <c r="B3" s="78" t="s">
        <v>71</v>
      </c>
      <c r="C3" s="78" t="s">
        <v>72</v>
      </c>
      <c r="D3" s="79"/>
      <c r="E3" s="77">
        <v>95</v>
      </c>
      <c r="F3" s="80">
        <f>_xlfn.IFNA(_xlfn.IFS(AND(E3&gt;0,E3&lt;101),"0-100Km",AND(E3&gt;100,E3&lt;251),"101-250Km",AND(E3&gt;250,E3&lt;401),"251-400Km",AND(E3&gt;400,E3&lt;601),"401-600Km",E3&gt;600,"Above 600Km"),0)</f>
      </c>
      <c r="G3" s="37"/>
    </row>
    <row x14ac:dyDescent="0.25" r="4" customHeight="1" ht="18.75">
      <c r="A4" s="77">
        <v>3</v>
      </c>
      <c r="B4" s="78" t="s">
        <v>73</v>
      </c>
      <c r="C4" s="78" t="s">
        <v>74</v>
      </c>
      <c r="D4" s="79"/>
      <c r="E4" s="77">
        <v>161</v>
      </c>
      <c r="F4" s="80">
        <f>_xlfn.IFNA(_xlfn.IFS(AND(E4&gt;0,E4&lt;101),"0-100Km",AND(E4&gt;100,E4&lt;251),"101-250Km",AND(E4&gt;250,E4&lt;401),"251-400Km",AND(E4&gt;400,E4&lt;601),"401-600Km",E4&gt;600,"Above 600Km"),0)</f>
      </c>
      <c r="G4" s="37"/>
    </row>
    <row x14ac:dyDescent="0.25" r="5" customHeight="1" ht="18.75">
      <c r="A5" s="77">
        <v>4</v>
      </c>
      <c r="B5" s="78" t="s">
        <v>75</v>
      </c>
      <c r="C5" s="78" t="s">
        <v>76</v>
      </c>
      <c r="D5" s="79"/>
      <c r="E5" s="77">
        <v>70</v>
      </c>
      <c r="F5" s="80">
        <f>_xlfn.IFNA(_xlfn.IFS(AND(E5&gt;0,E5&lt;101),"0-100Km",AND(E5&gt;100,E5&lt;251),"101-250Km",AND(E5&gt;250,E5&lt;401),"251-400Km",AND(E5&gt;400,E5&lt;601),"401-600Km",E5&gt;600,"Above 600Km"),0)</f>
      </c>
      <c r="G5" s="37"/>
    </row>
    <row x14ac:dyDescent="0.25" r="6" customHeight="1" ht="18.75">
      <c r="A6" s="77">
        <v>5</v>
      </c>
      <c r="B6" s="78" t="s">
        <v>77</v>
      </c>
      <c r="C6" s="78" t="s">
        <v>78</v>
      </c>
      <c r="D6" s="79"/>
      <c r="E6" s="77">
        <v>186</v>
      </c>
      <c r="F6" s="80">
        <f>_xlfn.IFNA(_xlfn.IFS(AND(E6&gt;0,E6&lt;101),"0-100Km",AND(E6&gt;100,E6&lt;251),"101-250Km",AND(E6&gt;250,E6&lt;401),"251-400Km",AND(E6&gt;400,E6&lt;601),"401-600Km",E6&gt;600,"Above 600Km"),0)</f>
      </c>
      <c r="G6" s="37"/>
    </row>
    <row x14ac:dyDescent="0.25" r="7" customHeight="1" ht="18.75">
      <c r="A7" s="77">
        <v>6</v>
      </c>
      <c r="B7" s="78" t="s">
        <v>79</v>
      </c>
      <c r="C7" s="78" t="s">
        <v>80</v>
      </c>
      <c r="D7" s="79"/>
      <c r="E7" s="77">
        <v>91</v>
      </c>
      <c r="F7" s="80">
        <f>_xlfn.IFNA(_xlfn.IFS(AND(E7&gt;0,E7&lt;101),"0-100Km",AND(E7&gt;100,E7&lt;251),"101-250Km",AND(E7&gt;250,E7&lt;401),"251-400Km",AND(E7&gt;400,E7&lt;601),"401-600Km",E7&gt;600,"Above 600Km"),0)</f>
      </c>
      <c r="G7" s="37"/>
    </row>
    <row x14ac:dyDescent="0.25" r="8" customHeight="1" ht="18.75">
      <c r="A8" s="77">
        <v>7</v>
      </c>
      <c r="B8" s="78" t="s">
        <v>81</v>
      </c>
      <c r="C8" s="78" t="s">
        <v>82</v>
      </c>
      <c r="D8" s="79"/>
      <c r="E8" s="77">
        <v>121</v>
      </c>
      <c r="F8" s="80">
        <f>_xlfn.IFNA(_xlfn.IFS(AND(E8&gt;0,E8&lt;101),"0-100Km",AND(E8&gt;100,E8&lt;251),"101-250Km",AND(E8&gt;250,E8&lt;401),"251-400Km",AND(E8&gt;400,E8&lt;601),"401-600Km",E8&gt;600,"Above 600Km"),0)</f>
      </c>
      <c r="G8" s="37"/>
    </row>
    <row x14ac:dyDescent="0.25" r="9" customHeight="1" ht="18.75">
      <c r="A9" s="77">
        <v>8</v>
      </c>
      <c r="B9" s="78" t="s">
        <v>83</v>
      </c>
      <c r="C9" s="78" t="s">
        <v>72</v>
      </c>
      <c r="D9" s="79"/>
      <c r="E9" s="77">
        <v>88</v>
      </c>
      <c r="F9" s="80">
        <f>_xlfn.IFNA(_xlfn.IFS(AND(E9&gt;0,E9&lt;101),"0-100Km",AND(E9&gt;100,E9&lt;251),"101-250Km",AND(E9&gt;250,E9&lt;401),"251-400Km",AND(E9&gt;400,E9&lt;601),"401-600Km",E9&gt;600,"Above 600Km"),0)</f>
      </c>
      <c r="G9" s="37"/>
    </row>
    <row x14ac:dyDescent="0.25" r="10" customHeight="1" ht="18.75">
      <c r="A10" s="77">
        <v>9</v>
      </c>
      <c r="B10" s="78" t="s">
        <v>84</v>
      </c>
      <c r="C10" s="78" t="s">
        <v>72</v>
      </c>
      <c r="D10" s="79"/>
      <c r="E10" s="77">
        <v>100</v>
      </c>
      <c r="F10" s="80">
        <f>_xlfn.IFNA(_xlfn.IFS(AND(E10&gt;0,E10&lt;101),"0-100Km",AND(E10&gt;100,E10&lt;251),"101-250Km",AND(E10&gt;250,E10&lt;401),"251-400Km",AND(E10&gt;400,E10&lt;601),"401-600Km",E10&gt;600,"Above 600Km"),0)</f>
      </c>
      <c r="G10" s="37"/>
    </row>
    <row x14ac:dyDescent="0.25" r="11" customHeight="1" ht="18.75">
      <c r="A11" s="77">
        <v>10</v>
      </c>
      <c r="B11" s="78" t="s">
        <v>85</v>
      </c>
      <c r="C11" s="78" t="s">
        <v>86</v>
      </c>
      <c r="D11" s="79"/>
      <c r="E11" s="77">
        <v>66</v>
      </c>
      <c r="F11" s="80">
        <f>_xlfn.IFNA(_xlfn.IFS(AND(E11&gt;0,E11&lt;101),"0-100Km",AND(E11&gt;100,E11&lt;251),"101-250Km",AND(E11&gt;250,E11&lt;401),"251-400Km",AND(E11&gt;400,E11&lt;601),"401-600Km",E11&gt;600,"Above 600Km"),0)</f>
      </c>
      <c r="G11" s="37"/>
    </row>
    <row x14ac:dyDescent="0.25" r="12" customHeight="1" ht="18.75">
      <c r="A12" s="77">
        <v>11</v>
      </c>
      <c r="B12" s="78" t="s">
        <v>87</v>
      </c>
      <c r="C12" s="78" t="s">
        <v>88</v>
      </c>
      <c r="D12" s="79"/>
      <c r="E12" s="77">
        <v>186</v>
      </c>
      <c r="F12" s="80">
        <f>_xlfn.IFNA(_xlfn.IFS(AND(E12&gt;0,E12&lt;101),"0-100Km",AND(E12&gt;100,E12&lt;251),"101-250Km",AND(E12&gt;250,E12&lt;401),"251-400Km",AND(E12&gt;400,E12&lt;601),"401-600Km",E12&gt;600,"Above 600Km"),0)</f>
      </c>
      <c r="G12" s="37"/>
    </row>
    <row x14ac:dyDescent="0.25" r="13" customHeight="1" ht="18.75">
      <c r="A13" s="77">
        <v>12</v>
      </c>
      <c r="B13" s="78" t="s">
        <v>89</v>
      </c>
      <c r="C13" s="78" t="s">
        <v>90</v>
      </c>
      <c r="D13" s="79"/>
      <c r="E13" s="77">
        <v>251</v>
      </c>
      <c r="F13" s="80">
        <f>_xlfn.IFNA(_xlfn.IFS(AND(E13&gt;0,E13&lt;101),"0-100Km",AND(E13&gt;100,E13&lt;251),"101-250Km",AND(E13&gt;250,E13&lt;401),"251-400Km",AND(E13&gt;400,E13&lt;601),"401-600Km",E13&gt;600,"Above 600Km"),0)</f>
      </c>
      <c r="G13" s="37"/>
    </row>
    <row x14ac:dyDescent="0.25" r="14" customHeight="1" ht="18.75">
      <c r="A14" s="77">
        <v>13</v>
      </c>
      <c r="B14" s="78" t="s">
        <v>91</v>
      </c>
      <c r="C14" s="78" t="s">
        <v>92</v>
      </c>
      <c r="D14" s="79"/>
      <c r="E14" s="77">
        <v>112</v>
      </c>
      <c r="F14" s="80">
        <f>_xlfn.IFNA(_xlfn.IFS(AND(E14&gt;0,E14&lt;101),"0-100Km",AND(E14&gt;100,E14&lt;251),"101-250Km",AND(E14&gt;250,E14&lt;401),"251-400Km",AND(E14&gt;400,E14&lt;601),"401-600Km",E14&gt;600,"Above 600Km"),0)</f>
      </c>
      <c r="G14" s="37"/>
    </row>
    <row x14ac:dyDescent="0.25" r="15" customHeight="1" ht="18.75">
      <c r="A15" s="77">
        <v>14</v>
      </c>
      <c r="B15" s="78" t="s">
        <v>93</v>
      </c>
      <c r="C15" s="78" t="s">
        <v>94</v>
      </c>
      <c r="D15" s="79"/>
      <c r="E15" s="77">
        <v>68</v>
      </c>
      <c r="F15" s="80">
        <f>_xlfn.IFNA(_xlfn.IFS(AND(E15&gt;0,E15&lt;101),"0-100Km",AND(E15&gt;100,E15&lt;251),"101-250Km",AND(E15&gt;250,E15&lt;401),"251-400Km",AND(E15&gt;400,E15&lt;601),"401-600Km",E15&gt;600,"Above 600Km"),0)</f>
      </c>
      <c r="G15" s="37"/>
    </row>
    <row x14ac:dyDescent="0.25" r="16" customHeight="1" ht="18.75">
      <c r="A16" s="77">
        <v>15</v>
      </c>
      <c r="B16" s="78" t="s">
        <v>95</v>
      </c>
      <c r="C16" s="78" t="s">
        <v>96</v>
      </c>
      <c r="D16" s="79"/>
      <c r="E16" s="77">
        <v>80</v>
      </c>
      <c r="F16" s="80">
        <f>_xlfn.IFNA(_xlfn.IFS(AND(E16&gt;0,E16&lt;101),"0-100Km",AND(E16&gt;100,E16&lt;251),"101-250Km",AND(E16&gt;250,E16&lt;401),"251-400Km",AND(E16&gt;400,E16&lt;601),"401-600Km",E16&gt;600,"Above 600Km"),0)</f>
      </c>
      <c r="G16" s="37"/>
    </row>
    <row x14ac:dyDescent="0.25" r="17" customHeight="1" ht="18.75">
      <c r="A17" s="77">
        <v>16</v>
      </c>
      <c r="B17" s="78" t="s">
        <v>97</v>
      </c>
      <c r="C17" s="78" t="s">
        <v>98</v>
      </c>
      <c r="D17" s="79"/>
      <c r="E17" s="77">
        <f>320/2</f>
      </c>
      <c r="F17" s="80">
        <f>_xlfn.IFNA(_xlfn.IFS(AND(E17&gt;0,E17&lt;101),"0-100Km",AND(E17&gt;100,E17&lt;251),"101-250Km",AND(E17&gt;250,E17&lt;401),"251-400Km",AND(E17&gt;400,E17&lt;601),"401-600Km",E17&gt;600,"Above 600Km"),0)</f>
      </c>
      <c r="G17" s="37"/>
    </row>
    <row x14ac:dyDescent="0.25" r="18" customHeight="1" ht="18.75">
      <c r="A18" s="77">
        <v>17</v>
      </c>
      <c r="B18" s="78" t="s">
        <v>79</v>
      </c>
      <c r="C18" s="78" t="s">
        <v>99</v>
      </c>
      <c r="D18" s="79"/>
      <c r="E18" s="77">
        <v>194</v>
      </c>
      <c r="F18" s="80">
        <f>_xlfn.IFNA(_xlfn.IFS(AND(E18&gt;0,E18&lt;101),"0-100Km",AND(E18&gt;100,E18&lt;251),"101-250Km",AND(E18&gt;250,E18&lt;401),"251-400Km",AND(E18&gt;400,E18&lt;601),"401-600Km",E18&gt;600,"Above 600Km"),0)</f>
      </c>
      <c r="G18" s="37"/>
    </row>
    <row x14ac:dyDescent="0.25" r="19" customHeight="1" ht="18.75">
      <c r="A19" s="77">
        <v>18</v>
      </c>
      <c r="B19" s="78" t="s">
        <v>100</v>
      </c>
      <c r="C19" s="78" t="s">
        <v>101</v>
      </c>
      <c r="D19" s="79"/>
      <c r="E19" s="77">
        <v>86</v>
      </c>
      <c r="F19" s="80">
        <f>_xlfn.IFNA(_xlfn.IFS(AND(E19&gt;0,E19&lt;101),"0-100Km",AND(E19&gt;100,E19&lt;251),"101-250Km",AND(E19&gt;250,E19&lt;401),"251-400Km",AND(E19&gt;400,E19&lt;601),"401-600Km",E19&gt;600,"Above 600Km"),0)</f>
      </c>
      <c r="G19" s="37"/>
    </row>
    <row x14ac:dyDescent="0.25" r="20" customHeight="1" ht="18.75">
      <c r="A20" s="77">
        <v>19</v>
      </c>
      <c r="B20" s="78" t="s">
        <v>102</v>
      </c>
      <c r="C20" s="78" t="s">
        <v>103</v>
      </c>
      <c r="D20" s="79"/>
      <c r="E20" s="77">
        <v>90</v>
      </c>
      <c r="F20" s="80">
        <f>_xlfn.IFNA(_xlfn.IFS(AND(E20&gt;0,E20&lt;101),"0-100Km",AND(E20&gt;100,E20&lt;251),"101-250Km",AND(E20&gt;250,E20&lt;401),"251-400Km",AND(E20&gt;400,E20&lt;601),"401-600Km",E20&gt;600,"Above 600Km"),0)</f>
      </c>
      <c r="G20" s="37"/>
    </row>
    <row x14ac:dyDescent="0.25" r="21" customHeight="1" ht="18.75">
      <c r="A21" s="77">
        <v>20</v>
      </c>
      <c r="B21" s="78" t="s">
        <v>104</v>
      </c>
      <c r="C21" s="78" t="s">
        <v>105</v>
      </c>
      <c r="D21" s="79"/>
      <c r="E21" s="77">
        <v>122</v>
      </c>
      <c r="F21" s="80">
        <f>_xlfn.IFNA(_xlfn.IFS(AND(E21&gt;0,E21&lt;101),"0-100Km",AND(E21&gt;100,E21&lt;251),"101-250Km",AND(E21&gt;250,E21&lt;401),"251-400Km",AND(E21&gt;400,E21&lt;601),"401-600Km",E21&gt;600,"Above 600Km"),0)</f>
      </c>
      <c r="G21" s="37"/>
    </row>
    <row x14ac:dyDescent="0.25" r="22" customHeight="1" ht="18.75">
      <c r="A22" s="77">
        <v>21</v>
      </c>
      <c r="B22" s="78" t="s">
        <v>106</v>
      </c>
      <c r="C22" s="78" t="s">
        <v>107</v>
      </c>
      <c r="D22" s="79"/>
      <c r="E22" s="77">
        <v>197</v>
      </c>
      <c r="F22" s="80">
        <f>_xlfn.IFNA(_xlfn.IFS(AND(E22&gt;0,E22&lt;101),"0-100Km",AND(E22&gt;100,E22&lt;251),"101-250Km",AND(E22&gt;250,E22&lt;401),"251-400Km",AND(E22&gt;400,E22&lt;601),"401-600Km",E22&gt;600,"Above 600Km"),0)</f>
      </c>
      <c r="G22" s="37"/>
    </row>
    <row x14ac:dyDescent="0.25" r="23" customHeight="1" ht="18.75">
      <c r="A23" s="77">
        <v>22</v>
      </c>
      <c r="B23" s="78" t="s">
        <v>108</v>
      </c>
      <c r="C23" s="78" t="s">
        <v>72</v>
      </c>
      <c r="D23" s="79"/>
      <c r="E23" s="77">
        <v>90</v>
      </c>
      <c r="F23" s="80">
        <f>_xlfn.IFNA(_xlfn.IFS(AND(E23&gt;0,E23&lt;101),"0-100Km",AND(E23&gt;100,E23&lt;251),"101-250Km",AND(E23&gt;250,E23&lt;401),"251-400Km",AND(E23&gt;400,E23&lt;601),"401-600Km",E23&gt;600,"Above 600Km"),0)</f>
      </c>
      <c r="G23" s="37"/>
    </row>
    <row x14ac:dyDescent="0.25" r="24" customHeight="1" ht="18.75">
      <c r="A24" s="77">
        <v>23</v>
      </c>
      <c r="B24" s="78" t="s">
        <v>109</v>
      </c>
      <c r="C24" s="78" t="s">
        <v>103</v>
      </c>
      <c r="D24" s="79"/>
      <c r="E24" s="77">
        <v>90</v>
      </c>
      <c r="F24" s="80">
        <f>_xlfn.IFNA(_xlfn.IFS(AND(E24&gt;0,E24&lt;101),"0-100Km",AND(E24&gt;100,E24&lt;251),"101-250Km",AND(E24&gt;250,E24&lt;401),"251-400Km",AND(E24&gt;400,E24&lt;601),"401-600Km",E24&gt;600,"Above 600Km"),0)</f>
      </c>
      <c r="G24" s="37"/>
    </row>
    <row x14ac:dyDescent="0.25" r="25" customHeight="1" ht="18.75">
      <c r="A25" s="77">
        <v>24</v>
      </c>
      <c r="B25" s="78" t="s">
        <v>110</v>
      </c>
      <c r="C25" s="78" t="s">
        <v>111</v>
      </c>
      <c r="D25" s="77">
        <v>131001</v>
      </c>
      <c r="E25" s="77">
        <v>21</v>
      </c>
      <c r="F25" s="80">
        <f>_xlfn.IFNA(_xlfn.IFS(AND(E25&gt;0,E25&lt;101),"0-100Km",AND(E25&gt;100,E25&lt;251),"101-250Km",AND(E25&gt;250,E25&lt;401),"251-400Km",AND(E25&gt;400,E25&lt;601),"401-600Km",E25&gt;600,"Above 600Km"),0)</f>
      </c>
      <c r="G25" s="37"/>
    </row>
    <row x14ac:dyDescent="0.25" r="26" customHeight="1" ht="18.75">
      <c r="A26" s="77">
        <v>25</v>
      </c>
      <c r="B26" s="78" t="s">
        <v>112</v>
      </c>
      <c r="C26" s="81" t="s">
        <v>113</v>
      </c>
      <c r="D26" s="79"/>
      <c r="E26" s="77">
        <v>88</v>
      </c>
      <c r="F26" s="80">
        <f>_xlfn.IFNA(_xlfn.IFS(AND(E26&gt;0,E26&lt;101),"0-100Km",AND(E26&gt;100,E26&lt;251),"101-250Km",AND(E26&gt;250,E26&lt;401),"251-400Km",AND(E26&gt;400,E26&lt;601),"401-600Km",E26&gt;600,"Above 600Km"),0)</f>
      </c>
      <c r="G26" s="82"/>
    </row>
    <row x14ac:dyDescent="0.25" r="27" customHeight="1" ht="18.75">
      <c r="A27" s="77">
        <v>26</v>
      </c>
      <c r="B27" s="83" t="s">
        <v>114</v>
      </c>
      <c r="C27" s="84" t="s">
        <v>115</v>
      </c>
      <c r="D27" s="79"/>
      <c r="E27" s="77">
        <v>140</v>
      </c>
      <c r="F27" s="80">
        <f>_xlfn.IFNA(_xlfn.IFS(AND(E27&gt;0,E27&lt;101),"0-100Km",AND(E27&gt;100,E27&lt;251),"101-250Km",AND(E27&gt;250,E27&lt;401),"251-400Km",AND(E27&gt;400,E27&lt;601),"401-600Km",E27&gt;600,"Above 600Km"),0)</f>
      </c>
      <c r="G27" s="37"/>
    </row>
    <row x14ac:dyDescent="0.25" r="28" customHeight="1" ht="18.75">
      <c r="A28" s="77">
        <v>27</v>
      </c>
      <c r="B28" s="83" t="s">
        <v>116</v>
      </c>
      <c r="C28" s="84" t="s">
        <v>117</v>
      </c>
      <c r="D28" s="79"/>
      <c r="E28" s="77">
        <v>186</v>
      </c>
      <c r="F28" s="80">
        <f>_xlfn.IFNA(_xlfn.IFS(AND(E28&gt;0,E28&lt;101),"0-100Km",AND(E28&gt;100,E28&lt;251),"101-250Km",AND(E28&gt;250,E28&lt;401),"251-400Km",AND(E28&gt;400,E28&lt;601),"401-600Km",E28&gt;600,"Above 600Km"),0)</f>
      </c>
      <c r="G28" s="37"/>
    </row>
    <row x14ac:dyDescent="0.25" r="29" customHeight="1" ht="18.75">
      <c r="A29" s="77">
        <v>28</v>
      </c>
      <c r="B29" s="83" t="s">
        <v>118</v>
      </c>
      <c r="C29" s="84" t="s">
        <v>103</v>
      </c>
      <c r="D29" s="79"/>
      <c r="E29" s="77">
        <v>74</v>
      </c>
      <c r="F29" s="80">
        <f>_xlfn.IFNA(_xlfn.IFS(AND(E29&gt;0,E29&lt;101),"0-100Km",AND(E29&gt;100,E29&lt;251),"101-250Km",AND(E29&gt;250,E29&lt;401),"251-400Km",AND(E29&gt;400,E29&lt;601),"401-600Km",E29&gt;600,"Above 600Km"),0)</f>
      </c>
      <c r="G29" s="37"/>
    </row>
    <row x14ac:dyDescent="0.25" r="30" customHeight="1" ht="18.75">
      <c r="A30" s="77">
        <v>29</v>
      </c>
      <c r="B30" s="83" t="s">
        <v>119</v>
      </c>
      <c r="C30" s="84" t="s">
        <v>76</v>
      </c>
      <c r="D30" s="79"/>
      <c r="E30" s="77">
        <v>35</v>
      </c>
      <c r="F30" s="80">
        <f>_xlfn.IFNA(_xlfn.IFS(AND(E30&gt;0,E30&lt;101),"0-100Km",AND(E30&gt;100,E30&lt;251),"101-250Km",AND(E30&gt;250,E30&lt;401),"251-400Km",AND(E30&gt;400,E30&lt;601),"401-600Km",E30&gt;600,"Above 600Km"),0)</f>
      </c>
      <c r="G30" s="37"/>
    </row>
    <row x14ac:dyDescent="0.25" r="31" customHeight="1" ht="18.75">
      <c r="A31" s="77">
        <v>30</v>
      </c>
      <c r="B31" s="83" t="s">
        <v>120</v>
      </c>
      <c r="C31" s="84" t="s">
        <v>121</v>
      </c>
      <c r="D31" s="79"/>
      <c r="E31" s="77">
        <v>95</v>
      </c>
      <c r="F31" s="80">
        <f>_xlfn.IFNA(_xlfn.IFS(AND(E31&gt;0,E31&lt;101),"0-100Km",AND(E31&gt;100,E31&lt;251),"101-250Km",AND(E31&gt;250,E31&lt;401),"251-400Km",AND(E31&gt;400,E31&lt;601),"401-600Km",E31&gt;600,"Above 600Km"),0)</f>
      </c>
      <c r="G31" s="37"/>
    </row>
    <row x14ac:dyDescent="0.25" r="32" customHeight="1" ht="18.75">
      <c r="A32" s="77">
        <v>31</v>
      </c>
      <c r="B32" s="78" t="s">
        <v>122</v>
      </c>
      <c r="C32" s="78" t="s">
        <v>123</v>
      </c>
      <c r="D32" s="79"/>
      <c r="E32" s="77">
        <v>67</v>
      </c>
      <c r="F32" s="80">
        <f>_xlfn.IFNA(_xlfn.IFS(AND(E32&gt;0,E32&lt;101),"0-100Km",AND(E32&gt;100,E32&lt;251),"101-250Km",AND(E32&gt;250,E32&lt;401),"251-400Km",AND(E32&gt;400,E32&lt;601),"401-600Km",E32&gt;600,"Above 600Km"),0)</f>
      </c>
      <c r="G32" s="37"/>
    </row>
    <row x14ac:dyDescent="0.25" r="33" customHeight="1" ht="18.75">
      <c r="A33" s="77">
        <v>32</v>
      </c>
      <c r="B33" s="78" t="s">
        <v>124</v>
      </c>
      <c r="C33" s="78" t="s">
        <v>125</v>
      </c>
      <c r="D33" s="79"/>
      <c r="E33" s="77">
        <v>149</v>
      </c>
      <c r="F33" s="80">
        <f>_xlfn.IFNA(_xlfn.IFS(AND(E33&gt;0,E33&lt;101),"0-100Km",AND(E33&gt;100,E33&lt;251),"101-250Km",AND(E33&gt;250,E33&lt;401),"251-400Km",AND(E33&gt;400,E33&lt;601),"401-600Km",E33&gt;600,"Above 600Km"),0)</f>
      </c>
      <c r="G33" s="37"/>
    </row>
    <row x14ac:dyDescent="0.25" r="34" customHeight="1" ht="18.75">
      <c r="A34" s="77">
        <v>33</v>
      </c>
      <c r="B34" s="78" t="s">
        <v>126</v>
      </c>
      <c r="C34" s="78" t="s">
        <v>127</v>
      </c>
      <c r="D34" s="79"/>
      <c r="E34" s="77">
        <v>109</v>
      </c>
      <c r="F34" s="80">
        <f>_xlfn.IFNA(_xlfn.IFS(AND(E34&gt;0,E34&lt;101),"0-100Km",AND(E34&gt;100,E34&lt;251),"101-250Km",AND(E34&gt;250,E34&lt;401),"251-400Km",AND(E34&gt;400,E34&lt;601),"401-600Km",E34&gt;600,"Above 600Km"),0)</f>
      </c>
      <c r="G34" s="37"/>
    </row>
    <row x14ac:dyDescent="0.25" r="35" customHeight="1" ht="18.75">
      <c r="A35" s="77">
        <v>34</v>
      </c>
      <c r="B35" s="78" t="s">
        <v>128</v>
      </c>
      <c r="C35" s="78" t="s">
        <v>129</v>
      </c>
      <c r="D35" s="79"/>
      <c r="E35" s="77">
        <v>287</v>
      </c>
      <c r="F35" s="80">
        <f>_xlfn.IFNA(_xlfn.IFS(AND(E35&gt;0,E35&lt;101),"0-100Km",AND(E35&gt;100,E35&lt;251),"101-250Km",AND(E35&gt;250,E35&lt;401),"251-400Km",AND(E35&gt;400,E35&lt;601),"401-600Km",E35&gt;600,"Above 600Km"),0)</f>
      </c>
      <c r="G35" s="37"/>
    </row>
    <row x14ac:dyDescent="0.25" r="36" customHeight="1" ht="18.75">
      <c r="A36" s="77">
        <v>35</v>
      </c>
      <c r="B36" s="78" t="s">
        <v>130</v>
      </c>
      <c r="C36" s="78" t="s">
        <v>70</v>
      </c>
      <c r="D36" s="79"/>
      <c r="E36" s="77">
        <v>56</v>
      </c>
      <c r="F36" s="80">
        <f>_xlfn.IFNA(_xlfn.IFS(AND(E36&gt;0,E36&lt;101),"0-100Km",AND(E36&gt;100,E36&lt;251),"101-250Km",AND(E36&gt;250,E36&lt;401),"251-400Km",AND(E36&gt;400,E36&lt;601),"401-600Km",E36&gt;600,"Above 600Km"),0)</f>
      </c>
      <c r="G36" s="37"/>
    </row>
    <row x14ac:dyDescent="0.25" r="37" customHeight="1" ht="18.75">
      <c r="A37" s="77">
        <v>36</v>
      </c>
      <c r="B37" s="78" t="s">
        <v>84</v>
      </c>
      <c r="C37" s="78" t="s">
        <v>123</v>
      </c>
      <c r="D37" s="79"/>
      <c r="E37" s="77">
        <v>56</v>
      </c>
      <c r="F37" s="80">
        <f>_xlfn.IFNA(_xlfn.IFS(AND(E37&gt;0,E37&lt;101),"0-100Km",AND(E37&gt;100,E37&lt;251),"101-250Km",AND(E37&gt;250,E37&lt;401),"251-400Km",AND(E37&gt;400,E37&lt;601),"401-600Km",E37&gt;600,"Above 600Km"),0)</f>
      </c>
      <c r="G37" s="37"/>
    </row>
    <row x14ac:dyDescent="0.25" r="38" customHeight="1" ht="18.75">
      <c r="A38" s="77">
        <v>37</v>
      </c>
      <c r="B38" s="78" t="s">
        <v>131</v>
      </c>
      <c r="C38" s="78" t="s">
        <v>132</v>
      </c>
      <c r="D38" s="79"/>
      <c r="E38" s="77">
        <v>242</v>
      </c>
      <c r="F38" s="80">
        <f>_xlfn.IFNA(_xlfn.IFS(AND(E38&gt;0,E38&lt;101),"0-100Km",AND(E38&gt;100,E38&lt;251),"101-250Km",AND(E38&gt;250,E38&lt;401),"251-400Km",AND(E38&gt;400,E38&lt;601),"401-600Km",E38&gt;600,"Above 600Km"),0)</f>
      </c>
      <c r="G38" s="37"/>
    </row>
    <row x14ac:dyDescent="0.25" r="39" customHeight="1" ht="18.75">
      <c r="A39" s="77">
        <v>38</v>
      </c>
      <c r="B39" s="78" t="s">
        <v>133</v>
      </c>
      <c r="C39" s="78" t="s">
        <v>94</v>
      </c>
      <c r="D39" s="79"/>
      <c r="E39" s="77">
        <v>97</v>
      </c>
      <c r="F39" s="80">
        <f>_xlfn.IFNA(_xlfn.IFS(AND(E39&gt;0,E39&lt;101),"0-100Km",AND(E39&gt;100,E39&lt;251),"101-250Km",AND(E39&gt;250,E39&lt;401),"251-400Km",AND(E39&gt;400,E39&lt;601),"401-600Km",E39&gt;600,"Above 600Km"),0)</f>
      </c>
      <c r="G39" s="37"/>
    </row>
    <row x14ac:dyDescent="0.25" r="40" customHeight="1" ht="18.75">
      <c r="A40" s="77">
        <v>39</v>
      </c>
      <c r="B40" s="78" t="s">
        <v>134</v>
      </c>
      <c r="C40" s="78" t="s">
        <v>115</v>
      </c>
      <c r="D40" s="77">
        <v>251002</v>
      </c>
      <c r="E40" s="77">
        <v>95</v>
      </c>
      <c r="F40" s="80">
        <f>_xlfn.IFNA(_xlfn.IFS(AND(E40&gt;0,E40&lt;101),"0-100Km",AND(E40&gt;100,E40&lt;251),"101-250Km",AND(E40&gt;250,E40&lt;401),"251-400Km",AND(E40&gt;400,E40&lt;601),"401-600Km",E40&gt;600,"Above 600Km"),0)</f>
      </c>
      <c r="G40" s="37"/>
    </row>
    <row x14ac:dyDescent="0.25" r="41" customHeight="1" ht="18.75">
      <c r="A41" s="77">
        <v>40</v>
      </c>
      <c r="B41" s="78" t="s">
        <v>135</v>
      </c>
      <c r="C41" s="78" t="s">
        <v>136</v>
      </c>
      <c r="D41" s="79"/>
      <c r="E41" s="77">
        <v>169</v>
      </c>
      <c r="F41" s="80">
        <f>_xlfn.IFNA(_xlfn.IFS(AND(E41&gt;0,E41&lt;101),"0-100Km",AND(E41&gt;100,E41&lt;251),"101-250Km",AND(E41&gt;250,E41&lt;401),"251-400Km",AND(E41&gt;400,E41&lt;601),"401-600Km",E41&gt;600,"Above 600Km"),0)</f>
      </c>
      <c r="G41" s="37"/>
    </row>
    <row x14ac:dyDescent="0.25" r="42" customHeight="1" ht="18.75">
      <c r="A42" s="77">
        <v>41</v>
      </c>
      <c r="B42" s="78" t="s">
        <v>137</v>
      </c>
      <c r="C42" s="78" t="s">
        <v>138</v>
      </c>
      <c r="D42" s="79"/>
      <c r="E42" s="77">
        <v>117</v>
      </c>
      <c r="F42" s="80">
        <f>_xlfn.IFNA(_xlfn.IFS(AND(E42&gt;0,E42&lt;101),"0-100Km",AND(E42&gt;100,E42&lt;251),"101-250Km",AND(E42&gt;250,E42&lt;401),"251-400Km",AND(E42&gt;400,E42&lt;601),"401-600Km",E42&gt;600,"Above 600Km"),0)</f>
      </c>
      <c r="G42" s="37"/>
    </row>
    <row x14ac:dyDescent="0.25" r="43" customHeight="1" ht="18.75">
      <c r="A43" s="77">
        <v>42</v>
      </c>
      <c r="B43" s="78" t="s">
        <v>139</v>
      </c>
      <c r="C43" s="78" t="s">
        <v>140</v>
      </c>
      <c r="D43" s="77">
        <v>246701</v>
      </c>
      <c r="E43" s="77">
        <v>142</v>
      </c>
      <c r="F43" s="80">
        <f>_xlfn.IFNA(_xlfn.IFS(AND(E43&gt;0,E43&lt;101),"0-100Km",AND(E43&gt;100,E43&lt;251),"101-250Km",AND(E43&gt;250,E43&lt;401),"251-400Km",AND(E43&gt;400,E43&lt;601),"401-600Km",E43&gt;600,"Above 600Km"),0)</f>
      </c>
      <c r="G43" s="37"/>
    </row>
    <row x14ac:dyDescent="0.25" r="44" customHeight="1" ht="18.75">
      <c r="A44" s="77">
        <v>43</v>
      </c>
      <c r="B44" s="78" t="s">
        <v>141</v>
      </c>
      <c r="C44" s="78" t="s">
        <v>142</v>
      </c>
      <c r="D44" s="79"/>
      <c r="E44" s="77">
        <v>90</v>
      </c>
      <c r="F44" s="80">
        <f>_xlfn.IFNA(_xlfn.IFS(AND(E44&gt;0,E44&lt;101),"0-100Km",AND(E44&gt;100,E44&lt;251),"101-250Km",AND(E44&gt;250,E44&lt;401),"251-400Km",AND(E44&gt;400,E44&lt;601),"401-600Km",E44&gt;600,"Above 600Km"),0)</f>
      </c>
      <c r="G44" s="37"/>
    </row>
    <row x14ac:dyDescent="0.25" r="45" customHeight="1" ht="18.75">
      <c r="A45" s="77">
        <v>44</v>
      </c>
      <c r="B45" s="78" t="s">
        <v>131</v>
      </c>
      <c r="C45" s="78" t="s">
        <v>143</v>
      </c>
      <c r="D45" s="79"/>
      <c r="E45" s="77">
        <v>329</v>
      </c>
      <c r="F45" s="80">
        <f>_xlfn.IFNA(_xlfn.IFS(AND(E45&gt;0,E45&lt;101),"0-100Km",AND(E45&gt;100,E45&lt;251),"101-250Km",AND(E45&gt;250,E45&lt;401),"251-400Km",AND(E45&gt;400,E45&lt;601),"401-600Km",E45&gt;600,"Above 600Km"),0)</f>
      </c>
      <c r="G45" s="37"/>
    </row>
    <row x14ac:dyDescent="0.25" r="46" customHeight="1" ht="18.75">
      <c r="A46" s="77">
        <v>45</v>
      </c>
      <c r="B46" s="78" t="s">
        <v>144</v>
      </c>
      <c r="C46" s="78" t="s">
        <v>145</v>
      </c>
      <c r="D46" s="79"/>
      <c r="E46" s="77">
        <v>265</v>
      </c>
      <c r="F46" s="80">
        <f>_xlfn.IFNA(_xlfn.IFS(AND(E46&gt;0,E46&lt;101),"0-100Km",AND(E46&gt;100,E46&lt;251),"101-250Km",AND(E46&gt;250,E46&lt;401),"251-400Km",AND(E46&gt;400,E46&lt;601),"401-600Km",E46&gt;600,"Above 600Km"),0)</f>
      </c>
      <c r="G46" s="37"/>
    </row>
    <row x14ac:dyDescent="0.25" r="47" customHeight="1" ht="18.75">
      <c r="A47" s="77">
        <v>46</v>
      </c>
      <c r="B47" s="78" t="s">
        <v>146</v>
      </c>
      <c r="C47" s="78" t="s">
        <v>147</v>
      </c>
      <c r="D47" s="79"/>
      <c r="E47" s="77">
        <v>148</v>
      </c>
      <c r="F47" s="80">
        <f>_xlfn.IFNA(_xlfn.IFS(AND(E47&gt;0,E47&lt;101),"0-100Km",AND(E47&gt;100,E47&lt;251),"101-250Km",AND(E47&gt;250,E47&lt;401),"251-400Km",AND(E47&gt;400,E47&lt;601),"401-600Km",E47&gt;600,"Above 600Km"),0)</f>
      </c>
      <c r="G47" s="37"/>
    </row>
    <row x14ac:dyDescent="0.25" r="48" customHeight="1" ht="18.75">
      <c r="A48" s="77">
        <v>47</v>
      </c>
      <c r="B48" s="78" t="s">
        <v>148</v>
      </c>
      <c r="C48" s="78" t="s">
        <v>149</v>
      </c>
      <c r="D48" s="79"/>
      <c r="E48" s="77">
        <v>158</v>
      </c>
      <c r="F48" s="80">
        <f>_xlfn.IFNA(_xlfn.IFS(AND(E48&gt;0,E48&lt;101),"0-100Km",AND(E48&gt;100,E48&lt;251),"101-250Km",AND(E48&gt;250,E48&lt;401),"251-400Km",AND(E48&gt;400,E48&lt;601),"401-600Km",E48&gt;600,"Above 600Km"),0)</f>
      </c>
      <c r="G48" s="37"/>
    </row>
    <row x14ac:dyDescent="0.25" r="49" customHeight="1" ht="18.75">
      <c r="A49" s="77">
        <v>48</v>
      </c>
      <c r="B49" s="78" t="s">
        <v>150</v>
      </c>
      <c r="C49" s="78" t="s">
        <v>151</v>
      </c>
      <c r="D49" s="79"/>
      <c r="E49" s="77">
        <v>107</v>
      </c>
      <c r="F49" s="80">
        <f>_xlfn.IFNA(_xlfn.IFS(AND(E49&gt;0,E49&lt;101),"0-100Km",AND(E49&gt;100,E49&lt;251),"101-250Km",AND(E49&gt;250,E49&lt;401),"251-400Km",AND(E49&gt;400,E49&lt;601),"401-600Km",E49&gt;600,"Above 600Km"),0)</f>
      </c>
      <c r="G49" s="37"/>
    </row>
    <row x14ac:dyDescent="0.25" r="50" customHeight="1" ht="18.75">
      <c r="A50" s="77">
        <v>49</v>
      </c>
      <c r="B50" s="78" t="s">
        <v>152</v>
      </c>
      <c r="C50" s="78" t="s">
        <v>153</v>
      </c>
      <c r="D50" s="79"/>
      <c r="E50" s="77">
        <v>218</v>
      </c>
      <c r="F50" s="80">
        <f>_xlfn.IFNA(_xlfn.IFS(AND(E50&gt;0,E50&lt;101),"0-100Km",AND(E50&gt;100,E50&lt;251),"101-250Km",AND(E50&gt;250,E50&lt;401),"251-400Km",AND(E50&gt;400,E50&lt;601),"401-600Km",E50&gt;600,"Above 600Km"),0)</f>
      </c>
      <c r="G50" s="37"/>
    </row>
    <row x14ac:dyDescent="0.25" r="51" customHeight="1" ht="18.75">
      <c r="A51" s="77">
        <v>50</v>
      </c>
      <c r="B51" s="78" t="s">
        <v>154</v>
      </c>
      <c r="C51" s="78" t="s">
        <v>76</v>
      </c>
      <c r="D51" s="79"/>
      <c r="E51" s="77">
        <v>71</v>
      </c>
      <c r="F51" s="80">
        <f>_xlfn.IFNA(_xlfn.IFS(AND(E51&gt;0,E51&lt;101),"0-100Km",AND(E51&gt;100,E51&lt;251),"101-250Km",AND(E51&gt;250,E51&lt;401),"251-400Km",AND(E51&gt;400,E51&lt;601),"401-600Km",E51&gt;600,"Above 600Km"),0)</f>
      </c>
      <c r="G51" s="37"/>
    </row>
    <row x14ac:dyDescent="0.25" r="52" customHeight="1" ht="18.75">
      <c r="A52" s="77">
        <v>51</v>
      </c>
      <c r="B52" s="78" t="s">
        <v>120</v>
      </c>
      <c r="C52" s="78" t="s">
        <v>155</v>
      </c>
      <c r="D52" s="79"/>
      <c r="E52" s="77">
        <v>147</v>
      </c>
      <c r="F52" s="80">
        <f>_xlfn.IFNA(_xlfn.IFS(AND(E52&gt;0,E52&lt;101),"0-100Km",AND(E52&gt;100,E52&lt;251),"101-250Km",AND(E52&gt;250,E52&lt;401),"251-400Km",AND(E52&gt;400,E52&lt;601),"401-600Km",E52&gt;600,"Above 600Km"),0)</f>
      </c>
      <c r="G52" s="37"/>
    </row>
    <row x14ac:dyDescent="0.25" r="53" customHeight="1" ht="18.75">
      <c r="A53" s="77">
        <v>52</v>
      </c>
      <c r="B53" s="78" t="s">
        <v>120</v>
      </c>
      <c r="C53" s="78" t="s">
        <v>156</v>
      </c>
      <c r="D53" s="77">
        <v>245201</v>
      </c>
      <c r="E53" s="77">
        <v>98</v>
      </c>
      <c r="F53" s="80">
        <f>_xlfn.IFNA(_xlfn.IFS(AND(E53&gt;0,E53&lt;101),"0-100Km",AND(E53&gt;100,E53&lt;251),"101-250Km",AND(E53&gt;250,E53&lt;401),"251-400Km",AND(E53&gt;400,E53&lt;601),"401-600Km",E53&gt;600,"Above 600Km"),0)</f>
      </c>
      <c r="G53" s="37"/>
    </row>
    <row x14ac:dyDescent="0.25" r="54" customHeight="1" ht="18.75">
      <c r="A54" s="77">
        <v>53</v>
      </c>
      <c r="B54" s="78" t="s">
        <v>157</v>
      </c>
      <c r="C54" s="78" t="s">
        <v>158</v>
      </c>
      <c r="D54" s="79"/>
      <c r="E54" s="77">
        <v>208</v>
      </c>
      <c r="F54" s="80">
        <f>_xlfn.IFNA(_xlfn.IFS(AND(E54&gt;0,E54&lt;101),"0-100Km",AND(E54&gt;100,E54&lt;251),"101-250Km",AND(E54&gt;250,E54&lt;401),"251-400Km",AND(E54&gt;400,E54&lt;601),"401-600Km",E54&gt;600,"Above 600Km"),0)</f>
      </c>
      <c r="G54" s="37"/>
    </row>
    <row x14ac:dyDescent="0.25" r="55" customHeight="1" ht="18.75">
      <c r="A55" s="77">
        <v>54</v>
      </c>
      <c r="B55" s="78" t="s">
        <v>159</v>
      </c>
      <c r="C55" s="78" t="s">
        <v>105</v>
      </c>
      <c r="D55" s="79"/>
      <c r="E55" s="77">
        <v>113</v>
      </c>
      <c r="F55" s="80">
        <f>_xlfn.IFNA(_xlfn.IFS(AND(E55&gt;0,E55&lt;101),"0-100Km",AND(E55&gt;100,E55&lt;251),"101-250Km",AND(E55&gt;250,E55&lt;401),"251-400Km",AND(E55&gt;400,E55&lt;601),"401-600Km",E55&gt;600,"Above 600Km"),0)</f>
      </c>
      <c r="G55" s="37"/>
    </row>
    <row x14ac:dyDescent="0.25" r="56" customHeight="1" ht="18.75">
      <c r="A56" s="77">
        <v>55</v>
      </c>
      <c r="B56" s="78" t="s">
        <v>160</v>
      </c>
      <c r="C56" s="78" t="s">
        <v>161</v>
      </c>
      <c r="D56" s="79"/>
      <c r="E56" s="77">
        <v>167</v>
      </c>
      <c r="F56" s="80">
        <f>_xlfn.IFNA(_xlfn.IFS(AND(E56&gt;0,E56&lt;101),"0-100Km",AND(E56&gt;100,E56&lt;251),"101-250Km",AND(E56&gt;250,E56&lt;401),"251-400Km",AND(E56&gt;400,E56&lt;601),"401-600Km",E56&gt;600,"Above 600Km"),0)</f>
      </c>
      <c r="G56" s="37"/>
    </row>
    <row x14ac:dyDescent="0.25" r="57" customHeight="1" ht="18.75">
      <c r="A57" s="77">
        <v>56</v>
      </c>
      <c r="B57" s="78" t="s">
        <v>162</v>
      </c>
      <c r="C57" s="78" t="s">
        <v>80</v>
      </c>
      <c r="D57" s="79"/>
      <c r="E57" s="77">
        <v>62</v>
      </c>
      <c r="F57" s="80">
        <f>_xlfn.IFNA(_xlfn.IFS(AND(E57&gt;0,E57&lt;101),"0-100Km",AND(E57&gt;100,E57&lt;251),"101-250Km",AND(E57&gt;250,E57&lt;401),"251-400Km",AND(E57&gt;400,E57&lt;601),"401-600Km",E57&gt;600,"Above 600Km"),0)</f>
      </c>
      <c r="G57" s="37"/>
    </row>
    <row x14ac:dyDescent="0.25" r="58" customHeight="1" ht="18.75">
      <c r="A58" s="77">
        <v>57</v>
      </c>
      <c r="B58" s="78" t="s">
        <v>128</v>
      </c>
      <c r="C58" s="78" t="s">
        <v>163</v>
      </c>
      <c r="D58" s="79"/>
      <c r="E58" s="77">
        <v>171</v>
      </c>
      <c r="F58" s="80">
        <f>_xlfn.IFNA(_xlfn.IFS(AND(E58&gt;0,E58&lt;101),"0-100Km",AND(E58&gt;100,E58&lt;251),"101-250Km",AND(E58&gt;250,E58&lt;401),"251-400Km",AND(E58&gt;400,E58&lt;601),"401-600Km",E58&gt;600,"Above 600Km"),0)</f>
      </c>
      <c r="G58" s="37"/>
    </row>
    <row x14ac:dyDescent="0.25" r="59" customHeight="1" ht="18.75">
      <c r="A59" s="77">
        <v>58</v>
      </c>
      <c r="B59" s="78" t="s">
        <v>164</v>
      </c>
      <c r="C59" s="78" t="s">
        <v>165</v>
      </c>
      <c r="D59" s="79"/>
      <c r="E59" s="77">
        <v>80</v>
      </c>
      <c r="F59" s="80">
        <f>_xlfn.IFNA(_xlfn.IFS(AND(E59&gt;0,E59&lt;101),"0-100Km",AND(E59&gt;100,E59&lt;251),"101-250Km",AND(E59&gt;250,E59&lt;401),"251-400Km",AND(E59&gt;400,E59&lt;601),"401-600Km",E59&gt;600,"Above 600Km"),0)</f>
      </c>
      <c r="G59" s="37"/>
    </row>
    <row x14ac:dyDescent="0.25" r="60" customHeight="1" ht="18.75">
      <c r="A60" s="77">
        <v>59</v>
      </c>
      <c r="B60" s="78" t="s">
        <v>166</v>
      </c>
      <c r="C60" s="78" t="s">
        <v>167</v>
      </c>
      <c r="D60" s="79"/>
      <c r="E60" s="77">
        <v>185</v>
      </c>
      <c r="F60" s="80">
        <f>_xlfn.IFNA(_xlfn.IFS(AND(E60&gt;0,E60&lt;101),"0-100Km",AND(E60&gt;100,E60&lt;251),"101-250Km",AND(E60&gt;250,E60&lt;401),"251-400Km",AND(E60&gt;400,E60&lt;601),"401-600Km",E60&gt;600,"Above 600Km"),0)</f>
      </c>
      <c r="G60" s="37"/>
    </row>
    <row x14ac:dyDescent="0.25" r="61" customHeight="1" ht="18.75">
      <c r="A61" s="77">
        <v>60</v>
      </c>
      <c r="B61" s="78" t="s">
        <v>168</v>
      </c>
      <c r="C61" s="78" t="s">
        <v>169</v>
      </c>
      <c r="D61" s="79"/>
      <c r="E61" s="77">
        <v>287</v>
      </c>
      <c r="F61" s="80">
        <f>_xlfn.IFNA(_xlfn.IFS(AND(E61&gt;0,E61&lt;101),"0-100Km",AND(E61&gt;100,E61&lt;251),"101-250Km",AND(E61&gt;250,E61&lt;401),"251-400Km",AND(E61&gt;400,E61&lt;601),"401-600Km",E61&gt;600,"Above 600Km"),0)</f>
      </c>
      <c r="G61" s="37"/>
    </row>
    <row x14ac:dyDescent="0.25" r="62" customHeight="1" ht="18.75">
      <c r="A62" s="77">
        <v>61</v>
      </c>
      <c r="B62" s="78" t="s">
        <v>168</v>
      </c>
      <c r="C62" s="78" t="s">
        <v>170</v>
      </c>
      <c r="D62" s="79"/>
      <c r="E62" s="77">
        <v>312</v>
      </c>
      <c r="F62" s="80">
        <f>_xlfn.IFNA(_xlfn.IFS(AND(E62&gt;0,E62&lt;101),"0-100Km",AND(E62&gt;100,E62&lt;251),"101-250Km",AND(E62&gt;250,E62&lt;401),"251-400Km",AND(E62&gt;400,E62&lt;601),"401-600Km",E62&gt;600,"Above 600Km"),0)</f>
      </c>
      <c r="G62" s="37"/>
    </row>
    <row x14ac:dyDescent="0.25" r="63" customHeight="1" ht="18.75">
      <c r="A63" s="77">
        <v>62</v>
      </c>
      <c r="B63" s="78" t="s">
        <v>171</v>
      </c>
      <c r="C63" s="78" t="s">
        <v>172</v>
      </c>
      <c r="D63" s="79"/>
      <c r="E63" s="77">
        <v>154</v>
      </c>
      <c r="F63" s="80">
        <f>_xlfn.IFNA(_xlfn.IFS(AND(E63&gt;0,E63&lt;101),"0-100Km",AND(E63&gt;100,E63&lt;251),"101-250Km",AND(E63&gt;250,E63&lt;401),"251-400Km",AND(E63&gt;400,E63&lt;601),"401-600Km",E63&gt;600,"Above 600Km"),0)</f>
      </c>
      <c r="G63" s="37"/>
    </row>
    <row x14ac:dyDescent="0.25" r="64" customHeight="1" ht="18.75">
      <c r="A64" s="77">
        <v>63</v>
      </c>
      <c r="B64" s="78" t="s">
        <v>173</v>
      </c>
      <c r="C64" s="78" t="s">
        <v>70</v>
      </c>
      <c r="D64" s="79"/>
      <c r="E64" s="77">
        <v>32</v>
      </c>
      <c r="F64" s="80">
        <f>_xlfn.IFNA(_xlfn.IFS(AND(E64&gt;0,E64&lt;101),"0-100Km",AND(E64&gt;100,E64&lt;251),"101-250Km",AND(E64&gt;250,E64&lt;401),"251-400Km",AND(E64&gt;400,E64&lt;601),"401-600Km",E64&gt;600,"Above 600Km"),0)</f>
      </c>
      <c r="G64" s="37"/>
    </row>
    <row x14ac:dyDescent="0.25" r="65" customHeight="1" ht="18.75">
      <c r="A65" s="77">
        <v>64</v>
      </c>
      <c r="B65" s="78" t="s">
        <v>174</v>
      </c>
      <c r="C65" s="78" t="s">
        <v>175</v>
      </c>
      <c r="D65" s="79"/>
      <c r="E65" s="77">
        <v>125</v>
      </c>
      <c r="F65" s="80">
        <f>_xlfn.IFNA(_xlfn.IFS(AND(E65&gt;0,E65&lt;101),"0-100Km",AND(E65&gt;100,E65&lt;251),"101-250Km",AND(E65&gt;250,E65&lt;401),"251-400Km",AND(E65&gt;400,E65&lt;601),"401-600Km",E65&gt;600,"Above 600Km"),0)</f>
      </c>
      <c r="G65" s="37"/>
    </row>
    <row x14ac:dyDescent="0.25" r="66" customHeight="1" ht="18.75">
      <c r="A66" s="77">
        <v>65</v>
      </c>
      <c r="B66" s="78" t="s">
        <v>176</v>
      </c>
      <c r="C66" s="78" t="s">
        <v>80</v>
      </c>
      <c r="D66" s="79"/>
      <c r="E66" s="77">
        <v>73</v>
      </c>
      <c r="F66" s="80">
        <f>_xlfn.IFNA(_xlfn.IFS(AND(E66&gt;0,E66&lt;101),"0-100Km",AND(E66&gt;100,E66&lt;251),"101-250Km",AND(E66&gt;250,E66&lt;401),"251-400Km",AND(E66&gt;400,E66&lt;601),"401-600Km",E66&gt;600,"Above 600Km"),0)</f>
      </c>
      <c r="G66" s="37"/>
    </row>
    <row x14ac:dyDescent="0.25" r="67" customHeight="1" ht="18.75">
      <c r="A67" s="77">
        <v>66</v>
      </c>
      <c r="B67" s="78" t="s">
        <v>177</v>
      </c>
      <c r="C67" s="78" t="s">
        <v>178</v>
      </c>
      <c r="D67" s="79"/>
      <c r="E67" s="77">
        <v>239</v>
      </c>
      <c r="F67" s="80">
        <f>_xlfn.IFNA(_xlfn.IFS(AND(E67&gt;0,E67&lt;101),"0-100Km",AND(E67&gt;100,E67&lt;251),"101-250Km",AND(E67&gt;250,E67&lt;401),"251-400Km",AND(E67&gt;400,E67&lt;601),"401-600Km",E67&gt;600,"Above 600Km"),0)</f>
      </c>
      <c r="G67" s="37"/>
    </row>
    <row x14ac:dyDescent="0.25" r="68" customHeight="1" ht="18.75">
      <c r="A68" s="77">
        <v>67</v>
      </c>
      <c r="B68" s="78" t="s">
        <v>179</v>
      </c>
      <c r="C68" s="78" t="s">
        <v>180</v>
      </c>
      <c r="D68" s="79"/>
      <c r="E68" s="77">
        <v>32</v>
      </c>
      <c r="F68" s="80">
        <f>_xlfn.IFNA(_xlfn.IFS(AND(E68&gt;0,E68&lt;101),"0-100Km",AND(E68&gt;100,E68&lt;251),"101-250Km",AND(E68&gt;250,E68&lt;401),"251-400Km",AND(E68&gt;400,E68&lt;601),"401-600Km",E68&gt;600,"Above 600Km"),0)</f>
      </c>
      <c r="G68" s="37"/>
    </row>
    <row x14ac:dyDescent="0.25" r="69" customHeight="1" ht="18.75">
      <c r="A69" s="77">
        <v>68</v>
      </c>
      <c r="B69" s="78" t="s">
        <v>181</v>
      </c>
      <c r="C69" s="78" t="s">
        <v>182</v>
      </c>
      <c r="D69" s="79"/>
      <c r="E69" s="77">
        <v>105</v>
      </c>
      <c r="F69" s="80">
        <f>_xlfn.IFNA(_xlfn.IFS(AND(E69&gt;0,E69&lt;101),"0-100Km",AND(E69&gt;100,E69&lt;251),"101-250Km",AND(E69&gt;250,E69&lt;401),"251-400Km",AND(E69&gt;400,E69&lt;601),"401-600Km",E69&gt;600,"Above 600Km"),0)</f>
      </c>
      <c r="G69" s="37"/>
    </row>
    <row x14ac:dyDescent="0.25" r="70" customHeight="1" ht="18.75">
      <c r="A70" s="77">
        <v>69</v>
      </c>
      <c r="B70" s="78" t="s">
        <v>183</v>
      </c>
      <c r="C70" s="78" t="s">
        <v>163</v>
      </c>
      <c r="D70" s="79"/>
      <c r="E70" s="77">
        <v>175</v>
      </c>
      <c r="F70" s="80">
        <f>_xlfn.IFNA(_xlfn.IFS(AND(E70&gt;0,E70&lt;101),"0-100Km",AND(E70&gt;100,E70&lt;251),"101-250Km",AND(E70&gt;250,E70&lt;401),"251-400Km",AND(E70&gt;400,E70&lt;601),"401-600Km",E70&gt;600,"Above 600Km"),0)</f>
      </c>
      <c r="G70" s="37"/>
    </row>
    <row x14ac:dyDescent="0.25" r="71" customHeight="1" ht="18.75">
      <c r="A71" s="77">
        <v>70</v>
      </c>
      <c r="B71" s="78" t="s">
        <v>184</v>
      </c>
      <c r="C71" s="78" t="s">
        <v>111</v>
      </c>
      <c r="D71" s="79"/>
      <c r="E71" s="77">
        <v>13</v>
      </c>
      <c r="F71" s="80">
        <f>_xlfn.IFNA(_xlfn.IFS(AND(E71&gt;0,E71&lt;101),"0-100Km",AND(E71&gt;100,E71&lt;251),"101-250Km",AND(E71&gt;250,E71&lt;401),"251-400Km",AND(E71&gt;400,E71&lt;601),"401-600Km",E71&gt;600,"Above 600Km"),0)</f>
      </c>
      <c r="G71" s="37"/>
    </row>
    <row x14ac:dyDescent="0.25" r="72" customHeight="1" ht="18.75">
      <c r="A72" s="77">
        <v>71</v>
      </c>
      <c r="B72" s="78" t="s">
        <v>185</v>
      </c>
      <c r="C72" s="78" t="s">
        <v>186</v>
      </c>
      <c r="D72" s="79"/>
      <c r="E72" s="77">
        <v>278</v>
      </c>
      <c r="F72" s="80">
        <f>_xlfn.IFNA(_xlfn.IFS(AND(E72&gt;0,E72&lt;101),"0-100Km",AND(E72&gt;100,E72&lt;251),"101-250Km",AND(E72&gt;250,E72&lt;401),"251-400Km",AND(E72&gt;400,E72&lt;601),"401-600Km",E72&gt;600,"Above 600Km"),0)</f>
      </c>
      <c r="G72" s="37"/>
    </row>
    <row x14ac:dyDescent="0.25" r="73" customHeight="1" ht="18.75">
      <c r="A73" s="77">
        <v>72</v>
      </c>
      <c r="B73" s="78" t="s">
        <v>187</v>
      </c>
      <c r="C73" s="78" t="s">
        <v>103</v>
      </c>
      <c r="D73" s="79"/>
      <c r="E73" s="77">
        <v>73</v>
      </c>
      <c r="F73" s="80">
        <f>_xlfn.IFNA(_xlfn.IFS(AND(E73&gt;0,E73&lt;101),"0-100Km",AND(E73&gt;100,E73&lt;251),"101-250Km",AND(E73&gt;250,E73&lt;401),"251-400Km",AND(E73&gt;400,E73&lt;601),"401-600Km",E73&gt;600,"Above 600Km"),0)</f>
      </c>
      <c r="G73" s="37"/>
    </row>
    <row x14ac:dyDescent="0.25" r="74" customHeight="1" ht="18.75">
      <c r="A74" s="77">
        <v>73</v>
      </c>
      <c r="B74" s="78" t="s">
        <v>188</v>
      </c>
      <c r="C74" s="78" t="s">
        <v>189</v>
      </c>
      <c r="D74" s="79"/>
      <c r="E74" s="77">
        <v>112</v>
      </c>
      <c r="F74" s="80">
        <f>_xlfn.IFNA(_xlfn.IFS(AND(E74&gt;0,E74&lt;101),"0-100Km",AND(E74&gt;100,E74&lt;251),"101-250Km",AND(E74&gt;250,E74&lt;401),"251-400Km",AND(E74&gt;400,E74&lt;601),"401-600Km",E74&gt;600,"Above 600Km"),0)</f>
      </c>
      <c r="G74" s="37"/>
    </row>
    <row x14ac:dyDescent="0.25" r="75" customHeight="1" ht="18.75">
      <c r="A75" s="77">
        <v>74</v>
      </c>
      <c r="B75" s="78" t="s">
        <v>190</v>
      </c>
      <c r="C75" s="78" t="s">
        <v>191</v>
      </c>
      <c r="D75" s="79"/>
      <c r="E75" s="77">
        <v>297</v>
      </c>
      <c r="F75" s="80">
        <f>_xlfn.IFNA(_xlfn.IFS(AND(E75&gt;0,E75&lt;101),"0-100Km",AND(E75&gt;100,E75&lt;251),"101-250Km",AND(E75&gt;250,E75&lt;401),"251-400Km",AND(E75&gt;400,E75&lt;601),"401-600Km",E75&gt;600,"Above 600Km"),0)</f>
      </c>
      <c r="G75" s="37"/>
    </row>
    <row x14ac:dyDescent="0.25" r="76" customHeight="1" ht="18.75">
      <c r="A76" s="77">
        <v>75</v>
      </c>
      <c r="B76" s="78" t="s">
        <v>192</v>
      </c>
      <c r="C76" s="78" t="s">
        <v>193</v>
      </c>
      <c r="D76" s="79"/>
      <c r="E76" s="77">
        <v>248</v>
      </c>
      <c r="F76" s="80">
        <f>_xlfn.IFNA(_xlfn.IFS(AND(E76&gt;0,E76&lt;101),"0-100Km",AND(E76&gt;100,E76&lt;251),"101-250Km",AND(E76&gt;250,E76&lt;401),"251-400Km",AND(E76&gt;400,E76&lt;601),"401-600Km",E76&gt;600,"Above 600Km"),0)</f>
      </c>
      <c r="G76" s="37"/>
    </row>
    <row x14ac:dyDescent="0.25" r="77" customHeight="1" ht="18.75">
      <c r="A77" s="77">
        <v>76</v>
      </c>
      <c r="B77" s="78" t="s">
        <v>194</v>
      </c>
      <c r="C77" s="78" t="s">
        <v>195</v>
      </c>
      <c r="D77" s="79"/>
      <c r="E77" s="77">
        <v>116</v>
      </c>
      <c r="F77" s="80">
        <f>_xlfn.IFNA(_xlfn.IFS(AND(E77&gt;0,E77&lt;101),"0-100Km",AND(E77&gt;100,E77&lt;251),"101-250Km",AND(E77&gt;250,E77&lt;401),"251-400Km",AND(E77&gt;400,E77&lt;601),"401-600Km",E77&gt;600,"Above 600Km"),0)</f>
      </c>
      <c r="G77" s="37"/>
    </row>
    <row x14ac:dyDescent="0.25" r="78" customHeight="1" ht="18.75">
      <c r="A78" s="77">
        <v>77</v>
      </c>
      <c r="B78" s="85" t="s">
        <v>196</v>
      </c>
      <c r="C78" s="85" t="s">
        <v>197</v>
      </c>
      <c r="D78" s="86"/>
      <c r="E78" s="87">
        <v>109</v>
      </c>
      <c r="F78" s="80">
        <f>_xlfn.IFNA(_xlfn.IFS(AND(E78&gt;0,E78&lt;101),"0-100Km",AND(E78&gt;100,E78&lt;251),"101-250Km",AND(E78&gt;250,E78&lt;401),"251-400Km",AND(E78&gt;400,E78&lt;601),"401-600Km",E78&gt;600,"Above 600Km"),0)</f>
      </c>
      <c r="G78" s="37"/>
    </row>
    <row x14ac:dyDescent="0.25" r="79" customHeight="1" ht="18.75">
      <c r="A79" s="77">
        <v>78</v>
      </c>
      <c r="B79" s="88" t="s">
        <v>160</v>
      </c>
      <c r="C79" s="88" t="s">
        <v>161</v>
      </c>
      <c r="D79" s="89"/>
      <c r="E79" s="90">
        <v>173</v>
      </c>
      <c r="F79" s="80">
        <f>_xlfn.IFNA(_xlfn.IFS(AND(E79&gt;0,E79&lt;101),"0-100Km",AND(E79&gt;100,E79&lt;251),"101-250Km",AND(E79&gt;250,E79&lt;401),"251-400Km",AND(E79&gt;400,E79&lt;601),"401-600Km",E79&gt;600,"Above 600Km"),0)</f>
      </c>
      <c r="G79" s="37"/>
    </row>
    <row x14ac:dyDescent="0.25" r="80" customHeight="1" ht="18.75">
      <c r="A80" s="77">
        <v>79</v>
      </c>
      <c r="B80" s="88" t="s">
        <v>198</v>
      </c>
      <c r="C80" s="88" t="s">
        <v>199</v>
      </c>
      <c r="D80" s="89"/>
      <c r="E80" s="90">
        <v>209</v>
      </c>
      <c r="F80" s="80">
        <f>_xlfn.IFNA(_xlfn.IFS(AND(E80&gt;0,E80&lt;101),"0-100Km",AND(E80&gt;100,E80&lt;251),"101-250Km",AND(E80&gt;250,E80&lt;401),"251-400Km",AND(E80&gt;400,E80&lt;601),"401-600Km",E80&gt;600,"Above 600Km"),0)</f>
      </c>
      <c r="G80" s="37"/>
    </row>
    <row x14ac:dyDescent="0.25" r="81" customHeight="1" ht="18.75">
      <c r="A81" s="77">
        <v>80</v>
      </c>
      <c r="B81" s="88" t="s">
        <v>200</v>
      </c>
      <c r="C81" s="88" t="s">
        <v>201</v>
      </c>
      <c r="D81" s="89"/>
      <c r="E81" s="90">
        <v>137</v>
      </c>
      <c r="F81" s="80">
        <f>_xlfn.IFNA(_xlfn.IFS(AND(E81&gt;0,E81&lt;101),"0-100Km",AND(E81&gt;100,E81&lt;251),"101-250Km",AND(E81&gt;250,E81&lt;401),"251-400Km",AND(E81&gt;400,E81&lt;601),"401-600Km",E81&gt;600,"Above 600Km"),0)</f>
      </c>
      <c r="G81" s="37"/>
    </row>
    <row x14ac:dyDescent="0.25" r="82" customHeight="1" ht="18.75">
      <c r="A82" s="77">
        <v>81</v>
      </c>
      <c r="B82" s="88" t="s">
        <v>202</v>
      </c>
      <c r="C82" s="88" t="s">
        <v>195</v>
      </c>
      <c r="D82" s="89"/>
      <c r="E82" s="90">
        <v>116</v>
      </c>
      <c r="F82" s="80">
        <f>_xlfn.IFNA(_xlfn.IFS(AND(E82&gt;0,E82&lt;101),"0-100Km",AND(E82&gt;100,E82&lt;251),"101-250Km",AND(E82&gt;250,E82&lt;401),"251-400Km",AND(E82&gt;400,E82&lt;601),"401-600Km",E82&gt;600,"Above 600Km"),0)</f>
      </c>
      <c r="G82" s="37"/>
    </row>
    <row x14ac:dyDescent="0.25" r="83" customHeight="1" ht="18.75">
      <c r="A83" s="77">
        <v>82</v>
      </c>
      <c r="B83" s="88" t="s">
        <v>148</v>
      </c>
      <c r="C83" s="88" t="s">
        <v>203</v>
      </c>
      <c r="D83" s="90">
        <v>124507</v>
      </c>
      <c r="E83" s="90">
        <v>62</v>
      </c>
      <c r="F83" s="80">
        <f>_xlfn.IFNA(_xlfn.IFS(AND(E83&gt;0,E83&lt;101),"0-100Km",AND(E83&gt;100,E83&lt;251),"101-250Km",AND(E83&gt;250,E83&lt;401),"251-400Km",AND(E83&gt;400,E83&lt;601),"401-600Km",E83&gt;600,"Above 600Km"),0)</f>
      </c>
      <c r="G83" s="37"/>
    </row>
    <row x14ac:dyDescent="0.25" r="84" customHeight="1" ht="18.75">
      <c r="A84" s="77">
        <v>83</v>
      </c>
      <c r="B84" s="88" t="s">
        <v>204</v>
      </c>
      <c r="C84" s="88" t="s">
        <v>70</v>
      </c>
      <c r="D84" s="89"/>
      <c r="E84" s="90">
        <v>37</v>
      </c>
      <c r="F84" s="80">
        <f>_xlfn.IFNA(_xlfn.IFS(AND(E84&gt;0,E84&lt;101),"0-100Km",AND(E84&gt;100,E84&lt;251),"101-250Km",AND(E84&gt;250,E84&lt;401),"251-400Km",AND(E84&gt;400,E84&lt;601),"401-600Km",E84&gt;600,"Above 600Km"),0)</f>
      </c>
      <c r="G84" s="37"/>
    </row>
    <row x14ac:dyDescent="0.25" r="85" customHeight="1" ht="18.75">
      <c r="A85" s="77">
        <v>84</v>
      </c>
      <c r="B85" s="88" t="s">
        <v>205</v>
      </c>
      <c r="C85" s="88" t="s">
        <v>170</v>
      </c>
      <c r="D85" s="89"/>
      <c r="E85" s="90">
        <v>319</v>
      </c>
      <c r="F85" s="80">
        <f>_xlfn.IFNA(_xlfn.IFS(AND(E85&gt;0,E85&lt;101),"0-100Km",AND(E85&gt;100,E85&lt;251),"101-250Km",AND(E85&gt;250,E85&lt;401),"251-400Km",AND(E85&gt;400,E85&lt;601),"401-600Km",E85&gt;600,"Above 600Km"),0)</f>
      </c>
      <c r="G85" s="37"/>
    </row>
    <row x14ac:dyDescent="0.25" r="86" customHeight="1" ht="18.75">
      <c r="A86" s="77">
        <v>85</v>
      </c>
      <c r="B86" s="88" t="s">
        <v>206</v>
      </c>
      <c r="C86" s="88" t="s">
        <v>103</v>
      </c>
      <c r="D86" s="89"/>
      <c r="E86" s="90">
        <v>75</v>
      </c>
      <c r="F86" s="80">
        <f>_xlfn.IFNA(_xlfn.IFS(AND(E86&gt;0,E86&lt;101),"0-100Km",AND(E86&gt;100,E86&lt;251),"101-250Km",AND(E86&gt;250,E86&lt;401),"251-400Km",AND(E86&gt;400,E86&lt;601),"401-600Km",E86&gt;600,"Above 600Km"),0)</f>
      </c>
      <c r="G86" s="37"/>
    </row>
    <row x14ac:dyDescent="0.25" r="87" customHeight="1" ht="18.75">
      <c r="A87" s="77">
        <v>86</v>
      </c>
      <c r="B87" s="88" t="s">
        <v>207</v>
      </c>
      <c r="C87" s="88" t="s">
        <v>103</v>
      </c>
      <c r="D87" s="89"/>
      <c r="E87" s="90">
        <v>81</v>
      </c>
      <c r="F87" s="80">
        <f>_xlfn.IFNA(_xlfn.IFS(AND(E87&gt;0,E87&lt;101),"0-100Km",AND(E87&gt;100,E87&lt;251),"101-250Km",AND(E87&gt;250,E87&lt;401),"251-400Km",AND(E87&gt;400,E87&lt;601),"401-600Km",E87&gt;600,"Above 600Km"),0)</f>
      </c>
      <c r="G87" s="37"/>
    </row>
    <row x14ac:dyDescent="0.25" r="88" customHeight="1" ht="18.75">
      <c r="A88" s="77">
        <v>87</v>
      </c>
      <c r="B88" s="88" t="s">
        <v>208</v>
      </c>
      <c r="C88" s="88" t="s">
        <v>209</v>
      </c>
      <c r="D88" s="90">
        <v>244222</v>
      </c>
      <c r="E88" s="90">
        <v>164</v>
      </c>
      <c r="F88" s="80">
        <f>_xlfn.IFNA(_xlfn.IFS(AND(E88&gt;0,E88&lt;101),"0-100Km",AND(E88&gt;100,E88&lt;251),"101-250Km",AND(E88&gt;250,E88&lt;401),"251-400Km",AND(E88&gt;400,E88&lt;601),"401-600Km",E88&gt;600,"Above 600Km"),0)</f>
      </c>
      <c r="G88" s="37"/>
    </row>
    <row x14ac:dyDescent="0.25" r="89" customHeight="1" ht="18.75">
      <c r="A89" s="77">
        <v>88</v>
      </c>
      <c r="B89" s="88" t="s">
        <v>210</v>
      </c>
      <c r="C89" s="88" t="s">
        <v>117</v>
      </c>
      <c r="D89" s="89"/>
      <c r="E89" s="90">
        <v>185</v>
      </c>
      <c r="F89" s="82" t="s">
        <v>32</v>
      </c>
      <c r="G89" s="37"/>
    </row>
    <row x14ac:dyDescent="0.25" r="90" customHeight="1" ht="18.75">
      <c r="A90" s="77">
        <v>89</v>
      </c>
      <c r="B90" s="88" t="s">
        <v>134</v>
      </c>
      <c r="C90" s="88" t="s">
        <v>70</v>
      </c>
      <c r="D90" s="89"/>
      <c r="E90" s="90">
        <v>62</v>
      </c>
      <c r="F90" s="80">
        <f>_xlfn.IFNA(_xlfn.IFS(AND(E90&gt;0,E90&lt;101),"0-100Km",AND(E90&gt;100,E90&lt;251),"101-250Km",AND(E90&gt;250,E90&lt;401),"251-400Km",AND(E90&gt;400,E90&lt;601),"401-600Km",E90&gt;600,"Above 600Km"),0)</f>
      </c>
      <c r="G90" s="37"/>
    </row>
    <row x14ac:dyDescent="0.25" r="91" customHeight="1" ht="18.75">
      <c r="A91" s="77">
        <v>90</v>
      </c>
      <c r="B91" s="88" t="s">
        <v>211</v>
      </c>
      <c r="C91" s="88" t="s">
        <v>80</v>
      </c>
      <c r="D91" s="89"/>
      <c r="E91" s="90">
        <v>76</v>
      </c>
      <c r="F91" s="80">
        <f>_xlfn.IFNA(_xlfn.IFS(AND(E91&gt;0,E91&lt;101),"0-100Km",AND(E91&gt;100,E91&lt;251),"101-250Km",AND(E91&gt;250,E91&lt;401),"251-400Km",AND(E91&gt;400,E91&lt;601),"401-600Km",E91&gt;600,"Above 600Km"),0)</f>
      </c>
      <c r="G91" s="37"/>
    </row>
    <row x14ac:dyDescent="0.25" r="92" customHeight="1" ht="18.75">
      <c r="A92" s="90">
        <v>91</v>
      </c>
      <c r="B92" s="88" t="s">
        <v>211</v>
      </c>
      <c r="C92" s="88" t="s">
        <v>167</v>
      </c>
      <c r="D92" s="89"/>
      <c r="E92" s="90">
        <v>190</v>
      </c>
      <c r="F92" s="80">
        <f>_xlfn.IFNA(_xlfn.IFS(AND(E92&gt;0,E92&lt;101),"0-100Km",AND(E92&gt;100,E92&lt;251),"101-250Km",AND(E92&gt;250,E92&lt;401),"251-400Km",AND(E92&gt;400,E92&lt;601),"401-600Km",E92&gt;600,"Above 600Km"),0)</f>
      </c>
      <c r="G92" s="37"/>
    </row>
    <row x14ac:dyDescent="0.25" r="93" customHeight="1" ht="18.75">
      <c r="A93" s="90">
        <v>92</v>
      </c>
      <c r="B93" s="88" t="s">
        <v>212</v>
      </c>
      <c r="C93" s="88" t="s">
        <v>186</v>
      </c>
      <c r="D93" s="89"/>
      <c r="E93" s="90">
        <v>318</v>
      </c>
      <c r="F93" s="80">
        <f>_xlfn.IFNA(_xlfn.IFS(AND(E93&gt;0,E93&lt;101),"0-100Km",AND(E93&gt;100,E93&lt;251),"101-250Km",AND(E93&gt;250,E93&lt;401),"251-400Km",AND(E93&gt;400,E93&lt;601),"401-600Km",E93&gt;600,"Above 600Km"),0)</f>
      </c>
      <c r="G93" s="37"/>
    </row>
    <row x14ac:dyDescent="0.25" r="94" customHeight="1" ht="18.75">
      <c r="A94" s="90">
        <v>93</v>
      </c>
      <c r="B94" s="88" t="s">
        <v>213</v>
      </c>
      <c r="C94" s="88" t="s">
        <v>214</v>
      </c>
      <c r="D94" s="89"/>
      <c r="E94" s="90">
        <v>204</v>
      </c>
      <c r="F94" s="80">
        <f>_xlfn.IFNA(_xlfn.IFS(AND(E94&gt;0,E94&lt;101),"0-100Km",AND(E94&gt;100,E94&lt;251),"101-250Km",AND(E94&gt;250,E94&lt;401),"251-400Km",AND(E94&gt;400,E94&lt;601),"401-600Km",E94&gt;600,"Above 600Km"),0)</f>
      </c>
      <c r="G94" s="37"/>
    </row>
    <row x14ac:dyDescent="0.25" r="95" customHeight="1" ht="18.75">
      <c r="A95" s="90">
        <v>94</v>
      </c>
      <c r="B95" s="88" t="s">
        <v>215</v>
      </c>
      <c r="C95" s="88" t="s">
        <v>216</v>
      </c>
      <c r="D95" s="89"/>
      <c r="E95" s="90">
        <v>124</v>
      </c>
      <c r="F95" s="80">
        <f>_xlfn.IFNA(_xlfn.IFS(AND(E95&gt;0,E95&lt;101),"0-100Km",AND(E95&gt;100,E95&lt;251),"101-250Km",AND(E95&gt;250,E95&lt;401),"251-400Km",AND(E95&gt;400,E95&lt;601),"401-600Km",E95&gt;600,"Above 600Km"),0)</f>
      </c>
      <c r="G95" s="37"/>
    </row>
    <row x14ac:dyDescent="0.25" r="96" customHeight="1" ht="18.75">
      <c r="A96" s="90">
        <v>95</v>
      </c>
      <c r="B96" s="88" t="s">
        <v>217</v>
      </c>
      <c r="C96" s="88" t="s">
        <v>80</v>
      </c>
      <c r="D96" s="89"/>
      <c r="E96" s="90">
        <v>124</v>
      </c>
      <c r="F96" s="80">
        <f>_xlfn.IFNA(_xlfn.IFS(AND(E96&gt;0,E96&lt;101),"0-100Km",AND(E96&gt;100,E96&lt;251),"101-250Km",AND(E96&gt;250,E96&lt;401),"251-400Km",AND(E96&gt;400,E96&lt;601),"401-600Km",E96&gt;600,"Above 600Km"),0)</f>
      </c>
      <c r="G96" s="37"/>
    </row>
    <row x14ac:dyDescent="0.25" r="97" customHeight="1" ht="18.75">
      <c r="A97" s="90">
        <v>96</v>
      </c>
      <c r="B97" s="88" t="s">
        <v>218</v>
      </c>
      <c r="C97" s="88" t="s">
        <v>219</v>
      </c>
      <c r="D97" s="89"/>
      <c r="E97" s="90">
        <v>226</v>
      </c>
      <c r="F97" s="80">
        <f>_xlfn.IFNA(_xlfn.IFS(AND(E97&gt;0,E97&lt;101),"0-100Km",AND(E97&gt;100,E97&lt;251),"101-250Km",AND(E97&gt;250,E97&lt;401),"251-400Km",AND(E97&gt;400,E97&lt;601),"401-600Km",E97&gt;600,"Above 600Km"),0)</f>
      </c>
      <c r="G97" s="37"/>
    </row>
    <row x14ac:dyDescent="0.25" r="98" customHeight="1" ht="18.75">
      <c r="A98" s="90">
        <v>97</v>
      </c>
      <c r="B98" s="88" t="s">
        <v>220</v>
      </c>
      <c r="C98" s="88" t="s">
        <v>96</v>
      </c>
      <c r="D98" s="89"/>
      <c r="E98" s="90">
        <v>75</v>
      </c>
      <c r="F98" s="80">
        <f>_xlfn.IFNA(_xlfn.IFS(AND(E98&gt;0,E98&lt;101),"0-100Km",AND(E98&gt;100,E98&lt;251),"101-250Km",AND(E98&gt;250,E98&lt;401),"251-400Km",AND(E98&gt;400,E98&lt;601),"401-600Km",E98&gt;600,"Above 600Km"),0)</f>
      </c>
      <c r="G98" s="37"/>
    </row>
    <row x14ac:dyDescent="0.25" r="99" customHeight="1" ht="18.75">
      <c r="A99" s="90">
        <v>98</v>
      </c>
      <c r="B99" s="88" t="s">
        <v>221</v>
      </c>
      <c r="C99" s="88" t="s">
        <v>222</v>
      </c>
      <c r="D99" s="89"/>
      <c r="E99" s="90">
        <v>194</v>
      </c>
      <c r="F99" s="80">
        <f>_xlfn.IFNA(_xlfn.IFS(AND(E99&gt;0,E99&lt;101),"0-100Km",AND(E99&gt;100,E99&lt;251),"101-250Km",AND(E99&gt;250,E99&lt;401),"251-400Km",AND(E99&gt;400,E99&lt;601),"401-600Km",E99&gt;600,"Above 600Km"),0)</f>
      </c>
      <c r="G99" s="37"/>
    </row>
    <row x14ac:dyDescent="0.25" r="100" customHeight="1" ht="18.75">
      <c r="A100" s="90">
        <v>99</v>
      </c>
      <c r="B100" s="88" t="s">
        <v>204</v>
      </c>
      <c r="C100" s="88" t="s">
        <v>223</v>
      </c>
      <c r="D100" s="89"/>
      <c r="E100" s="90">
        <v>610</v>
      </c>
      <c r="F100" s="80">
        <f>_xlfn.IFNA(_xlfn.IFS(AND(E100&gt;0,E100&lt;101),"0-100Km",AND(E100&gt;100,E100&lt;251),"101-250Km",AND(E100&gt;250,E100&lt;401),"251-400Km",AND(E100&gt;400,E100&lt;601),"401-600Km",E100&gt;600,"Above 600Km"),0)</f>
      </c>
      <c r="G100" s="37"/>
    </row>
    <row x14ac:dyDescent="0.25" r="101" customHeight="1" ht="18.75">
      <c r="A101" s="90">
        <v>100</v>
      </c>
      <c r="B101" s="88" t="s">
        <v>97</v>
      </c>
      <c r="C101" s="88" t="s">
        <v>224</v>
      </c>
      <c r="D101" s="89"/>
      <c r="E101" s="90">
        <v>177</v>
      </c>
      <c r="F101" s="91">
        <f>_xlfn.IFNA(_xlfn.IFS(AND(E101&gt;0,E101&lt;101),"0-100Km",AND(E101&gt;100,E101&lt;251),"101-250Km",AND(E101&gt;250,E101&lt;401),"251-400Km",AND(E101&gt;400,E101&lt;601),"401-600Km",E101&gt;600,"Above 600Km"),0)</f>
      </c>
      <c r="G101" s="37"/>
    </row>
    <row x14ac:dyDescent="0.25" r="102" customHeight="1" ht="18.75">
      <c r="A102" s="90">
        <v>101</v>
      </c>
      <c r="B102" s="88" t="s">
        <v>225</v>
      </c>
      <c r="C102" s="88" t="s">
        <v>226</v>
      </c>
      <c r="D102" s="89"/>
      <c r="E102" s="90">
        <v>305</v>
      </c>
      <c r="F102" s="91">
        <f>_xlfn.IFNA(_xlfn.IFS(AND(E102&gt;0,E102&lt;101),"0-100Km",AND(E102&gt;100,E102&lt;251),"101-250Km",AND(E102&gt;250,E102&lt;401),"251-400Km",AND(E102&gt;400,E102&lt;601),"401-600Km",E102&gt;600,"Above 600Km"),0)</f>
      </c>
      <c r="G102" s="37"/>
    </row>
    <row x14ac:dyDescent="0.25" r="103" customHeight="1" ht="18.75">
      <c r="A103" s="90">
        <v>102</v>
      </c>
      <c r="B103" s="88" t="s">
        <v>227</v>
      </c>
      <c r="C103" s="88" t="s">
        <v>228</v>
      </c>
      <c r="D103" s="89"/>
      <c r="E103" s="89"/>
      <c r="F103" s="88"/>
      <c r="G103" s="37"/>
    </row>
    <row x14ac:dyDescent="0.25" r="104" customHeight="1" ht="18.75">
      <c r="A104" s="90">
        <v>103</v>
      </c>
      <c r="B104" s="88" t="s">
        <v>229</v>
      </c>
      <c r="C104" s="88" t="s">
        <v>230</v>
      </c>
      <c r="D104" s="89"/>
      <c r="E104" s="90">
        <v>31</v>
      </c>
      <c r="F104" s="88" t="s">
        <v>231</v>
      </c>
      <c r="G104" s="37"/>
    </row>
    <row x14ac:dyDescent="0.25" r="105" customHeight="1" ht="18.75">
      <c r="A105" s="90">
        <v>104</v>
      </c>
      <c r="B105" s="88" t="s">
        <v>232</v>
      </c>
      <c r="C105" s="88" t="s">
        <v>233</v>
      </c>
      <c r="D105" s="89"/>
      <c r="E105" s="90">
        <v>206</v>
      </c>
      <c r="F105" s="88" t="s">
        <v>32</v>
      </c>
      <c r="G105" s="37"/>
    </row>
    <row x14ac:dyDescent="0.25" r="106" customHeight="1" ht="18.75">
      <c r="A106" s="90">
        <v>105</v>
      </c>
      <c r="B106" s="88" t="s">
        <v>234</v>
      </c>
      <c r="C106" s="88" t="s">
        <v>235</v>
      </c>
      <c r="D106" s="89"/>
      <c r="E106" s="90">
        <v>304</v>
      </c>
      <c r="F106" s="88" t="s">
        <v>236</v>
      </c>
      <c r="G106" s="37"/>
    </row>
    <row x14ac:dyDescent="0.25" r="107" customHeight="1" ht="18.75">
      <c r="A107" s="90">
        <v>106</v>
      </c>
      <c r="B107" s="88" t="s">
        <v>237</v>
      </c>
      <c r="C107" s="88" t="s">
        <v>238</v>
      </c>
      <c r="D107" s="89"/>
      <c r="E107" s="89"/>
      <c r="F107" s="88"/>
      <c r="G107" s="37"/>
    </row>
    <row x14ac:dyDescent="0.25" r="108" customHeight="1" ht="18.75">
      <c r="A108" s="90">
        <v>107</v>
      </c>
      <c r="B108" s="88" t="s">
        <v>239</v>
      </c>
      <c r="C108" s="88" t="s">
        <v>240</v>
      </c>
      <c r="D108" s="89"/>
      <c r="E108" s="90">
        <v>372</v>
      </c>
      <c r="F108" s="88" t="s">
        <v>236</v>
      </c>
      <c r="G108" s="37"/>
    </row>
    <row x14ac:dyDescent="0.25" r="109" customHeight="1" ht="18.75">
      <c r="A109" s="90">
        <v>108</v>
      </c>
      <c r="B109" s="88" t="s">
        <v>241</v>
      </c>
      <c r="C109" s="88" t="s">
        <v>80</v>
      </c>
      <c r="D109" s="89"/>
      <c r="E109" s="90">
        <v>70</v>
      </c>
      <c r="F109" s="88" t="s">
        <v>231</v>
      </c>
      <c r="G109" s="37"/>
    </row>
    <row x14ac:dyDescent="0.25" r="110" customHeight="1" ht="18.75">
      <c r="A110" s="90">
        <v>109</v>
      </c>
      <c r="B110" s="88" t="s">
        <v>146</v>
      </c>
      <c r="C110" s="88" t="s">
        <v>242</v>
      </c>
      <c r="D110" s="89"/>
      <c r="E110" s="90">
        <v>90</v>
      </c>
      <c r="F110" s="88" t="s">
        <v>231</v>
      </c>
      <c r="G110" s="37"/>
    </row>
    <row x14ac:dyDescent="0.25" r="111" customHeight="1" ht="18.75">
      <c r="A111" s="90">
        <v>110</v>
      </c>
      <c r="B111" s="88" t="s">
        <v>243</v>
      </c>
      <c r="C111" s="88" t="s">
        <v>123</v>
      </c>
      <c r="D111" s="89"/>
      <c r="E111" s="90">
        <v>65</v>
      </c>
      <c r="F111" s="88" t="s">
        <v>231</v>
      </c>
      <c r="G111" s="37"/>
    </row>
    <row x14ac:dyDescent="0.25" r="112" customHeight="1" ht="18.75">
      <c r="A112" s="90">
        <v>111</v>
      </c>
      <c r="B112" s="88" t="s">
        <v>244</v>
      </c>
      <c r="C112" s="88" t="s">
        <v>140</v>
      </c>
      <c r="D112" s="89"/>
      <c r="E112" s="90">
        <v>234</v>
      </c>
      <c r="F112" s="88" t="s">
        <v>32</v>
      </c>
      <c r="G112" s="37"/>
    </row>
    <row x14ac:dyDescent="0.25" r="113" customHeight="1" ht="18.75">
      <c r="A113" s="90">
        <v>112</v>
      </c>
      <c r="B113" s="88" t="s">
        <v>245</v>
      </c>
      <c r="C113" s="88" t="s">
        <v>246</v>
      </c>
      <c r="D113" s="89"/>
      <c r="E113" s="90">
        <v>186</v>
      </c>
      <c r="F113" s="88" t="s">
        <v>32</v>
      </c>
      <c r="G113" s="37"/>
    </row>
    <row x14ac:dyDescent="0.25" r="114" customHeight="1" ht="18.75">
      <c r="A114" s="90">
        <v>113</v>
      </c>
      <c r="B114" s="88" t="s">
        <v>247</v>
      </c>
      <c r="C114" s="88" t="s">
        <v>248</v>
      </c>
      <c r="D114" s="90">
        <v>249201</v>
      </c>
      <c r="E114" s="90">
        <v>202</v>
      </c>
      <c r="F114" s="88" t="s">
        <v>32</v>
      </c>
      <c r="G114" s="37"/>
    </row>
    <row x14ac:dyDescent="0.25" r="115" customHeight="1" ht="18.75">
      <c r="A115" s="90">
        <v>114</v>
      </c>
      <c r="B115" s="88" t="s">
        <v>249</v>
      </c>
      <c r="C115" s="88" t="s">
        <v>250</v>
      </c>
      <c r="D115" s="90">
        <v>201001</v>
      </c>
      <c r="E115" s="90">
        <v>66</v>
      </c>
      <c r="F115" s="88" t="s">
        <v>231</v>
      </c>
      <c r="G115" s="37"/>
    </row>
    <row x14ac:dyDescent="0.25" r="116" customHeight="1" ht="18.75">
      <c r="A116" s="90">
        <v>115</v>
      </c>
      <c r="B116" s="88" t="s">
        <v>245</v>
      </c>
      <c r="C116" s="88" t="s">
        <v>251</v>
      </c>
      <c r="D116" s="90">
        <v>247661</v>
      </c>
      <c r="E116" s="90">
        <v>181</v>
      </c>
      <c r="F116" s="88" t="s">
        <v>32</v>
      </c>
      <c r="G116" s="37"/>
    </row>
    <row x14ac:dyDescent="0.25" r="117" customHeight="1" ht="18.75">
      <c r="A117" s="90">
        <v>116</v>
      </c>
      <c r="B117" s="88" t="s">
        <v>252</v>
      </c>
      <c r="C117" s="88" t="s">
        <v>145</v>
      </c>
      <c r="D117" s="90">
        <v>281005</v>
      </c>
      <c r="E117" s="90">
        <v>239</v>
      </c>
      <c r="F117" s="88" t="s">
        <v>32</v>
      </c>
      <c r="G117" s="37"/>
    </row>
    <row x14ac:dyDescent="0.25" r="118" customHeight="1" ht="18.75">
      <c r="A118" s="90">
        <v>117</v>
      </c>
      <c r="B118" s="88" t="s">
        <v>253</v>
      </c>
      <c r="C118" s="88" t="s">
        <v>169</v>
      </c>
      <c r="D118" s="90">
        <v>263153</v>
      </c>
      <c r="E118" s="90">
        <v>269</v>
      </c>
      <c r="F118" s="88" t="s">
        <v>236</v>
      </c>
      <c r="G118" s="37"/>
    </row>
    <row x14ac:dyDescent="0.25" r="119" customHeight="1" ht="18.75">
      <c r="A119" s="90">
        <v>118</v>
      </c>
      <c r="B119" s="88" t="s">
        <v>254</v>
      </c>
      <c r="C119" s="88" t="s">
        <v>255</v>
      </c>
      <c r="D119" s="90">
        <v>246174</v>
      </c>
      <c r="E119" s="90">
        <v>329</v>
      </c>
      <c r="F119" s="88" t="s">
        <v>236</v>
      </c>
      <c r="G119" s="37"/>
    </row>
    <row x14ac:dyDescent="0.25" r="120" customHeight="1" ht="18.75">
      <c r="A120" s="90">
        <v>119</v>
      </c>
      <c r="B120" s="88" t="s">
        <v>205</v>
      </c>
      <c r="C120" s="88" t="s">
        <v>214</v>
      </c>
      <c r="D120" s="90">
        <v>248001</v>
      </c>
      <c r="E120" s="90">
        <v>215</v>
      </c>
      <c r="F120" s="88" t="s">
        <v>32</v>
      </c>
      <c r="G120" s="37"/>
    </row>
    <row x14ac:dyDescent="0.25" r="121" customHeight="1" ht="18.75">
      <c r="A121" s="90">
        <v>120</v>
      </c>
      <c r="B121" s="88" t="s">
        <v>134</v>
      </c>
      <c r="C121" s="88" t="s">
        <v>80</v>
      </c>
      <c r="D121" s="90">
        <v>201003</v>
      </c>
      <c r="E121" s="90">
        <v>56</v>
      </c>
      <c r="F121" s="88" t="s">
        <v>231</v>
      </c>
      <c r="G121" s="92" t="s">
        <v>256</v>
      </c>
    </row>
    <row x14ac:dyDescent="0.25" r="122" customHeight="1" ht="18.75">
      <c r="A122" s="90">
        <v>121</v>
      </c>
      <c r="B122" s="88" t="s">
        <v>257</v>
      </c>
      <c r="C122" s="88" t="s">
        <v>203</v>
      </c>
      <c r="D122" s="90">
        <v>124507</v>
      </c>
      <c r="E122" s="90">
        <v>62</v>
      </c>
      <c r="F122" s="88" t="s">
        <v>231</v>
      </c>
      <c r="G122" s="37"/>
    </row>
    <row x14ac:dyDescent="0.25" r="123" customHeight="1" ht="18.75">
      <c r="A123" s="90">
        <v>122</v>
      </c>
      <c r="B123" s="88" t="s">
        <v>120</v>
      </c>
      <c r="C123" s="88" t="s">
        <v>155</v>
      </c>
      <c r="D123" s="90">
        <v>247001</v>
      </c>
      <c r="E123" s="90">
        <v>137</v>
      </c>
      <c r="F123" s="88" t="s">
        <v>32</v>
      </c>
      <c r="G123" s="37"/>
    </row>
    <row x14ac:dyDescent="0.25" r="124" customHeight="1" ht="18.75">
      <c r="A124" s="90">
        <v>123</v>
      </c>
      <c r="B124" s="88" t="s">
        <v>120</v>
      </c>
      <c r="C124" s="88" t="s">
        <v>115</v>
      </c>
      <c r="D124" s="90">
        <v>251001</v>
      </c>
      <c r="E124" s="90">
        <v>98</v>
      </c>
      <c r="F124" s="88" t="s">
        <v>231</v>
      </c>
      <c r="G124" s="37"/>
    </row>
    <row x14ac:dyDescent="0.25" r="125" customHeight="1" ht="18.75">
      <c r="A125" s="90">
        <v>124</v>
      </c>
      <c r="B125" s="88" t="s">
        <v>258</v>
      </c>
      <c r="C125" s="88" t="s">
        <v>259</v>
      </c>
      <c r="D125" s="90">
        <v>281403</v>
      </c>
      <c r="E125" s="90">
        <v>187</v>
      </c>
      <c r="F125" s="88" t="s">
        <v>32</v>
      </c>
      <c r="G125" s="37"/>
    </row>
    <row x14ac:dyDescent="0.25" r="126" customHeight="1" ht="18.75">
      <c r="A126" s="34">
        <v>125</v>
      </c>
      <c r="B126" s="33" t="s">
        <v>260</v>
      </c>
      <c r="C126" s="33" t="s">
        <v>216</v>
      </c>
      <c r="D126" s="34">
        <v>201305</v>
      </c>
      <c r="E126" s="34">
        <v>73</v>
      </c>
      <c r="F126" s="33" t="s">
        <v>231</v>
      </c>
      <c r="G126" s="3"/>
    </row>
    <row x14ac:dyDescent="0.25" r="127" customHeight="1" ht="18.75">
      <c r="A127" s="34">
        <v>126</v>
      </c>
      <c r="B127" s="33" t="s">
        <v>243</v>
      </c>
      <c r="C127" s="33" t="s">
        <v>123</v>
      </c>
      <c r="D127" s="34">
        <v>132103</v>
      </c>
      <c r="E127" s="34">
        <v>59</v>
      </c>
      <c r="F127" s="33" t="s">
        <v>231</v>
      </c>
      <c r="G127" s="3"/>
    </row>
    <row x14ac:dyDescent="0.25" r="128" customHeight="1" ht="18.75">
      <c r="A128" s="34">
        <v>127</v>
      </c>
      <c r="B128" s="33" t="s">
        <v>119</v>
      </c>
      <c r="C128" s="33" t="s">
        <v>261</v>
      </c>
      <c r="D128" s="34">
        <v>110042</v>
      </c>
      <c r="E128" s="34">
        <v>31</v>
      </c>
      <c r="F128" s="33" t="s">
        <v>231</v>
      </c>
      <c r="G128" s="3"/>
    </row>
    <row x14ac:dyDescent="0.25" r="129" customHeight="1" ht="18.75">
      <c r="A129" s="34">
        <v>128</v>
      </c>
      <c r="B129" s="33" t="s">
        <v>262</v>
      </c>
      <c r="C129" s="33" t="s">
        <v>263</v>
      </c>
      <c r="D129" s="34">
        <v>303012</v>
      </c>
      <c r="E129" s="34">
        <v>350</v>
      </c>
      <c r="F129" s="33" t="s">
        <v>236</v>
      </c>
      <c r="G129" s="3"/>
    </row>
    <row x14ac:dyDescent="0.25" r="130" customHeight="1" ht="18.75">
      <c r="A130" s="34">
        <v>129</v>
      </c>
      <c r="B130" s="33" t="s">
        <v>264</v>
      </c>
      <c r="C130" s="33" t="s">
        <v>80</v>
      </c>
      <c r="D130" s="34">
        <v>201010</v>
      </c>
      <c r="E130" s="34">
        <v>58</v>
      </c>
      <c r="F130" s="33" t="s">
        <v>231</v>
      </c>
      <c r="G130" s="3"/>
    </row>
    <row x14ac:dyDescent="0.25" r="131" customHeight="1" ht="18.75">
      <c r="A131" s="34">
        <v>130</v>
      </c>
      <c r="B131" s="33" t="s">
        <v>181</v>
      </c>
      <c r="C131" s="33" t="s">
        <v>182</v>
      </c>
      <c r="D131" s="34">
        <v>203205</v>
      </c>
      <c r="E131" s="34">
        <v>100</v>
      </c>
      <c r="F131" s="33" t="s">
        <v>231</v>
      </c>
      <c r="G131" s="3"/>
    </row>
    <row x14ac:dyDescent="0.25" r="132" customHeight="1" ht="18.75">
      <c r="A132" s="34">
        <v>131</v>
      </c>
      <c r="B132" s="33" t="s">
        <v>265</v>
      </c>
      <c r="C132" s="33" t="s">
        <v>266</v>
      </c>
      <c r="D132" s="34">
        <v>204215</v>
      </c>
      <c r="E132" s="34">
        <v>221</v>
      </c>
      <c r="F132" s="33" t="s">
        <v>32</v>
      </c>
      <c r="G132" s="3"/>
    </row>
    <row x14ac:dyDescent="0.25" r="133" customHeight="1" ht="18.75">
      <c r="A133" s="34">
        <v>132</v>
      </c>
      <c r="B133" s="33" t="s">
        <v>267</v>
      </c>
      <c r="C133" s="33" t="s">
        <v>155</v>
      </c>
      <c r="D133" s="34">
        <v>247001</v>
      </c>
      <c r="E133" s="34">
        <v>135</v>
      </c>
      <c r="F133" s="33" t="s">
        <v>32</v>
      </c>
      <c r="G133" s="3"/>
    </row>
    <row x14ac:dyDescent="0.25" r="134" customHeight="1" ht="18.75">
      <c r="A134" s="34">
        <v>133</v>
      </c>
      <c r="B134" s="33" t="s">
        <v>134</v>
      </c>
      <c r="C134" s="33" t="s">
        <v>115</v>
      </c>
      <c r="D134" s="34">
        <v>251002</v>
      </c>
      <c r="E134" s="34">
        <v>125</v>
      </c>
      <c r="F134" s="33" t="s">
        <v>32</v>
      </c>
      <c r="G134" s="3"/>
    </row>
    <row x14ac:dyDescent="0.25" r="135" customHeight="1" ht="18.75">
      <c r="A135" s="34">
        <v>134</v>
      </c>
      <c r="B135" s="33" t="s">
        <v>245</v>
      </c>
      <c r="C135" s="33" t="s">
        <v>246</v>
      </c>
      <c r="D135" s="34">
        <v>249403</v>
      </c>
      <c r="E135" s="34">
        <v>186</v>
      </c>
      <c r="F135" s="33" t="s">
        <v>32</v>
      </c>
      <c r="G135" s="3"/>
    </row>
    <row x14ac:dyDescent="0.25" r="136" customHeight="1" ht="18.75">
      <c r="A136" s="34">
        <v>135</v>
      </c>
      <c r="B136" s="33" t="s">
        <v>268</v>
      </c>
      <c r="C136" s="33" t="s">
        <v>115</v>
      </c>
      <c r="D136" s="34">
        <v>251001</v>
      </c>
      <c r="E136" s="34">
        <v>98</v>
      </c>
      <c r="F136" s="33" t="s">
        <v>231</v>
      </c>
      <c r="G136" s="3"/>
    </row>
    <row x14ac:dyDescent="0.25" r="137" customHeight="1" ht="18.75">
      <c r="A137" s="34">
        <v>136</v>
      </c>
      <c r="B137" s="33" t="s">
        <v>269</v>
      </c>
      <c r="C137" s="33" t="s">
        <v>270</v>
      </c>
      <c r="D137" s="34">
        <v>244001</v>
      </c>
      <c r="E137" s="34">
        <v>200</v>
      </c>
      <c r="F137" s="33" t="s">
        <v>32</v>
      </c>
      <c r="G137" s="3"/>
    </row>
    <row x14ac:dyDescent="0.25" r="138" customHeight="1" ht="18.75">
      <c r="A138" s="34">
        <v>137</v>
      </c>
      <c r="B138" s="33" t="s">
        <v>271</v>
      </c>
      <c r="C138" s="33" t="s">
        <v>272</v>
      </c>
      <c r="D138" s="34">
        <v>132114</v>
      </c>
      <c r="E138" s="34">
        <v>77</v>
      </c>
      <c r="F138" s="33" t="s">
        <v>231</v>
      </c>
      <c r="G138" s="3"/>
    </row>
    <row x14ac:dyDescent="0.25" r="139" customHeight="1" ht="18.75">
      <c r="A139" s="34">
        <v>138</v>
      </c>
      <c r="B139" s="33" t="s">
        <v>168</v>
      </c>
      <c r="C139" s="33" t="s">
        <v>273</v>
      </c>
      <c r="D139" s="34">
        <v>262530</v>
      </c>
      <c r="E139" s="34">
        <v>504</v>
      </c>
      <c r="F139" s="33" t="s">
        <v>274</v>
      </c>
      <c r="G139" s="3"/>
    </row>
    <row x14ac:dyDescent="0.25" r="140" customHeight="1" ht="18.75">
      <c r="A140" s="34">
        <v>139</v>
      </c>
      <c r="B140" s="33" t="s">
        <v>275</v>
      </c>
      <c r="C140" s="33" t="s">
        <v>276</v>
      </c>
      <c r="D140" s="34">
        <v>243638</v>
      </c>
      <c r="E140" s="34">
        <v>221</v>
      </c>
      <c r="F140" s="33" t="s">
        <v>32</v>
      </c>
      <c r="G140" s="3"/>
    </row>
    <row x14ac:dyDescent="0.25" r="141" customHeight="1" ht="18.75">
      <c r="A141" s="34">
        <v>140</v>
      </c>
      <c r="B141" s="33" t="s">
        <v>277</v>
      </c>
      <c r="C141" s="33" t="s">
        <v>278</v>
      </c>
      <c r="D141" s="34">
        <v>244302</v>
      </c>
      <c r="E141" s="34">
        <v>185</v>
      </c>
      <c r="F141" s="33" t="s">
        <v>32</v>
      </c>
      <c r="G141" s="3"/>
    </row>
    <row x14ac:dyDescent="0.25" r="142" customHeight="1" ht="18.75">
      <c r="A142" s="34">
        <v>141</v>
      </c>
      <c r="B142" s="33" t="s">
        <v>279</v>
      </c>
      <c r="C142" s="33" t="s">
        <v>178</v>
      </c>
      <c r="D142" s="34">
        <v>244924</v>
      </c>
      <c r="E142" s="34">
        <v>251</v>
      </c>
      <c r="F142" s="33" t="s">
        <v>236</v>
      </c>
      <c r="G142" s="3"/>
    </row>
    <row x14ac:dyDescent="0.25" r="143" customHeight="1" ht="18.75">
      <c r="A143" s="34">
        <v>142</v>
      </c>
      <c r="B143" s="33" t="s">
        <v>280</v>
      </c>
      <c r="C143" s="33" t="s">
        <v>281</v>
      </c>
      <c r="D143" s="34">
        <v>244713</v>
      </c>
      <c r="E143" s="34">
        <v>251</v>
      </c>
      <c r="F143" s="33" t="s">
        <v>236</v>
      </c>
      <c r="G143" s="3"/>
    </row>
    <row x14ac:dyDescent="0.25" r="144" customHeight="1" ht="18.75">
      <c r="A144" s="34">
        <v>143</v>
      </c>
      <c r="B144" s="33" t="s">
        <v>282</v>
      </c>
      <c r="C144" s="33" t="s">
        <v>283</v>
      </c>
      <c r="D144" s="34">
        <v>142001</v>
      </c>
      <c r="E144" s="34">
        <v>334</v>
      </c>
      <c r="F144" s="33" t="s">
        <v>236</v>
      </c>
      <c r="G144" s="3"/>
    </row>
    <row x14ac:dyDescent="0.25" r="145" customHeight="1" ht="18.75">
      <c r="A145" s="34">
        <v>144</v>
      </c>
      <c r="B145" s="33" t="s">
        <v>284</v>
      </c>
      <c r="C145" s="33" t="s">
        <v>155</v>
      </c>
      <c r="D145" s="34">
        <v>247001</v>
      </c>
      <c r="E145" s="34">
        <v>135</v>
      </c>
      <c r="F145" s="33" t="s">
        <v>32</v>
      </c>
      <c r="G145" s="3"/>
    </row>
    <row x14ac:dyDescent="0.25" r="146" customHeight="1" ht="18.75">
      <c r="A146" s="34">
        <v>145</v>
      </c>
      <c r="B146" s="33" t="s">
        <v>285</v>
      </c>
      <c r="C146" s="33" t="s">
        <v>140</v>
      </c>
      <c r="D146" s="34">
        <v>246762</v>
      </c>
      <c r="E146" s="34">
        <v>177</v>
      </c>
      <c r="F146" s="33" t="s">
        <v>32</v>
      </c>
      <c r="G146" s="3"/>
    </row>
    <row x14ac:dyDescent="0.25" r="147" customHeight="1" ht="18.75">
      <c r="A147" s="34">
        <v>146</v>
      </c>
      <c r="B147" s="33" t="s">
        <v>286</v>
      </c>
      <c r="C147" s="33" t="s">
        <v>169</v>
      </c>
      <c r="D147" s="34">
        <v>263153</v>
      </c>
      <c r="E147" s="34">
        <v>272</v>
      </c>
      <c r="F147" s="33" t="s">
        <v>236</v>
      </c>
      <c r="G147" s="3"/>
    </row>
    <row x14ac:dyDescent="0.25" r="148" customHeight="1" ht="18.75">
      <c r="A148" s="34">
        <v>147</v>
      </c>
      <c r="B148" s="33" t="s">
        <v>287</v>
      </c>
      <c r="C148" s="33" t="s">
        <v>246</v>
      </c>
      <c r="D148" s="34">
        <v>247656</v>
      </c>
      <c r="E148" s="34">
        <v>156</v>
      </c>
      <c r="F148" s="33" t="s">
        <v>32</v>
      </c>
      <c r="G148" s="3"/>
    </row>
    <row x14ac:dyDescent="0.25" r="149" customHeight="1" ht="18.75">
      <c r="A149" s="34">
        <v>148</v>
      </c>
      <c r="B149" s="33" t="s">
        <v>288</v>
      </c>
      <c r="C149" s="33" t="s">
        <v>289</v>
      </c>
      <c r="D149" s="34">
        <v>203131</v>
      </c>
      <c r="E149" s="34">
        <v>138</v>
      </c>
      <c r="F149" s="33" t="s">
        <v>32</v>
      </c>
      <c r="G149" s="3"/>
    </row>
    <row x14ac:dyDescent="0.25" r="150" customHeight="1" ht="18.75">
      <c r="A150" s="34">
        <v>149</v>
      </c>
      <c r="B150" s="33" t="s">
        <v>71</v>
      </c>
      <c r="C150" s="33" t="s">
        <v>117</v>
      </c>
      <c r="D150" s="34">
        <v>125001</v>
      </c>
      <c r="E150" s="34">
        <v>175</v>
      </c>
      <c r="F150" s="33" t="s">
        <v>32</v>
      </c>
      <c r="G150" s="3"/>
    </row>
    <row x14ac:dyDescent="0.25" r="151" customHeight="1" ht="18.75">
      <c r="A151" s="34">
        <v>150</v>
      </c>
      <c r="B151" s="33" t="s">
        <v>290</v>
      </c>
      <c r="C151" s="33" t="s">
        <v>197</v>
      </c>
      <c r="D151" s="34">
        <v>122413</v>
      </c>
      <c r="E151" s="34">
        <v>97</v>
      </c>
      <c r="F151" s="33" t="s">
        <v>231</v>
      </c>
      <c r="G151" s="3"/>
    </row>
    <row x14ac:dyDescent="0.25" r="152" customHeight="1" ht="18.75">
      <c r="A152" s="34">
        <v>151</v>
      </c>
      <c r="B152" s="33" t="s">
        <v>291</v>
      </c>
      <c r="C152" s="33" t="s">
        <v>145</v>
      </c>
      <c r="D152" s="34">
        <v>281403</v>
      </c>
      <c r="E152" s="34">
        <v>188</v>
      </c>
      <c r="F152" s="33" t="s">
        <v>32</v>
      </c>
      <c r="G152" s="3"/>
    </row>
    <row x14ac:dyDescent="0.25" r="153" customHeight="1" ht="18.75">
      <c r="A153" s="34">
        <v>152</v>
      </c>
      <c r="B153" s="33" t="s">
        <v>212</v>
      </c>
      <c r="C153" s="33" t="s">
        <v>186</v>
      </c>
      <c r="D153" s="34">
        <v>283125</v>
      </c>
      <c r="E153" s="34">
        <v>304</v>
      </c>
      <c r="F153" s="33" t="s">
        <v>236</v>
      </c>
      <c r="G153" s="3"/>
    </row>
    <row x14ac:dyDescent="0.25" r="154" customHeight="1" ht="18.75">
      <c r="A154" s="34">
        <v>153</v>
      </c>
      <c r="B154" s="33" t="s">
        <v>292</v>
      </c>
      <c r="C154" s="33" t="s">
        <v>92</v>
      </c>
      <c r="D154" s="34">
        <v>201306</v>
      </c>
      <c r="E154" s="34">
        <v>95</v>
      </c>
      <c r="F154" s="33" t="s">
        <v>231</v>
      </c>
      <c r="G154" s="3"/>
    </row>
    <row x14ac:dyDescent="0.25" r="155" customHeight="1" ht="18.75">
      <c r="A155" s="34">
        <v>154</v>
      </c>
      <c r="B155" s="33" t="s">
        <v>106</v>
      </c>
      <c r="C155" s="33" t="s">
        <v>117</v>
      </c>
      <c r="D155" s="34">
        <v>125001</v>
      </c>
      <c r="E155" s="34">
        <v>175</v>
      </c>
      <c r="F155" s="33" t="s">
        <v>32</v>
      </c>
      <c r="G155" s="3"/>
    </row>
    <row x14ac:dyDescent="0.25" r="156" customHeight="1" ht="18.75">
      <c r="A156" s="34">
        <v>155</v>
      </c>
      <c r="B156" s="33" t="s">
        <v>293</v>
      </c>
      <c r="C156" s="33" t="s">
        <v>167</v>
      </c>
      <c r="D156" s="34">
        <v>202001</v>
      </c>
      <c r="E156" s="34">
        <v>180</v>
      </c>
      <c r="F156" s="33" t="s">
        <v>32</v>
      </c>
      <c r="G156" s="3"/>
    </row>
    <row x14ac:dyDescent="0.25" r="157" customHeight="1" ht="18.75">
      <c r="A157" s="34">
        <v>156</v>
      </c>
      <c r="B157" s="33" t="s">
        <v>71</v>
      </c>
      <c r="C157" s="33" t="s">
        <v>117</v>
      </c>
      <c r="D157" s="34">
        <v>125001</v>
      </c>
      <c r="E157" s="34">
        <v>175</v>
      </c>
      <c r="F157" s="33" t="s">
        <v>32</v>
      </c>
      <c r="G157" s="3"/>
    </row>
    <row x14ac:dyDescent="0.25" r="158" customHeight="1" ht="18.75">
      <c r="A158" s="93"/>
      <c r="B158" s="33"/>
      <c r="C158" s="33"/>
      <c r="D158" s="93"/>
      <c r="E158" s="93"/>
      <c r="F158" s="33"/>
      <c r="G158" s="3"/>
    </row>
    <row x14ac:dyDescent="0.25" r="159" customHeight="1" ht="18.75">
      <c r="A159" s="93"/>
      <c r="B159" s="33"/>
      <c r="C159" s="33"/>
      <c r="D159" s="93"/>
      <c r="E159" s="93"/>
      <c r="F159" s="33"/>
      <c r="G159" s="3"/>
    </row>
    <row x14ac:dyDescent="0.25" r="160" customHeight="1" ht="18.75">
      <c r="A160" s="93"/>
      <c r="B160" s="33"/>
      <c r="C160" s="33"/>
      <c r="D160" s="93"/>
      <c r="E160" s="93"/>
      <c r="F160" s="33"/>
      <c r="G160" s="3"/>
    </row>
    <row x14ac:dyDescent="0.25" r="161" customHeight="1" ht="18.75">
      <c r="A161" s="93"/>
      <c r="B161" s="33"/>
      <c r="C161" s="33"/>
      <c r="D161" s="93"/>
      <c r="E161" s="93"/>
      <c r="F161" s="33"/>
      <c r="G161" s="3"/>
    </row>
    <row x14ac:dyDescent="0.25" r="162" customHeight="1" ht="18.75">
      <c r="A162" s="93"/>
      <c r="B162" s="33"/>
      <c r="C162" s="33"/>
      <c r="D162" s="93"/>
      <c r="E162" s="93"/>
      <c r="F162" s="33"/>
      <c r="G162" s="3"/>
    </row>
    <row x14ac:dyDescent="0.25" r="163" customHeight="1" ht="18.75">
      <c r="A163" s="93"/>
      <c r="B163" s="33"/>
      <c r="C163" s="33"/>
      <c r="D163" s="93"/>
      <c r="E163" s="93"/>
      <c r="F163" s="33"/>
      <c r="G163" s="3"/>
    </row>
    <row x14ac:dyDescent="0.25" r="164" customHeight="1" ht="18.75">
      <c r="A164" s="93"/>
      <c r="B164" s="33"/>
      <c r="C164" s="33"/>
      <c r="D164" s="93"/>
      <c r="E164" s="93"/>
      <c r="F164" s="33"/>
      <c r="G164" s="3"/>
    </row>
    <row x14ac:dyDescent="0.25" r="165" customHeight="1" ht="18.75">
      <c r="A165" s="93"/>
      <c r="B165" s="33"/>
      <c r="C165" s="33"/>
      <c r="D165" s="93"/>
      <c r="E165" s="93"/>
      <c r="F165" s="33"/>
      <c r="G165" s="3"/>
    </row>
    <row x14ac:dyDescent="0.25" r="166" customHeight="1" ht="18.75">
      <c r="A166" s="93"/>
      <c r="B166" s="33"/>
      <c r="C166" s="33"/>
      <c r="D166" s="93"/>
      <c r="E166" s="93"/>
      <c r="F166" s="33"/>
      <c r="G166" s="3"/>
    </row>
    <row x14ac:dyDescent="0.25" r="167" customHeight="1" ht="18.75">
      <c r="A167" s="93"/>
      <c r="B167" s="33"/>
      <c r="C167" s="33"/>
      <c r="D167" s="93"/>
      <c r="E167" s="93"/>
      <c r="F167" s="33"/>
      <c r="G167" s="3"/>
    </row>
    <row x14ac:dyDescent="0.25" r="168" customHeight="1" ht="18.75">
      <c r="A168" s="93"/>
      <c r="B168" s="33"/>
      <c r="C168" s="33"/>
      <c r="D168" s="93"/>
      <c r="E168" s="93"/>
      <c r="F168" s="33"/>
      <c r="G168" s="3"/>
    </row>
    <row x14ac:dyDescent="0.25" r="169" customHeight="1" ht="18.75">
      <c r="A169" s="93"/>
      <c r="B169" s="33"/>
      <c r="C169" s="33"/>
      <c r="D169" s="93"/>
      <c r="E169" s="93"/>
      <c r="F169" s="33"/>
      <c r="G169" s="3"/>
    </row>
    <row x14ac:dyDescent="0.25" r="170" customHeight="1" ht="18.75">
      <c r="A170" s="93"/>
      <c r="B170" s="33"/>
      <c r="C170" s="33"/>
      <c r="D170" s="93"/>
      <c r="E170" s="93"/>
      <c r="F170" s="33"/>
      <c r="G170" s="3"/>
    </row>
    <row x14ac:dyDescent="0.25" r="171" customHeight="1" ht="18.75">
      <c r="A171" s="93"/>
      <c r="B171" s="33"/>
      <c r="C171" s="33"/>
      <c r="D171" s="93"/>
      <c r="E171" s="93"/>
      <c r="F171" s="33"/>
      <c r="G171" s="3"/>
    </row>
    <row x14ac:dyDescent="0.25" r="172" customHeight="1" ht="18.75">
      <c r="A172" s="93"/>
      <c r="B172" s="33"/>
      <c r="C172" s="33"/>
      <c r="D172" s="93"/>
      <c r="E172" s="93"/>
      <c r="F172" s="33"/>
      <c r="G172" s="3"/>
    </row>
    <row x14ac:dyDescent="0.25" r="173" customHeight="1" ht="18.75">
      <c r="A173" s="93"/>
      <c r="B173" s="33"/>
      <c r="C173" s="33"/>
      <c r="D173" s="93"/>
      <c r="E173" s="93"/>
      <c r="F173" s="33"/>
      <c r="G173" s="3"/>
    </row>
    <row x14ac:dyDescent="0.25" r="174" customHeight="1" ht="18.75">
      <c r="A174" s="93"/>
      <c r="B174" s="33"/>
      <c r="C174" s="33"/>
      <c r="D174" s="93"/>
      <c r="E174" s="93"/>
      <c r="F174" s="33"/>
      <c r="G174" s="3"/>
    </row>
    <row x14ac:dyDescent="0.25" r="175" customHeight="1" ht="18.75">
      <c r="A175" s="93"/>
      <c r="B175" s="33"/>
      <c r="C175" s="33"/>
      <c r="D175" s="93"/>
      <c r="E175" s="93"/>
      <c r="F175" s="33"/>
      <c r="G175" s="3"/>
    </row>
    <row x14ac:dyDescent="0.25" r="176" customHeight="1" ht="18.75">
      <c r="A176" s="93"/>
      <c r="B176" s="33"/>
      <c r="C176" s="33"/>
      <c r="D176" s="93"/>
      <c r="E176" s="93"/>
      <c r="F176" s="33"/>
      <c r="G176" s="3"/>
    </row>
    <row x14ac:dyDescent="0.25" r="177" customHeight="1" ht="18.75">
      <c r="A177" s="93"/>
      <c r="B177" s="33"/>
      <c r="C177" s="33"/>
      <c r="D177" s="93"/>
      <c r="E177" s="93"/>
      <c r="F177" s="33"/>
      <c r="G177" s="3"/>
    </row>
    <row x14ac:dyDescent="0.25" r="178" customHeight="1" ht="18.75">
      <c r="A178" s="93"/>
      <c r="B178" s="33"/>
      <c r="C178" s="33"/>
      <c r="D178" s="93"/>
      <c r="E178" s="93"/>
      <c r="F178" s="33"/>
      <c r="G178" s="3"/>
    </row>
    <row x14ac:dyDescent="0.25" r="179" customHeight="1" ht="18.75">
      <c r="A179" s="93"/>
      <c r="B179" s="33"/>
      <c r="C179" s="33"/>
      <c r="D179" s="93"/>
      <c r="E179" s="93"/>
      <c r="F179" s="33"/>
      <c r="G179" s="3"/>
    </row>
    <row x14ac:dyDescent="0.25" r="180" customHeight="1" ht="18.75">
      <c r="A180" s="93"/>
      <c r="B180" s="33"/>
      <c r="C180" s="33"/>
      <c r="D180" s="93"/>
      <c r="E180" s="93"/>
      <c r="F180" s="33"/>
      <c r="G180" s="3"/>
    </row>
    <row x14ac:dyDescent="0.25" r="181" customHeight="1" ht="18.75">
      <c r="A181" s="93"/>
      <c r="B181" s="33"/>
      <c r="C181" s="33"/>
      <c r="D181" s="93"/>
      <c r="E181" s="93"/>
      <c r="F181" s="33"/>
      <c r="G181" s="3"/>
    </row>
    <row x14ac:dyDescent="0.25" r="182" customHeight="1" ht="18.75">
      <c r="A182" s="93"/>
      <c r="B182" s="33"/>
      <c r="C182" s="33"/>
      <c r="D182" s="93"/>
      <c r="E182" s="93"/>
      <c r="F182" s="33"/>
      <c r="G182" s="3"/>
    </row>
    <row x14ac:dyDescent="0.25" r="183" customHeight="1" ht="18.75">
      <c r="A183" s="93"/>
      <c r="B183" s="33"/>
      <c r="C183" s="33"/>
      <c r="D183" s="93"/>
      <c r="E183" s="93"/>
      <c r="F183" s="33"/>
      <c r="G183" s="3"/>
    </row>
    <row x14ac:dyDescent="0.25" r="184" customHeight="1" ht="18.75">
      <c r="A184" s="93"/>
      <c r="B184" s="33"/>
      <c r="C184" s="33"/>
      <c r="D184" s="93"/>
      <c r="E184" s="93"/>
      <c r="F184" s="33"/>
      <c r="G184" s="3"/>
    </row>
    <row x14ac:dyDescent="0.25" r="185" customHeight="1" ht="18.75">
      <c r="A185" s="93"/>
      <c r="B185" s="33"/>
      <c r="C185" s="33"/>
      <c r="D185" s="93"/>
      <c r="E185" s="93"/>
      <c r="F185" s="33"/>
      <c r="G185" s="3"/>
    </row>
    <row x14ac:dyDescent="0.25" r="186" customHeight="1" ht="18.75">
      <c r="A186" s="93"/>
      <c r="B186" s="33"/>
      <c r="C186" s="33"/>
      <c r="D186" s="93"/>
      <c r="E186" s="93"/>
      <c r="F186" s="33"/>
      <c r="G186" s="3"/>
    </row>
    <row x14ac:dyDescent="0.25" r="187" customHeight="1" ht="18.75">
      <c r="A187" s="93"/>
      <c r="B187" s="33"/>
      <c r="C187" s="33"/>
      <c r="D187" s="93"/>
      <c r="E187" s="93"/>
      <c r="F187" s="33"/>
      <c r="G187" s="3"/>
    </row>
    <row x14ac:dyDescent="0.25" r="188" customHeight="1" ht="18.75">
      <c r="A188" s="93"/>
      <c r="B188" s="33"/>
      <c r="C188" s="33"/>
      <c r="D188" s="93"/>
      <c r="E188" s="93"/>
      <c r="F188" s="33"/>
      <c r="G188" s="3"/>
    </row>
    <row x14ac:dyDescent="0.25" r="189" customHeight="1" ht="18.75">
      <c r="A189" s="93"/>
      <c r="B189" s="33"/>
      <c r="C189" s="33"/>
      <c r="D189" s="93"/>
      <c r="E189" s="93"/>
      <c r="F189" s="33"/>
      <c r="G189" s="3"/>
    </row>
    <row x14ac:dyDescent="0.25" r="190" customHeight="1" ht="18.75">
      <c r="A190" s="93"/>
      <c r="B190" s="33"/>
      <c r="C190" s="33"/>
      <c r="D190" s="93"/>
      <c r="E190" s="93"/>
      <c r="F190" s="33"/>
      <c r="G190" s="3"/>
    </row>
    <row x14ac:dyDescent="0.25" r="191" customHeight="1" ht="18.75">
      <c r="A191" s="93"/>
      <c r="B191" s="33"/>
      <c r="C191" s="33"/>
      <c r="D191" s="93"/>
      <c r="E191" s="93"/>
      <c r="F191" s="33"/>
      <c r="G191" s="3"/>
    </row>
    <row x14ac:dyDescent="0.25" r="192" customHeight="1" ht="18.75">
      <c r="A192" s="93"/>
      <c r="B192" s="33"/>
      <c r="C192" s="33"/>
      <c r="D192" s="93"/>
      <c r="E192" s="93"/>
      <c r="F192" s="33"/>
      <c r="G192" s="3"/>
    </row>
    <row x14ac:dyDescent="0.25" r="193" customHeight="1" ht="18.75">
      <c r="A193" s="93"/>
      <c r="B193" s="33"/>
      <c r="C193" s="33"/>
      <c r="D193" s="93"/>
      <c r="E193" s="93"/>
      <c r="F193" s="33"/>
      <c r="G193" s="3"/>
    </row>
    <row x14ac:dyDescent="0.25" r="194" customHeight="1" ht="18.75">
      <c r="A194" s="93"/>
      <c r="B194" s="33"/>
      <c r="C194" s="33"/>
      <c r="D194" s="93"/>
      <c r="E194" s="93"/>
      <c r="F194" s="33"/>
      <c r="G194" s="3"/>
    </row>
    <row x14ac:dyDescent="0.25" r="195" customHeight="1" ht="18.75">
      <c r="A195" s="93"/>
      <c r="B195" s="33"/>
      <c r="C195" s="33"/>
      <c r="D195" s="93"/>
      <c r="E195" s="93"/>
      <c r="F195" s="33"/>
      <c r="G195" s="3"/>
    </row>
    <row x14ac:dyDescent="0.25" r="196" customHeight="1" ht="18.75">
      <c r="A196" s="93"/>
      <c r="B196" s="33"/>
      <c r="C196" s="33"/>
      <c r="D196" s="93"/>
      <c r="E196" s="93"/>
      <c r="F196" s="33"/>
      <c r="G196" s="3"/>
    </row>
    <row x14ac:dyDescent="0.25" r="197" customHeight="1" ht="18.75">
      <c r="A197" s="93"/>
      <c r="B197" s="33"/>
      <c r="C197" s="33"/>
      <c r="D197" s="93"/>
      <c r="E197" s="93"/>
      <c r="F197" s="33"/>
      <c r="G197" s="3"/>
    </row>
    <row x14ac:dyDescent="0.25" r="198" customHeight="1" ht="18.75">
      <c r="A198" s="93"/>
      <c r="B198" s="33"/>
      <c r="C198" s="33"/>
      <c r="D198" s="93"/>
      <c r="E198" s="93"/>
      <c r="F198" s="33"/>
      <c r="G198" s="3"/>
    </row>
    <row x14ac:dyDescent="0.25" r="199" customHeight="1" ht="18.75">
      <c r="A199" s="93"/>
      <c r="B199" s="33"/>
      <c r="C199" s="33"/>
      <c r="D199" s="93"/>
      <c r="E199" s="93"/>
      <c r="F199" s="33"/>
      <c r="G199" s="3"/>
    </row>
    <row x14ac:dyDescent="0.25" r="200" customHeight="1" ht="18.75">
      <c r="A200" s="93"/>
      <c r="B200" s="33"/>
      <c r="C200" s="33"/>
      <c r="D200" s="93"/>
      <c r="E200" s="93"/>
      <c r="F200" s="33"/>
      <c r="G200" s="3"/>
    </row>
    <row x14ac:dyDescent="0.25" r="201" customHeight="1" ht="18.75">
      <c r="A201" s="93"/>
      <c r="B201" s="33"/>
      <c r="C201" s="33"/>
      <c r="D201" s="93"/>
      <c r="E201" s="93"/>
      <c r="F201" s="33"/>
      <c r="G201" s="3"/>
    </row>
    <row x14ac:dyDescent="0.25" r="202" customHeight="1" ht="18.75">
      <c r="A202" s="93"/>
      <c r="B202" s="33"/>
      <c r="C202" s="33"/>
      <c r="D202" s="93"/>
      <c r="E202" s="93"/>
      <c r="F202" s="33"/>
      <c r="G202" s="3"/>
    </row>
    <row x14ac:dyDescent="0.25" r="203" customHeight="1" ht="18.75">
      <c r="A203" s="93"/>
      <c r="B203" s="33"/>
      <c r="C203" s="33"/>
      <c r="D203" s="93"/>
      <c r="E203" s="93"/>
      <c r="F203" s="33"/>
      <c r="G203" s="3"/>
    </row>
    <row x14ac:dyDescent="0.25" r="204" customHeight="1" ht="18.75">
      <c r="A204" s="93"/>
      <c r="B204" s="33"/>
      <c r="C204" s="33"/>
      <c r="D204" s="93"/>
      <c r="E204" s="93"/>
      <c r="F204" s="33"/>
      <c r="G204" s="3"/>
    </row>
    <row x14ac:dyDescent="0.25" r="205" customHeight="1" ht="18.75">
      <c r="A205" s="93"/>
      <c r="B205" s="33"/>
      <c r="C205" s="33"/>
      <c r="D205" s="93"/>
      <c r="E205" s="93"/>
      <c r="F205" s="33"/>
      <c r="G205" s="3"/>
    </row>
    <row x14ac:dyDescent="0.25" r="206" customHeight="1" ht="18.75">
      <c r="A206" s="93"/>
      <c r="B206" s="33"/>
      <c r="C206" s="33"/>
      <c r="D206" s="93"/>
      <c r="E206" s="93"/>
      <c r="F206" s="33"/>
      <c r="G206" s="3"/>
    </row>
    <row x14ac:dyDescent="0.25" r="207" customHeight="1" ht="18.75">
      <c r="A207" s="93"/>
      <c r="B207" s="33"/>
      <c r="C207" s="33"/>
      <c r="D207" s="93"/>
      <c r="E207" s="93"/>
      <c r="F207" s="33"/>
      <c r="G207" s="3"/>
    </row>
    <row x14ac:dyDescent="0.25" r="208" customHeight="1" ht="18.75">
      <c r="A208" s="93"/>
      <c r="B208" s="33"/>
      <c r="C208" s="33"/>
      <c r="D208" s="93"/>
      <c r="E208" s="93"/>
      <c r="F208" s="33"/>
      <c r="G208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76"/>
  <sheetViews>
    <sheetView workbookViewId="0"/>
  </sheetViews>
  <sheetFormatPr defaultRowHeight="15" x14ac:dyDescent="0.25"/>
  <cols>
    <col min="1" max="1" style="59" width="10.290714285714287" customWidth="1" bestFit="1"/>
    <col min="2" max="2" style="14" width="7.433571428571429" customWidth="1" bestFit="1"/>
    <col min="3" max="3" style="35" width="19.14785714285714" customWidth="1" bestFit="1"/>
    <col min="4" max="4" style="35" width="16.719285714285714" customWidth="1" bestFit="1"/>
    <col min="5" max="5" style="35" width="20.290714285714284" customWidth="1" bestFit="1"/>
    <col min="6" max="6" style="35" width="19.862142857142857" customWidth="1" bestFit="1"/>
    <col min="7" max="7" style="35" width="17.719285714285714" customWidth="1" bestFit="1"/>
    <col min="8" max="8" style="35" width="17.862142857142857" customWidth="1" bestFit="1"/>
    <col min="9" max="9" style="14" width="13.576428571428572" customWidth="1" bestFit="1"/>
    <col min="10" max="10" style="14" width="15.43357142857143" customWidth="1" bestFit="1"/>
    <col min="11" max="11" style="73" width="19.719285714285714" customWidth="1" bestFit="1"/>
    <col min="12" max="12" style="73" width="18.005" customWidth="1" bestFit="1"/>
    <col min="13" max="13" style="73" width="16.433571428571426" customWidth="1" bestFit="1"/>
    <col min="14" max="14" style="74" width="12.43357142857143" customWidth="1" bestFit="1"/>
    <col min="15" max="15" style="14" width="13.576428571428572" customWidth="1" bestFit="1"/>
    <col min="16" max="16" style="14" width="10.43357142857143" customWidth="1" bestFit="1"/>
  </cols>
  <sheetData>
    <row x14ac:dyDescent="0.25" r="1" customHeight="1" ht="18.75">
      <c r="A1" s="61" t="s">
        <v>46</v>
      </c>
      <c r="B1" s="62" t="s">
        <v>52</v>
      </c>
      <c r="C1" s="63" t="s">
        <v>6</v>
      </c>
      <c r="D1" s="63" t="s">
        <v>53</v>
      </c>
      <c r="E1" s="63" t="s">
        <v>54</v>
      </c>
      <c r="F1" s="63" t="s">
        <v>55</v>
      </c>
      <c r="G1" s="63" t="s">
        <v>56</v>
      </c>
      <c r="H1" s="63" t="s">
        <v>57</v>
      </c>
      <c r="I1" s="3"/>
      <c r="J1" s="62"/>
      <c r="K1" s="63" t="s">
        <v>53</v>
      </c>
      <c r="L1" s="63" t="s">
        <v>6</v>
      </c>
      <c r="M1" s="63" t="s">
        <v>58</v>
      </c>
      <c r="N1" s="64" t="s">
        <v>59</v>
      </c>
      <c r="O1" s="3"/>
      <c r="P1" s="3"/>
    </row>
    <row x14ac:dyDescent="0.25" r="2" customHeight="1" ht="18.75">
      <c r="A2" s="55">
        <v>45734</v>
      </c>
      <c r="B2" s="65">
        <f>TEXT(A2,"mmm-yy")</f>
      </c>
      <c r="C2" s="66">
        <f>VLOOKUP(A2,'Revenue Sheet'!A:R,18,0)</f>
      </c>
      <c r="D2" s="66">
        <f>VLOOKUP(A2,'Expense Sheet'!A:F,6,0)</f>
      </c>
      <c r="E2" s="66">
        <f>C2</f>
      </c>
      <c r="F2" s="66">
        <f>D2</f>
      </c>
      <c r="G2" s="66">
        <f>IFERROR(C2-D2,"")</f>
      </c>
      <c r="H2" s="66">
        <f>IFERROR(E2-F2,"")</f>
      </c>
      <c r="I2" s="3"/>
      <c r="J2" s="62" t="s">
        <v>60</v>
      </c>
      <c r="K2" s="67">
        <f>VLOOKUP(TODAY()-1,A:D,4,0)</f>
      </c>
      <c r="L2" s="67">
        <f>VLOOKUP(TODAY()-1,A:D,3,0)</f>
      </c>
      <c r="M2" s="67">
        <f>L2-K2</f>
      </c>
      <c r="N2" s="68">
        <f>IFERROR(M2/L2,0)</f>
      </c>
      <c r="O2" s="3"/>
      <c r="P2" s="3"/>
    </row>
    <row x14ac:dyDescent="0.25" r="3" customHeight="1" ht="18.75">
      <c r="A3" s="55">
        <v>45735</v>
      </c>
      <c r="B3" s="65">
        <f>TEXT(A3,"mmm-yy")</f>
      </c>
      <c r="C3" s="66">
        <f>VLOOKUP(A3,'Revenue Sheet'!A:R,18,0)</f>
      </c>
      <c r="D3" s="66">
        <f>VLOOKUP(A3,'Expense Sheet'!A:F,6,0)</f>
      </c>
      <c r="E3" s="66">
        <f>IFERROR(C3+E2,"")</f>
      </c>
      <c r="F3" s="66">
        <f>IFERROR(D3+F2,"")</f>
      </c>
      <c r="G3" s="66">
        <f>IFERROR(C3-D3,"")</f>
      </c>
      <c r="H3" s="66">
        <f>IFERROR(E3-F3,"")</f>
      </c>
      <c r="I3" s="3"/>
      <c r="J3" s="62" t="s">
        <v>61</v>
      </c>
      <c r="K3" s="69">
        <f>SUMIF(B:B,TEXT(TODAY(),"mmm-yy"),D:D)</f>
      </c>
      <c r="L3" s="69">
        <f>SUMIF(B:B,TEXT(TODAY(),"mmm-yy"),C:C)</f>
      </c>
      <c r="M3" s="69">
        <f>L3-K3</f>
      </c>
      <c r="N3" s="68">
        <f>IFERROR(M3/L3,0)</f>
      </c>
      <c r="O3" s="3"/>
      <c r="P3" s="3"/>
    </row>
    <row x14ac:dyDescent="0.25" r="4" customHeight="1" ht="18.75">
      <c r="A4" s="55">
        <v>45736</v>
      </c>
      <c r="B4" s="65">
        <f>TEXT(A4,"mmm-yy")</f>
      </c>
      <c r="C4" s="66">
        <f>VLOOKUP(A4,'Revenue Sheet'!A:R,18,0)</f>
      </c>
      <c r="D4" s="66">
        <f>VLOOKUP(A4,'Expense Sheet'!A:F,6,0)</f>
      </c>
      <c r="E4" s="66">
        <f>IFERROR(C4+E3,"")</f>
      </c>
      <c r="F4" s="66">
        <f>IFERROR(D4+F3,"")</f>
      </c>
      <c r="G4" s="66">
        <f>IFERROR(C4-D4,"")</f>
      </c>
      <c r="H4" s="66">
        <f>IFERROR(E4-F4,"")</f>
      </c>
      <c r="I4" s="3"/>
      <c r="J4" s="62" t="s">
        <v>62</v>
      </c>
      <c r="K4" s="69">
        <f>SUMIF(B:B,TEXT(EOMONTH(EDATE(TODAY(),-1),0),"mmm-yy"),D:D)</f>
      </c>
      <c r="L4" s="69">
        <f>SUMIF(B:B,TEXT(EOMONTH(EDATE(TODAY(),-1),0),"mmm-yy"),C:C)</f>
      </c>
      <c r="M4" s="69">
        <f>L4-K4</f>
      </c>
      <c r="N4" s="68">
        <f>IFERROR(M4/L4,0)</f>
      </c>
      <c r="O4" s="3"/>
      <c r="P4" s="70"/>
    </row>
    <row x14ac:dyDescent="0.25" r="5" customHeight="1" ht="18.75">
      <c r="A5" s="55">
        <v>45737</v>
      </c>
      <c r="B5" s="65">
        <f>TEXT(A5,"mmm-yy")</f>
      </c>
      <c r="C5" s="66">
        <f>VLOOKUP(A5,'Revenue Sheet'!A:R,18,0)</f>
      </c>
      <c r="D5" s="66">
        <f>VLOOKUP(A5,'Expense Sheet'!A:F,6,0)</f>
      </c>
      <c r="E5" s="66">
        <f>IFERROR(C5+E4,"")</f>
      </c>
      <c r="F5" s="66">
        <f>IFERROR(D5+F4,"")</f>
      </c>
      <c r="G5" s="66">
        <f>IFERROR(C5-D5,"")</f>
      </c>
      <c r="H5" s="66">
        <f>IFERROR(E5-F5,"")</f>
      </c>
      <c r="I5" s="3"/>
      <c r="J5" s="62" t="s">
        <v>63</v>
      </c>
      <c r="K5" s="69">
        <f>SUM(D:D)</f>
      </c>
      <c r="L5" s="69">
        <f>SUM(C:C)</f>
      </c>
      <c r="M5" s="69">
        <f>L5-K5</f>
      </c>
      <c r="N5" s="68">
        <f>IFERROR(M5/L5,0)</f>
      </c>
      <c r="O5" s="3"/>
      <c r="P5" s="3"/>
    </row>
    <row x14ac:dyDescent="0.25" r="6" customHeight="1" ht="18.75">
      <c r="A6" s="55">
        <v>45738</v>
      </c>
      <c r="B6" s="65">
        <f>TEXT(A6,"mmm-yy")</f>
      </c>
      <c r="C6" s="66">
        <f>VLOOKUP(A6,'Revenue Sheet'!A:R,18,0)</f>
      </c>
      <c r="D6" s="66">
        <f>VLOOKUP(A6,'Expense Sheet'!A:F,6,0)</f>
      </c>
      <c r="E6" s="66">
        <f>IFERROR(C6+E5,"")</f>
      </c>
      <c r="F6" s="66">
        <f>IFERROR(D6+F5,"")</f>
      </c>
      <c r="G6" s="66">
        <f>IFERROR(C6-D6,"")</f>
      </c>
      <c r="H6" s="66">
        <f>IFERROR(E6-F6,"")</f>
      </c>
      <c r="I6" s="3"/>
      <c r="J6" s="3"/>
      <c r="K6" s="71"/>
      <c r="L6" s="71"/>
      <c r="M6" s="71"/>
      <c r="N6" s="72"/>
      <c r="O6" s="3"/>
      <c r="P6" s="3"/>
    </row>
    <row x14ac:dyDescent="0.25" r="7" customHeight="1" ht="18.75">
      <c r="A7" s="55">
        <v>45739</v>
      </c>
      <c r="B7" s="65">
        <f>TEXT(A7,"mmm-yy")</f>
      </c>
      <c r="C7" s="66">
        <f>VLOOKUP(A7,'Revenue Sheet'!A:R,18,0)</f>
      </c>
      <c r="D7" s="66">
        <f>VLOOKUP(A7,'Expense Sheet'!A:F,6,0)</f>
      </c>
      <c r="E7" s="66">
        <f>IFERROR(C7+E6,"")</f>
      </c>
      <c r="F7" s="66">
        <f>IFERROR(D7+F6,"")</f>
      </c>
      <c r="G7" s="66">
        <f>IFERROR(C7-D7,"")</f>
      </c>
      <c r="H7" s="66">
        <f>IFERROR(E7-F7,"")</f>
      </c>
      <c r="I7" s="3"/>
      <c r="J7" s="3"/>
      <c r="K7" s="71"/>
      <c r="L7" s="71"/>
      <c r="M7" s="71"/>
      <c r="N7" s="72"/>
      <c r="O7" s="3"/>
      <c r="P7" s="3"/>
    </row>
    <row x14ac:dyDescent="0.25" r="8" customHeight="1" ht="18.75">
      <c r="A8" s="55">
        <v>45740</v>
      </c>
      <c r="B8" s="65">
        <f>TEXT(A8,"mmm-yy")</f>
      </c>
      <c r="C8" s="66">
        <f>VLOOKUP(A8,'Revenue Sheet'!A:R,18,0)</f>
      </c>
      <c r="D8" s="66">
        <f>VLOOKUP(A8,'Expense Sheet'!A:F,6,0)</f>
      </c>
      <c r="E8" s="66">
        <f>IFERROR(C8+E7,"")</f>
      </c>
      <c r="F8" s="66">
        <f>IFERROR(D8+F7,"")</f>
      </c>
      <c r="G8" s="66">
        <f>IFERROR(C8-D8,"")</f>
      </c>
      <c r="H8" s="66">
        <f>IFERROR(E8-F8,"")</f>
      </c>
      <c r="I8" s="3"/>
      <c r="J8" s="3"/>
      <c r="K8" s="71"/>
      <c r="L8" s="71"/>
      <c r="M8" s="71"/>
      <c r="N8" s="72"/>
      <c r="O8" s="3"/>
      <c r="P8" s="3"/>
    </row>
    <row x14ac:dyDescent="0.25" r="9" customHeight="1" ht="18.75">
      <c r="A9" s="55">
        <v>45741</v>
      </c>
      <c r="B9" s="65">
        <f>TEXT(A9,"mmm-yy")</f>
      </c>
      <c r="C9" s="66">
        <f>VLOOKUP(A9,'Revenue Sheet'!A:R,18,0)</f>
      </c>
      <c r="D9" s="66">
        <f>VLOOKUP(A9,'Expense Sheet'!A:F,6,0)</f>
      </c>
      <c r="E9" s="66">
        <f>IFERROR(C9+E8,"")</f>
      </c>
      <c r="F9" s="66">
        <f>IFERROR(D9+F8,"")</f>
      </c>
      <c r="G9" s="66">
        <f>IFERROR(C9-D9,"")</f>
      </c>
      <c r="H9" s="66">
        <f>IFERROR(E9-F9,"")</f>
      </c>
      <c r="I9" s="3"/>
      <c r="J9" s="3"/>
      <c r="K9" s="71"/>
      <c r="L9" s="71"/>
      <c r="M9" s="71"/>
      <c r="N9" s="72"/>
      <c r="O9" s="3"/>
      <c r="P9" s="3"/>
    </row>
    <row x14ac:dyDescent="0.25" r="10" customHeight="1" ht="18.75">
      <c r="A10" s="55">
        <v>45742</v>
      </c>
      <c r="B10" s="65">
        <f>TEXT(A10,"mmm-yy")</f>
      </c>
      <c r="C10" s="66">
        <f>VLOOKUP(A10,'Revenue Sheet'!A:R,18,0)</f>
      </c>
      <c r="D10" s="66">
        <f>VLOOKUP(A10,'Expense Sheet'!A:F,6,0)</f>
      </c>
      <c r="E10" s="66">
        <f>IFERROR(C10+E9,"")</f>
      </c>
      <c r="F10" s="66">
        <f>IFERROR(D10+F9,"")</f>
      </c>
      <c r="G10" s="66">
        <f>IFERROR(C10-D10,"")</f>
      </c>
      <c r="H10" s="66">
        <f>IFERROR(E10-F10,"")</f>
      </c>
      <c r="I10" s="3"/>
      <c r="J10" s="3"/>
      <c r="K10" s="71"/>
      <c r="L10" s="71"/>
      <c r="M10" s="71"/>
      <c r="N10" s="72"/>
      <c r="O10" s="3"/>
      <c r="P10" s="3"/>
    </row>
    <row x14ac:dyDescent="0.25" r="11" customHeight="1" ht="18.75">
      <c r="A11" s="55">
        <v>45743</v>
      </c>
      <c r="B11" s="65">
        <f>TEXT(A11,"mmm-yy")</f>
      </c>
      <c r="C11" s="66">
        <f>VLOOKUP(A11,'Revenue Sheet'!A:R,18,0)</f>
      </c>
      <c r="D11" s="66">
        <f>VLOOKUP(A11,'Expense Sheet'!A:F,6,0)</f>
      </c>
      <c r="E11" s="66">
        <f>IFERROR(C11+E10,"")</f>
      </c>
      <c r="F11" s="66">
        <f>IFERROR(D11+F10,"")</f>
      </c>
      <c r="G11" s="66">
        <f>IFERROR(C11-D11,"")</f>
      </c>
      <c r="H11" s="66">
        <f>IFERROR(E11-F11,"")</f>
      </c>
      <c r="I11" s="3"/>
      <c r="J11" s="3"/>
      <c r="K11" s="71"/>
      <c r="L11" s="71"/>
      <c r="M11" s="71"/>
      <c r="N11" s="72"/>
      <c r="O11" s="3"/>
      <c r="P11" s="3"/>
    </row>
    <row x14ac:dyDescent="0.25" r="12" customHeight="1" ht="18.75">
      <c r="A12" s="55">
        <v>45744</v>
      </c>
      <c r="B12" s="65">
        <f>TEXT(A12,"mmm-yy")</f>
      </c>
      <c r="C12" s="66">
        <f>VLOOKUP(A12,'Revenue Sheet'!A:R,18,0)</f>
      </c>
      <c r="D12" s="66">
        <f>VLOOKUP(A12,'Expense Sheet'!A:F,6,0)</f>
      </c>
      <c r="E12" s="66">
        <f>IFERROR(C12+E11,"")</f>
      </c>
      <c r="F12" s="66">
        <f>IFERROR(D12+F11,"")</f>
      </c>
      <c r="G12" s="66">
        <f>IFERROR(C12-D12,"")</f>
      </c>
      <c r="H12" s="66">
        <f>IFERROR(E12-F12,"")</f>
      </c>
      <c r="I12" s="3"/>
      <c r="J12" s="3"/>
      <c r="K12" s="71"/>
      <c r="L12" s="71"/>
      <c r="M12" s="71"/>
      <c r="N12" s="72"/>
      <c r="O12" s="3"/>
      <c r="P12" s="3"/>
    </row>
    <row x14ac:dyDescent="0.25" r="13" customHeight="1" ht="18.75">
      <c r="A13" s="55">
        <v>45745</v>
      </c>
      <c r="B13" s="65">
        <f>TEXT(A13,"mmm-yy")</f>
      </c>
      <c r="C13" s="66">
        <f>VLOOKUP(A13,'Revenue Sheet'!A:R,18,0)</f>
      </c>
      <c r="D13" s="66">
        <f>VLOOKUP(A13,'Expense Sheet'!A:F,6,0)</f>
      </c>
      <c r="E13" s="66">
        <f>IFERROR(C13+E12,"")</f>
      </c>
      <c r="F13" s="66">
        <f>IFERROR(D13+F12,"")</f>
      </c>
      <c r="G13" s="66">
        <f>IFERROR(C13-D13,"")</f>
      </c>
      <c r="H13" s="66">
        <f>IFERROR(E13-F13,"")</f>
      </c>
      <c r="I13" s="3"/>
      <c r="J13" s="3"/>
      <c r="K13" s="71"/>
      <c r="L13" s="71"/>
      <c r="M13" s="71"/>
      <c r="N13" s="72"/>
      <c r="O13" s="3"/>
      <c r="P13" s="3"/>
    </row>
    <row x14ac:dyDescent="0.25" r="14" customHeight="1" ht="18.75">
      <c r="A14" s="55">
        <v>45746</v>
      </c>
      <c r="B14" s="65">
        <f>TEXT(A14,"mmm-yy")</f>
      </c>
      <c r="C14" s="66">
        <f>VLOOKUP(A14,'Revenue Sheet'!A:R,18,0)</f>
      </c>
      <c r="D14" s="66">
        <f>VLOOKUP(A14,'Expense Sheet'!A:F,6,0)</f>
      </c>
      <c r="E14" s="66">
        <f>IFERROR(C14+E13,"")</f>
      </c>
      <c r="F14" s="66">
        <f>IFERROR(D14+F13,"")</f>
      </c>
      <c r="G14" s="66">
        <f>IFERROR(C14-D14,"")</f>
      </c>
      <c r="H14" s="66">
        <f>IFERROR(E14-F14,"")</f>
      </c>
      <c r="I14" s="3"/>
      <c r="J14" s="3"/>
      <c r="K14" s="71"/>
      <c r="L14" s="71"/>
      <c r="M14" s="71"/>
      <c r="N14" s="72"/>
      <c r="O14" s="3"/>
      <c r="P14" s="3"/>
    </row>
    <row x14ac:dyDescent="0.25" r="15" customHeight="1" ht="18.75">
      <c r="A15" s="55">
        <v>45747</v>
      </c>
      <c r="B15" s="65">
        <f>TEXT(A15,"mmm-yy")</f>
      </c>
      <c r="C15" s="66">
        <f>VLOOKUP(A15,'Revenue Sheet'!A:R,18,0)</f>
      </c>
      <c r="D15" s="66">
        <f>VLOOKUP(A15,'Expense Sheet'!A:F,6,0)</f>
      </c>
      <c r="E15" s="66">
        <f>IFERROR(C15+E14,"")</f>
      </c>
      <c r="F15" s="66">
        <f>IFERROR(D15+F14,"")</f>
      </c>
      <c r="G15" s="66">
        <f>IFERROR(C15-D15,"")</f>
      </c>
      <c r="H15" s="66">
        <f>IFERROR(E15-F15,"")</f>
      </c>
      <c r="I15" s="3"/>
      <c r="J15" s="3"/>
      <c r="K15" s="71"/>
      <c r="L15" s="71"/>
      <c r="M15" s="71"/>
      <c r="N15" s="72"/>
      <c r="O15" s="3"/>
      <c r="P15" s="3"/>
    </row>
    <row x14ac:dyDescent="0.25" r="16" customHeight="1" ht="18.75">
      <c r="A16" s="55">
        <v>45748</v>
      </c>
      <c r="B16" s="65">
        <f>TEXT(A16,"mmm-yy")</f>
      </c>
      <c r="C16" s="66">
        <f>VLOOKUP(A16,'Revenue Sheet'!A:R,18,0)</f>
      </c>
      <c r="D16" s="66">
        <f>VLOOKUP(A16,'Expense Sheet'!A:F,6,0)</f>
      </c>
      <c r="E16" s="66">
        <f>IFERROR(C16+E15,"")</f>
      </c>
      <c r="F16" s="66">
        <f>IFERROR(D16+F15,"")</f>
      </c>
      <c r="G16" s="66">
        <f>IFERROR(C16-D16,"")</f>
      </c>
      <c r="H16" s="66">
        <f>IFERROR(E16-F16,"")</f>
      </c>
      <c r="I16" s="3"/>
      <c r="J16" s="3"/>
      <c r="K16" s="71"/>
      <c r="L16" s="71"/>
      <c r="M16" s="71"/>
      <c r="N16" s="72"/>
      <c r="O16" s="3"/>
      <c r="P16" s="3"/>
    </row>
    <row x14ac:dyDescent="0.25" r="17" customHeight="1" ht="18.75">
      <c r="A17" s="55">
        <v>45749</v>
      </c>
      <c r="B17" s="65">
        <f>TEXT(A17,"mmm-yy")</f>
      </c>
      <c r="C17" s="66">
        <f>VLOOKUP(A17,'Revenue Sheet'!A:R,18,0)</f>
      </c>
      <c r="D17" s="66">
        <f>VLOOKUP(A17,'Expense Sheet'!A:F,6,0)</f>
      </c>
      <c r="E17" s="66">
        <f>IFERROR(C17+E16,"")</f>
      </c>
      <c r="F17" s="66">
        <f>IFERROR(D17+F16,"")</f>
      </c>
      <c r="G17" s="66">
        <f>IFERROR(C17-D17,"")</f>
      </c>
      <c r="H17" s="66">
        <f>IFERROR(E17-F17,"")</f>
      </c>
      <c r="I17" s="3"/>
      <c r="J17" s="3"/>
      <c r="K17" s="71"/>
      <c r="L17" s="71"/>
      <c r="M17" s="71"/>
      <c r="N17" s="72"/>
      <c r="O17" s="3"/>
      <c r="P17" s="3"/>
    </row>
    <row x14ac:dyDescent="0.25" r="18" customHeight="1" ht="18.75">
      <c r="A18" s="55">
        <v>45750</v>
      </c>
      <c r="B18" s="65">
        <f>TEXT(A18,"mmm-yy")</f>
      </c>
      <c r="C18" s="66">
        <f>VLOOKUP(A18,'Revenue Sheet'!A:R,18,0)</f>
      </c>
      <c r="D18" s="66">
        <f>VLOOKUP(A18,'Expense Sheet'!A:F,6,0)</f>
      </c>
      <c r="E18" s="66">
        <f>IFERROR(C18+E17,"")</f>
      </c>
      <c r="F18" s="66">
        <f>IFERROR(D18+F17,"")</f>
      </c>
      <c r="G18" s="66">
        <f>IFERROR(C18-D18,"")</f>
      </c>
      <c r="H18" s="66">
        <f>IFERROR(E18-F18,"")</f>
      </c>
      <c r="I18" s="3"/>
      <c r="J18" s="3"/>
      <c r="K18" s="71"/>
      <c r="L18" s="71"/>
      <c r="M18" s="71"/>
      <c r="N18" s="72"/>
      <c r="O18" s="3"/>
      <c r="P18" s="3"/>
    </row>
    <row x14ac:dyDescent="0.25" r="19" customHeight="1" ht="18.75">
      <c r="A19" s="55">
        <v>45751</v>
      </c>
      <c r="B19" s="65">
        <f>TEXT(A19,"mmm-yy")</f>
      </c>
      <c r="C19" s="66">
        <f>VLOOKUP(A19,'Revenue Sheet'!A:R,18,0)</f>
      </c>
      <c r="D19" s="66">
        <f>VLOOKUP(A19,'Expense Sheet'!A:F,6,0)</f>
      </c>
      <c r="E19" s="66">
        <f>IFERROR(C19+E18,"")</f>
      </c>
      <c r="F19" s="66">
        <f>IFERROR(D19+F18,"")</f>
      </c>
      <c r="G19" s="66">
        <f>IFERROR(C19-D19,"")</f>
      </c>
      <c r="H19" s="66">
        <f>IFERROR(E19-F19,"")</f>
      </c>
      <c r="I19" s="3"/>
      <c r="J19" s="3"/>
      <c r="K19" s="71"/>
      <c r="L19" s="71"/>
      <c r="M19" s="71"/>
      <c r="N19" s="72"/>
      <c r="O19" s="3"/>
      <c r="P19" s="3"/>
    </row>
    <row x14ac:dyDescent="0.25" r="20" customHeight="1" ht="18.75">
      <c r="A20" s="55">
        <v>45752</v>
      </c>
      <c r="B20" s="65">
        <f>TEXT(A20,"mmm-yy")</f>
      </c>
      <c r="C20" s="66">
        <f>VLOOKUP(A20,'Revenue Sheet'!A:R,18,0)</f>
      </c>
      <c r="D20" s="66">
        <f>VLOOKUP(A20,'Expense Sheet'!A:F,6,0)</f>
      </c>
      <c r="E20" s="66">
        <f>IFERROR(C20+E19,"")</f>
      </c>
      <c r="F20" s="66">
        <f>IFERROR(D20+F19,"")</f>
      </c>
      <c r="G20" s="66">
        <f>IFERROR(C20-D20,"")</f>
      </c>
      <c r="H20" s="66">
        <f>IFERROR(E20-F20,"")</f>
      </c>
      <c r="I20" s="3"/>
      <c r="J20" s="3"/>
      <c r="K20" s="71"/>
      <c r="L20" s="71"/>
      <c r="M20" s="71"/>
      <c r="N20" s="72"/>
      <c r="O20" s="3"/>
      <c r="P20" s="3"/>
    </row>
    <row x14ac:dyDescent="0.25" r="21" customHeight="1" ht="18.75">
      <c r="A21" s="55">
        <v>45753</v>
      </c>
      <c r="B21" s="65">
        <f>TEXT(A21,"mmm-yy")</f>
      </c>
      <c r="C21" s="66">
        <f>VLOOKUP(A21,'Revenue Sheet'!A:R,18,0)</f>
      </c>
      <c r="D21" s="66">
        <f>VLOOKUP(A21,'Expense Sheet'!A:F,6,0)</f>
      </c>
      <c r="E21" s="66">
        <f>IFERROR(C21+E20,"")</f>
      </c>
      <c r="F21" s="66">
        <f>IFERROR(D21+F20,"")</f>
      </c>
      <c r="G21" s="66">
        <f>IFERROR(C21-D21,"")</f>
      </c>
      <c r="H21" s="66">
        <f>IFERROR(E21-F21,"")</f>
      </c>
      <c r="I21" s="3"/>
      <c r="J21" s="3"/>
      <c r="K21" s="71"/>
      <c r="L21" s="71"/>
      <c r="M21" s="71"/>
      <c r="N21" s="72"/>
      <c r="O21" s="3"/>
      <c r="P21" s="3"/>
    </row>
    <row x14ac:dyDescent="0.25" r="22" customHeight="1" ht="18.75">
      <c r="A22" s="55">
        <v>45754</v>
      </c>
      <c r="B22" s="65">
        <f>TEXT(A22,"mmm-yy")</f>
      </c>
      <c r="C22" s="66">
        <f>VLOOKUP(A22,'Revenue Sheet'!A:R,18,0)</f>
      </c>
      <c r="D22" s="66">
        <f>VLOOKUP(A22,'Expense Sheet'!A:F,6,0)</f>
      </c>
      <c r="E22" s="66">
        <f>IFERROR(C22+E21,"")</f>
      </c>
      <c r="F22" s="66">
        <f>IFERROR(D22+F21,"")</f>
      </c>
      <c r="G22" s="66">
        <f>IFERROR(C22-D22,"")</f>
      </c>
      <c r="H22" s="66">
        <f>IFERROR(E22-F22,"")</f>
      </c>
      <c r="I22" s="3"/>
      <c r="J22" s="3"/>
      <c r="K22" s="71"/>
      <c r="L22" s="71"/>
      <c r="M22" s="71"/>
      <c r="N22" s="72"/>
      <c r="O22" s="3"/>
      <c r="P22" s="3"/>
    </row>
    <row x14ac:dyDescent="0.25" r="23" customHeight="1" ht="18.75">
      <c r="A23" s="55">
        <v>45755</v>
      </c>
      <c r="B23" s="65">
        <f>TEXT(A23,"mmm-yy")</f>
      </c>
      <c r="C23" s="66">
        <f>VLOOKUP(A23,'Revenue Sheet'!A:R,18,0)</f>
      </c>
      <c r="D23" s="66">
        <f>VLOOKUP(A23,'Expense Sheet'!A:F,6,0)</f>
      </c>
      <c r="E23" s="66">
        <f>IFERROR(C23+E22,"")</f>
      </c>
      <c r="F23" s="66">
        <f>IFERROR(D23+F22,"")</f>
      </c>
      <c r="G23" s="66">
        <f>IFERROR(C23-D23,"")</f>
      </c>
      <c r="H23" s="66">
        <f>IFERROR(E23-F23,"")</f>
      </c>
      <c r="I23" s="3"/>
      <c r="J23" s="3"/>
      <c r="K23" s="71"/>
      <c r="L23" s="71"/>
      <c r="M23" s="71"/>
      <c r="N23" s="72"/>
      <c r="O23" s="3"/>
      <c r="P23" s="3"/>
    </row>
    <row x14ac:dyDescent="0.25" r="24" customHeight="1" ht="18.75">
      <c r="A24" s="55">
        <v>45756</v>
      </c>
      <c r="B24" s="65">
        <f>TEXT(A24,"mmm-yy")</f>
      </c>
      <c r="C24" s="66">
        <f>VLOOKUP(A24,'Revenue Sheet'!A:R,18,0)</f>
      </c>
      <c r="D24" s="66">
        <f>VLOOKUP(A24,'Expense Sheet'!A:F,6,0)</f>
      </c>
      <c r="E24" s="66">
        <f>IFERROR(C24+E23,"")</f>
      </c>
      <c r="F24" s="66">
        <f>IFERROR(D24+F23,"")</f>
      </c>
      <c r="G24" s="66">
        <f>IFERROR(C24-D24,"")</f>
      </c>
      <c r="H24" s="66">
        <f>IFERROR(E24-F24,"")</f>
      </c>
      <c r="I24" s="3"/>
      <c r="J24" s="3"/>
      <c r="K24" s="71"/>
      <c r="L24" s="71"/>
      <c r="M24" s="71"/>
      <c r="N24" s="72"/>
      <c r="O24" s="3"/>
      <c r="P24" s="3"/>
    </row>
    <row x14ac:dyDescent="0.25" r="25" customHeight="1" ht="18.75">
      <c r="A25" s="55">
        <v>45757</v>
      </c>
      <c r="B25" s="65">
        <f>TEXT(A25,"mmm-yy")</f>
      </c>
      <c r="C25" s="66">
        <f>VLOOKUP(A25,'Revenue Sheet'!A:R,18,0)</f>
      </c>
      <c r="D25" s="66">
        <f>VLOOKUP(A25,'Expense Sheet'!A:F,6,0)</f>
      </c>
      <c r="E25" s="66">
        <f>IFERROR(C25+E24,"")</f>
      </c>
      <c r="F25" s="66">
        <f>IFERROR(D25+F24,"")</f>
      </c>
      <c r="G25" s="66">
        <f>IFERROR(C25-D25,"")</f>
      </c>
      <c r="H25" s="66">
        <f>IFERROR(E25-F25,"")</f>
      </c>
      <c r="I25" s="3"/>
      <c r="J25" s="3"/>
      <c r="K25" s="71"/>
      <c r="L25" s="71"/>
      <c r="M25" s="71"/>
      <c r="N25" s="72"/>
      <c r="O25" s="3"/>
      <c r="P25" s="3"/>
    </row>
    <row x14ac:dyDescent="0.25" r="26" customHeight="1" ht="18.75">
      <c r="A26" s="55">
        <v>45758</v>
      </c>
      <c r="B26" s="65">
        <f>TEXT(A26,"mmm-yy")</f>
      </c>
      <c r="C26" s="66">
        <f>VLOOKUP(A26,'Revenue Sheet'!A:R,18,0)</f>
      </c>
      <c r="D26" s="66">
        <f>VLOOKUP(A26,'Expense Sheet'!A:F,6,0)</f>
      </c>
      <c r="E26" s="66">
        <f>IFERROR(C26+E25,"")</f>
      </c>
      <c r="F26" s="66">
        <f>IFERROR(D26+F25,"")</f>
      </c>
      <c r="G26" s="66">
        <f>IFERROR(C26-D26,"")</f>
      </c>
      <c r="H26" s="66">
        <f>IFERROR(E26-F26,"")</f>
      </c>
      <c r="I26" s="3"/>
      <c r="J26" s="3"/>
      <c r="K26" s="71"/>
      <c r="L26" s="71"/>
      <c r="M26" s="71"/>
      <c r="N26" s="72"/>
      <c r="O26" s="3"/>
      <c r="P26" s="3"/>
    </row>
    <row x14ac:dyDescent="0.25" r="27" customHeight="1" ht="18.75">
      <c r="A27" s="55">
        <v>45759</v>
      </c>
      <c r="B27" s="65">
        <f>TEXT(A27,"mmm-yy")</f>
      </c>
      <c r="C27" s="66">
        <f>VLOOKUP(A27,'Revenue Sheet'!A:R,18,0)</f>
      </c>
      <c r="D27" s="66">
        <f>VLOOKUP(A27,'Expense Sheet'!A:F,6,0)</f>
      </c>
      <c r="E27" s="66">
        <f>IFERROR(C27+E26,"")</f>
      </c>
      <c r="F27" s="66">
        <f>IFERROR(D27+F26,"")</f>
      </c>
      <c r="G27" s="66">
        <f>IFERROR(C27-D27,"")</f>
      </c>
      <c r="H27" s="66">
        <f>IFERROR(E27-F27,"")</f>
      </c>
      <c r="I27" s="3"/>
      <c r="J27" s="3"/>
      <c r="K27" s="71"/>
      <c r="L27" s="71"/>
      <c r="M27" s="71"/>
      <c r="N27" s="72"/>
      <c r="O27" s="3"/>
      <c r="P27" s="3"/>
    </row>
    <row x14ac:dyDescent="0.25" r="28" customHeight="1" ht="18.75">
      <c r="A28" s="55">
        <v>45760</v>
      </c>
      <c r="B28" s="65">
        <f>TEXT(A28,"mmm-yy")</f>
      </c>
      <c r="C28" s="66">
        <f>VLOOKUP(A28,'Revenue Sheet'!A:R,18,0)</f>
      </c>
      <c r="D28" s="66">
        <f>VLOOKUP(A28,'Expense Sheet'!A:F,6,0)</f>
      </c>
      <c r="E28" s="66">
        <f>IFERROR(C28+E27,"")</f>
      </c>
      <c r="F28" s="66">
        <f>IFERROR(D28+F27,"")</f>
      </c>
      <c r="G28" s="66">
        <f>IFERROR(C28-D28,"")</f>
      </c>
      <c r="H28" s="66">
        <f>IFERROR(E28-F28,"")</f>
      </c>
      <c r="I28" s="3"/>
      <c r="J28" s="3"/>
      <c r="K28" s="71"/>
      <c r="L28" s="71"/>
      <c r="M28" s="71"/>
      <c r="N28" s="72"/>
      <c r="O28" s="3"/>
      <c r="P28" s="3"/>
    </row>
    <row x14ac:dyDescent="0.25" r="29" customHeight="1" ht="18.75">
      <c r="A29" s="55">
        <v>45761</v>
      </c>
      <c r="B29" s="65">
        <f>TEXT(A29,"mmm-yy")</f>
      </c>
      <c r="C29" s="66">
        <f>VLOOKUP(A29,'Revenue Sheet'!A:R,18,0)</f>
      </c>
      <c r="D29" s="66">
        <f>VLOOKUP(A29,'Expense Sheet'!A:F,6,0)</f>
      </c>
      <c r="E29" s="66">
        <f>IFERROR(C29+E28,"")</f>
      </c>
      <c r="F29" s="66">
        <f>IFERROR(D29+F28,"")</f>
      </c>
      <c r="G29" s="66">
        <f>IFERROR(C29-D29,"")</f>
      </c>
      <c r="H29" s="66">
        <f>IFERROR(E29-F29,"")</f>
      </c>
      <c r="I29" s="3"/>
      <c r="J29" s="3"/>
      <c r="K29" s="71"/>
      <c r="L29" s="71"/>
      <c r="M29" s="71"/>
      <c r="N29" s="72"/>
      <c r="O29" s="3"/>
      <c r="P29" s="3"/>
    </row>
    <row x14ac:dyDescent="0.25" r="30" customHeight="1" ht="18.75">
      <c r="A30" s="55">
        <v>45762</v>
      </c>
      <c r="B30" s="65">
        <f>TEXT(A30,"mmm-yy")</f>
      </c>
      <c r="C30" s="66">
        <f>VLOOKUP(A30,'Revenue Sheet'!A:R,18,0)</f>
      </c>
      <c r="D30" s="66">
        <f>VLOOKUP(A30,'Expense Sheet'!A:F,6,0)</f>
      </c>
      <c r="E30" s="66">
        <f>IFERROR(C30+E29,"")</f>
      </c>
      <c r="F30" s="66">
        <f>IFERROR(D30+F29,"")</f>
      </c>
      <c r="G30" s="66">
        <f>IFERROR(C30-D30,"")</f>
      </c>
      <c r="H30" s="66">
        <f>IFERROR(E30-F30,"")</f>
      </c>
      <c r="I30" s="3"/>
      <c r="J30" s="3"/>
      <c r="K30" s="71"/>
      <c r="L30" s="71"/>
      <c r="M30" s="71"/>
      <c r="N30" s="72"/>
      <c r="O30" s="3"/>
      <c r="P30" s="3"/>
    </row>
    <row x14ac:dyDescent="0.25" r="31" customHeight="1" ht="18.75">
      <c r="A31" s="55">
        <v>45763</v>
      </c>
      <c r="B31" s="65">
        <f>TEXT(A31,"mmm-yy")</f>
      </c>
      <c r="C31" s="66">
        <f>VLOOKUP(A31,'Revenue Sheet'!A:R,18,0)</f>
      </c>
      <c r="D31" s="66">
        <f>VLOOKUP(A31,'Expense Sheet'!A:F,6,0)</f>
      </c>
      <c r="E31" s="66">
        <f>IFERROR(C31+E30,"")</f>
      </c>
      <c r="F31" s="66">
        <f>IFERROR(D31+F30,"")</f>
      </c>
      <c r="G31" s="66">
        <f>IFERROR(C31-D31,"")</f>
      </c>
      <c r="H31" s="66">
        <f>IFERROR(E31-F31,"")</f>
      </c>
      <c r="I31" s="3"/>
      <c r="J31" s="3"/>
      <c r="K31" s="71"/>
      <c r="L31" s="71"/>
      <c r="M31" s="71"/>
      <c r="N31" s="72"/>
      <c r="O31" s="3"/>
      <c r="P31" s="3"/>
    </row>
    <row x14ac:dyDescent="0.25" r="32" customHeight="1" ht="18.75">
      <c r="A32" s="55">
        <v>45764</v>
      </c>
      <c r="B32" s="65">
        <f>TEXT(A32,"mmm-yy")</f>
      </c>
      <c r="C32" s="66">
        <f>VLOOKUP(A32,'Revenue Sheet'!A:R,18,0)</f>
      </c>
      <c r="D32" s="66">
        <f>VLOOKUP(A32,'Expense Sheet'!A:F,6,0)</f>
      </c>
      <c r="E32" s="66">
        <f>IFERROR(C32+E31,"")</f>
      </c>
      <c r="F32" s="66">
        <f>IFERROR(D32+F31,"")</f>
      </c>
      <c r="G32" s="66">
        <f>IFERROR(C32-D32,"")</f>
      </c>
      <c r="H32" s="66">
        <f>IFERROR(E32-F32,"")</f>
      </c>
      <c r="I32" s="3"/>
      <c r="J32" s="3"/>
      <c r="K32" s="71"/>
      <c r="L32" s="71"/>
      <c r="M32" s="71"/>
      <c r="N32" s="72"/>
      <c r="O32" s="3"/>
      <c r="P32" s="3"/>
    </row>
    <row x14ac:dyDescent="0.25" r="33" customHeight="1" ht="18.75">
      <c r="A33" s="55">
        <v>45765</v>
      </c>
      <c r="B33" s="65">
        <f>TEXT(A33,"mmm-yy")</f>
      </c>
      <c r="C33" s="66">
        <f>VLOOKUP(A33,'Revenue Sheet'!A:R,18,0)</f>
      </c>
      <c r="D33" s="66">
        <f>VLOOKUP(A33,'Expense Sheet'!A:F,6,0)</f>
      </c>
      <c r="E33" s="66">
        <f>IFERROR(C33+E32,"")</f>
      </c>
      <c r="F33" s="66">
        <f>IFERROR(D33+F32,"")</f>
      </c>
      <c r="G33" s="66">
        <f>IFERROR(C33-D33,"")</f>
      </c>
      <c r="H33" s="66">
        <f>IFERROR(E33-F33,"")</f>
      </c>
      <c r="I33" s="3"/>
      <c r="J33" s="3"/>
      <c r="K33" s="71"/>
      <c r="L33" s="71"/>
      <c r="M33" s="71"/>
      <c r="N33" s="72"/>
      <c r="O33" s="3"/>
      <c r="P33" s="3"/>
    </row>
    <row x14ac:dyDescent="0.25" r="34" customHeight="1" ht="18.75">
      <c r="A34" s="55">
        <v>45766</v>
      </c>
      <c r="B34" s="65">
        <f>TEXT(A34,"mmm-yy")</f>
      </c>
      <c r="C34" s="66">
        <f>VLOOKUP(A34,'Revenue Sheet'!A:R,18,0)</f>
      </c>
      <c r="D34" s="66">
        <f>VLOOKUP(A34,'Expense Sheet'!A:F,6,0)</f>
      </c>
      <c r="E34" s="66">
        <f>IFERROR(C34+E33,"")</f>
      </c>
      <c r="F34" s="66">
        <f>IFERROR(D34+F33,"")</f>
      </c>
      <c r="G34" s="66">
        <f>IFERROR(C34-D34,"")</f>
      </c>
      <c r="H34" s="66">
        <f>IFERROR(E34-F34,"")</f>
      </c>
      <c r="I34" s="3"/>
      <c r="J34" s="3"/>
      <c r="K34" s="71"/>
      <c r="L34" s="71"/>
      <c r="M34" s="71"/>
      <c r="N34" s="72"/>
      <c r="O34" s="3"/>
      <c r="P34" s="3"/>
    </row>
    <row x14ac:dyDescent="0.25" r="35" customHeight="1" ht="18.75">
      <c r="A35" s="55">
        <v>45767</v>
      </c>
      <c r="B35" s="65">
        <f>TEXT(A35,"mmm-yy")</f>
      </c>
      <c r="C35" s="66">
        <f>VLOOKUP(A35,'Revenue Sheet'!A:R,18,0)</f>
      </c>
      <c r="D35" s="66">
        <f>VLOOKUP(A35,'Expense Sheet'!A:F,6,0)</f>
      </c>
      <c r="E35" s="66">
        <f>IFERROR(C35+E34,"")</f>
      </c>
      <c r="F35" s="66">
        <f>IFERROR(D35+F34,"")</f>
      </c>
      <c r="G35" s="66">
        <f>IFERROR(C35-D35,"")</f>
      </c>
      <c r="H35" s="66">
        <f>IFERROR(E35-F35,"")</f>
      </c>
      <c r="I35" s="3"/>
      <c r="J35" s="3"/>
      <c r="K35" s="71"/>
      <c r="L35" s="71"/>
      <c r="M35" s="71"/>
      <c r="N35" s="72"/>
      <c r="O35" s="3"/>
      <c r="P35" s="3"/>
    </row>
    <row x14ac:dyDescent="0.25" r="36" customHeight="1" ht="18.75">
      <c r="A36" s="55">
        <v>45768</v>
      </c>
      <c r="B36" s="65">
        <f>TEXT(A36,"mmm-yy")</f>
      </c>
      <c r="C36" s="66">
        <f>VLOOKUP(A36,'Revenue Sheet'!A:R,18,0)</f>
      </c>
      <c r="D36" s="66">
        <f>VLOOKUP(A36,'Expense Sheet'!A:F,6,0)</f>
      </c>
      <c r="E36" s="66">
        <f>IFERROR(C36+E35,"")</f>
      </c>
      <c r="F36" s="66">
        <f>IFERROR(D36+F35,"")</f>
      </c>
      <c r="G36" s="66">
        <f>IFERROR(C36-D36,"")</f>
      </c>
      <c r="H36" s="66">
        <f>IFERROR(E36-F36,"")</f>
      </c>
      <c r="I36" s="3"/>
      <c r="J36" s="3"/>
      <c r="K36" s="71"/>
      <c r="L36" s="71"/>
      <c r="M36" s="71"/>
      <c r="N36" s="72"/>
      <c r="O36" s="3"/>
      <c r="P36" s="3"/>
    </row>
    <row x14ac:dyDescent="0.25" r="37" customHeight="1" ht="18.75">
      <c r="A37" s="55">
        <v>45769</v>
      </c>
      <c r="B37" s="65">
        <f>TEXT(A37,"mmm-yy")</f>
      </c>
      <c r="C37" s="66">
        <f>VLOOKUP(A37,'Revenue Sheet'!A:R,18,0)</f>
      </c>
      <c r="D37" s="66">
        <f>VLOOKUP(A37,'Expense Sheet'!A:F,6,0)</f>
      </c>
      <c r="E37" s="66">
        <f>IFERROR(C37+E36,"")</f>
      </c>
      <c r="F37" s="66">
        <f>IFERROR(D37+F36,"")</f>
      </c>
      <c r="G37" s="66">
        <f>IFERROR(C37-D37,"")</f>
      </c>
      <c r="H37" s="66">
        <f>IFERROR(E37-F37,"")</f>
      </c>
      <c r="I37" s="3"/>
      <c r="J37" s="3"/>
      <c r="K37" s="71"/>
      <c r="L37" s="71"/>
      <c r="M37" s="71"/>
      <c r="N37" s="72"/>
      <c r="O37" s="3"/>
      <c r="P37" s="3"/>
    </row>
    <row x14ac:dyDescent="0.25" r="38" customHeight="1" ht="18.75">
      <c r="A38" s="55">
        <v>45770</v>
      </c>
      <c r="B38" s="65">
        <f>TEXT(A38,"mmm-yy")</f>
      </c>
      <c r="C38" s="66">
        <f>VLOOKUP(A38,'Revenue Sheet'!A:R,18,0)</f>
      </c>
      <c r="D38" s="66">
        <f>VLOOKUP(A38,'Expense Sheet'!A:F,6,0)</f>
      </c>
      <c r="E38" s="66">
        <f>IFERROR(C38+E37,"")</f>
      </c>
      <c r="F38" s="66">
        <f>IFERROR(D38+F37,"")</f>
      </c>
      <c r="G38" s="66">
        <f>IFERROR(C38-D38,"")</f>
      </c>
      <c r="H38" s="66">
        <f>IFERROR(E38-F38,"")</f>
      </c>
      <c r="I38" s="3"/>
      <c r="J38" s="3"/>
      <c r="K38" s="71"/>
      <c r="L38" s="71"/>
      <c r="M38" s="71"/>
      <c r="N38" s="72"/>
      <c r="O38" s="3"/>
      <c r="P38" s="3"/>
    </row>
    <row x14ac:dyDescent="0.25" r="39" customHeight="1" ht="18.75">
      <c r="A39" s="55">
        <v>45771</v>
      </c>
      <c r="B39" s="65">
        <f>TEXT(A39,"mmm-yy")</f>
      </c>
      <c r="C39" s="66">
        <f>VLOOKUP(A39,'Revenue Sheet'!A:R,18,0)</f>
      </c>
      <c r="D39" s="66">
        <f>VLOOKUP(A39,'Expense Sheet'!A:F,6,0)</f>
      </c>
      <c r="E39" s="66">
        <f>IFERROR(C39+E38,"")</f>
      </c>
      <c r="F39" s="66">
        <f>IFERROR(D39+F38,"")</f>
      </c>
      <c r="G39" s="66">
        <f>IFERROR(C39-D39,"")</f>
      </c>
      <c r="H39" s="66">
        <f>IFERROR(E39-F39,"")</f>
      </c>
      <c r="I39" s="3"/>
      <c r="J39" s="3"/>
      <c r="K39" s="71"/>
      <c r="L39" s="71"/>
      <c r="M39" s="71"/>
      <c r="N39" s="72"/>
      <c r="O39" s="3"/>
      <c r="P39" s="3"/>
    </row>
    <row x14ac:dyDescent="0.25" r="40" customHeight="1" ht="18.75">
      <c r="A40" s="55">
        <v>45772</v>
      </c>
      <c r="B40" s="65">
        <f>TEXT(A40,"mmm-yy")</f>
      </c>
      <c r="C40" s="66">
        <f>VLOOKUP(A40,'Revenue Sheet'!A:R,18,0)</f>
      </c>
      <c r="D40" s="66">
        <f>VLOOKUP(A40,'Expense Sheet'!A:F,6,0)</f>
      </c>
      <c r="E40" s="66">
        <f>IFERROR(C40+E39,"")</f>
      </c>
      <c r="F40" s="66">
        <f>IFERROR(D40+F39,"")</f>
      </c>
      <c r="G40" s="66">
        <f>IFERROR(C40-D40,"")</f>
      </c>
      <c r="H40" s="66">
        <f>IFERROR(E40-F40,"")</f>
      </c>
      <c r="I40" s="3"/>
      <c r="J40" s="3"/>
      <c r="K40" s="71"/>
      <c r="L40" s="71"/>
      <c r="M40" s="71"/>
      <c r="N40" s="72"/>
      <c r="O40" s="3"/>
      <c r="P40" s="3"/>
    </row>
    <row x14ac:dyDescent="0.25" r="41" customHeight="1" ht="18.75">
      <c r="A41" s="55">
        <v>45773</v>
      </c>
      <c r="B41" s="65">
        <f>TEXT(A41,"mmm-yy")</f>
      </c>
      <c r="C41" s="66">
        <f>VLOOKUP(A41,'Revenue Sheet'!A:R,18,0)</f>
      </c>
      <c r="D41" s="66">
        <f>VLOOKUP(A41,'Expense Sheet'!A:F,6,0)</f>
      </c>
      <c r="E41" s="66">
        <f>IFERROR(C41+E40,"")</f>
      </c>
      <c r="F41" s="66">
        <f>IFERROR(D41+F40,"")</f>
      </c>
      <c r="G41" s="66">
        <f>IFERROR(C41-D41,"")</f>
      </c>
      <c r="H41" s="66">
        <f>IFERROR(E41-F41,"")</f>
      </c>
      <c r="I41" s="3"/>
      <c r="J41" s="3"/>
      <c r="K41" s="71"/>
      <c r="L41" s="71"/>
      <c r="M41" s="71"/>
      <c r="N41" s="72"/>
      <c r="O41" s="3"/>
      <c r="P41" s="3"/>
    </row>
    <row x14ac:dyDescent="0.25" r="42" customHeight="1" ht="18.75">
      <c r="A42" s="55">
        <v>45774</v>
      </c>
      <c r="B42" s="65">
        <f>TEXT(A42,"mmm-yy")</f>
      </c>
      <c r="C42" s="66">
        <f>VLOOKUP(A42,'Revenue Sheet'!A:R,18,0)</f>
      </c>
      <c r="D42" s="66">
        <f>VLOOKUP(A42,'Expense Sheet'!A:F,6,0)</f>
      </c>
      <c r="E42" s="66">
        <f>IFERROR(C42+E41,"")</f>
      </c>
      <c r="F42" s="66">
        <f>IFERROR(D42+F41,"")</f>
      </c>
      <c r="G42" s="66">
        <f>IFERROR(C42-D42,"")</f>
      </c>
      <c r="H42" s="66">
        <f>IFERROR(E42-F42,"")</f>
      </c>
      <c r="I42" s="3"/>
      <c r="J42" s="3"/>
      <c r="K42" s="71"/>
      <c r="L42" s="71"/>
      <c r="M42" s="71"/>
      <c r="N42" s="72"/>
      <c r="O42" s="3"/>
      <c r="P42" s="3"/>
    </row>
    <row x14ac:dyDescent="0.25" r="43" customHeight="1" ht="18.75">
      <c r="A43" s="55">
        <v>45775</v>
      </c>
      <c r="B43" s="65">
        <f>TEXT(A43,"mmm-yy")</f>
      </c>
      <c r="C43" s="66">
        <f>VLOOKUP(A43,'Revenue Sheet'!A:R,18,0)</f>
      </c>
      <c r="D43" s="66">
        <f>VLOOKUP(A43,'Expense Sheet'!A:F,6,0)</f>
      </c>
      <c r="E43" s="66">
        <f>IFERROR(C43+E42,"")</f>
      </c>
      <c r="F43" s="66">
        <f>IFERROR(D43+F42,"")</f>
      </c>
      <c r="G43" s="66">
        <f>IFERROR(C43-D43,"")</f>
      </c>
      <c r="H43" s="66">
        <f>IFERROR(E43-F43,"")</f>
      </c>
      <c r="I43" s="3"/>
      <c r="J43" s="3"/>
      <c r="K43" s="71"/>
      <c r="L43" s="71"/>
      <c r="M43" s="71"/>
      <c r="N43" s="72"/>
      <c r="O43" s="3"/>
      <c r="P43" s="3"/>
    </row>
    <row x14ac:dyDescent="0.25" r="44" customHeight="1" ht="18.75">
      <c r="A44" s="55">
        <v>45776</v>
      </c>
      <c r="B44" s="65">
        <f>TEXT(A44,"mmm-yy")</f>
      </c>
      <c r="C44" s="66">
        <f>VLOOKUP(A44,'Revenue Sheet'!A:R,18,0)</f>
      </c>
      <c r="D44" s="66">
        <f>VLOOKUP(A44,'Expense Sheet'!A:F,6,0)</f>
      </c>
      <c r="E44" s="66">
        <f>IFERROR(C44+E43,"")</f>
      </c>
      <c r="F44" s="66">
        <f>IFERROR(D44+F43,"")</f>
      </c>
      <c r="G44" s="66">
        <f>IFERROR(C44-D44,"")</f>
      </c>
      <c r="H44" s="66">
        <f>IFERROR(E44-F44,"")</f>
      </c>
      <c r="I44" s="3"/>
      <c r="J44" s="3"/>
      <c r="K44" s="71"/>
      <c r="L44" s="71"/>
      <c r="M44" s="71"/>
      <c r="N44" s="72"/>
      <c r="O44" s="3"/>
      <c r="P44" s="3"/>
    </row>
    <row x14ac:dyDescent="0.25" r="45" customHeight="1" ht="18.75">
      <c r="A45" s="55">
        <v>45777</v>
      </c>
      <c r="B45" s="65">
        <f>TEXT(A45,"mmm-yy")</f>
      </c>
      <c r="C45" s="66">
        <f>VLOOKUP(A45,'Revenue Sheet'!A:R,18,0)</f>
      </c>
      <c r="D45" s="66">
        <f>VLOOKUP(A45,'Expense Sheet'!A:F,6,0)</f>
      </c>
      <c r="E45" s="66">
        <f>IFERROR(C45+E44,"")</f>
      </c>
      <c r="F45" s="66">
        <f>IFERROR(D45+F44,"")</f>
      </c>
      <c r="G45" s="66">
        <f>IFERROR(C45-D45,"")</f>
      </c>
      <c r="H45" s="66">
        <f>IFERROR(E45-F45,"")</f>
      </c>
      <c r="I45" s="3"/>
      <c r="J45" s="3"/>
      <c r="K45" s="71"/>
      <c r="L45" s="71"/>
      <c r="M45" s="71"/>
      <c r="N45" s="72"/>
      <c r="O45" s="3"/>
      <c r="P45" s="3"/>
    </row>
    <row x14ac:dyDescent="0.25" r="46" customHeight="1" ht="18.75">
      <c r="A46" s="55">
        <v>45778</v>
      </c>
      <c r="B46" s="65">
        <f>TEXT(A46,"mmm-yy")</f>
      </c>
      <c r="C46" s="66">
        <f>VLOOKUP(A46,'Revenue Sheet'!A:R,18,0)</f>
      </c>
      <c r="D46" s="66">
        <f>VLOOKUP(A46,'Expense Sheet'!A:F,6,0)</f>
      </c>
      <c r="E46" s="66">
        <f>IFERROR(C46+E45,"")</f>
      </c>
      <c r="F46" s="66">
        <f>IFERROR(D46+F45,"")</f>
      </c>
      <c r="G46" s="66">
        <f>IFERROR(C46-D46,"")</f>
      </c>
      <c r="H46" s="66">
        <f>IFERROR(E46-F46,"")</f>
      </c>
      <c r="I46" s="3"/>
      <c r="J46" s="3"/>
      <c r="K46" s="71"/>
      <c r="L46" s="71"/>
      <c r="M46" s="71"/>
      <c r="N46" s="72"/>
      <c r="O46" s="3"/>
      <c r="P46" s="3"/>
    </row>
    <row x14ac:dyDescent="0.25" r="47" customHeight="1" ht="18.75">
      <c r="A47" s="55">
        <v>45779</v>
      </c>
      <c r="B47" s="65">
        <f>TEXT(A47,"mmm-yy")</f>
      </c>
      <c r="C47" s="66">
        <f>VLOOKUP(A47,'Revenue Sheet'!A:R,18,0)</f>
      </c>
      <c r="D47" s="66">
        <f>VLOOKUP(A47,'Expense Sheet'!A:F,6,0)</f>
      </c>
      <c r="E47" s="66">
        <f>IFERROR(C47+E46,"")</f>
      </c>
      <c r="F47" s="66">
        <f>IFERROR(D47+F46,"")</f>
      </c>
      <c r="G47" s="66">
        <f>IFERROR(C47-D47,"")</f>
      </c>
      <c r="H47" s="66">
        <f>IFERROR(E47-F47,"")</f>
      </c>
      <c r="I47" s="3"/>
      <c r="J47" s="3"/>
      <c r="K47" s="71"/>
      <c r="L47" s="71"/>
      <c r="M47" s="71"/>
      <c r="N47" s="72"/>
      <c r="O47" s="3"/>
      <c r="P47" s="3"/>
    </row>
    <row x14ac:dyDescent="0.25" r="48" customHeight="1" ht="18.75">
      <c r="A48" s="55">
        <v>45780</v>
      </c>
      <c r="B48" s="65">
        <f>TEXT(A48,"mmm-yy")</f>
      </c>
      <c r="C48" s="66">
        <f>VLOOKUP(A48,'Revenue Sheet'!A:R,18,0)</f>
      </c>
      <c r="D48" s="66">
        <f>VLOOKUP(A48,'Expense Sheet'!A:F,6,0)</f>
      </c>
      <c r="E48" s="66">
        <f>IFERROR(C48+E47,"")</f>
      </c>
      <c r="F48" s="66">
        <f>IFERROR(D48+F47,"")</f>
      </c>
      <c r="G48" s="66">
        <f>IFERROR(C48-D48,"")</f>
      </c>
      <c r="H48" s="66">
        <f>IFERROR(E48-F48,"")</f>
      </c>
      <c r="I48" s="3"/>
      <c r="J48" s="3"/>
      <c r="K48" s="71"/>
      <c r="L48" s="71"/>
      <c r="M48" s="71"/>
      <c r="N48" s="72"/>
      <c r="O48" s="3"/>
      <c r="P48" s="3"/>
    </row>
    <row x14ac:dyDescent="0.25" r="49" customHeight="1" ht="18.75">
      <c r="A49" s="55">
        <v>45781</v>
      </c>
      <c r="B49" s="65">
        <f>TEXT(A49,"mmm-yy")</f>
      </c>
      <c r="C49" s="66">
        <f>VLOOKUP(A49,'Revenue Sheet'!A:R,18,0)</f>
      </c>
      <c r="D49" s="66">
        <f>VLOOKUP(A49,'Expense Sheet'!A:F,6,0)</f>
      </c>
      <c r="E49" s="66">
        <f>IFERROR(C49+E48,"")</f>
      </c>
      <c r="F49" s="66">
        <f>IFERROR(D49+F48,"")</f>
      </c>
      <c r="G49" s="66">
        <f>IFERROR(C49-D49,"")</f>
      </c>
      <c r="H49" s="66">
        <f>IFERROR(E49-F49,"")</f>
      </c>
      <c r="I49" s="3"/>
      <c r="J49" s="3"/>
      <c r="K49" s="71"/>
      <c r="L49" s="71"/>
      <c r="M49" s="71"/>
      <c r="N49" s="72"/>
      <c r="O49" s="3"/>
      <c r="P49" s="3"/>
    </row>
    <row x14ac:dyDescent="0.25" r="50" customHeight="1" ht="18.75">
      <c r="A50" s="55">
        <v>45782</v>
      </c>
      <c r="B50" s="65">
        <f>TEXT(A50,"mmm-yy")</f>
      </c>
      <c r="C50" s="66">
        <f>VLOOKUP(A50,'Revenue Sheet'!A:R,18,0)</f>
      </c>
      <c r="D50" s="66">
        <f>VLOOKUP(A50,'Expense Sheet'!A:F,6,0)</f>
      </c>
      <c r="E50" s="66">
        <f>IFERROR(C50+E49,"")</f>
      </c>
      <c r="F50" s="66">
        <f>IFERROR(D50+F49,"")</f>
      </c>
      <c r="G50" s="66">
        <f>IFERROR(C50-D50,"")</f>
      </c>
      <c r="H50" s="66">
        <f>IFERROR(E50-F50,"")</f>
      </c>
      <c r="I50" s="3"/>
      <c r="J50" s="3"/>
      <c r="K50" s="71"/>
      <c r="L50" s="71"/>
      <c r="M50" s="71"/>
      <c r="N50" s="72"/>
      <c r="O50" s="3"/>
      <c r="P50" s="3"/>
    </row>
    <row x14ac:dyDescent="0.25" r="51" customHeight="1" ht="18.75">
      <c r="A51" s="55">
        <v>45783</v>
      </c>
      <c r="B51" s="65">
        <f>TEXT(A51,"mmm-yy")</f>
      </c>
      <c r="C51" s="66">
        <f>VLOOKUP(A51,'Revenue Sheet'!A:R,18,0)</f>
      </c>
      <c r="D51" s="66">
        <f>VLOOKUP(A51,'Expense Sheet'!A:F,6,0)</f>
      </c>
      <c r="E51" s="66">
        <f>IFERROR(C51+E50,"")</f>
      </c>
      <c r="F51" s="66">
        <f>IFERROR(D51+F50,"")</f>
      </c>
      <c r="G51" s="66">
        <f>IFERROR(C51-D51,"")</f>
      </c>
      <c r="H51" s="66">
        <f>IFERROR(E51-F51,"")</f>
      </c>
      <c r="I51" s="3"/>
      <c r="J51" s="3"/>
      <c r="K51" s="71"/>
      <c r="L51" s="71"/>
      <c r="M51" s="71"/>
      <c r="N51" s="72"/>
      <c r="O51" s="3"/>
      <c r="P51" s="3"/>
    </row>
    <row x14ac:dyDescent="0.25" r="52" customHeight="1" ht="18.75">
      <c r="A52" s="55">
        <v>45784</v>
      </c>
      <c r="B52" s="65">
        <f>TEXT(A52,"mmm-yy")</f>
      </c>
      <c r="C52" s="66">
        <f>VLOOKUP(A52,'Revenue Sheet'!A:R,18,0)</f>
      </c>
      <c r="D52" s="66">
        <f>VLOOKUP(A52,'Expense Sheet'!A:F,6,0)</f>
      </c>
      <c r="E52" s="66">
        <f>IFERROR(C52+E51,"")</f>
      </c>
      <c r="F52" s="66">
        <f>IFERROR(D52+F51,"")</f>
      </c>
      <c r="G52" s="66">
        <f>IFERROR(C52-D52,"")</f>
      </c>
      <c r="H52" s="66">
        <f>IFERROR(E52-F52,"")</f>
      </c>
      <c r="I52" s="3"/>
      <c r="J52" s="3"/>
      <c r="K52" s="71"/>
      <c r="L52" s="71"/>
      <c r="M52" s="71"/>
      <c r="N52" s="72"/>
      <c r="O52" s="3"/>
      <c r="P52" s="3"/>
    </row>
    <row x14ac:dyDescent="0.25" r="53" customHeight="1" ht="18.75">
      <c r="A53" s="55">
        <v>45785</v>
      </c>
      <c r="B53" s="65">
        <f>TEXT(A53,"mmm-yy")</f>
      </c>
      <c r="C53" s="66">
        <f>VLOOKUP(A53,'Revenue Sheet'!A:R,18,0)</f>
      </c>
      <c r="D53" s="66">
        <f>VLOOKUP(A53,'Expense Sheet'!A:F,6,0)</f>
      </c>
      <c r="E53" s="66">
        <f>IFERROR(C53+E52,"")</f>
      </c>
      <c r="F53" s="66">
        <f>IFERROR(D53+F52,"")</f>
      </c>
      <c r="G53" s="66">
        <f>IFERROR(C53-D53,"")</f>
      </c>
      <c r="H53" s="66">
        <f>IFERROR(E53-F53,"")</f>
      </c>
      <c r="I53" s="3"/>
      <c r="J53" s="3"/>
      <c r="K53" s="71"/>
      <c r="L53" s="71"/>
      <c r="M53" s="71"/>
      <c r="N53" s="72"/>
      <c r="O53" s="3"/>
      <c r="P53" s="3"/>
    </row>
    <row x14ac:dyDescent="0.25" r="54" customHeight="1" ht="18.75">
      <c r="A54" s="55">
        <v>45786</v>
      </c>
      <c r="B54" s="65">
        <f>TEXT(A54,"mmm-yy")</f>
      </c>
      <c r="C54" s="66">
        <f>VLOOKUP(A54,'Revenue Sheet'!A:R,18,0)</f>
      </c>
      <c r="D54" s="66">
        <f>VLOOKUP(A54,'Expense Sheet'!A:F,6,0)</f>
      </c>
      <c r="E54" s="66">
        <f>IFERROR(C54+E53,"")</f>
      </c>
      <c r="F54" s="66">
        <f>IFERROR(D54+F53,"")</f>
      </c>
      <c r="G54" s="66">
        <f>IFERROR(C54-D54,"")</f>
      </c>
      <c r="H54" s="66">
        <f>IFERROR(E54-F54,"")</f>
      </c>
      <c r="I54" s="3"/>
      <c r="J54" s="3"/>
      <c r="K54" s="71"/>
      <c r="L54" s="71"/>
      <c r="M54" s="71"/>
      <c r="N54" s="72"/>
      <c r="O54" s="3"/>
      <c r="P54" s="3"/>
    </row>
    <row x14ac:dyDescent="0.25" r="55" customHeight="1" ht="18.75">
      <c r="A55" s="55">
        <v>45787</v>
      </c>
      <c r="B55" s="65">
        <f>TEXT(A55,"mmm-yy")</f>
      </c>
      <c r="C55" s="66">
        <f>VLOOKUP(A55,'Revenue Sheet'!A:R,18,0)</f>
      </c>
      <c r="D55" s="66">
        <f>VLOOKUP(A55,'Expense Sheet'!A:F,6,0)</f>
      </c>
      <c r="E55" s="66">
        <f>IFERROR(C55+E54,"")</f>
      </c>
      <c r="F55" s="66">
        <f>IFERROR(D55+F54,"")</f>
      </c>
      <c r="G55" s="66">
        <f>IFERROR(C55-D55,"")</f>
      </c>
      <c r="H55" s="66">
        <f>IFERROR(E55-F55,"")</f>
      </c>
      <c r="I55" s="3"/>
      <c r="J55" s="3"/>
      <c r="K55" s="71"/>
      <c r="L55" s="71"/>
      <c r="M55" s="71"/>
      <c r="N55" s="72"/>
      <c r="O55" s="3"/>
      <c r="P55" s="3"/>
    </row>
    <row x14ac:dyDescent="0.25" r="56" customHeight="1" ht="18.75">
      <c r="A56" s="55">
        <v>45788</v>
      </c>
      <c r="B56" s="65">
        <f>TEXT(A56,"mmm-yy")</f>
      </c>
      <c r="C56" s="66">
        <f>VLOOKUP(A56,'Revenue Sheet'!A:R,18,0)</f>
      </c>
      <c r="D56" s="66">
        <f>VLOOKUP(A56,'Expense Sheet'!A:F,6,0)</f>
      </c>
      <c r="E56" s="66">
        <f>IFERROR(C56+E55,"")</f>
      </c>
      <c r="F56" s="66">
        <f>IFERROR(D56+F55,"")</f>
      </c>
      <c r="G56" s="66">
        <f>IFERROR(C56-D56,"")</f>
      </c>
      <c r="H56" s="66">
        <f>IFERROR(E56-F56,"")</f>
      </c>
      <c r="I56" s="3"/>
      <c r="J56" s="3"/>
      <c r="K56" s="71"/>
      <c r="L56" s="71"/>
      <c r="M56" s="71"/>
      <c r="N56" s="72"/>
      <c r="O56" s="3"/>
      <c r="P56" s="3"/>
    </row>
    <row x14ac:dyDescent="0.25" r="57" customHeight="1" ht="18.75">
      <c r="A57" s="55">
        <v>45789</v>
      </c>
      <c r="B57" s="65">
        <f>TEXT(A57,"mmm-yy")</f>
      </c>
      <c r="C57" s="66">
        <f>VLOOKUP(A57,'Revenue Sheet'!A:R,18,0)</f>
      </c>
      <c r="D57" s="66">
        <f>VLOOKUP(A57,'Expense Sheet'!A:F,6,0)</f>
      </c>
      <c r="E57" s="66">
        <f>IFERROR(C57+E56,"")</f>
      </c>
      <c r="F57" s="66">
        <f>IFERROR(D57+F56,"")</f>
      </c>
      <c r="G57" s="66">
        <f>IFERROR(C57-D57,"")</f>
      </c>
      <c r="H57" s="66">
        <f>IFERROR(E57-F57,"")</f>
      </c>
      <c r="I57" s="3"/>
      <c r="J57" s="3"/>
      <c r="K57" s="71"/>
      <c r="L57" s="71"/>
      <c r="M57" s="71"/>
      <c r="N57" s="72"/>
      <c r="O57" s="3"/>
      <c r="P57" s="3"/>
    </row>
    <row x14ac:dyDescent="0.25" r="58" customHeight="1" ht="18.75">
      <c r="A58" s="55">
        <v>45790</v>
      </c>
      <c r="B58" s="65">
        <f>TEXT(A58,"mmm-yy")</f>
      </c>
      <c r="C58" s="66">
        <f>VLOOKUP(A58,'Revenue Sheet'!A:R,18,0)</f>
      </c>
      <c r="D58" s="66">
        <f>VLOOKUP(A58,'Expense Sheet'!A:F,6,0)</f>
      </c>
      <c r="E58" s="66">
        <f>IFERROR(C58+E57,"")</f>
      </c>
      <c r="F58" s="66">
        <f>IFERROR(D58+F57,"")</f>
      </c>
      <c r="G58" s="66">
        <f>IFERROR(C58-D58,"")</f>
      </c>
      <c r="H58" s="66">
        <f>IFERROR(E58-F58,"")</f>
      </c>
      <c r="I58" s="3"/>
      <c r="J58" s="3"/>
      <c r="K58" s="71"/>
      <c r="L58" s="71"/>
      <c r="M58" s="71"/>
      <c r="N58" s="72"/>
      <c r="O58" s="3"/>
      <c r="P58" s="3"/>
    </row>
    <row x14ac:dyDescent="0.25" r="59" customHeight="1" ht="18.75">
      <c r="A59" s="55">
        <v>45791</v>
      </c>
      <c r="B59" s="65">
        <f>TEXT(A59,"mmm-yy")</f>
      </c>
      <c r="C59" s="66">
        <f>VLOOKUP(A59,'Revenue Sheet'!A:R,18,0)</f>
      </c>
      <c r="D59" s="66">
        <f>VLOOKUP(A59,'Expense Sheet'!A:F,6,0)</f>
      </c>
      <c r="E59" s="66">
        <f>IFERROR(C59+E58,"")</f>
      </c>
      <c r="F59" s="66">
        <f>IFERROR(D59+F58,"")</f>
      </c>
      <c r="G59" s="66">
        <f>IFERROR(C59-D59,"")</f>
      </c>
      <c r="H59" s="66">
        <f>IFERROR(E59-F59,"")</f>
      </c>
      <c r="I59" s="3"/>
      <c r="J59" s="3"/>
      <c r="K59" s="71"/>
      <c r="L59" s="71"/>
      <c r="M59" s="71"/>
      <c r="N59" s="72"/>
      <c r="O59" s="3"/>
      <c r="P59" s="3"/>
    </row>
    <row x14ac:dyDescent="0.25" r="60" customHeight="1" ht="18.75">
      <c r="A60" s="55">
        <v>45792</v>
      </c>
      <c r="B60" s="65">
        <f>TEXT(A60,"mmm-yy")</f>
      </c>
      <c r="C60" s="66">
        <f>VLOOKUP(A60,'Revenue Sheet'!A:R,18,0)</f>
      </c>
      <c r="D60" s="66">
        <f>VLOOKUP(A60,'Expense Sheet'!A:F,6,0)</f>
      </c>
      <c r="E60" s="66">
        <f>IFERROR(C60+E59,"")</f>
      </c>
      <c r="F60" s="66">
        <f>IFERROR(D60+F59,"")</f>
      </c>
      <c r="G60" s="66">
        <f>IFERROR(C60-D60,"")</f>
      </c>
      <c r="H60" s="66">
        <f>IFERROR(E60-F60,"")</f>
      </c>
      <c r="I60" s="3"/>
      <c r="J60" s="3"/>
      <c r="K60" s="71"/>
      <c r="L60" s="71"/>
      <c r="M60" s="71"/>
      <c r="N60" s="72"/>
      <c r="O60" s="3"/>
      <c r="P60" s="3"/>
    </row>
    <row x14ac:dyDescent="0.25" r="61" customHeight="1" ht="18.75">
      <c r="A61" s="55">
        <v>45793</v>
      </c>
      <c r="B61" s="65">
        <f>TEXT(A61,"mmm-yy")</f>
      </c>
      <c r="C61" s="66">
        <f>VLOOKUP(A61,'Revenue Sheet'!A:R,18,0)</f>
      </c>
      <c r="D61" s="66">
        <f>VLOOKUP(A61,'Expense Sheet'!A:F,6,0)</f>
      </c>
      <c r="E61" s="66">
        <f>IFERROR(C61+E60,"")</f>
      </c>
      <c r="F61" s="66">
        <f>IFERROR(D61+F60,"")</f>
      </c>
      <c r="G61" s="66">
        <f>IFERROR(C61-D61,"")</f>
      </c>
      <c r="H61" s="66">
        <f>IFERROR(E61-F61,"")</f>
      </c>
      <c r="I61" s="3"/>
      <c r="J61" s="3"/>
      <c r="K61" s="71"/>
      <c r="L61" s="71"/>
      <c r="M61" s="71"/>
      <c r="N61" s="72"/>
      <c r="O61" s="3"/>
      <c r="P61" s="3"/>
    </row>
    <row x14ac:dyDescent="0.25" r="62" customHeight="1" ht="18.75">
      <c r="A62" s="55">
        <v>45794</v>
      </c>
      <c r="B62" s="65">
        <f>TEXT(A62,"mmm-yy")</f>
      </c>
      <c r="C62" s="66">
        <f>VLOOKUP(A62,'Revenue Sheet'!A:R,18,0)</f>
      </c>
      <c r="D62" s="66">
        <f>VLOOKUP(A62,'Expense Sheet'!A:F,6,0)</f>
      </c>
      <c r="E62" s="66">
        <f>IFERROR(C62+E61,"")</f>
      </c>
      <c r="F62" s="66">
        <f>IFERROR(D62+F61,"")</f>
      </c>
      <c r="G62" s="66">
        <f>IFERROR(C62-D62,"")</f>
      </c>
      <c r="H62" s="66">
        <f>IFERROR(E62-F62,"")</f>
      </c>
      <c r="I62" s="3"/>
      <c r="J62" s="3"/>
      <c r="K62" s="71"/>
      <c r="L62" s="71"/>
      <c r="M62" s="71"/>
      <c r="N62" s="72"/>
      <c r="O62" s="3"/>
      <c r="P62" s="3"/>
    </row>
    <row x14ac:dyDescent="0.25" r="63" customHeight="1" ht="18.75">
      <c r="A63" s="55">
        <v>45795</v>
      </c>
      <c r="B63" s="65">
        <f>TEXT(A63,"mmm-yy")</f>
      </c>
      <c r="C63" s="66">
        <f>VLOOKUP(A63,'Revenue Sheet'!A:R,18,0)</f>
      </c>
      <c r="D63" s="66">
        <f>VLOOKUP(A63,'Expense Sheet'!A:F,6,0)</f>
      </c>
      <c r="E63" s="66">
        <f>IFERROR(C63+E62,"")</f>
      </c>
      <c r="F63" s="66">
        <f>IFERROR(D63+F62,"")</f>
      </c>
      <c r="G63" s="66">
        <f>IFERROR(C63-D63,"")</f>
      </c>
      <c r="H63" s="66">
        <f>IFERROR(E63-F63,"")</f>
      </c>
      <c r="I63" s="3"/>
      <c r="J63" s="3"/>
      <c r="K63" s="71"/>
      <c r="L63" s="71"/>
      <c r="M63" s="71"/>
      <c r="N63" s="72"/>
      <c r="O63" s="3"/>
      <c r="P63" s="3"/>
    </row>
    <row x14ac:dyDescent="0.25" r="64" customHeight="1" ht="18.75">
      <c r="A64" s="55">
        <v>45796</v>
      </c>
      <c r="B64" s="65">
        <f>TEXT(A64,"mmm-yy")</f>
      </c>
      <c r="C64" s="66">
        <f>VLOOKUP(A64,'Revenue Sheet'!A:R,18,0)</f>
      </c>
      <c r="D64" s="66">
        <f>VLOOKUP(A64,'Expense Sheet'!A:F,6,0)</f>
      </c>
      <c r="E64" s="66">
        <f>IFERROR(C64+E63,"")</f>
      </c>
      <c r="F64" s="66">
        <f>IFERROR(D64+F63,"")</f>
      </c>
      <c r="G64" s="66">
        <f>IFERROR(C64-D64,"")</f>
      </c>
      <c r="H64" s="66">
        <f>IFERROR(E64-F64,"")</f>
      </c>
      <c r="I64" s="3"/>
      <c r="J64" s="3"/>
      <c r="K64" s="71"/>
      <c r="L64" s="71"/>
      <c r="M64" s="71"/>
      <c r="N64" s="72"/>
      <c r="O64" s="3"/>
      <c r="P64" s="3"/>
    </row>
    <row x14ac:dyDescent="0.25" r="65" customHeight="1" ht="18.75">
      <c r="A65" s="55">
        <v>45797</v>
      </c>
      <c r="B65" s="65">
        <f>TEXT(A65,"mmm-yy")</f>
      </c>
      <c r="C65" s="66">
        <f>VLOOKUP(A65,'Revenue Sheet'!A:R,18,0)</f>
      </c>
      <c r="D65" s="66">
        <f>VLOOKUP(A65,'Expense Sheet'!A:F,6,0)</f>
      </c>
      <c r="E65" s="66">
        <f>IFERROR(C65+E64,"")</f>
      </c>
      <c r="F65" s="66">
        <f>IFERROR(D65+F64,"")</f>
      </c>
      <c r="G65" s="66">
        <f>IFERROR(C65-D65,"")</f>
      </c>
      <c r="H65" s="66">
        <f>IFERROR(E65-F65,"")</f>
      </c>
      <c r="I65" s="3"/>
      <c r="J65" s="3"/>
      <c r="K65" s="71"/>
      <c r="L65" s="71"/>
      <c r="M65" s="71"/>
      <c r="N65" s="72"/>
      <c r="O65" s="3"/>
      <c r="P65" s="3"/>
    </row>
    <row x14ac:dyDescent="0.25" r="66" customHeight="1" ht="18.75">
      <c r="A66" s="55">
        <v>45798</v>
      </c>
      <c r="B66" s="65">
        <f>TEXT(A66,"mmm-yy")</f>
      </c>
      <c r="C66" s="66">
        <f>VLOOKUP(A66,'Revenue Sheet'!A:R,18,0)</f>
      </c>
      <c r="D66" s="66">
        <f>VLOOKUP(A66,'Expense Sheet'!A:F,6,0)</f>
      </c>
      <c r="E66" s="66">
        <f>IFERROR(C66+E65,"")</f>
      </c>
      <c r="F66" s="66">
        <f>IFERROR(D66+F65,"")</f>
      </c>
      <c r="G66" s="66">
        <f>IFERROR(C66-D66,"")</f>
      </c>
      <c r="H66" s="66">
        <f>IFERROR(E66-F66,"")</f>
      </c>
      <c r="I66" s="3"/>
      <c r="J66" s="3"/>
      <c r="K66" s="71"/>
      <c r="L66" s="71"/>
      <c r="M66" s="71"/>
      <c r="N66" s="72"/>
      <c r="O66" s="3"/>
      <c r="P66" s="3"/>
    </row>
    <row x14ac:dyDescent="0.25" r="67" customHeight="1" ht="18.75">
      <c r="A67" s="55">
        <v>45799</v>
      </c>
      <c r="B67" s="65">
        <f>TEXT(A67,"mmm-yy")</f>
      </c>
      <c r="C67" s="66">
        <f>VLOOKUP(A67,'Revenue Sheet'!A:R,18,0)</f>
      </c>
      <c r="D67" s="66">
        <f>VLOOKUP(A67,'Expense Sheet'!A:F,6,0)</f>
      </c>
      <c r="E67" s="66">
        <f>IFERROR(C67+E66,"")</f>
      </c>
      <c r="F67" s="66">
        <f>IFERROR(D67+F66,"")</f>
      </c>
      <c r="G67" s="66">
        <f>IFERROR(C67-D67,"")</f>
      </c>
      <c r="H67" s="66">
        <f>IFERROR(E67-F67,"")</f>
      </c>
      <c r="I67" s="3"/>
      <c r="J67" s="3"/>
      <c r="K67" s="71"/>
      <c r="L67" s="71"/>
      <c r="M67" s="71"/>
      <c r="N67" s="72"/>
      <c r="O67" s="3"/>
      <c r="P67" s="3"/>
    </row>
    <row x14ac:dyDescent="0.25" r="68" customHeight="1" ht="18.75">
      <c r="A68" s="55">
        <v>45800</v>
      </c>
      <c r="B68" s="65">
        <f>TEXT(A68,"mmm-yy")</f>
      </c>
      <c r="C68" s="66">
        <f>VLOOKUP(A68,'Revenue Sheet'!A:R,18,0)</f>
      </c>
      <c r="D68" s="66">
        <f>VLOOKUP(A68,'Expense Sheet'!A:F,6,0)</f>
      </c>
      <c r="E68" s="66">
        <f>IFERROR(C68+E67,"")</f>
      </c>
      <c r="F68" s="66">
        <f>IFERROR(D68+F67,"")</f>
      </c>
      <c r="G68" s="66">
        <f>IFERROR(C68-D68,"")</f>
      </c>
      <c r="H68" s="66">
        <f>IFERROR(E68-F68,"")</f>
      </c>
      <c r="I68" s="3"/>
      <c r="J68" s="3"/>
      <c r="K68" s="71"/>
      <c r="L68" s="71"/>
      <c r="M68" s="71"/>
      <c r="N68" s="72"/>
      <c r="O68" s="3"/>
      <c r="P68" s="3"/>
    </row>
    <row x14ac:dyDescent="0.25" r="69" customHeight="1" ht="18.75">
      <c r="A69" s="55">
        <v>45801</v>
      </c>
      <c r="B69" s="65">
        <f>TEXT(A69,"mmm-yy")</f>
      </c>
      <c r="C69" s="66">
        <f>VLOOKUP(A69,'Revenue Sheet'!A:R,18,0)</f>
      </c>
      <c r="D69" s="66">
        <f>VLOOKUP(A69,'Expense Sheet'!A:F,6,0)</f>
      </c>
      <c r="E69" s="66">
        <f>IFERROR(C69+E68,"")</f>
      </c>
      <c r="F69" s="66">
        <f>IFERROR(D69+F68,"")</f>
      </c>
      <c r="G69" s="66">
        <f>IFERROR(C69-D69,"")</f>
      </c>
      <c r="H69" s="66">
        <f>IFERROR(E69-F69,"")</f>
      </c>
      <c r="I69" s="3"/>
      <c r="J69" s="3"/>
      <c r="K69" s="71"/>
      <c r="L69" s="71"/>
      <c r="M69" s="71"/>
      <c r="N69" s="72"/>
      <c r="O69" s="3"/>
      <c r="P69" s="3"/>
    </row>
    <row x14ac:dyDescent="0.25" r="70" customHeight="1" ht="18.75">
      <c r="A70" s="55">
        <v>45802</v>
      </c>
      <c r="B70" s="65">
        <f>TEXT(A70,"mmm-yy")</f>
      </c>
      <c r="C70" s="66">
        <f>VLOOKUP(A70,'Revenue Sheet'!A:R,18,0)</f>
      </c>
      <c r="D70" s="66">
        <f>VLOOKUP(A70,'Expense Sheet'!A:F,6,0)</f>
      </c>
      <c r="E70" s="66">
        <f>IFERROR(C70+E69,"")</f>
      </c>
      <c r="F70" s="66">
        <f>IFERROR(D70+F69,"")</f>
      </c>
      <c r="G70" s="66">
        <f>IFERROR(C70-D70,"")</f>
      </c>
      <c r="H70" s="66">
        <f>IFERROR(E70-F70,"")</f>
      </c>
      <c r="I70" s="3"/>
      <c r="J70" s="3"/>
      <c r="K70" s="71"/>
      <c r="L70" s="71"/>
      <c r="M70" s="71"/>
      <c r="N70" s="72"/>
      <c r="O70" s="3"/>
      <c r="P70" s="3"/>
    </row>
    <row x14ac:dyDescent="0.25" r="71" customHeight="1" ht="18.75">
      <c r="A71" s="55">
        <v>45803</v>
      </c>
      <c r="B71" s="65">
        <f>TEXT(A71,"mmm-yy")</f>
      </c>
      <c r="C71" s="66">
        <f>VLOOKUP(A71,'Revenue Sheet'!A:R,18,0)</f>
      </c>
      <c r="D71" s="66">
        <f>VLOOKUP(A71,'Expense Sheet'!A:F,6,0)</f>
      </c>
      <c r="E71" s="66">
        <f>IFERROR(C71+E70,"")</f>
      </c>
      <c r="F71" s="66">
        <f>IFERROR(D71+F70,"")</f>
      </c>
      <c r="G71" s="66">
        <f>IFERROR(C71-D71,"")</f>
      </c>
      <c r="H71" s="66">
        <f>IFERROR(E71-F71,"")</f>
      </c>
      <c r="I71" s="3"/>
      <c r="J71" s="3"/>
      <c r="K71" s="71"/>
      <c r="L71" s="71"/>
      <c r="M71" s="71"/>
      <c r="N71" s="72"/>
      <c r="O71" s="3"/>
      <c r="P71" s="3"/>
    </row>
    <row x14ac:dyDescent="0.25" r="72" customHeight="1" ht="18.75">
      <c r="A72" s="55">
        <v>45804</v>
      </c>
      <c r="B72" s="65">
        <f>TEXT(A72,"mmm-yy")</f>
      </c>
      <c r="C72" s="66">
        <f>VLOOKUP(A72,'Revenue Sheet'!A:R,18,0)</f>
      </c>
      <c r="D72" s="66">
        <f>VLOOKUP(A72,'Expense Sheet'!A:F,6,0)</f>
      </c>
      <c r="E72" s="66">
        <f>IFERROR(C72+E71,"")</f>
      </c>
      <c r="F72" s="66">
        <f>IFERROR(D72+F71,"")</f>
      </c>
      <c r="G72" s="66">
        <f>IFERROR(C72-D72,"")</f>
      </c>
      <c r="H72" s="66">
        <f>IFERROR(E72-F72,"")</f>
      </c>
      <c r="I72" s="3"/>
      <c r="J72" s="3"/>
      <c r="K72" s="71"/>
      <c r="L72" s="71"/>
      <c r="M72" s="71"/>
      <c r="N72" s="72"/>
      <c r="O72" s="3"/>
      <c r="P72" s="3"/>
    </row>
    <row x14ac:dyDescent="0.25" r="73" customHeight="1" ht="18.75">
      <c r="A73" s="55">
        <v>45805</v>
      </c>
      <c r="B73" s="65">
        <f>TEXT(A73,"mmm-yy")</f>
      </c>
      <c r="C73" s="66">
        <f>VLOOKUP(A73,'Revenue Sheet'!A:R,18,0)</f>
      </c>
      <c r="D73" s="66">
        <f>VLOOKUP(A73,'Expense Sheet'!A:F,6,0)</f>
      </c>
      <c r="E73" s="66">
        <f>IFERROR(C73+E72,"")</f>
      </c>
      <c r="F73" s="66">
        <f>IFERROR(D73+F72,"")</f>
      </c>
      <c r="G73" s="66">
        <f>IFERROR(C73-D73,"")</f>
      </c>
      <c r="H73" s="66">
        <f>IFERROR(E73-F73,"")</f>
      </c>
      <c r="I73" s="3"/>
      <c r="J73" s="3"/>
      <c r="K73" s="71"/>
      <c r="L73" s="71"/>
      <c r="M73" s="71"/>
      <c r="N73" s="72"/>
      <c r="O73" s="3"/>
      <c r="P73" s="3"/>
    </row>
    <row x14ac:dyDescent="0.25" r="74" customHeight="1" ht="18.75">
      <c r="A74" s="55">
        <v>45806</v>
      </c>
      <c r="B74" s="65">
        <f>TEXT(A74,"mmm-yy")</f>
      </c>
      <c r="C74" s="66">
        <f>VLOOKUP(A74,'Revenue Sheet'!A:R,18,0)</f>
      </c>
      <c r="D74" s="66">
        <f>VLOOKUP(A74,'Expense Sheet'!A:F,6,0)</f>
      </c>
      <c r="E74" s="66">
        <f>IFERROR(C74+E73,"")</f>
      </c>
      <c r="F74" s="66">
        <f>IFERROR(D74+F73,"")</f>
      </c>
      <c r="G74" s="66">
        <f>IFERROR(C74-D74,"")</f>
      </c>
      <c r="H74" s="66">
        <f>IFERROR(E74-F74,"")</f>
      </c>
      <c r="I74" s="3"/>
      <c r="J74" s="3"/>
      <c r="K74" s="71"/>
      <c r="L74" s="71"/>
      <c r="M74" s="71"/>
      <c r="N74" s="72"/>
      <c r="O74" s="3"/>
      <c r="P74" s="3"/>
    </row>
    <row x14ac:dyDescent="0.25" r="75" customHeight="1" ht="18.75">
      <c r="A75" s="55">
        <v>45807</v>
      </c>
      <c r="B75" s="65">
        <f>TEXT(A75,"mmm-yy")</f>
      </c>
      <c r="C75" s="66">
        <f>VLOOKUP(A75,'Revenue Sheet'!A:R,18,0)</f>
      </c>
      <c r="D75" s="66">
        <f>VLOOKUP(A75,'Expense Sheet'!A:F,6,0)</f>
      </c>
      <c r="E75" s="66">
        <f>IFERROR(C75+E74,"")</f>
      </c>
      <c r="F75" s="66">
        <f>IFERROR(D75+F74,"")</f>
      </c>
      <c r="G75" s="66">
        <f>IFERROR(C75-D75,"")</f>
      </c>
      <c r="H75" s="66">
        <f>IFERROR(E75-F75,"")</f>
      </c>
      <c r="I75" s="3"/>
      <c r="J75" s="3"/>
      <c r="K75" s="71"/>
      <c r="L75" s="71"/>
      <c r="M75" s="71"/>
      <c r="N75" s="72"/>
      <c r="O75" s="3"/>
      <c r="P75" s="3"/>
    </row>
    <row x14ac:dyDescent="0.25" r="76" customHeight="1" ht="18.75">
      <c r="A76" s="55">
        <v>45808</v>
      </c>
      <c r="B76" s="65">
        <f>TEXT(A76,"mmm-yy")</f>
      </c>
      <c r="C76" s="66">
        <f>VLOOKUP(A76,'Revenue Sheet'!A:R,18,0)</f>
      </c>
      <c r="D76" s="66">
        <f>VLOOKUP(A76,'Expense Sheet'!A:F,6,0)</f>
      </c>
      <c r="E76" s="66">
        <f>IFERROR(C76+E75,"")</f>
      </c>
      <c r="F76" s="66">
        <f>IFERROR(D76+F75,"")</f>
      </c>
      <c r="G76" s="66">
        <f>IFERROR(C76-D76,"")</f>
      </c>
      <c r="H76" s="66">
        <f>IFERROR(E76-F76,"")</f>
      </c>
      <c r="I76" s="3"/>
      <c r="J76" s="3"/>
      <c r="K76" s="71"/>
      <c r="L76" s="71"/>
      <c r="M76" s="71"/>
      <c r="N76" s="72"/>
      <c r="O76" s="3"/>
      <c r="P76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77"/>
  <sheetViews>
    <sheetView workbookViewId="0"/>
  </sheetViews>
  <sheetFormatPr defaultRowHeight="15" x14ac:dyDescent="0.25"/>
  <cols>
    <col min="1" max="1" style="59" width="10.147857142857141" customWidth="1" bestFit="1"/>
    <col min="2" max="2" style="16" width="8.719285714285713" customWidth="1" bestFit="1"/>
    <col min="3" max="3" style="16" width="11.43357142857143" customWidth="1" bestFit="1"/>
    <col min="4" max="4" style="16" width="12.43357142857143" customWidth="1" bestFit="1"/>
    <col min="5" max="5" style="16" width="11.43357142857143" customWidth="1" bestFit="1"/>
    <col min="6" max="6" style="16" width="11.43357142857143" customWidth="1" bestFit="1"/>
    <col min="7" max="7" style="16" width="12.43357142857143" customWidth="1" bestFit="1"/>
    <col min="8" max="8" style="16" width="11.43357142857143" customWidth="1" bestFit="1"/>
    <col min="9" max="9" style="16" width="11.290714285714287" customWidth="1" bestFit="1"/>
    <col min="10" max="10" style="16" width="12.43357142857143" customWidth="1" bestFit="1"/>
    <col min="11" max="11" style="16" width="11.43357142857143" customWidth="1" bestFit="1"/>
    <col min="12" max="12" style="16" width="11.290714285714287" customWidth="1" bestFit="1"/>
    <col min="13" max="13" style="16" width="12.43357142857143" customWidth="1" bestFit="1"/>
    <col min="14" max="14" style="16" width="11.43357142857143" customWidth="1" bestFit="1"/>
    <col min="15" max="15" style="16" width="11.43357142857143" customWidth="1" bestFit="1"/>
    <col min="16" max="16" style="16" width="12.43357142857143" customWidth="1" bestFit="1"/>
    <col min="17" max="17" style="16" width="11.43357142857143" customWidth="1" bestFit="1"/>
    <col min="18" max="18" style="60" width="13.862142857142858" customWidth="1" bestFit="1"/>
  </cols>
  <sheetData>
    <row x14ac:dyDescent="0.25" r="1" customHeight="1" ht="18.75">
      <c r="A1" s="48"/>
      <c r="B1" s="49"/>
      <c r="C1" s="50" t="s">
        <v>11</v>
      </c>
      <c r="D1" s="50"/>
      <c r="E1" s="50"/>
      <c r="F1" s="50" t="s">
        <v>16</v>
      </c>
      <c r="G1" s="50"/>
      <c r="H1" s="50"/>
      <c r="I1" s="50" t="s">
        <v>19</v>
      </c>
      <c r="J1" s="50"/>
      <c r="K1" s="50"/>
      <c r="L1" s="50" t="s">
        <v>21</v>
      </c>
      <c r="M1" s="50"/>
      <c r="N1" s="50"/>
      <c r="O1" s="50" t="s">
        <v>49</v>
      </c>
      <c r="P1" s="50"/>
      <c r="Q1" s="50"/>
      <c r="R1" s="51"/>
    </row>
    <row x14ac:dyDescent="0.25" r="2" customHeight="1" ht="18.75">
      <c r="A2" s="52" t="s">
        <v>46</v>
      </c>
      <c r="B2" s="53" t="s">
        <v>50</v>
      </c>
      <c r="C2" s="53">
        <f>TRANSPOSE('Material Master'!$B$2:$B$4)</f>
      </c>
      <c r="D2" s="53" t="s">
        <v>27</v>
      </c>
      <c r="E2" s="53" t="s">
        <v>15</v>
      </c>
      <c r="F2" s="53">
        <f>TRANSPOSE('Material Master'!$B$2:$B$4)</f>
      </c>
      <c r="G2" s="53" t="s">
        <v>27</v>
      </c>
      <c r="H2" s="53" t="s">
        <v>15</v>
      </c>
      <c r="I2" s="53">
        <f>TRANSPOSE('Material Master'!$B$2:$B$4)</f>
      </c>
      <c r="J2" s="53" t="s">
        <v>27</v>
      </c>
      <c r="K2" s="53" t="s">
        <v>15</v>
      </c>
      <c r="L2" s="53">
        <f>TRANSPOSE('Material Master'!$B$2:$B$4)</f>
      </c>
      <c r="M2" s="53" t="s">
        <v>27</v>
      </c>
      <c r="N2" s="53" t="s">
        <v>15</v>
      </c>
      <c r="O2" s="53">
        <f>TRANSPOSE('Material Master'!$B$2:$B$4)</f>
      </c>
      <c r="P2" s="53" t="s">
        <v>27</v>
      </c>
      <c r="Q2" s="53" t="s">
        <v>15</v>
      </c>
      <c r="R2" s="54" t="s">
        <v>51</v>
      </c>
    </row>
    <row x14ac:dyDescent="0.25" r="3" customHeight="1" ht="18.75">
      <c r="A3" s="55">
        <v>45734</v>
      </c>
      <c r="B3" s="56">
        <f>IF(A3&gt;TODAY(),"",COUNTA(_xlfn.UNIQUE(_xlfn._xlws.FILTER('OPs Data'!$K:$K,'OPs Data'!$D:$D='Revenue Sheet'!A3))))</f>
      </c>
      <c r="C3" s="57">
        <f>IF(A3&gt;TODAY(),"",SUMIFS('OPs Data'!$N:$N,'OPs Data'!$F:$F,'Revenue Sheet'!C$1,'OPs Data'!$D:$D,'Revenue Sheet'!$A3,'OPs Data'!$L:$L,'Revenue Sheet'!C$2)*VLOOKUP($C$1,'Rate Card'!$B:$E,MATCH('Revenue Sheet'!C$2,'Rate Card'!$B$2:$E$2,0),0))</f>
      </c>
      <c r="D3" s="57">
        <f>IF(A3&gt;TODAY(),"",SUMIFS('OPs Data'!$N:$N,'OPs Data'!$F:$F,'Revenue Sheet'!C$1,'OPs Data'!$D:$D,'Revenue Sheet'!$A3,'OPs Data'!$L:$L,'Revenue Sheet'!D$2)*VLOOKUP($C$1,'Rate Card'!$B:$E,MATCH('Revenue Sheet'!D$2,'Rate Card'!$B$2:$E$2,0),0))</f>
      </c>
      <c r="E3" s="57">
        <f>IF(A3&gt;TODAY(),"",SUMIFS('OPs Data'!$N:$N,'OPs Data'!$F:$F,'Revenue Sheet'!C$1,'OPs Data'!$D:$D,'Revenue Sheet'!$A3,'OPs Data'!$L:$L,'Revenue Sheet'!E$2)*VLOOKUP($C$1,'Rate Card'!$B:$E,MATCH('Revenue Sheet'!E$2,'Rate Card'!$B$2:$E$2,0),0))</f>
      </c>
      <c r="F3" s="57">
        <f>IF(A3&gt;TODAY(),"",SUMIFS('OPs Data'!$N:$N,'OPs Data'!$F:$F,'Revenue Sheet'!F$1,'OPs Data'!$D:$D,'Revenue Sheet'!$A3,'OPs Data'!$L:$L,'Revenue Sheet'!F$2)*VLOOKUP($F$1,'Rate Card'!$B:$E,MATCH('Revenue Sheet'!F$2,'Rate Card'!$B$2:$E$2,0),0))</f>
      </c>
      <c r="G3" s="57">
        <f>IF(A3&gt;TODAY(),"",SUMIFS('OPs Data'!$N:$N,'OPs Data'!$F:$F,'Revenue Sheet'!F$1,'OPs Data'!$D:$D,'Revenue Sheet'!$A3,'OPs Data'!$L:$L,'Revenue Sheet'!G$2)*VLOOKUP($F$1,'Rate Card'!$B:$E,MATCH('Revenue Sheet'!G$2,'Rate Card'!$B$2:$E$2,0),0))</f>
      </c>
      <c r="H3" s="57">
        <f>IF(A3&gt;TODAY(),"",SUMIFS('OPs Data'!$N:$N,'OPs Data'!$F:$F,'Revenue Sheet'!F$1,'OPs Data'!$D:$D,'Revenue Sheet'!$A3,'OPs Data'!$L:$L,'Revenue Sheet'!H$2)*VLOOKUP($F$1,'Rate Card'!$B:$E,MATCH('Revenue Sheet'!H$2,'Rate Card'!$B$2:$E$2,0),0))</f>
      </c>
      <c r="I3" s="57">
        <f>IF(A3&gt;TODAY(),"",SUMIFS('OPs Data'!$N:$N,'OPs Data'!$F:$F,'Revenue Sheet'!I$1,'OPs Data'!$D:$D,'Revenue Sheet'!$A3,'OPs Data'!$L:$L,'Revenue Sheet'!I$2)*VLOOKUP($I$1,'Rate Card'!$B:$E,MATCH('Revenue Sheet'!I$2,'Rate Card'!$B$2:$E$2,0),0))</f>
      </c>
      <c r="J3" s="57">
        <f>IF(A3&gt;TODAY(),"",SUMIFS('OPs Data'!$N:$N,'OPs Data'!$F:$F,'Revenue Sheet'!I$1,'OPs Data'!$D:$D,'Revenue Sheet'!$A3,'OPs Data'!$L:$L,'Revenue Sheet'!J$2)*VLOOKUP($I$1,'Rate Card'!$B:$E,MATCH('Revenue Sheet'!J$2,'Rate Card'!$B$2:$E$2,0),0))</f>
      </c>
      <c r="K3" s="57">
        <f>IF(A3&gt;TODAY(),"",SUMIFS('OPs Data'!$N:$N,'OPs Data'!$F:$F,'Revenue Sheet'!I$1,'OPs Data'!$D:$D,'Revenue Sheet'!$A3,'OPs Data'!$L:$L,'Revenue Sheet'!K$2)*VLOOKUP($I$1,'Rate Card'!$B:$E,MATCH('Revenue Sheet'!K$2,'Rate Card'!$B$2:$E$2,0),0))</f>
      </c>
      <c r="L3" s="57">
        <f>IF(A3&gt;TODAY(),"",SUMIFS('OPs Data'!$N:$N,'OPs Data'!$F:$F,'Revenue Sheet'!L$1,'OPs Data'!$D:$D,'Revenue Sheet'!$A3,'OPs Data'!$L:$L,'Revenue Sheet'!L$2)*VLOOKUP($L$1,'Rate Card'!$B:$E,MATCH('Revenue Sheet'!L$2,'Rate Card'!$B$2:$E$2,0),0))</f>
      </c>
      <c r="M3" s="57">
        <f>IF(A3&gt;TODAY(),"",SUMIFS('OPs Data'!$N:$N,'OPs Data'!$F:$F,'Revenue Sheet'!L$1,'OPs Data'!$D:$D,'Revenue Sheet'!$A3,'OPs Data'!$L:$L,'Revenue Sheet'!M$2)*VLOOKUP($L$1,'Rate Card'!$B:$E,MATCH('Revenue Sheet'!M$2,'Rate Card'!$B$2:$E$2,0),0))</f>
      </c>
      <c r="N3" s="57">
        <f>IF(A3&gt;TODAY(),"",SUMIFS('OPs Data'!$N:$N,'OPs Data'!$F:$F,'Revenue Sheet'!L$1,'OPs Data'!$D:$D,'Revenue Sheet'!$A3,'OPs Data'!$L:$L,'Revenue Sheet'!N$2)*VLOOKUP($L$1,'Rate Card'!$B:$E,MATCH('Revenue Sheet'!N$2,'Rate Card'!$B$2:$E$2,0),0))</f>
      </c>
      <c r="O3" s="57">
        <f>IF($A3&gt;TODAY(),"",SUM(C3,F3,I3,L3))</f>
      </c>
      <c r="P3" s="57">
        <f>IF($A3&gt;TODAY(),"",SUM(D3,G3,J3,M3))</f>
      </c>
      <c r="Q3" s="57">
        <f>IF(Q79&gt;TODAY(),"",COUNTA(_xlfn.UNIQUE(_xlfn._xlws.FILTER('OPs Data'!$K:$K,'OPs Data'!$D:$D='Revenue Sheet'!Q79))))</f>
      </c>
      <c r="R3" s="58">
        <f>IF($A3&gt;TODAY(),"",SUM(O3:Q3))</f>
      </c>
    </row>
    <row x14ac:dyDescent="0.25" r="4" customHeight="1" ht="18.75">
      <c r="A4" s="55">
        <v>45735</v>
      </c>
      <c r="B4" s="56">
        <f>IF(A4&gt;TODAY(),"",COUNTA(_xlfn.UNIQUE(_xlfn._xlws.FILTER('OPs Data'!$K:$K,'OPs Data'!$D:$D='Revenue Sheet'!A4))))</f>
      </c>
      <c r="C4" s="57">
        <f>IF(A4&gt;TODAY(),"",SUMIFS('OPs Data'!$N:$N,'OPs Data'!$F:$F,'Revenue Sheet'!C$1,'OPs Data'!$D:$D,'Revenue Sheet'!$A4,'OPs Data'!$L:$L,'Revenue Sheet'!C$2)*VLOOKUP($C$1,'Rate Card'!$B:$E,MATCH('Revenue Sheet'!C$2,'Rate Card'!$B$2:$E$2,0),0))</f>
      </c>
      <c r="D4" s="57">
        <f>IF(A4&gt;TODAY(),"",SUMIFS('OPs Data'!$N:$N,'OPs Data'!$F:$F,'Revenue Sheet'!C$1,'OPs Data'!$D:$D,'Revenue Sheet'!$A4,'OPs Data'!$L:$L,'Revenue Sheet'!D$2)*VLOOKUP($C$1,'Rate Card'!$B:$E,MATCH('Revenue Sheet'!D$2,'Rate Card'!$B$2:$E$2,0),0))</f>
      </c>
      <c r="E4" s="57">
        <f>IF(A4&gt;TODAY(),"",SUMIFS('OPs Data'!$N:$N,'OPs Data'!$F:$F,'Revenue Sheet'!C$1,'OPs Data'!$D:$D,'Revenue Sheet'!$A4,'OPs Data'!$L:$L,'Revenue Sheet'!E$2)*VLOOKUP($C$1,'Rate Card'!$B:$E,MATCH('Revenue Sheet'!E$2,'Rate Card'!$B$2:$E$2,0),0))</f>
      </c>
      <c r="F4" s="57">
        <f>IF(A4&gt;TODAY(),"",SUMIFS('OPs Data'!$N:$N,'OPs Data'!$F:$F,'Revenue Sheet'!F$1,'OPs Data'!$D:$D,'Revenue Sheet'!$A4,'OPs Data'!$L:$L,'Revenue Sheet'!F$2)*VLOOKUP($F$1,'Rate Card'!$B:$E,MATCH('Revenue Sheet'!F$2,'Rate Card'!$B$2:$E$2,0),0))</f>
      </c>
      <c r="G4" s="57">
        <f>IF(A4&gt;TODAY(),"",SUMIFS('OPs Data'!$N:$N,'OPs Data'!$F:$F,'Revenue Sheet'!F$1,'OPs Data'!$D:$D,'Revenue Sheet'!$A4,'OPs Data'!$L:$L,'Revenue Sheet'!G$2)*VLOOKUP($F$1,'Rate Card'!$B:$E,MATCH('Revenue Sheet'!G$2,'Rate Card'!$B$2:$E$2,0),0))</f>
      </c>
      <c r="H4" s="57">
        <f>IF(A4&gt;TODAY(),"",SUMIFS('OPs Data'!$N:$N,'OPs Data'!$F:$F,'Revenue Sheet'!F$1,'OPs Data'!$D:$D,'Revenue Sheet'!$A4,'OPs Data'!$L:$L,'Revenue Sheet'!H$2)*VLOOKUP($F$1,'Rate Card'!$B:$E,MATCH('Revenue Sheet'!H$2,'Rate Card'!$B$2:$E$2,0),0))</f>
      </c>
      <c r="I4" s="57">
        <f>IF(A4&gt;TODAY(),"",SUMIFS('OPs Data'!$N:$N,'OPs Data'!$F:$F,'Revenue Sheet'!I$1,'OPs Data'!$D:$D,'Revenue Sheet'!$A4,'OPs Data'!$L:$L,'Revenue Sheet'!I$2)*VLOOKUP($I$1,'Rate Card'!$B:$E,MATCH('Revenue Sheet'!I$2,'Rate Card'!$B$2:$E$2,0),0))</f>
      </c>
      <c r="J4" s="57">
        <f>IF(A4&gt;TODAY(),"",SUMIFS('OPs Data'!$N:$N,'OPs Data'!$F:$F,'Revenue Sheet'!I$1,'OPs Data'!$D:$D,'Revenue Sheet'!$A4,'OPs Data'!$L:$L,'Revenue Sheet'!J$2)*VLOOKUP($I$1,'Rate Card'!$B:$E,MATCH('Revenue Sheet'!J$2,'Rate Card'!$B$2:$E$2,0),0))</f>
      </c>
      <c r="K4" s="57">
        <f>IF(A4&gt;TODAY(),"",SUMIFS('OPs Data'!$N:$N,'OPs Data'!$F:$F,'Revenue Sheet'!I$1,'OPs Data'!$D:$D,'Revenue Sheet'!$A4,'OPs Data'!$L:$L,'Revenue Sheet'!K$2)*VLOOKUP($I$1,'Rate Card'!$B:$E,MATCH('Revenue Sheet'!K$2,'Rate Card'!$B$2:$E$2,0),0))</f>
      </c>
      <c r="L4" s="57">
        <f>IF(A4&gt;TODAY(),"",SUMIFS('OPs Data'!$N:$N,'OPs Data'!$F:$F,'Revenue Sheet'!L$1,'OPs Data'!$D:$D,'Revenue Sheet'!$A4,'OPs Data'!$L:$L,'Revenue Sheet'!L$2)*VLOOKUP($L$1,'Rate Card'!$B:$E,MATCH('Revenue Sheet'!L$2,'Rate Card'!$B$2:$E$2,0),0))</f>
      </c>
      <c r="M4" s="57">
        <f>IF(A4&gt;TODAY(),"",SUMIFS('OPs Data'!$N:$N,'OPs Data'!$F:$F,'Revenue Sheet'!L$1,'OPs Data'!$D:$D,'Revenue Sheet'!$A4,'OPs Data'!$L:$L,'Revenue Sheet'!M$2)*VLOOKUP($L$1,'Rate Card'!$B:$E,MATCH('Revenue Sheet'!M$2,'Rate Card'!$B$2:$E$2,0),0))</f>
      </c>
      <c r="N4" s="57">
        <f>IF(A4&gt;TODAY(),"",SUMIFS('OPs Data'!$N:$N,'OPs Data'!$F:$F,'Revenue Sheet'!L$1,'OPs Data'!$D:$D,'Revenue Sheet'!$A4,'OPs Data'!$L:$L,'Revenue Sheet'!N$2)*VLOOKUP($L$1,'Rate Card'!$B:$E,MATCH('Revenue Sheet'!N$2,'Rate Card'!$B$2:$E$2,0),0))</f>
      </c>
      <c r="O4" s="57">
        <f>IF($A4&gt;TODAY(),"",SUM(C4,F4,I4,L4))</f>
      </c>
      <c r="P4" s="57">
        <f>IF($A4&gt;TODAY(),"",SUM(D4,G4,J4,M4))</f>
      </c>
      <c r="Q4" s="57">
        <f>IF($A4&gt;TODAY(),"",SUM(E4,H4,K4,N4))</f>
      </c>
      <c r="R4" s="58">
        <f>IF($A4&gt;TODAY(),"",SUM(O4:Q4))</f>
      </c>
    </row>
    <row x14ac:dyDescent="0.25" r="5" customHeight="1" ht="18.75">
      <c r="A5" s="55">
        <v>45736</v>
      </c>
      <c r="B5" s="56">
        <f>IF(A5&gt;TODAY(),"",COUNTA(_xlfn.UNIQUE(_xlfn._xlws.FILTER('OPs Data'!$K:$K,'OPs Data'!$D:$D='Revenue Sheet'!A5))))</f>
      </c>
      <c r="C5" s="57">
        <f>IF(A5&gt;TODAY(),"",SUMIFS('OPs Data'!$N:$N,'OPs Data'!$F:$F,'Revenue Sheet'!C$1,'OPs Data'!$D:$D,'Revenue Sheet'!$A5,'OPs Data'!$L:$L,'Revenue Sheet'!C$2)*VLOOKUP($C$1,'Rate Card'!$B:$E,MATCH('Revenue Sheet'!C$2,'Rate Card'!$B$2:$E$2,0),0))</f>
      </c>
      <c r="D5" s="57">
        <f>IF(A5&gt;TODAY(),"",SUMIFS('OPs Data'!$N:$N,'OPs Data'!$F:$F,'Revenue Sheet'!C$1,'OPs Data'!$D:$D,'Revenue Sheet'!$A5,'OPs Data'!$L:$L,'Revenue Sheet'!D$2)*VLOOKUP($C$1,'Rate Card'!$B:$E,MATCH('Revenue Sheet'!D$2,'Rate Card'!$B$2:$E$2,0),0))</f>
      </c>
      <c r="E5" s="57">
        <f>IF(A5&gt;TODAY(),"",SUMIFS('OPs Data'!$N:$N,'OPs Data'!$F:$F,'Revenue Sheet'!C$1,'OPs Data'!$D:$D,'Revenue Sheet'!$A5,'OPs Data'!$L:$L,'Revenue Sheet'!E$2)*VLOOKUP($C$1,'Rate Card'!$B:$E,MATCH('Revenue Sheet'!E$2,'Rate Card'!$B$2:$E$2,0),0))</f>
      </c>
      <c r="F5" s="57">
        <f>IF(A5&gt;TODAY(),"",SUMIFS('OPs Data'!$N:$N,'OPs Data'!$F:$F,'Revenue Sheet'!F$1,'OPs Data'!$D:$D,'Revenue Sheet'!$A5,'OPs Data'!$L:$L,'Revenue Sheet'!F$2)*VLOOKUP($F$1,'Rate Card'!$B:$E,MATCH('Revenue Sheet'!F$2,'Rate Card'!$B$2:$E$2,0),0))</f>
      </c>
      <c r="G5" s="57">
        <f>IF(A5&gt;TODAY(),"",SUMIFS('OPs Data'!$N:$N,'OPs Data'!$F:$F,'Revenue Sheet'!F$1,'OPs Data'!$D:$D,'Revenue Sheet'!$A5,'OPs Data'!$L:$L,'Revenue Sheet'!G$2)*VLOOKUP($F$1,'Rate Card'!$B:$E,MATCH('Revenue Sheet'!G$2,'Rate Card'!$B$2:$E$2,0),0))</f>
      </c>
      <c r="H5" s="57">
        <f>IF(A5&gt;TODAY(),"",SUMIFS('OPs Data'!$N:$N,'OPs Data'!$F:$F,'Revenue Sheet'!F$1,'OPs Data'!$D:$D,'Revenue Sheet'!$A5,'OPs Data'!$L:$L,'Revenue Sheet'!H$2)*VLOOKUP($F$1,'Rate Card'!$B:$E,MATCH('Revenue Sheet'!H$2,'Rate Card'!$B$2:$E$2,0),0))</f>
      </c>
      <c r="I5" s="57">
        <f>IF(A5&gt;TODAY(),"",SUMIFS('OPs Data'!$N:$N,'OPs Data'!$F:$F,'Revenue Sheet'!I$1,'OPs Data'!$D:$D,'Revenue Sheet'!$A5,'OPs Data'!$L:$L,'Revenue Sheet'!I$2)*VLOOKUP($I$1,'Rate Card'!$B:$E,MATCH('Revenue Sheet'!I$2,'Rate Card'!$B$2:$E$2,0),0))</f>
      </c>
      <c r="J5" s="57">
        <f>IF(A5&gt;TODAY(),"",SUMIFS('OPs Data'!$N:$N,'OPs Data'!$F:$F,'Revenue Sheet'!I$1,'OPs Data'!$D:$D,'Revenue Sheet'!$A5,'OPs Data'!$L:$L,'Revenue Sheet'!J$2)*VLOOKUP($I$1,'Rate Card'!$B:$E,MATCH('Revenue Sheet'!J$2,'Rate Card'!$B$2:$E$2,0),0))</f>
      </c>
      <c r="K5" s="57">
        <f>IF(A5&gt;TODAY(),"",SUMIFS('OPs Data'!$N:$N,'OPs Data'!$F:$F,'Revenue Sheet'!I$1,'OPs Data'!$D:$D,'Revenue Sheet'!$A5,'OPs Data'!$L:$L,'Revenue Sheet'!K$2)*VLOOKUP($I$1,'Rate Card'!$B:$E,MATCH('Revenue Sheet'!K$2,'Rate Card'!$B$2:$E$2,0),0))</f>
      </c>
      <c r="L5" s="57">
        <f>IF(A5&gt;TODAY(),"",SUMIFS('OPs Data'!$N:$N,'OPs Data'!$F:$F,'Revenue Sheet'!L$1,'OPs Data'!$D:$D,'Revenue Sheet'!$A5,'OPs Data'!$L:$L,'Revenue Sheet'!L$2)*VLOOKUP($L$1,'Rate Card'!$B:$E,MATCH('Revenue Sheet'!L$2,'Rate Card'!$B$2:$E$2,0),0))</f>
      </c>
      <c r="M5" s="57">
        <f>IF(A5&gt;TODAY(),"",SUMIFS('OPs Data'!$N:$N,'OPs Data'!$F:$F,'Revenue Sheet'!L$1,'OPs Data'!$D:$D,'Revenue Sheet'!$A5,'OPs Data'!$L:$L,'Revenue Sheet'!M$2)*VLOOKUP($L$1,'Rate Card'!$B:$E,MATCH('Revenue Sheet'!M$2,'Rate Card'!$B$2:$E$2,0),0))</f>
      </c>
      <c r="N5" s="57">
        <f>IF(A5&gt;TODAY(),"",SUMIFS('OPs Data'!$N:$N,'OPs Data'!$F:$F,'Revenue Sheet'!L$1,'OPs Data'!$D:$D,'Revenue Sheet'!$A5,'OPs Data'!$L:$L,'Revenue Sheet'!N$2)*VLOOKUP($L$1,'Rate Card'!$B:$E,MATCH('Revenue Sheet'!N$2,'Rate Card'!$B$2:$E$2,0),0))</f>
      </c>
      <c r="O5" s="57">
        <f>IF($A5&gt;TODAY(),"",SUM(C5,F5,I5,L5))</f>
      </c>
      <c r="P5" s="57">
        <f>IF($A5&gt;TODAY(),"",SUM(D5,G5,J5,M5))</f>
      </c>
      <c r="Q5" s="57">
        <f>IF($A5&gt;TODAY(),"",SUM(E5,H5,K5,N5))</f>
      </c>
      <c r="R5" s="58">
        <f>IF($A5&gt;TODAY(),"",SUM(O5:Q5))</f>
      </c>
    </row>
    <row x14ac:dyDescent="0.25" r="6" customHeight="1" ht="18.75">
      <c r="A6" s="55">
        <v>45737</v>
      </c>
      <c r="B6" s="56">
        <f>IF(A6&gt;TODAY(),"",COUNTA(_xlfn.UNIQUE(_xlfn._xlws.FILTER('OPs Data'!$K:$K,'OPs Data'!$D:$D='Revenue Sheet'!A6))))</f>
      </c>
      <c r="C6" s="57">
        <f>IF(A6&gt;TODAY(),"",SUMIFS('OPs Data'!$N:$N,'OPs Data'!$F:$F,'Revenue Sheet'!C$1,'OPs Data'!$D:$D,'Revenue Sheet'!$A6,'OPs Data'!$L:$L,'Revenue Sheet'!C$2)*VLOOKUP($C$1,'Rate Card'!$B:$E,MATCH('Revenue Sheet'!C$2,'Rate Card'!$B$2:$E$2,0),0))</f>
      </c>
      <c r="D6" s="57">
        <f>IF(A6&gt;TODAY(),"",SUMIFS('OPs Data'!$N:$N,'OPs Data'!$F:$F,'Revenue Sheet'!C$1,'OPs Data'!$D:$D,'Revenue Sheet'!$A6,'OPs Data'!$L:$L,'Revenue Sheet'!D$2)*VLOOKUP($C$1,'Rate Card'!$B:$E,MATCH('Revenue Sheet'!D$2,'Rate Card'!$B$2:$E$2,0),0))</f>
      </c>
      <c r="E6" s="57">
        <f>IF(A6&gt;TODAY(),"",SUMIFS('OPs Data'!$N:$N,'OPs Data'!$F:$F,'Revenue Sheet'!C$1,'OPs Data'!$D:$D,'Revenue Sheet'!$A6,'OPs Data'!$L:$L,'Revenue Sheet'!E$2)*VLOOKUP($C$1,'Rate Card'!$B:$E,MATCH('Revenue Sheet'!E$2,'Rate Card'!$B$2:$E$2,0),0))</f>
      </c>
      <c r="F6" s="57">
        <f>IF(A6&gt;TODAY(),"",SUMIFS('OPs Data'!$N:$N,'OPs Data'!$F:$F,'Revenue Sheet'!F$1,'OPs Data'!$D:$D,'Revenue Sheet'!$A6,'OPs Data'!$L:$L,'Revenue Sheet'!F$2)*VLOOKUP($F$1,'Rate Card'!$B:$E,MATCH('Revenue Sheet'!F$2,'Rate Card'!$B$2:$E$2,0),0))</f>
      </c>
      <c r="G6" s="57">
        <f>IF(A6&gt;TODAY(),"",SUMIFS('OPs Data'!$N:$N,'OPs Data'!$F:$F,'Revenue Sheet'!F$1,'OPs Data'!$D:$D,'Revenue Sheet'!$A6,'OPs Data'!$L:$L,'Revenue Sheet'!G$2)*VLOOKUP($F$1,'Rate Card'!$B:$E,MATCH('Revenue Sheet'!G$2,'Rate Card'!$B$2:$E$2,0),0))</f>
      </c>
      <c r="H6" s="57">
        <f>IF(A6&gt;TODAY(),"",SUMIFS('OPs Data'!$N:$N,'OPs Data'!$F:$F,'Revenue Sheet'!F$1,'OPs Data'!$D:$D,'Revenue Sheet'!$A6,'OPs Data'!$L:$L,'Revenue Sheet'!H$2)*VLOOKUP($F$1,'Rate Card'!$B:$E,MATCH('Revenue Sheet'!H$2,'Rate Card'!$B$2:$E$2,0),0))</f>
      </c>
      <c r="I6" s="57">
        <f>IF(A6&gt;TODAY(),"",SUMIFS('OPs Data'!$N:$N,'OPs Data'!$F:$F,'Revenue Sheet'!I$1,'OPs Data'!$D:$D,'Revenue Sheet'!$A6,'OPs Data'!$L:$L,'Revenue Sheet'!I$2)*VLOOKUP($I$1,'Rate Card'!$B:$E,MATCH('Revenue Sheet'!I$2,'Rate Card'!$B$2:$E$2,0),0))</f>
      </c>
      <c r="J6" s="57">
        <f>IF(A6&gt;TODAY(),"",SUMIFS('OPs Data'!$N:$N,'OPs Data'!$F:$F,'Revenue Sheet'!I$1,'OPs Data'!$D:$D,'Revenue Sheet'!$A6,'OPs Data'!$L:$L,'Revenue Sheet'!J$2)*VLOOKUP($I$1,'Rate Card'!$B:$E,MATCH('Revenue Sheet'!J$2,'Rate Card'!$B$2:$E$2,0),0))</f>
      </c>
      <c r="K6" s="57">
        <f>IF(A6&gt;TODAY(),"",SUMIFS('OPs Data'!$N:$N,'OPs Data'!$F:$F,'Revenue Sheet'!I$1,'OPs Data'!$D:$D,'Revenue Sheet'!$A6,'OPs Data'!$L:$L,'Revenue Sheet'!K$2)*VLOOKUP($I$1,'Rate Card'!$B:$E,MATCH('Revenue Sheet'!K$2,'Rate Card'!$B$2:$E$2,0),0))</f>
      </c>
      <c r="L6" s="57">
        <f>IF(A6&gt;TODAY(),"",SUMIFS('OPs Data'!$N:$N,'OPs Data'!$F:$F,'Revenue Sheet'!L$1,'OPs Data'!$D:$D,'Revenue Sheet'!$A6,'OPs Data'!$L:$L,'Revenue Sheet'!L$2)*VLOOKUP($L$1,'Rate Card'!$B:$E,MATCH('Revenue Sheet'!L$2,'Rate Card'!$B$2:$E$2,0),0))</f>
      </c>
      <c r="M6" s="57">
        <f>IF(A6&gt;TODAY(),"",SUMIFS('OPs Data'!$N:$N,'OPs Data'!$F:$F,'Revenue Sheet'!L$1,'OPs Data'!$D:$D,'Revenue Sheet'!$A6,'OPs Data'!$L:$L,'Revenue Sheet'!M$2)*VLOOKUP($L$1,'Rate Card'!$B:$E,MATCH('Revenue Sheet'!M$2,'Rate Card'!$B$2:$E$2,0),0))</f>
      </c>
      <c r="N6" s="57">
        <f>IF(A6&gt;TODAY(),"",SUMIFS('OPs Data'!$N:$N,'OPs Data'!$F:$F,'Revenue Sheet'!L$1,'OPs Data'!$D:$D,'Revenue Sheet'!$A6,'OPs Data'!$L:$L,'Revenue Sheet'!N$2)*VLOOKUP($L$1,'Rate Card'!$B:$E,MATCH('Revenue Sheet'!N$2,'Rate Card'!$B$2:$E$2,0),0))</f>
      </c>
      <c r="O6" s="57">
        <f>IF($A6&gt;TODAY(),"",SUM(C6,F6,I6,L6))</f>
      </c>
      <c r="P6" s="57">
        <f>IF($A6&gt;TODAY(),"",SUM(D6,G6,J6,M6))</f>
      </c>
      <c r="Q6" s="57">
        <f>IF($A6&gt;TODAY(),"",SUM(E6,H6,K6,N6))</f>
      </c>
      <c r="R6" s="58">
        <f>IF($A6&gt;TODAY(),"",SUM(O6:Q6))</f>
      </c>
    </row>
    <row x14ac:dyDescent="0.25" r="7" customHeight="1" ht="18.75">
      <c r="A7" s="55">
        <v>45738</v>
      </c>
      <c r="B7" s="56">
        <f>IF(A7&gt;TODAY(),"",COUNTA(_xlfn.UNIQUE(_xlfn._xlws.FILTER('OPs Data'!$K:$K,'OPs Data'!$D:$D='Revenue Sheet'!A7))))</f>
      </c>
      <c r="C7" s="57">
        <f>IF(A7&gt;TODAY(),"",SUMIFS('OPs Data'!$N:$N,'OPs Data'!$F:$F,'Revenue Sheet'!C$1,'OPs Data'!$D:$D,'Revenue Sheet'!$A7,'OPs Data'!$L:$L,'Revenue Sheet'!C$2)*VLOOKUP($C$1,'Rate Card'!$B:$E,MATCH('Revenue Sheet'!C$2,'Rate Card'!$B$2:$E$2,0),0))</f>
      </c>
      <c r="D7" s="57">
        <f>IF(A7&gt;TODAY(),"",SUMIFS('OPs Data'!$N:$N,'OPs Data'!$F:$F,'Revenue Sheet'!C$1,'OPs Data'!$D:$D,'Revenue Sheet'!$A7,'OPs Data'!$L:$L,'Revenue Sheet'!D$2)*VLOOKUP($C$1,'Rate Card'!$B:$E,MATCH('Revenue Sheet'!D$2,'Rate Card'!$B$2:$E$2,0),0))</f>
      </c>
      <c r="E7" s="57">
        <f>IF(A7&gt;TODAY(),"",SUMIFS('OPs Data'!$N:$N,'OPs Data'!$F:$F,'Revenue Sheet'!C$1,'OPs Data'!$D:$D,'Revenue Sheet'!$A7,'OPs Data'!$L:$L,'Revenue Sheet'!E$2)*VLOOKUP($C$1,'Rate Card'!$B:$E,MATCH('Revenue Sheet'!E$2,'Rate Card'!$B$2:$E$2,0),0))</f>
      </c>
      <c r="F7" s="57">
        <f>IF(A7&gt;TODAY(),"",SUMIFS('OPs Data'!$N:$N,'OPs Data'!$F:$F,'Revenue Sheet'!F$1,'OPs Data'!$D:$D,'Revenue Sheet'!$A7,'OPs Data'!$L:$L,'Revenue Sheet'!F$2)*VLOOKUP($F$1,'Rate Card'!$B:$E,MATCH('Revenue Sheet'!F$2,'Rate Card'!$B$2:$E$2,0),0))</f>
      </c>
      <c r="G7" s="57">
        <f>IF(A7&gt;TODAY(),"",SUMIFS('OPs Data'!$N:$N,'OPs Data'!$F:$F,'Revenue Sheet'!F$1,'OPs Data'!$D:$D,'Revenue Sheet'!$A7,'OPs Data'!$L:$L,'Revenue Sheet'!G$2)*VLOOKUP($F$1,'Rate Card'!$B:$E,MATCH('Revenue Sheet'!G$2,'Rate Card'!$B$2:$E$2,0),0))</f>
      </c>
      <c r="H7" s="57">
        <f>IF(A7&gt;TODAY(),"",SUMIFS('OPs Data'!$N:$N,'OPs Data'!$F:$F,'Revenue Sheet'!F$1,'OPs Data'!$D:$D,'Revenue Sheet'!$A7,'OPs Data'!$L:$L,'Revenue Sheet'!H$2)*VLOOKUP($F$1,'Rate Card'!$B:$E,MATCH('Revenue Sheet'!H$2,'Rate Card'!$B$2:$E$2,0),0))</f>
      </c>
      <c r="I7" s="57">
        <f>IF(A7&gt;TODAY(),"",SUMIFS('OPs Data'!$N:$N,'OPs Data'!$F:$F,'Revenue Sheet'!I$1,'OPs Data'!$D:$D,'Revenue Sheet'!$A7,'OPs Data'!$L:$L,'Revenue Sheet'!I$2)*VLOOKUP($I$1,'Rate Card'!$B:$E,MATCH('Revenue Sheet'!I$2,'Rate Card'!$B$2:$E$2,0),0))</f>
      </c>
      <c r="J7" s="57">
        <f>IF(A7&gt;TODAY(),"",SUMIFS('OPs Data'!$N:$N,'OPs Data'!$F:$F,'Revenue Sheet'!I$1,'OPs Data'!$D:$D,'Revenue Sheet'!$A7,'OPs Data'!$L:$L,'Revenue Sheet'!J$2)*VLOOKUP($I$1,'Rate Card'!$B:$E,MATCH('Revenue Sheet'!J$2,'Rate Card'!$B$2:$E$2,0),0))</f>
      </c>
      <c r="K7" s="57">
        <f>IF(A7&gt;TODAY(),"",SUMIFS('OPs Data'!$N:$N,'OPs Data'!$F:$F,'Revenue Sheet'!I$1,'OPs Data'!$D:$D,'Revenue Sheet'!$A7,'OPs Data'!$L:$L,'Revenue Sheet'!K$2)*VLOOKUP($I$1,'Rate Card'!$B:$E,MATCH('Revenue Sheet'!K$2,'Rate Card'!$B$2:$E$2,0),0))</f>
      </c>
      <c r="L7" s="57">
        <f>IF(A7&gt;TODAY(),"",SUMIFS('OPs Data'!$N:$N,'OPs Data'!$F:$F,'Revenue Sheet'!L$1,'OPs Data'!$D:$D,'Revenue Sheet'!$A7,'OPs Data'!$L:$L,'Revenue Sheet'!L$2)*VLOOKUP($L$1,'Rate Card'!$B:$E,MATCH('Revenue Sheet'!L$2,'Rate Card'!$B$2:$E$2,0),0))</f>
      </c>
      <c r="M7" s="57">
        <f>IF(A7&gt;TODAY(),"",SUMIFS('OPs Data'!$N:$N,'OPs Data'!$F:$F,'Revenue Sheet'!L$1,'OPs Data'!$D:$D,'Revenue Sheet'!$A7,'OPs Data'!$L:$L,'Revenue Sheet'!M$2)*VLOOKUP($L$1,'Rate Card'!$B:$E,MATCH('Revenue Sheet'!M$2,'Rate Card'!$B$2:$E$2,0),0))</f>
      </c>
      <c r="N7" s="57">
        <f>IF(A7&gt;TODAY(),"",SUMIFS('OPs Data'!$N:$N,'OPs Data'!$F:$F,'Revenue Sheet'!L$1,'OPs Data'!$D:$D,'Revenue Sheet'!$A7,'OPs Data'!$L:$L,'Revenue Sheet'!N$2)*VLOOKUP($L$1,'Rate Card'!$B:$E,MATCH('Revenue Sheet'!N$2,'Rate Card'!$B$2:$E$2,0),0))</f>
      </c>
      <c r="O7" s="57">
        <f>IF($A7&gt;TODAY(),"",SUM(C7,F7,I7,L7))</f>
      </c>
      <c r="P7" s="57">
        <f>IF($A7&gt;TODAY(),"",SUM(D7,G7,J7,M7))</f>
      </c>
      <c r="Q7" s="57">
        <f>IF($A7&gt;TODAY(),"",SUM(E7,H7,K7,N7))</f>
      </c>
      <c r="R7" s="58">
        <f>IF($A7&gt;TODAY(),"",SUM(O7:Q7))</f>
      </c>
    </row>
    <row x14ac:dyDescent="0.25" r="8" customHeight="1" ht="18.75">
      <c r="A8" s="55">
        <v>45739</v>
      </c>
      <c r="B8" s="56">
        <f>IF(A8&gt;TODAY(),"",COUNTA(_xlfn.UNIQUE(_xlfn._xlws.FILTER('OPs Data'!$K:$K,'OPs Data'!$D:$D='Revenue Sheet'!A8))))</f>
      </c>
      <c r="C8" s="57">
        <f>IF(A8&gt;TODAY(),"",SUMIFS('OPs Data'!$N:$N,'OPs Data'!$F:$F,'Revenue Sheet'!C$1,'OPs Data'!$D:$D,'Revenue Sheet'!$A8,'OPs Data'!$L:$L,'Revenue Sheet'!C$2)*VLOOKUP($C$1,'Rate Card'!$B:$E,MATCH('Revenue Sheet'!C$2,'Rate Card'!$B$2:$E$2,0),0))</f>
      </c>
      <c r="D8" s="57">
        <f>IF(A8&gt;TODAY(),"",SUMIFS('OPs Data'!$N:$N,'OPs Data'!$F:$F,'Revenue Sheet'!C$1,'OPs Data'!$D:$D,'Revenue Sheet'!$A8,'OPs Data'!$L:$L,'Revenue Sheet'!D$2)*VLOOKUP($C$1,'Rate Card'!$B:$E,MATCH('Revenue Sheet'!D$2,'Rate Card'!$B$2:$E$2,0),0))</f>
      </c>
      <c r="E8" s="57">
        <f>IF(A8&gt;TODAY(),"",SUMIFS('OPs Data'!$N:$N,'OPs Data'!$F:$F,'Revenue Sheet'!C$1,'OPs Data'!$D:$D,'Revenue Sheet'!$A8,'OPs Data'!$L:$L,'Revenue Sheet'!E$2)*VLOOKUP($C$1,'Rate Card'!$B:$E,MATCH('Revenue Sheet'!E$2,'Rate Card'!$B$2:$E$2,0),0))</f>
      </c>
      <c r="F8" s="57">
        <f>IF(A8&gt;TODAY(),"",SUMIFS('OPs Data'!$N:$N,'OPs Data'!$F:$F,'Revenue Sheet'!F$1,'OPs Data'!$D:$D,'Revenue Sheet'!$A8,'OPs Data'!$L:$L,'Revenue Sheet'!F$2)*VLOOKUP($F$1,'Rate Card'!$B:$E,MATCH('Revenue Sheet'!F$2,'Rate Card'!$B$2:$E$2,0),0))</f>
      </c>
      <c r="G8" s="57">
        <f>IF(A8&gt;TODAY(),"",SUMIFS('OPs Data'!$N:$N,'OPs Data'!$F:$F,'Revenue Sheet'!F$1,'OPs Data'!$D:$D,'Revenue Sheet'!$A8,'OPs Data'!$L:$L,'Revenue Sheet'!G$2)*VLOOKUP($F$1,'Rate Card'!$B:$E,MATCH('Revenue Sheet'!G$2,'Rate Card'!$B$2:$E$2,0),0))</f>
      </c>
      <c r="H8" s="57">
        <f>IF(A8&gt;TODAY(),"",SUMIFS('OPs Data'!$N:$N,'OPs Data'!$F:$F,'Revenue Sheet'!F$1,'OPs Data'!$D:$D,'Revenue Sheet'!$A8,'OPs Data'!$L:$L,'Revenue Sheet'!H$2)*VLOOKUP($F$1,'Rate Card'!$B:$E,MATCH('Revenue Sheet'!H$2,'Rate Card'!$B$2:$E$2,0),0))</f>
      </c>
      <c r="I8" s="57">
        <f>IF(A8&gt;TODAY(),"",SUMIFS('OPs Data'!$N:$N,'OPs Data'!$F:$F,'Revenue Sheet'!I$1,'OPs Data'!$D:$D,'Revenue Sheet'!$A8,'OPs Data'!$L:$L,'Revenue Sheet'!I$2)*VLOOKUP($I$1,'Rate Card'!$B:$E,MATCH('Revenue Sheet'!I$2,'Rate Card'!$B$2:$E$2,0),0))</f>
      </c>
      <c r="J8" s="57">
        <f>IF(A8&gt;TODAY(),"",SUMIFS('OPs Data'!$N:$N,'OPs Data'!$F:$F,'Revenue Sheet'!I$1,'OPs Data'!$D:$D,'Revenue Sheet'!$A8,'OPs Data'!$L:$L,'Revenue Sheet'!J$2)*VLOOKUP($I$1,'Rate Card'!$B:$E,MATCH('Revenue Sheet'!J$2,'Rate Card'!$B$2:$E$2,0),0))</f>
      </c>
      <c r="K8" s="57">
        <f>IF(A8&gt;TODAY(),"",SUMIFS('OPs Data'!$N:$N,'OPs Data'!$F:$F,'Revenue Sheet'!I$1,'OPs Data'!$D:$D,'Revenue Sheet'!$A8,'OPs Data'!$L:$L,'Revenue Sheet'!K$2)*VLOOKUP($I$1,'Rate Card'!$B:$E,MATCH('Revenue Sheet'!K$2,'Rate Card'!$B$2:$E$2,0),0))</f>
      </c>
      <c r="L8" s="57">
        <f>IF(A8&gt;TODAY(),"",SUMIFS('OPs Data'!$N:$N,'OPs Data'!$F:$F,'Revenue Sheet'!L$1,'OPs Data'!$D:$D,'Revenue Sheet'!$A8,'OPs Data'!$L:$L,'Revenue Sheet'!L$2)*VLOOKUP($L$1,'Rate Card'!$B:$E,MATCH('Revenue Sheet'!L$2,'Rate Card'!$B$2:$E$2,0),0))</f>
      </c>
      <c r="M8" s="57">
        <f>IF(A8&gt;TODAY(),"",SUMIFS('OPs Data'!$N:$N,'OPs Data'!$F:$F,'Revenue Sheet'!L$1,'OPs Data'!$D:$D,'Revenue Sheet'!$A8,'OPs Data'!$L:$L,'Revenue Sheet'!M$2)*VLOOKUP($L$1,'Rate Card'!$B:$E,MATCH('Revenue Sheet'!M$2,'Rate Card'!$B$2:$E$2,0),0))</f>
      </c>
      <c r="N8" s="57">
        <f>IF(A8&gt;TODAY(),"",SUMIFS('OPs Data'!$N:$N,'OPs Data'!$F:$F,'Revenue Sheet'!L$1,'OPs Data'!$D:$D,'Revenue Sheet'!$A8,'OPs Data'!$L:$L,'Revenue Sheet'!N$2)*VLOOKUP($L$1,'Rate Card'!$B:$E,MATCH('Revenue Sheet'!N$2,'Rate Card'!$B$2:$E$2,0),0))</f>
      </c>
      <c r="O8" s="57">
        <f>IF($A8&gt;TODAY(),"",SUM(C8,F8,I8,L8))</f>
      </c>
      <c r="P8" s="57">
        <f>IF($A8&gt;TODAY(),"",SUM(D8,G8,J8,M8))</f>
      </c>
      <c r="Q8" s="57">
        <f>IF($A8&gt;TODAY(),"",SUM(E8,H8,K8,N8))</f>
      </c>
      <c r="R8" s="58">
        <f>IF($A8&gt;TODAY(),"",SUM(O8:Q8))</f>
      </c>
    </row>
    <row x14ac:dyDescent="0.25" r="9" customHeight="1" ht="18.75">
      <c r="A9" s="55">
        <v>45740</v>
      </c>
      <c r="B9" s="56">
        <f>IF(A9&gt;TODAY(),"",COUNTA(_xlfn.UNIQUE(_xlfn._xlws.FILTER('OPs Data'!$K:$K,'OPs Data'!$D:$D='Revenue Sheet'!A9))))</f>
      </c>
      <c r="C9" s="57">
        <f>IF(A9&gt;TODAY(),"",SUMIFS('OPs Data'!$N:$N,'OPs Data'!$F:$F,'Revenue Sheet'!C$1,'OPs Data'!$D:$D,'Revenue Sheet'!$A9,'OPs Data'!$L:$L,'Revenue Sheet'!C$2)*VLOOKUP($C$1,'Rate Card'!$B:$E,MATCH('Revenue Sheet'!C$2,'Rate Card'!$B$2:$E$2,0),0))</f>
      </c>
      <c r="D9" s="57">
        <f>IF(A9&gt;TODAY(),"",SUMIFS('OPs Data'!$N:$N,'OPs Data'!$F:$F,'Revenue Sheet'!C$1,'OPs Data'!$D:$D,'Revenue Sheet'!$A9,'OPs Data'!$L:$L,'Revenue Sheet'!D$2)*VLOOKUP($C$1,'Rate Card'!$B:$E,MATCH('Revenue Sheet'!D$2,'Rate Card'!$B$2:$E$2,0),0))</f>
      </c>
      <c r="E9" s="57">
        <f>IF(A9&gt;TODAY(),"",SUMIFS('OPs Data'!$N:$N,'OPs Data'!$F:$F,'Revenue Sheet'!C$1,'OPs Data'!$D:$D,'Revenue Sheet'!$A9,'OPs Data'!$L:$L,'Revenue Sheet'!E$2)*VLOOKUP($C$1,'Rate Card'!$B:$E,MATCH('Revenue Sheet'!E$2,'Rate Card'!$B$2:$E$2,0),0))</f>
      </c>
      <c r="F9" s="57">
        <f>IF(A9&gt;TODAY(),"",SUMIFS('OPs Data'!$N:$N,'OPs Data'!$F:$F,'Revenue Sheet'!F$1,'OPs Data'!$D:$D,'Revenue Sheet'!$A9,'OPs Data'!$L:$L,'Revenue Sheet'!F$2)*VLOOKUP($F$1,'Rate Card'!$B:$E,MATCH('Revenue Sheet'!F$2,'Rate Card'!$B$2:$E$2,0),0))</f>
      </c>
      <c r="G9" s="57">
        <f>IF(A9&gt;TODAY(),"",SUMIFS('OPs Data'!$N:$N,'OPs Data'!$F:$F,'Revenue Sheet'!F$1,'OPs Data'!$D:$D,'Revenue Sheet'!$A9,'OPs Data'!$L:$L,'Revenue Sheet'!G$2)*VLOOKUP($F$1,'Rate Card'!$B:$E,MATCH('Revenue Sheet'!G$2,'Rate Card'!$B$2:$E$2,0),0))</f>
      </c>
      <c r="H9" s="57">
        <f>IF(A9&gt;TODAY(),"",SUMIFS('OPs Data'!$N:$N,'OPs Data'!$F:$F,'Revenue Sheet'!F$1,'OPs Data'!$D:$D,'Revenue Sheet'!$A9,'OPs Data'!$L:$L,'Revenue Sheet'!H$2)*VLOOKUP($F$1,'Rate Card'!$B:$E,MATCH('Revenue Sheet'!H$2,'Rate Card'!$B$2:$E$2,0),0))</f>
      </c>
      <c r="I9" s="57">
        <f>IF(A9&gt;TODAY(),"",SUMIFS('OPs Data'!$N:$N,'OPs Data'!$F:$F,'Revenue Sheet'!I$1,'OPs Data'!$D:$D,'Revenue Sheet'!$A9,'OPs Data'!$L:$L,'Revenue Sheet'!I$2)*VLOOKUP($I$1,'Rate Card'!$B:$E,MATCH('Revenue Sheet'!I$2,'Rate Card'!$B$2:$E$2,0),0))</f>
      </c>
      <c r="J9" s="57">
        <f>IF(A9&gt;TODAY(),"",SUMIFS('OPs Data'!$N:$N,'OPs Data'!$F:$F,'Revenue Sheet'!I$1,'OPs Data'!$D:$D,'Revenue Sheet'!$A9,'OPs Data'!$L:$L,'Revenue Sheet'!J$2)*VLOOKUP($I$1,'Rate Card'!$B:$E,MATCH('Revenue Sheet'!J$2,'Rate Card'!$B$2:$E$2,0),0))</f>
      </c>
      <c r="K9" s="57">
        <f>IF(A9&gt;TODAY(),"",SUMIFS('OPs Data'!$N:$N,'OPs Data'!$F:$F,'Revenue Sheet'!I$1,'OPs Data'!$D:$D,'Revenue Sheet'!$A9,'OPs Data'!$L:$L,'Revenue Sheet'!K$2)*VLOOKUP($I$1,'Rate Card'!$B:$E,MATCH('Revenue Sheet'!K$2,'Rate Card'!$B$2:$E$2,0),0))</f>
      </c>
      <c r="L9" s="57">
        <f>IF(A9&gt;TODAY(),"",SUMIFS('OPs Data'!$N:$N,'OPs Data'!$F:$F,'Revenue Sheet'!L$1,'OPs Data'!$D:$D,'Revenue Sheet'!$A9,'OPs Data'!$L:$L,'Revenue Sheet'!L$2)*VLOOKUP($L$1,'Rate Card'!$B:$E,MATCH('Revenue Sheet'!L$2,'Rate Card'!$B$2:$E$2,0),0))</f>
      </c>
      <c r="M9" s="57">
        <f>IF(A9&gt;TODAY(),"",SUMIFS('OPs Data'!$N:$N,'OPs Data'!$F:$F,'Revenue Sheet'!L$1,'OPs Data'!$D:$D,'Revenue Sheet'!$A9,'OPs Data'!$L:$L,'Revenue Sheet'!M$2)*VLOOKUP($L$1,'Rate Card'!$B:$E,MATCH('Revenue Sheet'!M$2,'Rate Card'!$B$2:$E$2,0),0))</f>
      </c>
      <c r="N9" s="57">
        <f>IF(A9&gt;TODAY(),"",SUMIFS('OPs Data'!$N:$N,'OPs Data'!$F:$F,'Revenue Sheet'!L$1,'OPs Data'!$D:$D,'Revenue Sheet'!$A9,'OPs Data'!$L:$L,'Revenue Sheet'!N$2)*VLOOKUP($L$1,'Rate Card'!$B:$E,MATCH('Revenue Sheet'!N$2,'Rate Card'!$B$2:$E$2,0),0))</f>
      </c>
      <c r="O9" s="57">
        <f>IF($A9&gt;TODAY(),"",SUM(C9,F9,I9,L9))</f>
      </c>
      <c r="P9" s="57">
        <f>IF($A9&gt;TODAY(),"",SUM(D9,G9,J9,M9))</f>
      </c>
      <c r="Q9" s="57">
        <f>IF($A9&gt;TODAY(),"",SUM(E9,H9,K9,N9))</f>
      </c>
      <c r="R9" s="58">
        <f>IF($A9&gt;TODAY(),"",SUM(O9:Q9))</f>
      </c>
    </row>
    <row x14ac:dyDescent="0.25" r="10" customHeight="1" ht="18.75">
      <c r="A10" s="55">
        <v>45741</v>
      </c>
      <c r="B10" s="56">
        <f>IF(A10&gt;TODAY(),"",COUNTA(_xlfn.UNIQUE(_xlfn._xlws.FILTER('OPs Data'!$K:$K,'OPs Data'!$D:$D='Revenue Sheet'!A10))))</f>
      </c>
      <c r="C10" s="57">
        <f>IF(A10&gt;TODAY(),"",SUMIFS('OPs Data'!$N:$N,'OPs Data'!$F:$F,'Revenue Sheet'!C$1,'OPs Data'!$D:$D,'Revenue Sheet'!$A10,'OPs Data'!$L:$L,'Revenue Sheet'!C$2)*VLOOKUP($C$1,'Rate Card'!$B:$E,MATCH('Revenue Sheet'!C$2,'Rate Card'!$B$2:$E$2,0),0))</f>
      </c>
      <c r="D10" s="57">
        <f>IF(A10&gt;TODAY(),"",SUMIFS('OPs Data'!$N:$N,'OPs Data'!$F:$F,'Revenue Sheet'!C$1,'OPs Data'!$D:$D,'Revenue Sheet'!$A10,'OPs Data'!$L:$L,'Revenue Sheet'!D$2)*VLOOKUP($C$1,'Rate Card'!$B:$E,MATCH('Revenue Sheet'!D$2,'Rate Card'!$B$2:$E$2,0),0))</f>
      </c>
      <c r="E10" s="57">
        <f>IF(A10&gt;TODAY(),"",SUMIFS('OPs Data'!$N:$N,'OPs Data'!$F:$F,'Revenue Sheet'!C$1,'OPs Data'!$D:$D,'Revenue Sheet'!$A10,'OPs Data'!$L:$L,'Revenue Sheet'!E$2)*VLOOKUP($C$1,'Rate Card'!$B:$E,MATCH('Revenue Sheet'!E$2,'Rate Card'!$B$2:$E$2,0),0))</f>
      </c>
      <c r="F10" s="57">
        <f>IF(A10&gt;TODAY(),"",SUMIFS('OPs Data'!$N:$N,'OPs Data'!$F:$F,'Revenue Sheet'!F$1,'OPs Data'!$D:$D,'Revenue Sheet'!$A10,'OPs Data'!$L:$L,'Revenue Sheet'!F$2)*VLOOKUP($F$1,'Rate Card'!$B:$E,MATCH('Revenue Sheet'!F$2,'Rate Card'!$B$2:$E$2,0),0))</f>
      </c>
      <c r="G10" s="57">
        <f>IF(A10&gt;TODAY(),"",SUMIFS('OPs Data'!$N:$N,'OPs Data'!$F:$F,'Revenue Sheet'!F$1,'OPs Data'!$D:$D,'Revenue Sheet'!$A10,'OPs Data'!$L:$L,'Revenue Sheet'!G$2)*VLOOKUP($F$1,'Rate Card'!$B:$E,MATCH('Revenue Sheet'!G$2,'Rate Card'!$B$2:$E$2,0),0))</f>
      </c>
      <c r="H10" s="57">
        <f>IF(A10&gt;TODAY(),"",SUMIFS('OPs Data'!$N:$N,'OPs Data'!$F:$F,'Revenue Sheet'!F$1,'OPs Data'!$D:$D,'Revenue Sheet'!$A10,'OPs Data'!$L:$L,'Revenue Sheet'!H$2)*VLOOKUP($F$1,'Rate Card'!$B:$E,MATCH('Revenue Sheet'!H$2,'Rate Card'!$B$2:$E$2,0),0))</f>
      </c>
      <c r="I10" s="57">
        <f>IF(A10&gt;TODAY(),"",SUMIFS('OPs Data'!$N:$N,'OPs Data'!$F:$F,'Revenue Sheet'!I$1,'OPs Data'!$D:$D,'Revenue Sheet'!$A10,'OPs Data'!$L:$L,'Revenue Sheet'!I$2)*VLOOKUP($I$1,'Rate Card'!$B:$E,MATCH('Revenue Sheet'!I$2,'Rate Card'!$B$2:$E$2,0),0))</f>
      </c>
      <c r="J10" s="57">
        <f>IF(A10&gt;TODAY(),"",SUMIFS('OPs Data'!$N:$N,'OPs Data'!$F:$F,'Revenue Sheet'!I$1,'OPs Data'!$D:$D,'Revenue Sheet'!$A10,'OPs Data'!$L:$L,'Revenue Sheet'!J$2)*VLOOKUP($I$1,'Rate Card'!$B:$E,MATCH('Revenue Sheet'!J$2,'Rate Card'!$B$2:$E$2,0),0))</f>
      </c>
      <c r="K10" s="57">
        <f>IF(A10&gt;TODAY(),"",SUMIFS('OPs Data'!$N:$N,'OPs Data'!$F:$F,'Revenue Sheet'!I$1,'OPs Data'!$D:$D,'Revenue Sheet'!$A10,'OPs Data'!$L:$L,'Revenue Sheet'!K$2)*VLOOKUP($I$1,'Rate Card'!$B:$E,MATCH('Revenue Sheet'!K$2,'Rate Card'!$B$2:$E$2,0),0))</f>
      </c>
      <c r="L10" s="57">
        <f>IF(A10&gt;TODAY(),"",SUMIFS('OPs Data'!$N:$N,'OPs Data'!$F:$F,'Revenue Sheet'!L$1,'OPs Data'!$D:$D,'Revenue Sheet'!$A10,'OPs Data'!$L:$L,'Revenue Sheet'!L$2)*VLOOKUP($L$1,'Rate Card'!$B:$E,MATCH('Revenue Sheet'!L$2,'Rate Card'!$B$2:$E$2,0),0))</f>
      </c>
      <c r="M10" s="57">
        <f>IF(A10&gt;TODAY(),"",SUMIFS('OPs Data'!$N:$N,'OPs Data'!$F:$F,'Revenue Sheet'!L$1,'OPs Data'!$D:$D,'Revenue Sheet'!$A10,'OPs Data'!$L:$L,'Revenue Sheet'!M$2)*VLOOKUP($L$1,'Rate Card'!$B:$E,MATCH('Revenue Sheet'!M$2,'Rate Card'!$B$2:$E$2,0),0))</f>
      </c>
      <c r="N10" s="57">
        <f>IF(A10&gt;TODAY(),"",SUMIFS('OPs Data'!$N:$N,'OPs Data'!$F:$F,'Revenue Sheet'!L$1,'OPs Data'!$D:$D,'Revenue Sheet'!$A10,'OPs Data'!$L:$L,'Revenue Sheet'!N$2)*VLOOKUP($L$1,'Rate Card'!$B:$E,MATCH('Revenue Sheet'!N$2,'Rate Card'!$B$2:$E$2,0),0))</f>
      </c>
      <c r="O10" s="57">
        <f>IF($A10&gt;TODAY(),"",SUM(C10,F10,I10,L10))</f>
      </c>
      <c r="P10" s="57">
        <f>IF($A10&gt;TODAY(),"",SUM(D10,G10,J10,M10))</f>
      </c>
      <c r="Q10" s="57">
        <f>IF($A10&gt;TODAY(),"",SUM(E10,H10,K10,N10))</f>
      </c>
      <c r="R10" s="58">
        <f>IF($A10&gt;TODAY(),"",SUM(O10:Q10))</f>
      </c>
    </row>
    <row x14ac:dyDescent="0.25" r="11" customHeight="1" ht="18.75">
      <c r="A11" s="55">
        <v>45742</v>
      </c>
      <c r="B11" s="56">
        <f>IF(A11&gt;TODAY(),"",COUNTA(_xlfn.UNIQUE(_xlfn._xlws.FILTER('OPs Data'!$K:$K,'OPs Data'!$D:$D='Revenue Sheet'!A11))))</f>
      </c>
      <c r="C11" s="57">
        <f>IF(A11&gt;TODAY(),"",SUMIFS('OPs Data'!$N:$N,'OPs Data'!$F:$F,'Revenue Sheet'!C$1,'OPs Data'!$D:$D,'Revenue Sheet'!$A11,'OPs Data'!$L:$L,'Revenue Sheet'!C$2)*VLOOKUP($C$1,'Rate Card'!$B:$E,MATCH('Revenue Sheet'!C$2,'Rate Card'!$B$2:$E$2,0),0))</f>
      </c>
      <c r="D11" s="57">
        <f>IF(A11&gt;TODAY(),"",SUMIFS('OPs Data'!$N:$N,'OPs Data'!$F:$F,'Revenue Sheet'!C$1,'OPs Data'!$D:$D,'Revenue Sheet'!$A11,'OPs Data'!$L:$L,'Revenue Sheet'!D$2)*VLOOKUP($C$1,'Rate Card'!$B:$E,MATCH('Revenue Sheet'!D$2,'Rate Card'!$B$2:$E$2,0),0))</f>
      </c>
      <c r="E11" s="57">
        <f>IF(A11&gt;TODAY(),"",SUMIFS('OPs Data'!$N:$N,'OPs Data'!$F:$F,'Revenue Sheet'!C$1,'OPs Data'!$D:$D,'Revenue Sheet'!$A11,'OPs Data'!$L:$L,'Revenue Sheet'!E$2)*VLOOKUP($C$1,'Rate Card'!$B:$E,MATCH('Revenue Sheet'!E$2,'Rate Card'!$B$2:$E$2,0),0))</f>
      </c>
      <c r="F11" s="57">
        <f>IF(A11&gt;TODAY(),"",SUMIFS('OPs Data'!$N:$N,'OPs Data'!$F:$F,'Revenue Sheet'!F$1,'OPs Data'!$D:$D,'Revenue Sheet'!$A11,'OPs Data'!$L:$L,'Revenue Sheet'!F$2)*VLOOKUP($F$1,'Rate Card'!$B:$E,MATCH('Revenue Sheet'!F$2,'Rate Card'!$B$2:$E$2,0),0))</f>
      </c>
      <c r="G11" s="57">
        <f>IF(A11&gt;TODAY(),"",SUMIFS('OPs Data'!$N:$N,'OPs Data'!$F:$F,'Revenue Sheet'!F$1,'OPs Data'!$D:$D,'Revenue Sheet'!$A11,'OPs Data'!$L:$L,'Revenue Sheet'!G$2)*VLOOKUP($F$1,'Rate Card'!$B:$E,MATCH('Revenue Sheet'!G$2,'Rate Card'!$B$2:$E$2,0),0))</f>
      </c>
      <c r="H11" s="57">
        <f>IF(A11&gt;TODAY(),"",SUMIFS('OPs Data'!$N:$N,'OPs Data'!$F:$F,'Revenue Sheet'!F$1,'OPs Data'!$D:$D,'Revenue Sheet'!$A11,'OPs Data'!$L:$L,'Revenue Sheet'!H$2)*VLOOKUP($F$1,'Rate Card'!$B:$E,MATCH('Revenue Sheet'!H$2,'Rate Card'!$B$2:$E$2,0),0))</f>
      </c>
      <c r="I11" s="57">
        <f>IF(A11&gt;TODAY(),"",SUMIFS('OPs Data'!$N:$N,'OPs Data'!$F:$F,'Revenue Sheet'!I$1,'OPs Data'!$D:$D,'Revenue Sheet'!$A11,'OPs Data'!$L:$L,'Revenue Sheet'!I$2)*VLOOKUP($I$1,'Rate Card'!$B:$E,MATCH('Revenue Sheet'!I$2,'Rate Card'!$B$2:$E$2,0),0))</f>
      </c>
      <c r="J11" s="57">
        <f>IF(A11&gt;TODAY(),"",SUMIFS('OPs Data'!$N:$N,'OPs Data'!$F:$F,'Revenue Sheet'!I$1,'OPs Data'!$D:$D,'Revenue Sheet'!$A11,'OPs Data'!$L:$L,'Revenue Sheet'!J$2)*VLOOKUP($I$1,'Rate Card'!$B:$E,MATCH('Revenue Sheet'!J$2,'Rate Card'!$B$2:$E$2,0),0))</f>
      </c>
      <c r="K11" s="57">
        <f>IF(A11&gt;TODAY(),"",SUMIFS('OPs Data'!$N:$N,'OPs Data'!$F:$F,'Revenue Sheet'!I$1,'OPs Data'!$D:$D,'Revenue Sheet'!$A11,'OPs Data'!$L:$L,'Revenue Sheet'!K$2)*VLOOKUP($I$1,'Rate Card'!$B:$E,MATCH('Revenue Sheet'!K$2,'Rate Card'!$B$2:$E$2,0),0))</f>
      </c>
      <c r="L11" s="57">
        <f>IF(A11&gt;TODAY(),"",SUMIFS('OPs Data'!$N:$N,'OPs Data'!$F:$F,'Revenue Sheet'!L$1,'OPs Data'!$D:$D,'Revenue Sheet'!$A11,'OPs Data'!$L:$L,'Revenue Sheet'!L$2)*VLOOKUP($L$1,'Rate Card'!$B:$E,MATCH('Revenue Sheet'!L$2,'Rate Card'!$B$2:$E$2,0),0))</f>
      </c>
      <c r="M11" s="57">
        <f>IF(A11&gt;TODAY(),"",SUMIFS('OPs Data'!$N:$N,'OPs Data'!$F:$F,'Revenue Sheet'!L$1,'OPs Data'!$D:$D,'Revenue Sheet'!$A11,'OPs Data'!$L:$L,'Revenue Sheet'!M$2)*VLOOKUP($L$1,'Rate Card'!$B:$E,MATCH('Revenue Sheet'!M$2,'Rate Card'!$B$2:$E$2,0),0))</f>
      </c>
      <c r="N11" s="57">
        <f>IF(A11&gt;TODAY(),"",SUMIFS('OPs Data'!$N:$N,'OPs Data'!$F:$F,'Revenue Sheet'!L$1,'OPs Data'!$D:$D,'Revenue Sheet'!$A11,'OPs Data'!$L:$L,'Revenue Sheet'!N$2)*VLOOKUP($L$1,'Rate Card'!$B:$E,MATCH('Revenue Sheet'!N$2,'Rate Card'!$B$2:$E$2,0),0))</f>
      </c>
      <c r="O11" s="57">
        <f>IF($A11&gt;TODAY(),"",SUM(C11,F11,I11,L11))</f>
      </c>
      <c r="P11" s="57">
        <f>IF($A11&gt;TODAY(),"",SUM(D11,G11,J11,M11))</f>
      </c>
      <c r="Q11" s="57">
        <f>IF($A11&gt;TODAY(),"",SUM(E11,H11,K11,N11))</f>
      </c>
      <c r="R11" s="58">
        <f>IF($A11&gt;TODAY(),"",SUM(O11:Q11))</f>
      </c>
    </row>
    <row x14ac:dyDescent="0.25" r="12" customHeight="1" ht="18.75">
      <c r="A12" s="55">
        <v>45743</v>
      </c>
      <c r="B12" s="56">
        <f>IF(A12&gt;TODAY(),"",COUNTA(_xlfn.UNIQUE(_xlfn._xlws.FILTER('OPs Data'!$K:$K,'OPs Data'!$D:$D='Revenue Sheet'!A12))))</f>
      </c>
      <c r="C12" s="57">
        <f>IF(A12&gt;TODAY(),"",SUMIFS('OPs Data'!$N:$N,'OPs Data'!$F:$F,'Revenue Sheet'!C$1,'OPs Data'!$D:$D,'Revenue Sheet'!$A12,'OPs Data'!$L:$L,'Revenue Sheet'!C$2)*VLOOKUP($C$1,'Rate Card'!$B:$E,MATCH('Revenue Sheet'!C$2,'Rate Card'!$B$2:$E$2,0),0))</f>
      </c>
      <c r="D12" s="57">
        <f>IF(A12&gt;TODAY(),"",SUMIFS('OPs Data'!$N:$N,'OPs Data'!$F:$F,'Revenue Sheet'!C$1,'OPs Data'!$D:$D,'Revenue Sheet'!$A12,'OPs Data'!$L:$L,'Revenue Sheet'!D$2)*VLOOKUP($C$1,'Rate Card'!$B:$E,MATCH('Revenue Sheet'!D$2,'Rate Card'!$B$2:$E$2,0),0))</f>
      </c>
      <c r="E12" s="57">
        <f>IF(A12&gt;TODAY(),"",SUMIFS('OPs Data'!$N:$N,'OPs Data'!$F:$F,'Revenue Sheet'!C$1,'OPs Data'!$D:$D,'Revenue Sheet'!$A12,'OPs Data'!$L:$L,'Revenue Sheet'!E$2)*VLOOKUP($C$1,'Rate Card'!$B:$E,MATCH('Revenue Sheet'!E$2,'Rate Card'!$B$2:$E$2,0),0))</f>
      </c>
      <c r="F12" s="57">
        <f>IF(A12&gt;TODAY(),"",SUMIFS('OPs Data'!$N:$N,'OPs Data'!$F:$F,'Revenue Sheet'!F$1,'OPs Data'!$D:$D,'Revenue Sheet'!$A12,'OPs Data'!$L:$L,'Revenue Sheet'!F$2)*VLOOKUP($F$1,'Rate Card'!$B:$E,MATCH('Revenue Sheet'!F$2,'Rate Card'!$B$2:$E$2,0),0))</f>
      </c>
      <c r="G12" s="57">
        <f>IF(A12&gt;TODAY(),"",SUMIFS('OPs Data'!$N:$N,'OPs Data'!$F:$F,'Revenue Sheet'!F$1,'OPs Data'!$D:$D,'Revenue Sheet'!$A12,'OPs Data'!$L:$L,'Revenue Sheet'!G$2)*VLOOKUP($F$1,'Rate Card'!$B:$E,MATCH('Revenue Sheet'!G$2,'Rate Card'!$B$2:$E$2,0),0))</f>
      </c>
      <c r="H12" s="57">
        <f>IF(A12&gt;TODAY(),"",SUMIFS('OPs Data'!$N:$N,'OPs Data'!$F:$F,'Revenue Sheet'!F$1,'OPs Data'!$D:$D,'Revenue Sheet'!$A12,'OPs Data'!$L:$L,'Revenue Sheet'!H$2)*VLOOKUP($F$1,'Rate Card'!$B:$E,MATCH('Revenue Sheet'!H$2,'Rate Card'!$B$2:$E$2,0),0))</f>
      </c>
      <c r="I12" s="57">
        <f>IF(A12&gt;TODAY(),"",SUMIFS('OPs Data'!$N:$N,'OPs Data'!$F:$F,'Revenue Sheet'!I$1,'OPs Data'!$D:$D,'Revenue Sheet'!$A12,'OPs Data'!$L:$L,'Revenue Sheet'!I$2)*VLOOKUP($I$1,'Rate Card'!$B:$E,MATCH('Revenue Sheet'!I$2,'Rate Card'!$B$2:$E$2,0),0))</f>
      </c>
      <c r="J12" s="57">
        <f>IF(A12&gt;TODAY(),"",SUMIFS('OPs Data'!$N:$N,'OPs Data'!$F:$F,'Revenue Sheet'!I$1,'OPs Data'!$D:$D,'Revenue Sheet'!$A12,'OPs Data'!$L:$L,'Revenue Sheet'!J$2)*VLOOKUP($I$1,'Rate Card'!$B:$E,MATCH('Revenue Sheet'!J$2,'Rate Card'!$B$2:$E$2,0),0))</f>
      </c>
      <c r="K12" s="57">
        <f>IF(A12&gt;TODAY(),"",SUMIFS('OPs Data'!$N:$N,'OPs Data'!$F:$F,'Revenue Sheet'!I$1,'OPs Data'!$D:$D,'Revenue Sheet'!$A12,'OPs Data'!$L:$L,'Revenue Sheet'!K$2)*VLOOKUP($I$1,'Rate Card'!$B:$E,MATCH('Revenue Sheet'!K$2,'Rate Card'!$B$2:$E$2,0),0))</f>
      </c>
      <c r="L12" s="57">
        <f>IF(A12&gt;TODAY(),"",SUMIFS('OPs Data'!$N:$N,'OPs Data'!$F:$F,'Revenue Sheet'!L$1,'OPs Data'!$D:$D,'Revenue Sheet'!$A12,'OPs Data'!$L:$L,'Revenue Sheet'!L$2)*VLOOKUP($L$1,'Rate Card'!$B:$E,MATCH('Revenue Sheet'!L$2,'Rate Card'!$B$2:$E$2,0),0))</f>
      </c>
      <c r="M12" s="57">
        <f>IF(A12&gt;TODAY(),"",SUMIFS('OPs Data'!$N:$N,'OPs Data'!$F:$F,'Revenue Sheet'!L$1,'OPs Data'!$D:$D,'Revenue Sheet'!$A12,'OPs Data'!$L:$L,'Revenue Sheet'!M$2)*VLOOKUP($L$1,'Rate Card'!$B:$E,MATCH('Revenue Sheet'!M$2,'Rate Card'!$B$2:$E$2,0),0))</f>
      </c>
      <c r="N12" s="57">
        <f>IF(A12&gt;TODAY(),"",SUMIFS('OPs Data'!$N:$N,'OPs Data'!$F:$F,'Revenue Sheet'!L$1,'OPs Data'!$D:$D,'Revenue Sheet'!$A12,'OPs Data'!$L:$L,'Revenue Sheet'!N$2)*VLOOKUP($L$1,'Rate Card'!$B:$E,MATCH('Revenue Sheet'!N$2,'Rate Card'!$B$2:$E$2,0),0))</f>
      </c>
      <c r="O12" s="57">
        <f>IF($A12&gt;TODAY(),"",SUM(C12,F12,I12,L12))</f>
      </c>
      <c r="P12" s="57">
        <f>IF($A12&gt;TODAY(),"",SUM(D12,G12,J12,M12))</f>
      </c>
      <c r="Q12" s="57">
        <f>IF($A12&gt;TODAY(),"",SUM(E12,H12,K12,N12))</f>
      </c>
      <c r="R12" s="58">
        <f>IF($A12&gt;TODAY(),"",SUM(O12:Q12))</f>
      </c>
    </row>
    <row x14ac:dyDescent="0.25" r="13" customHeight="1" ht="18.75">
      <c r="A13" s="55">
        <v>45744</v>
      </c>
      <c r="B13" s="56">
        <f>IF(A13&gt;TODAY(),"",COUNTA(_xlfn.UNIQUE(_xlfn._xlws.FILTER('OPs Data'!$K:$K,'OPs Data'!$D:$D='Revenue Sheet'!A13))))</f>
      </c>
      <c r="C13" s="57">
        <f>IF(A13&gt;TODAY(),"",SUMIFS('OPs Data'!$N:$N,'OPs Data'!$F:$F,'Revenue Sheet'!C$1,'OPs Data'!$D:$D,'Revenue Sheet'!$A13,'OPs Data'!$L:$L,'Revenue Sheet'!C$2)*VLOOKUP($C$1,'Rate Card'!$B:$E,MATCH('Revenue Sheet'!C$2,'Rate Card'!$B$2:$E$2,0),0))</f>
      </c>
      <c r="D13" s="57">
        <f>IF(A13&gt;TODAY(),"",SUMIFS('OPs Data'!$N:$N,'OPs Data'!$F:$F,'Revenue Sheet'!C$1,'OPs Data'!$D:$D,'Revenue Sheet'!$A13,'OPs Data'!$L:$L,'Revenue Sheet'!D$2)*VLOOKUP($C$1,'Rate Card'!$B:$E,MATCH('Revenue Sheet'!D$2,'Rate Card'!$B$2:$E$2,0),0))</f>
      </c>
      <c r="E13" s="57">
        <f>IF(A13&gt;TODAY(),"",SUMIFS('OPs Data'!$N:$N,'OPs Data'!$F:$F,'Revenue Sheet'!C$1,'OPs Data'!$D:$D,'Revenue Sheet'!$A13,'OPs Data'!$L:$L,'Revenue Sheet'!E$2)*VLOOKUP($C$1,'Rate Card'!$B:$E,MATCH('Revenue Sheet'!E$2,'Rate Card'!$B$2:$E$2,0),0))</f>
      </c>
      <c r="F13" s="57">
        <f>IF(A13&gt;TODAY(),"",SUMIFS('OPs Data'!$N:$N,'OPs Data'!$F:$F,'Revenue Sheet'!F$1,'OPs Data'!$D:$D,'Revenue Sheet'!$A13,'OPs Data'!$L:$L,'Revenue Sheet'!F$2)*VLOOKUP($F$1,'Rate Card'!$B:$E,MATCH('Revenue Sheet'!F$2,'Rate Card'!$B$2:$E$2,0),0))</f>
      </c>
      <c r="G13" s="57">
        <f>IF(A13&gt;TODAY(),"",SUMIFS('OPs Data'!$N:$N,'OPs Data'!$F:$F,'Revenue Sheet'!F$1,'OPs Data'!$D:$D,'Revenue Sheet'!$A13,'OPs Data'!$L:$L,'Revenue Sheet'!G$2)*VLOOKUP($F$1,'Rate Card'!$B:$E,MATCH('Revenue Sheet'!G$2,'Rate Card'!$B$2:$E$2,0),0))</f>
      </c>
      <c r="H13" s="57">
        <f>IF(A13&gt;TODAY(),"",SUMIFS('OPs Data'!$N:$N,'OPs Data'!$F:$F,'Revenue Sheet'!F$1,'OPs Data'!$D:$D,'Revenue Sheet'!$A13,'OPs Data'!$L:$L,'Revenue Sheet'!H$2)*VLOOKUP($F$1,'Rate Card'!$B:$E,MATCH('Revenue Sheet'!H$2,'Rate Card'!$B$2:$E$2,0),0))</f>
      </c>
      <c r="I13" s="57">
        <f>IF(A13&gt;TODAY(),"",SUMIFS('OPs Data'!$N:$N,'OPs Data'!$F:$F,'Revenue Sheet'!I$1,'OPs Data'!$D:$D,'Revenue Sheet'!$A13,'OPs Data'!$L:$L,'Revenue Sheet'!I$2)*VLOOKUP($I$1,'Rate Card'!$B:$E,MATCH('Revenue Sheet'!I$2,'Rate Card'!$B$2:$E$2,0),0))</f>
      </c>
      <c r="J13" s="57">
        <f>IF(A13&gt;TODAY(),"",SUMIFS('OPs Data'!$N:$N,'OPs Data'!$F:$F,'Revenue Sheet'!I$1,'OPs Data'!$D:$D,'Revenue Sheet'!$A13,'OPs Data'!$L:$L,'Revenue Sheet'!J$2)*VLOOKUP($I$1,'Rate Card'!$B:$E,MATCH('Revenue Sheet'!J$2,'Rate Card'!$B$2:$E$2,0),0))</f>
      </c>
      <c r="K13" s="57">
        <f>IF(A13&gt;TODAY(),"",SUMIFS('OPs Data'!$N:$N,'OPs Data'!$F:$F,'Revenue Sheet'!I$1,'OPs Data'!$D:$D,'Revenue Sheet'!$A13,'OPs Data'!$L:$L,'Revenue Sheet'!K$2)*VLOOKUP($I$1,'Rate Card'!$B:$E,MATCH('Revenue Sheet'!K$2,'Rate Card'!$B$2:$E$2,0),0))</f>
      </c>
      <c r="L13" s="57">
        <f>IF(A13&gt;TODAY(),"",SUMIFS('OPs Data'!$N:$N,'OPs Data'!$F:$F,'Revenue Sheet'!L$1,'OPs Data'!$D:$D,'Revenue Sheet'!$A13,'OPs Data'!$L:$L,'Revenue Sheet'!L$2)*VLOOKUP($L$1,'Rate Card'!$B:$E,MATCH('Revenue Sheet'!L$2,'Rate Card'!$B$2:$E$2,0),0))</f>
      </c>
      <c r="M13" s="57">
        <f>IF(A13&gt;TODAY(),"",SUMIFS('OPs Data'!$N:$N,'OPs Data'!$F:$F,'Revenue Sheet'!L$1,'OPs Data'!$D:$D,'Revenue Sheet'!$A13,'OPs Data'!$L:$L,'Revenue Sheet'!M$2)*VLOOKUP($L$1,'Rate Card'!$B:$E,MATCH('Revenue Sheet'!M$2,'Rate Card'!$B$2:$E$2,0),0))</f>
      </c>
      <c r="N13" s="57">
        <f>IF(A13&gt;TODAY(),"",SUMIFS('OPs Data'!$N:$N,'OPs Data'!$F:$F,'Revenue Sheet'!L$1,'OPs Data'!$D:$D,'Revenue Sheet'!$A13,'OPs Data'!$L:$L,'Revenue Sheet'!N$2)*VLOOKUP($L$1,'Rate Card'!$B:$E,MATCH('Revenue Sheet'!N$2,'Rate Card'!$B$2:$E$2,0),0))</f>
      </c>
      <c r="O13" s="57">
        <f>IF($A13&gt;TODAY(),"",SUM(C13,F13,I13,L13))</f>
      </c>
      <c r="P13" s="57">
        <f>IF($A13&gt;TODAY(),"",SUM(D13,G13,J13,M13))</f>
      </c>
      <c r="Q13" s="57">
        <f>IF($A13&gt;TODAY(),"",SUM(E13,H13,K13,N13))</f>
      </c>
      <c r="R13" s="58">
        <f>IF($A13&gt;TODAY(),"",SUM(O13:Q13))</f>
      </c>
    </row>
    <row x14ac:dyDescent="0.25" r="14" customHeight="1" ht="18.75">
      <c r="A14" s="55">
        <v>45745</v>
      </c>
      <c r="B14" s="56">
        <f>IF(A14&gt;TODAY(),"",COUNTA(_xlfn.UNIQUE(_xlfn._xlws.FILTER('OPs Data'!$K:$K,'OPs Data'!$D:$D='Revenue Sheet'!A14))))</f>
      </c>
      <c r="C14" s="57">
        <f>IF(A14&gt;TODAY(),"",SUMIFS('OPs Data'!$N:$N,'OPs Data'!$F:$F,'Revenue Sheet'!C$1,'OPs Data'!$D:$D,'Revenue Sheet'!$A14,'OPs Data'!$L:$L,'Revenue Sheet'!C$2)*VLOOKUP($C$1,'Rate Card'!$B:$E,MATCH('Revenue Sheet'!C$2,'Rate Card'!$B$2:$E$2,0),0))</f>
      </c>
      <c r="D14" s="57">
        <f>IF(A14&gt;TODAY(),"",SUMIFS('OPs Data'!$N:$N,'OPs Data'!$F:$F,'Revenue Sheet'!C$1,'OPs Data'!$D:$D,'Revenue Sheet'!$A14,'OPs Data'!$L:$L,'Revenue Sheet'!D$2)*VLOOKUP($C$1,'Rate Card'!$B:$E,MATCH('Revenue Sheet'!D$2,'Rate Card'!$B$2:$E$2,0),0))</f>
      </c>
      <c r="E14" s="57">
        <f>IF(A14&gt;TODAY(),"",SUMIFS('OPs Data'!$N:$N,'OPs Data'!$F:$F,'Revenue Sheet'!C$1,'OPs Data'!$D:$D,'Revenue Sheet'!$A14,'OPs Data'!$L:$L,'Revenue Sheet'!E$2)*VLOOKUP($C$1,'Rate Card'!$B:$E,MATCH('Revenue Sheet'!E$2,'Rate Card'!$B$2:$E$2,0),0))</f>
      </c>
      <c r="F14" s="57">
        <f>IF(A14&gt;TODAY(),"",SUMIFS('OPs Data'!$N:$N,'OPs Data'!$F:$F,'Revenue Sheet'!F$1,'OPs Data'!$D:$D,'Revenue Sheet'!$A14,'OPs Data'!$L:$L,'Revenue Sheet'!F$2)*VLOOKUP($F$1,'Rate Card'!$B:$E,MATCH('Revenue Sheet'!F$2,'Rate Card'!$B$2:$E$2,0),0))</f>
      </c>
      <c r="G14" s="57">
        <f>IF(A14&gt;TODAY(),"",SUMIFS('OPs Data'!$N:$N,'OPs Data'!$F:$F,'Revenue Sheet'!F$1,'OPs Data'!$D:$D,'Revenue Sheet'!$A14,'OPs Data'!$L:$L,'Revenue Sheet'!G$2)*VLOOKUP($F$1,'Rate Card'!$B:$E,MATCH('Revenue Sheet'!G$2,'Rate Card'!$B$2:$E$2,0),0))</f>
      </c>
      <c r="H14" s="57">
        <f>IF(A14&gt;TODAY(),"",SUMIFS('OPs Data'!$N:$N,'OPs Data'!$F:$F,'Revenue Sheet'!F$1,'OPs Data'!$D:$D,'Revenue Sheet'!$A14,'OPs Data'!$L:$L,'Revenue Sheet'!H$2)*VLOOKUP($F$1,'Rate Card'!$B:$E,MATCH('Revenue Sheet'!H$2,'Rate Card'!$B$2:$E$2,0),0))</f>
      </c>
      <c r="I14" s="57">
        <f>IF(A14&gt;TODAY(),"",SUMIFS('OPs Data'!$N:$N,'OPs Data'!$F:$F,'Revenue Sheet'!I$1,'OPs Data'!$D:$D,'Revenue Sheet'!$A14,'OPs Data'!$L:$L,'Revenue Sheet'!I$2)*VLOOKUP($I$1,'Rate Card'!$B:$E,MATCH('Revenue Sheet'!I$2,'Rate Card'!$B$2:$E$2,0),0))</f>
      </c>
      <c r="J14" s="57">
        <f>IF(A14&gt;TODAY(),"",SUMIFS('OPs Data'!$N:$N,'OPs Data'!$F:$F,'Revenue Sheet'!I$1,'OPs Data'!$D:$D,'Revenue Sheet'!$A14,'OPs Data'!$L:$L,'Revenue Sheet'!J$2)*VLOOKUP($I$1,'Rate Card'!$B:$E,MATCH('Revenue Sheet'!J$2,'Rate Card'!$B$2:$E$2,0),0))</f>
      </c>
      <c r="K14" s="57">
        <f>IF(A14&gt;TODAY(),"",SUMIFS('OPs Data'!$N:$N,'OPs Data'!$F:$F,'Revenue Sheet'!I$1,'OPs Data'!$D:$D,'Revenue Sheet'!$A14,'OPs Data'!$L:$L,'Revenue Sheet'!K$2)*VLOOKUP($I$1,'Rate Card'!$B:$E,MATCH('Revenue Sheet'!K$2,'Rate Card'!$B$2:$E$2,0),0))</f>
      </c>
      <c r="L14" s="57">
        <f>IF(A14&gt;TODAY(),"",SUMIFS('OPs Data'!$N:$N,'OPs Data'!$F:$F,'Revenue Sheet'!L$1,'OPs Data'!$D:$D,'Revenue Sheet'!$A14,'OPs Data'!$L:$L,'Revenue Sheet'!L$2)*VLOOKUP($L$1,'Rate Card'!$B:$E,MATCH('Revenue Sheet'!L$2,'Rate Card'!$B$2:$E$2,0),0))</f>
      </c>
      <c r="M14" s="57">
        <f>IF(A14&gt;TODAY(),"",SUMIFS('OPs Data'!$N:$N,'OPs Data'!$F:$F,'Revenue Sheet'!L$1,'OPs Data'!$D:$D,'Revenue Sheet'!$A14,'OPs Data'!$L:$L,'Revenue Sheet'!M$2)*VLOOKUP($L$1,'Rate Card'!$B:$E,MATCH('Revenue Sheet'!M$2,'Rate Card'!$B$2:$E$2,0),0))</f>
      </c>
      <c r="N14" s="57">
        <f>IF(A14&gt;TODAY(),"",SUMIFS('OPs Data'!$N:$N,'OPs Data'!$F:$F,'Revenue Sheet'!L$1,'OPs Data'!$D:$D,'Revenue Sheet'!$A14,'OPs Data'!$L:$L,'Revenue Sheet'!N$2)*VLOOKUP($L$1,'Rate Card'!$B:$E,MATCH('Revenue Sheet'!N$2,'Rate Card'!$B$2:$E$2,0),0))</f>
      </c>
      <c r="O14" s="57">
        <f>IF($A14&gt;TODAY(),"",SUM(C14,F14,I14,L14))</f>
      </c>
      <c r="P14" s="57">
        <f>IF($A14&gt;TODAY(),"",SUM(D14,G14,J14,M14))</f>
      </c>
      <c r="Q14" s="57">
        <f>IF($A14&gt;TODAY(),"",SUM(E14,H14,K14,N14))</f>
      </c>
      <c r="R14" s="58">
        <f>IF($A14&gt;TODAY(),"",SUM(O14:Q14))</f>
      </c>
    </row>
    <row x14ac:dyDescent="0.25" r="15" customHeight="1" ht="18.75">
      <c r="A15" s="55">
        <v>45746</v>
      </c>
      <c r="B15" s="56">
        <f>IF(A15&gt;TODAY(),"",COUNTA(_xlfn.UNIQUE(_xlfn._xlws.FILTER('OPs Data'!$K:$K,'OPs Data'!$D:$D='Revenue Sheet'!A15))))</f>
      </c>
      <c r="C15" s="57">
        <f>IF(A15&gt;TODAY(),"",SUMIFS('OPs Data'!$N:$N,'OPs Data'!$F:$F,'Revenue Sheet'!C$1,'OPs Data'!$D:$D,'Revenue Sheet'!$A15,'OPs Data'!$L:$L,'Revenue Sheet'!C$2)*VLOOKUP($C$1,'Rate Card'!$B:$E,MATCH('Revenue Sheet'!C$2,'Rate Card'!$B$2:$E$2,0),0))</f>
      </c>
      <c r="D15" s="57">
        <f>IF(A15&gt;TODAY(),"",SUMIFS('OPs Data'!$N:$N,'OPs Data'!$F:$F,'Revenue Sheet'!C$1,'OPs Data'!$D:$D,'Revenue Sheet'!$A15,'OPs Data'!$L:$L,'Revenue Sheet'!D$2)*VLOOKUP($C$1,'Rate Card'!$B:$E,MATCH('Revenue Sheet'!D$2,'Rate Card'!$B$2:$E$2,0),0))</f>
      </c>
      <c r="E15" s="57">
        <f>IF(A15&gt;TODAY(),"",SUMIFS('OPs Data'!$N:$N,'OPs Data'!$F:$F,'Revenue Sheet'!C$1,'OPs Data'!$D:$D,'Revenue Sheet'!$A15,'OPs Data'!$L:$L,'Revenue Sheet'!E$2)*VLOOKUP($C$1,'Rate Card'!$B:$E,MATCH('Revenue Sheet'!E$2,'Rate Card'!$B$2:$E$2,0),0))</f>
      </c>
      <c r="F15" s="57">
        <f>IF(A15&gt;TODAY(),"",SUMIFS('OPs Data'!$N:$N,'OPs Data'!$F:$F,'Revenue Sheet'!F$1,'OPs Data'!$D:$D,'Revenue Sheet'!$A15,'OPs Data'!$L:$L,'Revenue Sheet'!F$2)*VLOOKUP($F$1,'Rate Card'!$B:$E,MATCH('Revenue Sheet'!F$2,'Rate Card'!$B$2:$E$2,0),0))</f>
      </c>
      <c r="G15" s="57">
        <f>IF(A15&gt;TODAY(),"",SUMIFS('OPs Data'!$N:$N,'OPs Data'!$F:$F,'Revenue Sheet'!F$1,'OPs Data'!$D:$D,'Revenue Sheet'!$A15,'OPs Data'!$L:$L,'Revenue Sheet'!G$2)*VLOOKUP($F$1,'Rate Card'!$B:$E,MATCH('Revenue Sheet'!G$2,'Rate Card'!$B$2:$E$2,0),0))</f>
      </c>
      <c r="H15" s="57">
        <f>IF(A15&gt;TODAY(),"",SUMIFS('OPs Data'!$N:$N,'OPs Data'!$F:$F,'Revenue Sheet'!F$1,'OPs Data'!$D:$D,'Revenue Sheet'!$A15,'OPs Data'!$L:$L,'Revenue Sheet'!H$2)*VLOOKUP($F$1,'Rate Card'!$B:$E,MATCH('Revenue Sheet'!H$2,'Rate Card'!$B$2:$E$2,0),0))</f>
      </c>
      <c r="I15" s="57">
        <f>IF(A15&gt;TODAY(),"",SUMIFS('OPs Data'!$N:$N,'OPs Data'!$F:$F,'Revenue Sheet'!I$1,'OPs Data'!$D:$D,'Revenue Sheet'!$A15,'OPs Data'!$L:$L,'Revenue Sheet'!I$2)*VLOOKUP($I$1,'Rate Card'!$B:$E,MATCH('Revenue Sheet'!I$2,'Rate Card'!$B$2:$E$2,0),0))</f>
      </c>
      <c r="J15" s="57">
        <f>IF(A15&gt;TODAY(),"",SUMIFS('OPs Data'!$N:$N,'OPs Data'!$F:$F,'Revenue Sheet'!I$1,'OPs Data'!$D:$D,'Revenue Sheet'!$A15,'OPs Data'!$L:$L,'Revenue Sheet'!J$2)*VLOOKUP($I$1,'Rate Card'!$B:$E,MATCH('Revenue Sheet'!J$2,'Rate Card'!$B$2:$E$2,0),0))</f>
      </c>
      <c r="K15" s="57">
        <f>IF(A15&gt;TODAY(),"",SUMIFS('OPs Data'!$N:$N,'OPs Data'!$F:$F,'Revenue Sheet'!I$1,'OPs Data'!$D:$D,'Revenue Sheet'!$A15,'OPs Data'!$L:$L,'Revenue Sheet'!K$2)*VLOOKUP($I$1,'Rate Card'!$B:$E,MATCH('Revenue Sheet'!K$2,'Rate Card'!$B$2:$E$2,0),0))</f>
      </c>
      <c r="L15" s="57">
        <f>IF(A15&gt;TODAY(),"",SUMIFS('OPs Data'!$N:$N,'OPs Data'!$F:$F,'Revenue Sheet'!L$1,'OPs Data'!$D:$D,'Revenue Sheet'!$A15,'OPs Data'!$L:$L,'Revenue Sheet'!L$2)*VLOOKUP($L$1,'Rate Card'!$B:$E,MATCH('Revenue Sheet'!L$2,'Rate Card'!$B$2:$E$2,0),0))</f>
      </c>
      <c r="M15" s="57">
        <f>IF(A15&gt;TODAY(),"",SUMIFS('OPs Data'!$N:$N,'OPs Data'!$F:$F,'Revenue Sheet'!L$1,'OPs Data'!$D:$D,'Revenue Sheet'!$A15,'OPs Data'!$L:$L,'Revenue Sheet'!M$2)*VLOOKUP($L$1,'Rate Card'!$B:$E,MATCH('Revenue Sheet'!M$2,'Rate Card'!$B$2:$E$2,0),0))</f>
      </c>
      <c r="N15" s="57">
        <f>IF(A15&gt;TODAY(),"",SUMIFS('OPs Data'!$N:$N,'OPs Data'!$F:$F,'Revenue Sheet'!L$1,'OPs Data'!$D:$D,'Revenue Sheet'!$A15,'OPs Data'!$L:$L,'Revenue Sheet'!N$2)*VLOOKUP($L$1,'Rate Card'!$B:$E,MATCH('Revenue Sheet'!N$2,'Rate Card'!$B$2:$E$2,0),0))</f>
      </c>
      <c r="O15" s="57">
        <f>IF($A15&gt;TODAY(),"",SUM(C15,F15,I15,L15))</f>
      </c>
      <c r="P15" s="57">
        <f>IF($A15&gt;TODAY(),"",SUM(D15,G15,J15,M15))</f>
      </c>
      <c r="Q15" s="57">
        <f>IF($A15&gt;TODAY(),"",SUM(E15,H15,K15,N15))</f>
      </c>
      <c r="R15" s="58">
        <f>IF($A15&gt;TODAY(),"",SUM(O15:Q15))</f>
      </c>
    </row>
    <row x14ac:dyDescent="0.25" r="16" customHeight="1" ht="18.75">
      <c r="A16" s="55">
        <v>45747</v>
      </c>
      <c r="B16" s="56">
        <f>IF(A16&gt;TODAY(),"",COUNTA(_xlfn.UNIQUE(_xlfn._xlws.FILTER('OPs Data'!$K:$K,'OPs Data'!$D:$D='Revenue Sheet'!A16))))</f>
      </c>
      <c r="C16" s="57">
        <f>IF(A16&gt;TODAY(),"",SUMIFS('OPs Data'!$N:$N,'OPs Data'!$F:$F,'Revenue Sheet'!C$1,'OPs Data'!$D:$D,'Revenue Sheet'!$A16,'OPs Data'!$L:$L,'Revenue Sheet'!C$2)*VLOOKUP($C$1,'Rate Card'!$B:$E,MATCH('Revenue Sheet'!C$2,'Rate Card'!$B$2:$E$2,0),0))</f>
      </c>
      <c r="D16" s="57">
        <f>IF(A16&gt;TODAY(),"",SUMIFS('OPs Data'!$N:$N,'OPs Data'!$F:$F,'Revenue Sheet'!C$1,'OPs Data'!$D:$D,'Revenue Sheet'!$A16,'OPs Data'!$L:$L,'Revenue Sheet'!D$2)*VLOOKUP($C$1,'Rate Card'!$B:$E,MATCH('Revenue Sheet'!D$2,'Rate Card'!$B$2:$E$2,0),0))</f>
      </c>
      <c r="E16" s="57">
        <f>IF(A16&gt;TODAY(),"",SUMIFS('OPs Data'!$N:$N,'OPs Data'!$F:$F,'Revenue Sheet'!C$1,'OPs Data'!$D:$D,'Revenue Sheet'!$A16,'OPs Data'!$L:$L,'Revenue Sheet'!E$2)*VLOOKUP($C$1,'Rate Card'!$B:$E,MATCH('Revenue Sheet'!E$2,'Rate Card'!$B$2:$E$2,0),0))</f>
      </c>
      <c r="F16" s="57">
        <f>IF(A16&gt;TODAY(),"",SUMIFS('OPs Data'!$N:$N,'OPs Data'!$F:$F,'Revenue Sheet'!F$1,'OPs Data'!$D:$D,'Revenue Sheet'!$A16,'OPs Data'!$L:$L,'Revenue Sheet'!F$2)*VLOOKUP($F$1,'Rate Card'!$B:$E,MATCH('Revenue Sheet'!F$2,'Rate Card'!$B$2:$E$2,0),0))</f>
      </c>
      <c r="G16" s="57">
        <f>IF(A16&gt;TODAY(),"",SUMIFS('OPs Data'!$N:$N,'OPs Data'!$F:$F,'Revenue Sheet'!F$1,'OPs Data'!$D:$D,'Revenue Sheet'!$A16,'OPs Data'!$L:$L,'Revenue Sheet'!G$2)*VLOOKUP($F$1,'Rate Card'!$B:$E,MATCH('Revenue Sheet'!G$2,'Rate Card'!$B$2:$E$2,0),0))</f>
      </c>
      <c r="H16" s="57">
        <f>IF(A16&gt;TODAY(),"",SUMIFS('OPs Data'!$N:$N,'OPs Data'!$F:$F,'Revenue Sheet'!F$1,'OPs Data'!$D:$D,'Revenue Sheet'!$A16,'OPs Data'!$L:$L,'Revenue Sheet'!H$2)*VLOOKUP($F$1,'Rate Card'!$B:$E,MATCH('Revenue Sheet'!H$2,'Rate Card'!$B$2:$E$2,0),0))</f>
      </c>
      <c r="I16" s="57">
        <f>IF(A16&gt;TODAY(),"",SUMIFS('OPs Data'!$N:$N,'OPs Data'!$F:$F,'Revenue Sheet'!I$1,'OPs Data'!$D:$D,'Revenue Sheet'!$A16,'OPs Data'!$L:$L,'Revenue Sheet'!I$2)*VLOOKUP($I$1,'Rate Card'!$B:$E,MATCH('Revenue Sheet'!I$2,'Rate Card'!$B$2:$E$2,0),0))</f>
      </c>
      <c r="J16" s="57">
        <f>IF(A16&gt;TODAY(),"",SUMIFS('OPs Data'!$N:$N,'OPs Data'!$F:$F,'Revenue Sheet'!I$1,'OPs Data'!$D:$D,'Revenue Sheet'!$A16,'OPs Data'!$L:$L,'Revenue Sheet'!J$2)*VLOOKUP($I$1,'Rate Card'!$B:$E,MATCH('Revenue Sheet'!J$2,'Rate Card'!$B$2:$E$2,0),0))</f>
      </c>
      <c r="K16" s="57">
        <f>IF(A16&gt;TODAY(),"",SUMIFS('OPs Data'!$N:$N,'OPs Data'!$F:$F,'Revenue Sheet'!I$1,'OPs Data'!$D:$D,'Revenue Sheet'!$A16,'OPs Data'!$L:$L,'Revenue Sheet'!K$2)*VLOOKUP($I$1,'Rate Card'!$B:$E,MATCH('Revenue Sheet'!K$2,'Rate Card'!$B$2:$E$2,0),0))</f>
      </c>
      <c r="L16" s="57">
        <f>IF(A16&gt;TODAY(),"",SUMIFS('OPs Data'!$N:$N,'OPs Data'!$F:$F,'Revenue Sheet'!L$1,'OPs Data'!$D:$D,'Revenue Sheet'!$A16,'OPs Data'!$L:$L,'Revenue Sheet'!L$2)*VLOOKUP($L$1,'Rate Card'!$B:$E,MATCH('Revenue Sheet'!L$2,'Rate Card'!$B$2:$E$2,0),0))</f>
      </c>
      <c r="M16" s="57">
        <f>IF(A16&gt;TODAY(),"",SUMIFS('OPs Data'!$N:$N,'OPs Data'!$F:$F,'Revenue Sheet'!L$1,'OPs Data'!$D:$D,'Revenue Sheet'!$A16,'OPs Data'!$L:$L,'Revenue Sheet'!M$2)*VLOOKUP($L$1,'Rate Card'!$B:$E,MATCH('Revenue Sheet'!M$2,'Rate Card'!$B$2:$E$2,0),0))</f>
      </c>
      <c r="N16" s="57">
        <f>IF(A16&gt;TODAY(),"",SUMIFS('OPs Data'!$N:$N,'OPs Data'!$F:$F,'Revenue Sheet'!L$1,'OPs Data'!$D:$D,'Revenue Sheet'!$A16,'OPs Data'!$L:$L,'Revenue Sheet'!N$2)*VLOOKUP($L$1,'Rate Card'!$B:$E,MATCH('Revenue Sheet'!N$2,'Rate Card'!$B$2:$E$2,0),0))</f>
      </c>
      <c r="O16" s="57">
        <f>IF($A16&gt;TODAY(),"",SUM(C16,F16,I16,L16))</f>
      </c>
      <c r="P16" s="57">
        <f>IF($A16&gt;TODAY(),"",SUM(D16,G16,J16,M16))</f>
      </c>
      <c r="Q16" s="57">
        <f>IF($A16&gt;TODAY(),"",SUM(E16,H16,K16,N16))</f>
      </c>
      <c r="R16" s="58">
        <f>IF($A16&gt;TODAY(),"",SUM(O16:Q16))</f>
      </c>
    </row>
    <row x14ac:dyDescent="0.25" r="17" customHeight="1" ht="18.75">
      <c r="A17" s="55">
        <v>45748</v>
      </c>
      <c r="B17" s="56">
        <f>IF(A17&gt;TODAY(),"",COUNTA(_xlfn.UNIQUE(_xlfn._xlws.FILTER('OPs Data'!$K:$K,'OPs Data'!$D:$D='Revenue Sheet'!A17))))</f>
      </c>
      <c r="C17" s="57">
        <f>IF(A17&gt;TODAY(),"",SUMIFS('OPs Data'!$N:$N,'OPs Data'!$F:$F,'Revenue Sheet'!C$1,'OPs Data'!$D:$D,'Revenue Sheet'!$A17,'OPs Data'!$L:$L,'Revenue Sheet'!C$2)*VLOOKUP($C$1,'Rate Card'!$B:$E,MATCH('Revenue Sheet'!C$2,'Rate Card'!$B$2:$E$2,0),0))</f>
      </c>
      <c r="D17" s="57">
        <f>IF(A17&gt;TODAY(),"",SUMIFS('OPs Data'!$N:$N,'OPs Data'!$F:$F,'Revenue Sheet'!C$1,'OPs Data'!$D:$D,'Revenue Sheet'!$A17,'OPs Data'!$L:$L,'Revenue Sheet'!D$2)*VLOOKUP($C$1,'Rate Card'!$B:$E,MATCH('Revenue Sheet'!D$2,'Rate Card'!$B$2:$E$2,0),0))</f>
      </c>
      <c r="E17" s="57">
        <f>IF(A17&gt;TODAY(),"",SUMIFS('OPs Data'!$N:$N,'OPs Data'!$F:$F,'Revenue Sheet'!C$1,'OPs Data'!$D:$D,'Revenue Sheet'!$A17,'OPs Data'!$L:$L,'Revenue Sheet'!E$2)*VLOOKUP($C$1,'Rate Card'!$B:$E,MATCH('Revenue Sheet'!E$2,'Rate Card'!$B$2:$E$2,0),0))</f>
      </c>
      <c r="F17" s="57">
        <f>IF(A17&gt;TODAY(),"",SUMIFS('OPs Data'!$N:$N,'OPs Data'!$F:$F,'Revenue Sheet'!F$1,'OPs Data'!$D:$D,'Revenue Sheet'!$A17,'OPs Data'!$L:$L,'Revenue Sheet'!F$2)*VLOOKUP($F$1,'Rate Card'!$B:$E,MATCH('Revenue Sheet'!F$2,'Rate Card'!$B$2:$E$2,0),0))</f>
      </c>
      <c r="G17" s="57">
        <f>IF(A17&gt;TODAY(),"",SUMIFS('OPs Data'!$N:$N,'OPs Data'!$F:$F,'Revenue Sheet'!F$1,'OPs Data'!$D:$D,'Revenue Sheet'!$A17,'OPs Data'!$L:$L,'Revenue Sheet'!G$2)*VLOOKUP($F$1,'Rate Card'!$B:$E,MATCH('Revenue Sheet'!G$2,'Rate Card'!$B$2:$E$2,0),0))</f>
      </c>
      <c r="H17" s="57">
        <f>IF(A17&gt;TODAY(),"",SUMIFS('OPs Data'!$N:$N,'OPs Data'!$F:$F,'Revenue Sheet'!F$1,'OPs Data'!$D:$D,'Revenue Sheet'!$A17,'OPs Data'!$L:$L,'Revenue Sheet'!H$2)*VLOOKUP($F$1,'Rate Card'!$B:$E,MATCH('Revenue Sheet'!H$2,'Rate Card'!$B$2:$E$2,0),0))</f>
      </c>
      <c r="I17" s="57">
        <f>IF(A17&gt;TODAY(),"",SUMIFS('OPs Data'!$N:$N,'OPs Data'!$F:$F,'Revenue Sheet'!I$1,'OPs Data'!$D:$D,'Revenue Sheet'!$A17,'OPs Data'!$L:$L,'Revenue Sheet'!I$2)*VLOOKUP($I$1,'Rate Card'!$B:$E,MATCH('Revenue Sheet'!I$2,'Rate Card'!$B$2:$E$2,0),0))</f>
      </c>
      <c r="J17" s="57">
        <f>IF(A17&gt;TODAY(),"",SUMIFS('OPs Data'!$N:$N,'OPs Data'!$F:$F,'Revenue Sheet'!I$1,'OPs Data'!$D:$D,'Revenue Sheet'!$A17,'OPs Data'!$L:$L,'Revenue Sheet'!J$2)*VLOOKUP($I$1,'Rate Card'!$B:$E,MATCH('Revenue Sheet'!J$2,'Rate Card'!$B$2:$E$2,0),0))</f>
      </c>
      <c r="K17" s="57">
        <f>IF(A17&gt;TODAY(),"",SUMIFS('OPs Data'!$N:$N,'OPs Data'!$F:$F,'Revenue Sheet'!I$1,'OPs Data'!$D:$D,'Revenue Sheet'!$A17,'OPs Data'!$L:$L,'Revenue Sheet'!K$2)*VLOOKUP($I$1,'Rate Card'!$B:$E,MATCH('Revenue Sheet'!K$2,'Rate Card'!$B$2:$E$2,0),0))</f>
      </c>
      <c r="L17" s="57">
        <f>IF(A17&gt;TODAY(),"",SUMIFS('OPs Data'!$N:$N,'OPs Data'!$F:$F,'Revenue Sheet'!L$1,'OPs Data'!$D:$D,'Revenue Sheet'!$A17,'OPs Data'!$L:$L,'Revenue Sheet'!L$2)*VLOOKUP($L$1,'Rate Card'!$B:$E,MATCH('Revenue Sheet'!L$2,'Rate Card'!$B$2:$E$2,0),0))</f>
      </c>
      <c r="M17" s="57">
        <f>IF(A17&gt;TODAY(),"",SUMIFS('OPs Data'!$N:$N,'OPs Data'!$F:$F,'Revenue Sheet'!L$1,'OPs Data'!$D:$D,'Revenue Sheet'!$A17,'OPs Data'!$L:$L,'Revenue Sheet'!M$2)*VLOOKUP($L$1,'Rate Card'!$B:$E,MATCH('Revenue Sheet'!M$2,'Rate Card'!$B$2:$E$2,0),0))</f>
      </c>
      <c r="N17" s="57">
        <f>IF(A17&gt;TODAY(),"",SUMIFS('OPs Data'!$N:$N,'OPs Data'!$F:$F,'Revenue Sheet'!L$1,'OPs Data'!$D:$D,'Revenue Sheet'!$A17,'OPs Data'!$L:$L,'Revenue Sheet'!N$2)*VLOOKUP($L$1,'Rate Card'!$B:$E,MATCH('Revenue Sheet'!N$2,'Rate Card'!$B$2:$E$2,0),0))</f>
      </c>
      <c r="O17" s="57">
        <f>IF($A17&gt;TODAY(),"",SUM(C17,F17,I17,L17))</f>
      </c>
      <c r="P17" s="57">
        <f>IF($A17&gt;TODAY(),"",SUM(D17,G17,J17,M17))</f>
      </c>
      <c r="Q17" s="57">
        <f>IF($A17&gt;TODAY(),"",SUM(E17,H17,K17,N17))</f>
      </c>
      <c r="R17" s="58">
        <f>IF($A17&gt;TODAY(),"",SUM(O17:Q17))</f>
      </c>
    </row>
    <row x14ac:dyDescent="0.25" r="18" customHeight="1" ht="18.75">
      <c r="A18" s="55">
        <v>45749</v>
      </c>
      <c r="B18" s="56">
        <f>IF(A18&gt;TODAY(),"",COUNTA(_xlfn.UNIQUE(_xlfn._xlws.FILTER('OPs Data'!$K:$K,'OPs Data'!$D:$D='Revenue Sheet'!A18))))</f>
      </c>
      <c r="C18" s="57">
        <f>IF(A18&gt;TODAY(),"",SUMIFS('OPs Data'!$N:$N,'OPs Data'!$F:$F,'Revenue Sheet'!C$1,'OPs Data'!$D:$D,'Revenue Sheet'!$A18,'OPs Data'!$L:$L,'Revenue Sheet'!C$2)*VLOOKUP($C$1,'Rate Card'!$B:$E,MATCH('Revenue Sheet'!C$2,'Rate Card'!$B$2:$E$2,0),0))</f>
      </c>
      <c r="D18" s="57">
        <f>IF(A18&gt;TODAY(),"",SUMIFS('OPs Data'!$N:$N,'OPs Data'!$F:$F,'Revenue Sheet'!C$1,'OPs Data'!$D:$D,'Revenue Sheet'!$A18,'OPs Data'!$L:$L,'Revenue Sheet'!D$2)*VLOOKUP($C$1,'Rate Card'!$B:$E,MATCH('Revenue Sheet'!D$2,'Rate Card'!$B$2:$E$2,0),0))</f>
      </c>
      <c r="E18" s="57">
        <f>IF(A18&gt;TODAY(),"",SUMIFS('OPs Data'!$N:$N,'OPs Data'!$F:$F,'Revenue Sheet'!C$1,'OPs Data'!$D:$D,'Revenue Sheet'!$A18,'OPs Data'!$L:$L,'Revenue Sheet'!E$2)*VLOOKUP($C$1,'Rate Card'!$B:$E,MATCH('Revenue Sheet'!E$2,'Rate Card'!$B$2:$E$2,0),0))</f>
      </c>
      <c r="F18" s="57">
        <f>IF(A18&gt;TODAY(),"",SUMIFS('OPs Data'!$N:$N,'OPs Data'!$F:$F,'Revenue Sheet'!F$1,'OPs Data'!$D:$D,'Revenue Sheet'!$A18,'OPs Data'!$L:$L,'Revenue Sheet'!F$2)*VLOOKUP($F$1,'Rate Card'!$B:$E,MATCH('Revenue Sheet'!F$2,'Rate Card'!$B$2:$E$2,0),0))</f>
      </c>
      <c r="G18" s="57">
        <f>IF(A18&gt;TODAY(),"",SUMIFS('OPs Data'!$N:$N,'OPs Data'!$F:$F,'Revenue Sheet'!F$1,'OPs Data'!$D:$D,'Revenue Sheet'!$A18,'OPs Data'!$L:$L,'Revenue Sheet'!G$2)*VLOOKUP($F$1,'Rate Card'!$B:$E,MATCH('Revenue Sheet'!G$2,'Rate Card'!$B$2:$E$2,0),0))</f>
      </c>
      <c r="H18" s="57">
        <f>IF(A18&gt;TODAY(),"",SUMIFS('OPs Data'!$N:$N,'OPs Data'!$F:$F,'Revenue Sheet'!F$1,'OPs Data'!$D:$D,'Revenue Sheet'!$A18,'OPs Data'!$L:$L,'Revenue Sheet'!H$2)*VLOOKUP($F$1,'Rate Card'!$B:$E,MATCH('Revenue Sheet'!H$2,'Rate Card'!$B$2:$E$2,0),0))</f>
      </c>
      <c r="I18" s="57">
        <f>IF(A18&gt;TODAY(),"",SUMIFS('OPs Data'!$N:$N,'OPs Data'!$F:$F,'Revenue Sheet'!I$1,'OPs Data'!$D:$D,'Revenue Sheet'!$A18,'OPs Data'!$L:$L,'Revenue Sheet'!I$2)*VLOOKUP($I$1,'Rate Card'!$B:$E,MATCH('Revenue Sheet'!I$2,'Rate Card'!$B$2:$E$2,0),0))</f>
      </c>
      <c r="J18" s="57">
        <f>IF(A18&gt;TODAY(),"",SUMIFS('OPs Data'!$N:$N,'OPs Data'!$F:$F,'Revenue Sheet'!I$1,'OPs Data'!$D:$D,'Revenue Sheet'!$A18,'OPs Data'!$L:$L,'Revenue Sheet'!J$2)*VLOOKUP($I$1,'Rate Card'!$B:$E,MATCH('Revenue Sheet'!J$2,'Rate Card'!$B$2:$E$2,0),0))</f>
      </c>
      <c r="K18" s="57">
        <f>IF(A18&gt;TODAY(),"",SUMIFS('OPs Data'!$N:$N,'OPs Data'!$F:$F,'Revenue Sheet'!I$1,'OPs Data'!$D:$D,'Revenue Sheet'!$A18,'OPs Data'!$L:$L,'Revenue Sheet'!K$2)*VLOOKUP($I$1,'Rate Card'!$B:$E,MATCH('Revenue Sheet'!K$2,'Rate Card'!$B$2:$E$2,0),0))</f>
      </c>
      <c r="L18" s="57">
        <f>IF(A18&gt;TODAY(),"",SUMIFS('OPs Data'!$N:$N,'OPs Data'!$F:$F,'Revenue Sheet'!L$1,'OPs Data'!$D:$D,'Revenue Sheet'!$A18,'OPs Data'!$L:$L,'Revenue Sheet'!L$2)*VLOOKUP($L$1,'Rate Card'!$B:$E,MATCH('Revenue Sheet'!L$2,'Rate Card'!$B$2:$E$2,0),0))</f>
      </c>
      <c r="M18" s="57">
        <f>IF(A18&gt;TODAY(),"",SUMIFS('OPs Data'!$N:$N,'OPs Data'!$F:$F,'Revenue Sheet'!L$1,'OPs Data'!$D:$D,'Revenue Sheet'!$A18,'OPs Data'!$L:$L,'Revenue Sheet'!M$2)*VLOOKUP($L$1,'Rate Card'!$B:$E,MATCH('Revenue Sheet'!M$2,'Rate Card'!$B$2:$E$2,0),0))</f>
      </c>
      <c r="N18" s="57">
        <f>IF(A18&gt;TODAY(),"",SUMIFS('OPs Data'!$N:$N,'OPs Data'!$F:$F,'Revenue Sheet'!L$1,'OPs Data'!$D:$D,'Revenue Sheet'!$A18,'OPs Data'!$L:$L,'Revenue Sheet'!N$2)*VLOOKUP($L$1,'Rate Card'!$B:$E,MATCH('Revenue Sheet'!N$2,'Rate Card'!$B$2:$E$2,0),0))</f>
      </c>
      <c r="O18" s="57">
        <f>IF($A18&gt;TODAY(),"",SUM(C18,F18,I18,L18))</f>
      </c>
      <c r="P18" s="57">
        <f>IF($A18&gt;TODAY(),"",SUM(D18,G18,J18,M18))</f>
      </c>
      <c r="Q18" s="57">
        <f>IF($A18&gt;TODAY(),"",SUM(E18,H18,K18,N18))</f>
      </c>
      <c r="R18" s="58">
        <f>IF($A18&gt;TODAY(),"",SUM(O18:Q18))</f>
      </c>
    </row>
    <row x14ac:dyDescent="0.25" r="19" customHeight="1" ht="18.75">
      <c r="A19" s="55">
        <v>45750</v>
      </c>
      <c r="B19" s="56">
        <f>IF(A19&gt;TODAY(),"",COUNTA(_xlfn.UNIQUE(_xlfn._xlws.FILTER('OPs Data'!$K:$K,'OPs Data'!$D:$D='Revenue Sheet'!A19))))</f>
      </c>
      <c r="C19" s="57">
        <f>IF(A19&gt;TODAY(),"",SUMIFS('OPs Data'!$N:$N,'OPs Data'!$F:$F,'Revenue Sheet'!C$1,'OPs Data'!$D:$D,'Revenue Sheet'!$A19,'OPs Data'!$L:$L,'Revenue Sheet'!C$2)*VLOOKUP($C$1,'Rate Card'!$B:$E,MATCH('Revenue Sheet'!C$2,'Rate Card'!$B$2:$E$2,0),0))</f>
      </c>
      <c r="D19" s="57">
        <f>IF(A19&gt;TODAY(),"",SUMIFS('OPs Data'!$N:$N,'OPs Data'!$F:$F,'Revenue Sheet'!C$1,'OPs Data'!$D:$D,'Revenue Sheet'!$A19,'OPs Data'!$L:$L,'Revenue Sheet'!D$2)*VLOOKUP($C$1,'Rate Card'!$B:$E,MATCH('Revenue Sheet'!D$2,'Rate Card'!$B$2:$E$2,0),0))</f>
      </c>
      <c r="E19" s="57">
        <f>IF(A19&gt;TODAY(),"",SUMIFS('OPs Data'!$N:$N,'OPs Data'!$F:$F,'Revenue Sheet'!C$1,'OPs Data'!$D:$D,'Revenue Sheet'!$A19,'OPs Data'!$L:$L,'Revenue Sheet'!E$2)*VLOOKUP($C$1,'Rate Card'!$B:$E,MATCH('Revenue Sheet'!E$2,'Rate Card'!$B$2:$E$2,0),0))</f>
      </c>
      <c r="F19" s="57">
        <f>IF(A19&gt;TODAY(),"",SUMIFS('OPs Data'!$N:$N,'OPs Data'!$F:$F,'Revenue Sheet'!F$1,'OPs Data'!$D:$D,'Revenue Sheet'!$A19,'OPs Data'!$L:$L,'Revenue Sheet'!F$2)*VLOOKUP($F$1,'Rate Card'!$B:$E,MATCH('Revenue Sheet'!F$2,'Rate Card'!$B$2:$E$2,0),0))</f>
      </c>
      <c r="G19" s="57">
        <f>IF(A19&gt;TODAY(),"",SUMIFS('OPs Data'!$N:$N,'OPs Data'!$F:$F,'Revenue Sheet'!F$1,'OPs Data'!$D:$D,'Revenue Sheet'!$A19,'OPs Data'!$L:$L,'Revenue Sheet'!G$2)*VLOOKUP($F$1,'Rate Card'!$B:$E,MATCH('Revenue Sheet'!G$2,'Rate Card'!$B$2:$E$2,0),0))</f>
      </c>
      <c r="H19" s="57">
        <f>IF(A19&gt;TODAY(),"",SUMIFS('OPs Data'!$N:$N,'OPs Data'!$F:$F,'Revenue Sheet'!F$1,'OPs Data'!$D:$D,'Revenue Sheet'!$A19,'OPs Data'!$L:$L,'Revenue Sheet'!H$2)*VLOOKUP($F$1,'Rate Card'!$B:$E,MATCH('Revenue Sheet'!H$2,'Rate Card'!$B$2:$E$2,0),0))</f>
      </c>
      <c r="I19" s="57">
        <f>IF(A19&gt;TODAY(),"",SUMIFS('OPs Data'!$N:$N,'OPs Data'!$F:$F,'Revenue Sheet'!I$1,'OPs Data'!$D:$D,'Revenue Sheet'!$A19,'OPs Data'!$L:$L,'Revenue Sheet'!I$2)*VLOOKUP($I$1,'Rate Card'!$B:$E,MATCH('Revenue Sheet'!I$2,'Rate Card'!$B$2:$E$2,0),0))</f>
      </c>
      <c r="J19" s="57">
        <f>IF(A19&gt;TODAY(),"",SUMIFS('OPs Data'!$N:$N,'OPs Data'!$F:$F,'Revenue Sheet'!I$1,'OPs Data'!$D:$D,'Revenue Sheet'!$A19,'OPs Data'!$L:$L,'Revenue Sheet'!J$2)*VLOOKUP($I$1,'Rate Card'!$B:$E,MATCH('Revenue Sheet'!J$2,'Rate Card'!$B$2:$E$2,0),0))</f>
      </c>
      <c r="K19" s="57">
        <f>IF(A19&gt;TODAY(),"",SUMIFS('OPs Data'!$N:$N,'OPs Data'!$F:$F,'Revenue Sheet'!I$1,'OPs Data'!$D:$D,'Revenue Sheet'!$A19,'OPs Data'!$L:$L,'Revenue Sheet'!K$2)*VLOOKUP($I$1,'Rate Card'!$B:$E,MATCH('Revenue Sheet'!K$2,'Rate Card'!$B$2:$E$2,0),0))</f>
      </c>
      <c r="L19" s="57">
        <f>IF(A19&gt;TODAY(),"",SUMIFS('OPs Data'!$N:$N,'OPs Data'!$F:$F,'Revenue Sheet'!L$1,'OPs Data'!$D:$D,'Revenue Sheet'!$A19,'OPs Data'!$L:$L,'Revenue Sheet'!L$2)*VLOOKUP($L$1,'Rate Card'!$B:$E,MATCH('Revenue Sheet'!L$2,'Rate Card'!$B$2:$E$2,0),0))</f>
      </c>
      <c r="M19" s="57">
        <f>IF(A19&gt;TODAY(),"",SUMIFS('OPs Data'!$N:$N,'OPs Data'!$F:$F,'Revenue Sheet'!L$1,'OPs Data'!$D:$D,'Revenue Sheet'!$A19,'OPs Data'!$L:$L,'Revenue Sheet'!M$2)*VLOOKUP($L$1,'Rate Card'!$B:$E,MATCH('Revenue Sheet'!M$2,'Rate Card'!$B$2:$E$2,0),0))</f>
      </c>
      <c r="N19" s="57">
        <f>IF(A19&gt;TODAY(),"",SUMIFS('OPs Data'!$N:$N,'OPs Data'!$F:$F,'Revenue Sheet'!L$1,'OPs Data'!$D:$D,'Revenue Sheet'!$A19,'OPs Data'!$L:$L,'Revenue Sheet'!N$2)*VLOOKUP($L$1,'Rate Card'!$B:$E,MATCH('Revenue Sheet'!N$2,'Rate Card'!$B$2:$E$2,0),0))</f>
      </c>
      <c r="O19" s="57">
        <f>IF($A19&gt;TODAY(),"",SUM(C19,F19,I19,L19))</f>
      </c>
      <c r="P19" s="57">
        <f>IF($A19&gt;TODAY(),"",SUM(D19,G19,J19,M19))</f>
      </c>
      <c r="Q19" s="57">
        <f>IF($A19&gt;TODAY(),"",SUM(E19,H19,K19,N19))</f>
      </c>
      <c r="R19" s="58">
        <f>IF($A19&gt;TODAY(),"",SUM(O19:Q19))</f>
      </c>
    </row>
    <row x14ac:dyDescent="0.25" r="20" customHeight="1" ht="18.75">
      <c r="A20" s="55">
        <v>45751</v>
      </c>
      <c r="B20" s="56">
        <f>IF(A20&gt;TODAY(),"",COUNTA(_xlfn.UNIQUE(_xlfn._xlws.FILTER('OPs Data'!$K:$K,'OPs Data'!$D:$D='Revenue Sheet'!A20))))</f>
      </c>
      <c r="C20" s="57">
        <f>IF(A20&gt;TODAY(),"",SUMIFS('OPs Data'!$N:$N,'OPs Data'!$F:$F,'Revenue Sheet'!C$1,'OPs Data'!$D:$D,'Revenue Sheet'!$A20,'OPs Data'!$L:$L,'Revenue Sheet'!C$2)*VLOOKUP($C$1,'Rate Card'!$B:$E,MATCH('Revenue Sheet'!C$2,'Rate Card'!$B$2:$E$2,0),0))</f>
      </c>
      <c r="D20" s="57">
        <f>IF(A20&gt;TODAY(),"",SUMIFS('OPs Data'!$N:$N,'OPs Data'!$F:$F,'Revenue Sheet'!C$1,'OPs Data'!$D:$D,'Revenue Sheet'!$A20,'OPs Data'!$L:$L,'Revenue Sheet'!D$2)*VLOOKUP($C$1,'Rate Card'!$B:$E,MATCH('Revenue Sheet'!D$2,'Rate Card'!$B$2:$E$2,0),0))</f>
      </c>
      <c r="E20" s="57">
        <f>IF(A20&gt;TODAY(),"",SUMIFS('OPs Data'!$N:$N,'OPs Data'!$F:$F,'Revenue Sheet'!C$1,'OPs Data'!$D:$D,'Revenue Sheet'!$A20,'OPs Data'!$L:$L,'Revenue Sheet'!E$2)*VLOOKUP($C$1,'Rate Card'!$B:$E,MATCH('Revenue Sheet'!E$2,'Rate Card'!$B$2:$E$2,0),0))</f>
      </c>
      <c r="F20" s="57">
        <f>IF(A20&gt;TODAY(),"",SUMIFS('OPs Data'!$N:$N,'OPs Data'!$F:$F,'Revenue Sheet'!F$1,'OPs Data'!$D:$D,'Revenue Sheet'!$A20,'OPs Data'!$L:$L,'Revenue Sheet'!F$2)*VLOOKUP($F$1,'Rate Card'!$B:$E,MATCH('Revenue Sheet'!F$2,'Rate Card'!$B$2:$E$2,0),0))</f>
      </c>
      <c r="G20" s="57">
        <f>IF(A20&gt;TODAY(),"",SUMIFS('OPs Data'!$N:$N,'OPs Data'!$F:$F,'Revenue Sheet'!F$1,'OPs Data'!$D:$D,'Revenue Sheet'!$A20,'OPs Data'!$L:$L,'Revenue Sheet'!G$2)*VLOOKUP($F$1,'Rate Card'!$B:$E,MATCH('Revenue Sheet'!G$2,'Rate Card'!$B$2:$E$2,0),0))</f>
      </c>
      <c r="H20" s="57">
        <f>IF(A20&gt;TODAY(),"",SUMIFS('OPs Data'!$N:$N,'OPs Data'!$F:$F,'Revenue Sheet'!F$1,'OPs Data'!$D:$D,'Revenue Sheet'!$A20,'OPs Data'!$L:$L,'Revenue Sheet'!H$2)*VLOOKUP($F$1,'Rate Card'!$B:$E,MATCH('Revenue Sheet'!H$2,'Rate Card'!$B$2:$E$2,0),0))</f>
      </c>
      <c r="I20" s="57">
        <f>IF(A20&gt;TODAY(),"",SUMIFS('OPs Data'!$N:$N,'OPs Data'!$F:$F,'Revenue Sheet'!I$1,'OPs Data'!$D:$D,'Revenue Sheet'!$A20,'OPs Data'!$L:$L,'Revenue Sheet'!I$2)*VLOOKUP($I$1,'Rate Card'!$B:$E,MATCH('Revenue Sheet'!I$2,'Rate Card'!$B$2:$E$2,0),0))</f>
      </c>
      <c r="J20" s="57">
        <f>IF(A20&gt;TODAY(),"",SUMIFS('OPs Data'!$N:$N,'OPs Data'!$F:$F,'Revenue Sheet'!I$1,'OPs Data'!$D:$D,'Revenue Sheet'!$A20,'OPs Data'!$L:$L,'Revenue Sheet'!J$2)*VLOOKUP($I$1,'Rate Card'!$B:$E,MATCH('Revenue Sheet'!J$2,'Rate Card'!$B$2:$E$2,0),0))</f>
      </c>
      <c r="K20" s="57">
        <f>IF(A20&gt;TODAY(),"",SUMIFS('OPs Data'!$N:$N,'OPs Data'!$F:$F,'Revenue Sheet'!I$1,'OPs Data'!$D:$D,'Revenue Sheet'!$A20,'OPs Data'!$L:$L,'Revenue Sheet'!K$2)*VLOOKUP($I$1,'Rate Card'!$B:$E,MATCH('Revenue Sheet'!K$2,'Rate Card'!$B$2:$E$2,0),0))</f>
      </c>
      <c r="L20" s="57">
        <f>IF(A20&gt;TODAY(),"",SUMIFS('OPs Data'!$N:$N,'OPs Data'!$F:$F,'Revenue Sheet'!L$1,'OPs Data'!$D:$D,'Revenue Sheet'!$A20,'OPs Data'!$L:$L,'Revenue Sheet'!L$2)*VLOOKUP($L$1,'Rate Card'!$B:$E,MATCH('Revenue Sheet'!L$2,'Rate Card'!$B$2:$E$2,0),0))</f>
      </c>
      <c r="M20" s="57">
        <f>IF(A20&gt;TODAY(),"",SUMIFS('OPs Data'!$N:$N,'OPs Data'!$F:$F,'Revenue Sheet'!L$1,'OPs Data'!$D:$D,'Revenue Sheet'!$A20,'OPs Data'!$L:$L,'Revenue Sheet'!M$2)*VLOOKUP($L$1,'Rate Card'!$B:$E,MATCH('Revenue Sheet'!M$2,'Rate Card'!$B$2:$E$2,0),0))</f>
      </c>
      <c r="N20" s="57">
        <f>IF(A20&gt;TODAY(),"",SUMIFS('OPs Data'!$N:$N,'OPs Data'!$F:$F,'Revenue Sheet'!L$1,'OPs Data'!$D:$D,'Revenue Sheet'!$A20,'OPs Data'!$L:$L,'Revenue Sheet'!N$2)*VLOOKUP($L$1,'Rate Card'!$B:$E,MATCH('Revenue Sheet'!N$2,'Rate Card'!$B$2:$E$2,0),0))</f>
      </c>
      <c r="O20" s="57">
        <f>IF($A20&gt;TODAY(),"",SUM(C20,F20,I20,L20))</f>
      </c>
      <c r="P20" s="57">
        <f>IF($A20&gt;TODAY(),"",SUM(D20,G20,J20,M20))</f>
      </c>
      <c r="Q20" s="57">
        <f>IF($A20&gt;TODAY(),"",SUM(E20,H20,K20,N20))</f>
      </c>
      <c r="R20" s="58">
        <f>IF($A20&gt;TODAY(),"",SUM(O20:Q20))</f>
      </c>
    </row>
    <row x14ac:dyDescent="0.25" r="21" customHeight="1" ht="18.75">
      <c r="A21" s="55">
        <v>45752</v>
      </c>
      <c r="B21" s="56">
        <f>IF(A21&gt;TODAY(),"",COUNTA(_xlfn.UNIQUE(_xlfn._xlws.FILTER('OPs Data'!$K:$K,'OPs Data'!$D:$D='Revenue Sheet'!A21))))</f>
      </c>
      <c r="C21" s="57">
        <f>IF(A21&gt;TODAY(),"",SUMIFS('OPs Data'!$N:$N,'OPs Data'!$F:$F,'Revenue Sheet'!C$1,'OPs Data'!$D:$D,'Revenue Sheet'!$A21,'OPs Data'!$L:$L,'Revenue Sheet'!C$2)*VLOOKUP($C$1,'Rate Card'!$B:$E,MATCH('Revenue Sheet'!C$2,'Rate Card'!$B$2:$E$2,0),0))</f>
      </c>
      <c r="D21" s="57">
        <f>IF(A21&gt;TODAY(),"",SUMIFS('OPs Data'!$N:$N,'OPs Data'!$F:$F,'Revenue Sheet'!C$1,'OPs Data'!$D:$D,'Revenue Sheet'!$A21,'OPs Data'!$L:$L,'Revenue Sheet'!D$2)*VLOOKUP($C$1,'Rate Card'!$B:$E,MATCH('Revenue Sheet'!D$2,'Rate Card'!$B$2:$E$2,0),0))</f>
      </c>
      <c r="E21" s="57">
        <f>IF(A21&gt;TODAY(),"",SUMIFS('OPs Data'!$N:$N,'OPs Data'!$F:$F,'Revenue Sheet'!C$1,'OPs Data'!$D:$D,'Revenue Sheet'!$A21,'OPs Data'!$L:$L,'Revenue Sheet'!E$2)*VLOOKUP($C$1,'Rate Card'!$B:$E,MATCH('Revenue Sheet'!E$2,'Rate Card'!$B$2:$E$2,0),0))</f>
      </c>
      <c r="F21" s="57">
        <f>IF(A21&gt;TODAY(),"",SUMIFS('OPs Data'!$N:$N,'OPs Data'!$F:$F,'Revenue Sheet'!F$1,'OPs Data'!$D:$D,'Revenue Sheet'!$A21,'OPs Data'!$L:$L,'Revenue Sheet'!F$2)*VLOOKUP($F$1,'Rate Card'!$B:$E,MATCH('Revenue Sheet'!F$2,'Rate Card'!$B$2:$E$2,0),0))</f>
      </c>
      <c r="G21" s="57">
        <f>IF(A21&gt;TODAY(),"",SUMIFS('OPs Data'!$N:$N,'OPs Data'!$F:$F,'Revenue Sheet'!F$1,'OPs Data'!$D:$D,'Revenue Sheet'!$A21,'OPs Data'!$L:$L,'Revenue Sheet'!G$2)*VLOOKUP($F$1,'Rate Card'!$B:$E,MATCH('Revenue Sheet'!G$2,'Rate Card'!$B$2:$E$2,0),0))</f>
      </c>
      <c r="H21" s="57">
        <f>IF(A21&gt;TODAY(),"",SUMIFS('OPs Data'!$N:$N,'OPs Data'!$F:$F,'Revenue Sheet'!F$1,'OPs Data'!$D:$D,'Revenue Sheet'!$A21,'OPs Data'!$L:$L,'Revenue Sheet'!H$2)*VLOOKUP($F$1,'Rate Card'!$B:$E,MATCH('Revenue Sheet'!H$2,'Rate Card'!$B$2:$E$2,0),0))</f>
      </c>
      <c r="I21" s="57">
        <f>IF(A21&gt;TODAY(),"",SUMIFS('OPs Data'!$N:$N,'OPs Data'!$F:$F,'Revenue Sheet'!I$1,'OPs Data'!$D:$D,'Revenue Sheet'!$A21,'OPs Data'!$L:$L,'Revenue Sheet'!I$2)*VLOOKUP($I$1,'Rate Card'!$B:$E,MATCH('Revenue Sheet'!I$2,'Rate Card'!$B$2:$E$2,0),0))</f>
      </c>
      <c r="J21" s="57">
        <f>IF(A21&gt;TODAY(),"",SUMIFS('OPs Data'!$N:$N,'OPs Data'!$F:$F,'Revenue Sheet'!I$1,'OPs Data'!$D:$D,'Revenue Sheet'!$A21,'OPs Data'!$L:$L,'Revenue Sheet'!J$2)*VLOOKUP($I$1,'Rate Card'!$B:$E,MATCH('Revenue Sheet'!J$2,'Rate Card'!$B$2:$E$2,0),0))</f>
      </c>
      <c r="K21" s="57">
        <f>IF(A21&gt;TODAY(),"",SUMIFS('OPs Data'!$N:$N,'OPs Data'!$F:$F,'Revenue Sheet'!I$1,'OPs Data'!$D:$D,'Revenue Sheet'!$A21,'OPs Data'!$L:$L,'Revenue Sheet'!K$2)*VLOOKUP($I$1,'Rate Card'!$B:$E,MATCH('Revenue Sheet'!K$2,'Rate Card'!$B$2:$E$2,0),0))</f>
      </c>
      <c r="L21" s="57">
        <f>IF(A21&gt;TODAY(),"",SUMIFS('OPs Data'!$N:$N,'OPs Data'!$F:$F,'Revenue Sheet'!L$1,'OPs Data'!$D:$D,'Revenue Sheet'!$A21,'OPs Data'!$L:$L,'Revenue Sheet'!L$2)*VLOOKUP($L$1,'Rate Card'!$B:$E,MATCH('Revenue Sheet'!L$2,'Rate Card'!$B$2:$E$2,0),0))</f>
      </c>
      <c r="M21" s="57">
        <f>IF(A21&gt;TODAY(),"",SUMIFS('OPs Data'!$N:$N,'OPs Data'!$F:$F,'Revenue Sheet'!L$1,'OPs Data'!$D:$D,'Revenue Sheet'!$A21,'OPs Data'!$L:$L,'Revenue Sheet'!M$2)*VLOOKUP($L$1,'Rate Card'!$B:$E,MATCH('Revenue Sheet'!M$2,'Rate Card'!$B$2:$E$2,0),0))</f>
      </c>
      <c r="N21" s="57">
        <f>IF(A21&gt;TODAY(),"",SUMIFS('OPs Data'!$N:$N,'OPs Data'!$F:$F,'Revenue Sheet'!L$1,'OPs Data'!$D:$D,'Revenue Sheet'!$A21,'OPs Data'!$L:$L,'Revenue Sheet'!N$2)*VLOOKUP($L$1,'Rate Card'!$B:$E,MATCH('Revenue Sheet'!N$2,'Rate Card'!$B$2:$E$2,0),0))</f>
      </c>
      <c r="O21" s="57">
        <f>IF($A21&gt;TODAY(),"",SUM(C21,F21,I21,L21))</f>
      </c>
      <c r="P21" s="57">
        <f>IF($A21&gt;TODAY(),"",SUM(D21,G21,J21,M21))</f>
      </c>
      <c r="Q21" s="57">
        <f>IF($A21&gt;TODAY(),"",SUM(E21,H21,K21,N21))</f>
      </c>
      <c r="R21" s="58">
        <f>IF($A21&gt;TODAY(),"",SUM(O21:Q21))</f>
      </c>
    </row>
    <row x14ac:dyDescent="0.25" r="22" customHeight="1" ht="18.75">
      <c r="A22" s="55">
        <v>45753</v>
      </c>
      <c r="B22" s="56">
        <f>IF(A22&gt;TODAY(),"",COUNTA(_xlfn.UNIQUE(_xlfn._xlws.FILTER('OPs Data'!$K:$K,'OPs Data'!$D:$D='Revenue Sheet'!A22))))</f>
      </c>
      <c r="C22" s="57">
        <f>IF(A22&gt;TODAY(),"",SUMIFS('OPs Data'!$N:$N,'OPs Data'!$F:$F,'Revenue Sheet'!C$1,'OPs Data'!$D:$D,'Revenue Sheet'!$A22,'OPs Data'!$L:$L,'Revenue Sheet'!C$2)*VLOOKUP($C$1,'Rate Card'!$B:$E,MATCH('Revenue Sheet'!C$2,'Rate Card'!$B$2:$E$2,0),0))</f>
      </c>
      <c r="D22" s="57">
        <f>IF(A22&gt;TODAY(),"",SUMIFS('OPs Data'!$N:$N,'OPs Data'!$F:$F,'Revenue Sheet'!C$1,'OPs Data'!$D:$D,'Revenue Sheet'!$A22,'OPs Data'!$L:$L,'Revenue Sheet'!D$2)*VLOOKUP($C$1,'Rate Card'!$B:$E,MATCH('Revenue Sheet'!D$2,'Rate Card'!$B$2:$E$2,0),0))</f>
      </c>
      <c r="E22" s="57">
        <f>IF(A22&gt;TODAY(),"",SUMIFS('OPs Data'!$N:$N,'OPs Data'!$F:$F,'Revenue Sheet'!C$1,'OPs Data'!$D:$D,'Revenue Sheet'!$A22,'OPs Data'!$L:$L,'Revenue Sheet'!E$2)*VLOOKUP($C$1,'Rate Card'!$B:$E,MATCH('Revenue Sheet'!E$2,'Rate Card'!$B$2:$E$2,0),0))</f>
      </c>
      <c r="F22" s="57">
        <f>IF(A22&gt;TODAY(),"",SUMIFS('OPs Data'!$N:$N,'OPs Data'!$F:$F,'Revenue Sheet'!F$1,'OPs Data'!$D:$D,'Revenue Sheet'!$A22,'OPs Data'!$L:$L,'Revenue Sheet'!F$2)*VLOOKUP($F$1,'Rate Card'!$B:$E,MATCH('Revenue Sheet'!F$2,'Rate Card'!$B$2:$E$2,0),0))</f>
      </c>
      <c r="G22" s="57">
        <f>IF(A22&gt;TODAY(),"",SUMIFS('OPs Data'!$N:$N,'OPs Data'!$F:$F,'Revenue Sheet'!F$1,'OPs Data'!$D:$D,'Revenue Sheet'!$A22,'OPs Data'!$L:$L,'Revenue Sheet'!G$2)*VLOOKUP($F$1,'Rate Card'!$B:$E,MATCH('Revenue Sheet'!G$2,'Rate Card'!$B$2:$E$2,0),0))</f>
      </c>
      <c r="H22" s="57">
        <f>IF(A22&gt;TODAY(),"",SUMIFS('OPs Data'!$N:$N,'OPs Data'!$F:$F,'Revenue Sheet'!F$1,'OPs Data'!$D:$D,'Revenue Sheet'!$A22,'OPs Data'!$L:$L,'Revenue Sheet'!H$2)*VLOOKUP($F$1,'Rate Card'!$B:$E,MATCH('Revenue Sheet'!H$2,'Rate Card'!$B$2:$E$2,0),0))</f>
      </c>
      <c r="I22" s="57">
        <f>IF(A22&gt;TODAY(),"",SUMIFS('OPs Data'!$N:$N,'OPs Data'!$F:$F,'Revenue Sheet'!I$1,'OPs Data'!$D:$D,'Revenue Sheet'!$A22,'OPs Data'!$L:$L,'Revenue Sheet'!I$2)*VLOOKUP($I$1,'Rate Card'!$B:$E,MATCH('Revenue Sheet'!I$2,'Rate Card'!$B$2:$E$2,0),0))</f>
      </c>
      <c r="J22" s="57">
        <f>IF(A22&gt;TODAY(),"",SUMIFS('OPs Data'!$N:$N,'OPs Data'!$F:$F,'Revenue Sheet'!I$1,'OPs Data'!$D:$D,'Revenue Sheet'!$A22,'OPs Data'!$L:$L,'Revenue Sheet'!J$2)*VLOOKUP($I$1,'Rate Card'!$B:$E,MATCH('Revenue Sheet'!J$2,'Rate Card'!$B$2:$E$2,0),0))</f>
      </c>
      <c r="K22" s="57">
        <f>IF(A22&gt;TODAY(),"",SUMIFS('OPs Data'!$N:$N,'OPs Data'!$F:$F,'Revenue Sheet'!I$1,'OPs Data'!$D:$D,'Revenue Sheet'!$A22,'OPs Data'!$L:$L,'Revenue Sheet'!K$2)*VLOOKUP($I$1,'Rate Card'!$B:$E,MATCH('Revenue Sheet'!K$2,'Rate Card'!$B$2:$E$2,0),0))</f>
      </c>
      <c r="L22" s="57">
        <f>IF(A22&gt;TODAY(),"",SUMIFS('OPs Data'!$N:$N,'OPs Data'!$F:$F,'Revenue Sheet'!L$1,'OPs Data'!$D:$D,'Revenue Sheet'!$A22,'OPs Data'!$L:$L,'Revenue Sheet'!L$2)*VLOOKUP($L$1,'Rate Card'!$B:$E,MATCH('Revenue Sheet'!L$2,'Rate Card'!$B$2:$E$2,0),0))</f>
      </c>
      <c r="M22" s="57">
        <f>IF(A22&gt;TODAY(),"",SUMIFS('OPs Data'!$N:$N,'OPs Data'!$F:$F,'Revenue Sheet'!L$1,'OPs Data'!$D:$D,'Revenue Sheet'!$A22,'OPs Data'!$L:$L,'Revenue Sheet'!M$2)*VLOOKUP($L$1,'Rate Card'!$B:$E,MATCH('Revenue Sheet'!M$2,'Rate Card'!$B$2:$E$2,0),0))</f>
      </c>
      <c r="N22" s="57">
        <f>IF(A22&gt;TODAY(),"",SUMIFS('OPs Data'!$N:$N,'OPs Data'!$F:$F,'Revenue Sheet'!L$1,'OPs Data'!$D:$D,'Revenue Sheet'!$A22,'OPs Data'!$L:$L,'Revenue Sheet'!N$2)*VLOOKUP($L$1,'Rate Card'!$B:$E,MATCH('Revenue Sheet'!N$2,'Rate Card'!$B$2:$E$2,0),0))</f>
      </c>
      <c r="O22" s="57">
        <f>IF($A22&gt;TODAY(),"",SUM(C22,F22,I22,L22))</f>
      </c>
      <c r="P22" s="57">
        <f>IF($A22&gt;TODAY(),"",SUM(D22,G22,J22,M22))</f>
      </c>
      <c r="Q22" s="57">
        <f>IF($A22&gt;TODAY(),"",SUM(E22,H22,K22,N22))</f>
      </c>
      <c r="R22" s="58">
        <f>IF($A22&gt;TODAY(),"",SUM(O22:Q22))</f>
      </c>
    </row>
    <row x14ac:dyDescent="0.25" r="23" customHeight="1" ht="18.75">
      <c r="A23" s="55">
        <v>45754</v>
      </c>
      <c r="B23" s="56">
        <f>IF(A23&gt;TODAY(),"",COUNTA(_xlfn.UNIQUE(_xlfn._xlws.FILTER('OPs Data'!$K:$K,'OPs Data'!$D:$D='Revenue Sheet'!A23))))</f>
      </c>
      <c r="C23" s="57">
        <f>IF(A23&gt;TODAY(),"",SUMIFS('OPs Data'!$N:$N,'OPs Data'!$F:$F,'Revenue Sheet'!C$1,'OPs Data'!$D:$D,'Revenue Sheet'!$A23,'OPs Data'!$L:$L,'Revenue Sheet'!C$2)*VLOOKUP($C$1,'Rate Card'!$B:$E,MATCH('Revenue Sheet'!C$2,'Rate Card'!$B$2:$E$2,0),0))</f>
      </c>
      <c r="D23" s="57">
        <f>IF(A23&gt;TODAY(),"",SUMIFS('OPs Data'!$N:$N,'OPs Data'!$F:$F,'Revenue Sheet'!C$1,'OPs Data'!$D:$D,'Revenue Sheet'!$A23,'OPs Data'!$L:$L,'Revenue Sheet'!D$2)*VLOOKUP($C$1,'Rate Card'!$B:$E,MATCH('Revenue Sheet'!D$2,'Rate Card'!$B$2:$E$2,0),0))</f>
      </c>
      <c r="E23" s="57">
        <f>IF(A23&gt;TODAY(),"",SUMIFS('OPs Data'!$N:$N,'OPs Data'!$F:$F,'Revenue Sheet'!C$1,'OPs Data'!$D:$D,'Revenue Sheet'!$A23,'OPs Data'!$L:$L,'Revenue Sheet'!E$2)*VLOOKUP($C$1,'Rate Card'!$B:$E,MATCH('Revenue Sheet'!E$2,'Rate Card'!$B$2:$E$2,0),0))</f>
      </c>
      <c r="F23" s="57">
        <f>IF(A23&gt;TODAY(),"",SUMIFS('OPs Data'!$N:$N,'OPs Data'!$F:$F,'Revenue Sheet'!F$1,'OPs Data'!$D:$D,'Revenue Sheet'!$A23,'OPs Data'!$L:$L,'Revenue Sheet'!F$2)*VLOOKUP($F$1,'Rate Card'!$B:$E,MATCH('Revenue Sheet'!F$2,'Rate Card'!$B$2:$E$2,0),0))</f>
      </c>
      <c r="G23" s="57">
        <f>IF(A23&gt;TODAY(),"",SUMIFS('OPs Data'!$N:$N,'OPs Data'!$F:$F,'Revenue Sheet'!F$1,'OPs Data'!$D:$D,'Revenue Sheet'!$A23,'OPs Data'!$L:$L,'Revenue Sheet'!G$2)*VLOOKUP($F$1,'Rate Card'!$B:$E,MATCH('Revenue Sheet'!G$2,'Rate Card'!$B$2:$E$2,0),0))</f>
      </c>
      <c r="H23" s="57">
        <f>IF(A23&gt;TODAY(),"",SUMIFS('OPs Data'!$N:$N,'OPs Data'!$F:$F,'Revenue Sheet'!F$1,'OPs Data'!$D:$D,'Revenue Sheet'!$A23,'OPs Data'!$L:$L,'Revenue Sheet'!H$2)*VLOOKUP($F$1,'Rate Card'!$B:$E,MATCH('Revenue Sheet'!H$2,'Rate Card'!$B$2:$E$2,0),0))</f>
      </c>
      <c r="I23" s="57">
        <f>IF(A23&gt;TODAY(),"",SUMIFS('OPs Data'!$N:$N,'OPs Data'!$F:$F,'Revenue Sheet'!I$1,'OPs Data'!$D:$D,'Revenue Sheet'!$A23,'OPs Data'!$L:$L,'Revenue Sheet'!I$2)*VLOOKUP($I$1,'Rate Card'!$B:$E,MATCH('Revenue Sheet'!I$2,'Rate Card'!$B$2:$E$2,0),0))</f>
      </c>
      <c r="J23" s="57">
        <f>IF(A23&gt;TODAY(),"",SUMIFS('OPs Data'!$N:$N,'OPs Data'!$F:$F,'Revenue Sheet'!I$1,'OPs Data'!$D:$D,'Revenue Sheet'!$A23,'OPs Data'!$L:$L,'Revenue Sheet'!J$2)*VLOOKUP($I$1,'Rate Card'!$B:$E,MATCH('Revenue Sheet'!J$2,'Rate Card'!$B$2:$E$2,0),0))</f>
      </c>
      <c r="K23" s="57">
        <f>IF(A23&gt;TODAY(),"",SUMIFS('OPs Data'!$N:$N,'OPs Data'!$F:$F,'Revenue Sheet'!I$1,'OPs Data'!$D:$D,'Revenue Sheet'!$A23,'OPs Data'!$L:$L,'Revenue Sheet'!K$2)*VLOOKUP($I$1,'Rate Card'!$B:$E,MATCH('Revenue Sheet'!K$2,'Rate Card'!$B$2:$E$2,0),0))</f>
      </c>
      <c r="L23" s="57">
        <f>IF(A23&gt;TODAY(),"",SUMIFS('OPs Data'!$N:$N,'OPs Data'!$F:$F,'Revenue Sheet'!L$1,'OPs Data'!$D:$D,'Revenue Sheet'!$A23,'OPs Data'!$L:$L,'Revenue Sheet'!L$2)*VLOOKUP($L$1,'Rate Card'!$B:$E,MATCH('Revenue Sheet'!L$2,'Rate Card'!$B$2:$E$2,0),0))</f>
      </c>
      <c r="M23" s="57">
        <f>IF(A23&gt;TODAY(),"",SUMIFS('OPs Data'!$N:$N,'OPs Data'!$F:$F,'Revenue Sheet'!L$1,'OPs Data'!$D:$D,'Revenue Sheet'!$A23,'OPs Data'!$L:$L,'Revenue Sheet'!M$2)*VLOOKUP($L$1,'Rate Card'!$B:$E,MATCH('Revenue Sheet'!M$2,'Rate Card'!$B$2:$E$2,0),0))</f>
      </c>
      <c r="N23" s="57">
        <f>IF(A23&gt;TODAY(),"",SUMIFS('OPs Data'!$N:$N,'OPs Data'!$F:$F,'Revenue Sheet'!L$1,'OPs Data'!$D:$D,'Revenue Sheet'!$A23,'OPs Data'!$L:$L,'Revenue Sheet'!N$2)*VLOOKUP($L$1,'Rate Card'!$B:$E,MATCH('Revenue Sheet'!N$2,'Rate Card'!$B$2:$E$2,0),0))</f>
      </c>
      <c r="O23" s="57">
        <f>IF($A23&gt;TODAY(),"",SUM(C23,F23,I23,L23))</f>
      </c>
      <c r="P23" s="57">
        <f>IF($A23&gt;TODAY(),"",SUM(D23,G23,J23,M23))</f>
      </c>
      <c r="Q23" s="57">
        <f>IF($A23&gt;TODAY(),"",SUM(E23,H23,K23,N23))</f>
      </c>
      <c r="R23" s="58">
        <f>IF($A23&gt;TODAY(),"",SUM(O23:Q23))</f>
      </c>
    </row>
    <row x14ac:dyDescent="0.25" r="24" customHeight="1" ht="18.75">
      <c r="A24" s="55">
        <v>45755</v>
      </c>
      <c r="B24" s="56">
        <f>IF(A24&gt;TODAY(),"",COUNTA(_xlfn.UNIQUE(_xlfn._xlws.FILTER('OPs Data'!$K:$K,'OPs Data'!$D:$D='Revenue Sheet'!A24))))</f>
      </c>
      <c r="C24" s="57">
        <f>IF(A24&gt;TODAY(),"",SUMIFS('OPs Data'!$N:$N,'OPs Data'!$F:$F,'Revenue Sheet'!C$1,'OPs Data'!$D:$D,'Revenue Sheet'!$A24,'OPs Data'!$L:$L,'Revenue Sheet'!C$2)*VLOOKUP($C$1,'Rate Card'!$B:$E,MATCH('Revenue Sheet'!C$2,'Rate Card'!$B$2:$E$2,0),0))</f>
      </c>
      <c r="D24" s="57">
        <f>IF(A24&gt;TODAY(),"",SUMIFS('OPs Data'!$N:$N,'OPs Data'!$F:$F,'Revenue Sheet'!C$1,'OPs Data'!$D:$D,'Revenue Sheet'!$A24,'OPs Data'!$L:$L,'Revenue Sheet'!D$2)*VLOOKUP($C$1,'Rate Card'!$B:$E,MATCH('Revenue Sheet'!D$2,'Rate Card'!$B$2:$E$2,0),0))</f>
      </c>
      <c r="E24" s="57">
        <f>IF(A24&gt;TODAY(),"",SUMIFS('OPs Data'!$N:$N,'OPs Data'!$F:$F,'Revenue Sheet'!C$1,'OPs Data'!$D:$D,'Revenue Sheet'!$A24,'OPs Data'!$L:$L,'Revenue Sheet'!E$2)*VLOOKUP($C$1,'Rate Card'!$B:$E,MATCH('Revenue Sheet'!E$2,'Rate Card'!$B$2:$E$2,0),0))</f>
      </c>
      <c r="F24" s="57">
        <f>IF(A24&gt;TODAY(),"",SUMIFS('OPs Data'!$N:$N,'OPs Data'!$F:$F,'Revenue Sheet'!F$1,'OPs Data'!$D:$D,'Revenue Sheet'!$A24,'OPs Data'!$L:$L,'Revenue Sheet'!F$2)*VLOOKUP($F$1,'Rate Card'!$B:$E,MATCH('Revenue Sheet'!F$2,'Rate Card'!$B$2:$E$2,0),0))</f>
      </c>
      <c r="G24" s="57">
        <f>IF(A24&gt;TODAY(),"",SUMIFS('OPs Data'!$N:$N,'OPs Data'!$F:$F,'Revenue Sheet'!F$1,'OPs Data'!$D:$D,'Revenue Sheet'!$A24,'OPs Data'!$L:$L,'Revenue Sheet'!G$2)*VLOOKUP($F$1,'Rate Card'!$B:$E,MATCH('Revenue Sheet'!G$2,'Rate Card'!$B$2:$E$2,0),0))</f>
      </c>
      <c r="H24" s="57">
        <f>IF(A24&gt;TODAY(),"",SUMIFS('OPs Data'!$N:$N,'OPs Data'!$F:$F,'Revenue Sheet'!F$1,'OPs Data'!$D:$D,'Revenue Sheet'!$A24,'OPs Data'!$L:$L,'Revenue Sheet'!H$2)*VLOOKUP($F$1,'Rate Card'!$B:$E,MATCH('Revenue Sheet'!H$2,'Rate Card'!$B$2:$E$2,0),0))</f>
      </c>
      <c r="I24" s="57">
        <f>IF(A24&gt;TODAY(),"",SUMIFS('OPs Data'!$N:$N,'OPs Data'!$F:$F,'Revenue Sheet'!I$1,'OPs Data'!$D:$D,'Revenue Sheet'!$A24,'OPs Data'!$L:$L,'Revenue Sheet'!I$2)*VLOOKUP($I$1,'Rate Card'!$B:$E,MATCH('Revenue Sheet'!I$2,'Rate Card'!$B$2:$E$2,0),0))</f>
      </c>
      <c r="J24" s="57">
        <f>IF(A24&gt;TODAY(),"",SUMIFS('OPs Data'!$N:$N,'OPs Data'!$F:$F,'Revenue Sheet'!I$1,'OPs Data'!$D:$D,'Revenue Sheet'!$A24,'OPs Data'!$L:$L,'Revenue Sheet'!J$2)*VLOOKUP($I$1,'Rate Card'!$B:$E,MATCH('Revenue Sheet'!J$2,'Rate Card'!$B$2:$E$2,0),0))</f>
      </c>
      <c r="K24" s="57">
        <f>IF(A24&gt;TODAY(),"",SUMIFS('OPs Data'!$N:$N,'OPs Data'!$F:$F,'Revenue Sheet'!I$1,'OPs Data'!$D:$D,'Revenue Sheet'!$A24,'OPs Data'!$L:$L,'Revenue Sheet'!K$2)*VLOOKUP($I$1,'Rate Card'!$B:$E,MATCH('Revenue Sheet'!K$2,'Rate Card'!$B$2:$E$2,0),0))</f>
      </c>
      <c r="L24" s="57">
        <f>IF(A24&gt;TODAY(),"",SUMIFS('OPs Data'!$N:$N,'OPs Data'!$F:$F,'Revenue Sheet'!L$1,'OPs Data'!$D:$D,'Revenue Sheet'!$A24,'OPs Data'!$L:$L,'Revenue Sheet'!L$2)*VLOOKUP($L$1,'Rate Card'!$B:$E,MATCH('Revenue Sheet'!L$2,'Rate Card'!$B$2:$E$2,0),0))</f>
      </c>
      <c r="M24" s="57">
        <f>IF(A24&gt;TODAY(),"",SUMIFS('OPs Data'!$N:$N,'OPs Data'!$F:$F,'Revenue Sheet'!L$1,'OPs Data'!$D:$D,'Revenue Sheet'!$A24,'OPs Data'!$L:$L,'Revenue Sheet'!M$2)*VLOOKUP($L$1,'Rate Card'!$B:$E,MATCH('Revenue Sheet'!M$2,'Rate Card'!$B$2:$E$2,0),0))</f>
      </c>
      <c r="N24" s="57">
        <f>IF(A24&gt;TODAY(),"",SUMIFS('OPs Data'!$N:$N,'OPs Data'!$F:$F,'Revenue Sheet'!L$1,'OPs Data'!$D:$D,'Revenue Sheet'!$A24,'OPs Data'!$L:$L,'Revenue Sheet'!N$2)*VLOOKUP($L$1,'Rate Card'!$B:$E,MATCH('Revenue Sheet'!N$2,'Rate Card'!$B$2:$E$2,0),0))</f>
      </c>
      <c r="O24" s="57">
        <f>IF($A24&gt;TODAY(),"",SUM(C24,F24,I24,L24))</f>
      </c>
      <c r="P24" s="57">
        <f>IF($A24&gt;TODAY(),"",SUM(D24,G24,J24,M24))</f>
      </c>
      <c r="Q24" s="57">
        <f>IF($A24&gt;TODAY(),"",SUM(E24,H24,K24,N24))</f>
      </c>
      <c r="R24" s="58">
        <f>IF($A24&gt;TODAY(),"",SUM(O24:Q24))</f>
      </c>
    </row>
    <row x14ac:dyDescent="0.25" r="25" customHeight="1" ht="18.75">
      <c r="A25" s="55">
        <v>45756</v>
      </c>
      <c r="B25" s="56">
        <f>IF(A25&gt;TODAY(),"",COUNTA(_xlfn.UNIQUE(_xlfn._xlws.FILTER('OPs Data'!$K:$K,'OPs Data'!$D:$D='Revenue Sheet'!A25))))</f>
      </c>
      <c r="C25" s="57">
        <f>IF(A25&gt;TODAY(),"",SUMIFS('OPs Data'!$N:$N,'OPs Data'!$F:$F,'Revenue Sheet'!C$1,'OPs Data'!$D:$D,'Revenue Sheet'!$A25,'OPs Data'!$L:$L,'Revenue Sheet'!C$2)*VLOOKUP($C$1,'Rate Card'!$B:$E,MATCH('Revenue Sheet'!C$2,'Rate Card'!$B$2:$E$2,0),0))</f>
      </c>
      <c r="D25" s="57">
        <f>IF(A25&gt;TODAY(),"",SUMIFS('OPs Data'!$N:$N,'OPs Data'!$F:$F,'Revenue Sheet'!C$1,'OPs Data'!$D:$D,'Revenue Sheet'!$A25,'OPs Data'!$L:$L,'Revenue Sheet'!D$2)*VLOOKUP($C$1,'Rate Card'!$B:$E,MATCH('Revenue Sheet'!D$2,'Rate Card'!$B$2:$E$2,0),0))</f>
      </c>
      <c r="E25" s="57">
        <f>IF(A25&gt;TODAY(),"",SUMIFS('OPs Data'!$N:$N,'OPs Data'!$F:$F,'Revenue Sheet'!C$1,'OPs Data'!$D:$D,'Revenue Sheet'!$A25,'OPs Data'!$L:$L,'Revenue Sheet'!E$2)*VLOOKUP($C$1,'Rate Card'!$B:$E,MATCH('Revenue Sheet'!E$2,'Rate Card'!$B$2:$E$2,0),0))</f>
      </c>
      <c r="F25" s="57">
        <f>IF(A25&gt;TODAY(),"",SUMIFS('OPs Data'!$N:$N,'OPs Data'!$F:$F,'Revenue Sheet'!F$1,'OPs Data'!$D:$D,'Revenue Sheet'!$A25,'OPs Data'!$L:$L,'Revenue Sheet'!F$2)*VLOOKUP($F$1,'Rate Card'!$B:$E,MATCH('Revenue Sheet'!F$2,'Rate Card'!$B$2:$E$2,0),0))</f>
      </c>
      <c r="G25" s="57">
        <f>IF(A25&gt;TODAY(),"",SUMIFS('OPs Data'!$N:$N,'OPs Data'!$F:$F,'Revenue Sheet'!F$1,'OPs Data'!$D:$D,'Revenue Sheet'!$A25,'OPs Data'!$L:$L,'Revenue Sheet'!G$2)*VLOOKUP($F$1,'Rate Card'!$B:$E,MATCH('Revenue Sheet'!G$2,'Rate Card'!$B$2:$E$2,0),0))</f>
      </c>
      <c r="H25" s="57">
        <f>IF(A25&gt;TODAY(),"",SUMIFS('OPs Data'!$N:$N,'OPs Data'!$F:$F,'Revenue Sheet'!F$1,'OPs Data'!$D:$D,'Revenue Sheet'!$A25,'OPs Data'!$L:$L,'Revenue Sheet'!H$2)*VLOOKUP($F$1,'Rate Card'!$B:$E,MATCH('Revenue Sheet'!H$2,'Rate Card'!$B$2:$E$2,0),0))</f>
      </c>
      <c r="I25" s="57">
        <f>IF(A25&gt;TODAY(),"",SUMIFS('OPs Data'!$N:$N,'OPs Data'!$F:$F,'Revenue Sheet'!I$1,'OPs Data'!$D:$D,'Revenue Sheet'!$A25,'OPs Data'!$L:$L,'Revenue Sheet'!I$2)*VLOOKUP($I$1,'Rate Card'!$B:$E,MATCH('Revenue Sheet'!I$2,'Rate Card'!$B$2:$E$2,0),0))</f>
      </c>
      <c r="J25" s="57">
        <f>IF(A25&gt;TODAY(),"",SUMIFS('OPs Data'!$N:$N,'OPs Data'!$F:$F,'Revenue Sheet'!I$1,'OPs Data'!$D:$D,'Revenue Sheet'!$A25,'OPs Data'!$L:$L,'Revenue Sheet'!J$2)*VLOOKUP($I$1,'Rate Card'!$B:$E,MATCH('Revenue Sheet'!J$2,'Rate Card'!$B$2:$E$2,0),0))</f>
      </c>
      <c r="K25" s="57">
        <f>IF(A25&gt;TODAY(),"",SUMIFS('OPs Data'!$N:$N,'OPs Data'!$F:$F,'Revenue Sheet'!I$1,'OPs Data'!$D:$D,'Revenue Sheet'!$A25,'OPs Data'!$L:$L,'Revenue Sheet'!K$2)*VLOOKUP($I$1,'Rate Card'!$B:$E,MATCH('Revenue Sheet'!K$2,'Rate Card'!$B$2:$E$2,0),0))</f>
      </c>
      <c r="L25" s="57">
        <f>IF(A25&gt;TODAY(),"",SUMIFS('OPs Data'!$N:$N,'OPs Data'!$F:$F,'Revenue Sheet'!L$1,'OPs Data'!$D:$D,'Revenue Sheet'!$A25,'OPs Data'!$L:$L,'Revenue Sheet'!L$2)*VLOOKUP($L$1,'Rate Card'!$B:$E,MATCH('Revenue Sheet'!L$2,'Rate Card'!$B$2:$E$2,0),0))</f>
      </c>
      <c r="M25" s="57">
        <f>IF(A25&gt;TODAY(),"",SUMIFS('OPs Data'!$N:$N,'OPs Data'!$F:$F,'Revenue Sheet'!L$1,'OPs Data'!$D:$D,'Revenue Sheet'!$A25,'OPs Data'!$L:$L,'Revenue Sheet'!M$2)*VLOOKUP($L$1,'Rate Card'!$B:$E,MATCH('Revenue Sheet'!M$2,'Rate Card'!$B$2:$E$2,0),0))</f>
      </c>
      <c r="N25" s="57">
        <f>IF(A25&gt;TODAY(),"",SUMIFS('OPs Data'!$N:$N,'OPs Data'!$F:$F,'Revenue Sheet'!L$1,'OPs Data'!$D:$D,'Revenue Sheet'!$A25,'OPs Data'!$L:$L,'Revenue Sheet'!N$2)*VLOOKUP($L$1,'Rate Card'!$B:$E,MATCH('Revenue Sheet'!N$2,'Rate Card'!$B$2:$E$2,0),0))</f>
      </c>
      <c r="O25" s="57">
        <f>IF($A25&gt;TODAY(),"",SUM(C25,F25,I25,L25))</f>
      </c>
      <c r="P25" s="57">
        <f>IF($A25&gt;TODAY(),"",SUM(D25,G25,J25,M25))</f>
      </c>
      <c r="Q25" s="57">
        <f>IF($A25&gt;TODAY(),"",SUM(E25,H25,K25,N25))</f>
      </c>
      <c r="R25" s="58">
        <f>IF($A25&gt;TODAY(),"",SUM(O25:Q25))</f>
      </c>
    </row>
    <row x14ac:dyDescent="0.25" r="26" customHeight="1" ht="18.75">
      <c r="A26" s="55">
        <v>45757</v>
      </c>
      <c r="B26" s="56">
        <f>IF(A26&gt;TODAY(),"",COUNTA(_xlfn.UNIQUE(_xlfn._xlws.FILTER('OPs Data'!$K:$K,'OPs Data'!$D:$D='Revenue Sheet'!A26))))</f>
      </c>
      <c r="C26" s="57">
        <f>IF(A26&gt;TODAY(),"",SUMIFS('OPs Data'!$N:$N,'OPs Data'!$F:$F,'Revenue Sheet'!C$1,'OPs Data'!$D:$D,'Revenue Sheet'!$A26,'OPs Data'!$L:$L,'Revenue Sheet'!C$2)*VLOOKUP($C$1,'Rate Card'!$B:$E,MATCH('Revenue Sheet'!C$2,'Rate Card'!$B$2:$E$2,0),0))</f>
      </c>
      <c r="D26" s="57">
        <f>IF(A26&gt;TODAY(),"",SUMIFS('OPs Data'!$N:$N,'OPs Data'!$F:$F,'Revenue Sheet'!C$1,'OPs Data'!$D:$D,'Revenue Sheet'!$A26,'OPs Data'!$L:$L,'Revenue Sheet'!D$2)*VLOOKUP($C$1,'Rate Card'!$B:$E,MATCH('Revenue Sheet'!D$2,'Rate Card'!$B$2:$E$2,0),0))</f>
      </c>
      <c r="E26" s="57">
        <f>IF(A26&gt;TODAY(),"",SUMIFS('OPs Data'!$N:$N,'OPs Data'!$F:$F,'Revenue Sheet'!C$1,'OPs Data'!$D:$D,'Revenue Sheet'!$A26,'OPs Data'!$L:$L,'Revenue Sheet'!E$2)*VLOOKUP($C$1,'Rate Card'!$B:$E,MATCH('Revenue Sheet'!E$2,'Rate Card'!$B$2:$E$2,0),0))</f>
      </c>
      <c r="F26" s="57">
        <f>IF(A26&gt;TODAY(),"",SUMIFS('OPs Data'!$N:$N,'OPs Data'!$F:$F,'Revenue Sheet'!F$1,'OPs Data'!$D:$D,'Revenue Sheet'!$A26,'OPs Data'!$L:$L,'Revenue Sheet'!F$2)*VLOOKUP($F$1,'Rate Card'!$B:$E,MATCH('Revenue Sheet'!F$2,'Rate Card'!$B$2:$E$2,0),0))</f>
      </c>
      <c r="G26" s="57">
        <f>IF(A26&gt;TODAY(),"",SUMIFS('OPs Data'!$N:$N,'OPs Data'!$F:$F,'Revenue Sheet'!F$1,'OPs Data'!$D:$D,'Revenue Sheet'!$A26,'OPs Data'!$L:$L,'Revenue Sheet'!G$2)*VLOOKUP($F$1,'Rate Card'!$B:$E,MATCH('Revenue Sheet'!G$2,'Rate Card'!$B$2:$E$2,0),0))</f>
      </c>
      <c r="H26" s="57">
        <f>IF(A26&gt;TODAY(),"",SUMIFS('OPs Data'!$N:$N,'OPs Data'!$F:$F,'Revenue Sheet'!F$1,'OPs Data'!$D:$D,'Revenue Sheet'!$A26,'OPs Data'!$L:$L,'Revenue Sheet'!H$2)*VLOOKUP($F$1,'Rate Card'!$B:$E,MATCH('Revenue Sheet'!H$2,'Rate Card'!$B$2:$E$2,0),0))</f>
      </c>
      <c r="I26" s="57">
        <f>IF(A26&gt;TODAY(),"",SUMIFS('OPs Data'!$N:$N,'OPs Data'!$F:$F,'Revenue Sheet'!I$1,'OPs Data'!$D:$D,'Revenue Sheet'!$A26,'OPs Data'!$L:$L,'Revenue Sheet'!I$2)*VLOOKUP($I$1,'Rate Card'!$B:$E,MATCH('Revenue Sheet'!I$2,'Rate Card'!$B$2:$E$2,0),0))</f>
      </c>
      <c r="J26" s="57">
        <f>IF(A26&gt;TODAY(),"",SUMIFS('OPs Data'!$N:$N,'OPs Data'!$F:$F,'Revenue Sheet'!I$1,'OPs Data'!$D:$D,'Revenue Sheet'!$A26,'OPs Data'!$L:$L,'Revenue Sheet'!J$2)*VLOOKUP($I$1,'Rate Card'!$B:$E,MATCH('Revenue Sheet'!J$2,'Rate Card'!$B$2:$E$2,0),0))</f>
      </c>
      <c r="K26" s="57">
        <f>IF(A26&gt;TODAY(),"",SUMIFS('OPs Data'!$N:$N,'OPs Data'!$F:$F,'Revenue Sheet'!I$1,'OPs Data'!$D:$D,'Revenue Sheet'!$A26,'OPs Data'!$L:$L,'Revenue Sheet'!K$2)*VLOOKUP($I$1,'Rate Card'!$B:$E,MATCH('Revenue Sheet'!K$2,'Rate Card'!$B$2:$E$2,0),0))</f>
      </c>
      <c r="L26" s="57">
        <f>IF(A26&gt;TODAY(),"",SUMIFS('OPs Data'!$N:$N,'OPs Data'!$F:$F,'Revenue Sheet'!L$1,'OPs Data'!$D:$D,'Revenue Sheet'!$A26,'OPs Data'!$L:$L,'Revenue Sheet'!L$2)*VLOOKUP($L$1,'Rate Card'!$B:$E,MATCH('Revenue Sheet'!L$2,'Rate Card'!$B$2:$E$2,0),0))</f>
      </c>
      <c r="M26" s="57">
        <f>IF(A26&gt;TODAY(),"",SUMIFS('OPs Data'!$N:$N,'OPs Data'!$F:$F,'Revenue Sheet'!L$1,'OPs Data'!$D:$D,'Revenue Sheet'!$A26,'OPs Data'!$L:$L,'Revenue Sheet'!M$2)*VLOOKUP($L$1,'Rate Card'!$B:$E,MATCH('Revenue Sheet'!M$2,'Rate Card'!$B$2:$E$2,0),0))</f>
      </c>
      <c r="N26" s="57">
        <f>IF(A26&gt;TODAY(),"",SUMIFS('OPs Data'!$N:$N,'OPs Data'!$F:$F,'Revenue Sheet'!L$1,'OPs Data'!$D:$D,'Revenue Sheet'!$A26,'OPs Data'!$L:$L,'Revenue Sheet'!N$2)*VLOOKUP($L$1,'Rate Card'!$B:$E,MATCH('Revenue Sheet'!N$2,'Rate Card'!$B$2:$E$2,0),0))</f>
      </c>
      <c r="O26" s="57">
        <f>IF($A26&gt;TODAY(),"",SUM(C26,F26,I26,L26))</f>
      </c>
      <c r="P26" s="57">
        <f>IF($A26&gt;TODAY(),"",SUM(D26,G26,J26,M26))</f>
      </c>
      <c r="Q26" s="57">
        <f>IF($A26&gt;TODAY(),"",SUM(E26,H26,K26,N26))</f>
      </c>
      <c r="R26" s="58">
        <f>IF($A26&gt;TODAY(),"",SUM(O26:Q26))</f>
      </c>
    </row>
    <row x14ac:dyDescent="0.25" r="27" customHeight="1" ht="18.75">
      <c r="A27" s="55">
        <v>45758</v>
      </c>
      <c r="B27" s="56">
        <f>IF(A27&gt;TODAY(),"",COUNTA(_xlfn.UNIQUE(_xlfn._xlws.FILTER('OPs Data'!$K:$K,'OPs Data'!$D:$D='Revenue Sheet'!A27))))</f>
      </c>
      <c r="C27" s="57">
        <f>IF(A27&gt;TODAY(),"",SUMIFS('OPs Data'!$N:$N,'OPs Data'!$F:$F,'Revenue Sheet'!C$1,'OPs Data'!$D:$D,'Revenue Sheet'!$A27,'OPs Data'!$L:$L,'Revenue Sheet'!C$2)*VLOOKUP($C$1,'Rate Card'!$B:$E,MATCH('Revenue Sheet'!C$2,'Rate Card'!$B$2:$E$2,0),0))</f>
      </c>
      <c r="D27" s="57">
        <f>IF(A27&gt;TODAY(),"",SUMIFS('OPs Data'!$N:$N,'OPs Data'!$F:$F,'Revenue Sheet'!C$1,'OPs Data'!$D:$D,'Revenue Sheet'!$A27,'OPs Data'!$L:$L,'Revenue Sheet'!D$2)*VLOOKUP($C$1,'Rate Card'!$B:$E,MATCH('Revenue Sheet'!D$2,'Rate Card'!$B$2:$E$2,0),0))</f>
      </c>
      <c r="E27" s="57">
        <f>IF(A27&gt;TODAY(),"",SUMIFS('OPs Data'!$N:$N,'OPs Data'!$F:$F,'Revenue Sheet'!C$1,'OPs Data'!$D:$D,'Revenue Sheet'!$A27,'OPs Data'!$L:$L,'Revenue Sheet'!E$2)*VLOOKUP($C$1,'Rate Card'!$B:$E,MATCH('Revenue Sheet'!E$2,'Rate Card'!$B$2:$E$2,0),0))</f>
      </c>
      <c r="F27" s="57">
        <f>IF(A27&gt;TODAY(),"",SUMIFS('OPs Data'!$N:$N,'OPs Data'!$F:$F,'Revenue Sheet'!F$1,'OPs Data'!$D:$D,'Revenue Sheet'!$A27,'OPs Data'!$L:$L,'Revenue Sheet'!F$2)*VLOOKUP($F$1,'Rate Card'!$B:$E,MATCH('Revenue Sheet'!F$2,'Rate Card'!$B$2:$E$2,0),0))</f>
      </c>
      <c r="G27" s="57">
        <f>IF(A27&gt;TODAY(),"",SUMIFS('OPs Data'!$N:$N,'OPs Data'!$F:$F,'Revenue Sheet'!F$1,'OPs Data'!$D:$D,'Revenue Sheet'!$A27,'OPs Data'!$L:$L,'Revenue Sheet'!G$2)*VLOOKUP($F$1,'Rate Card'!$B:$E,MATCH('Revenue Sheet'!G$2,'Rate Card'!$B$2:$E$2,0),0))</f>
      </c>
      <c r="H27" s="57">
        <f>IF(A27&gt;TODAY(),"",SUMIFS('OPs Data'!$N:$N,'OPs Data'!$F:$F,'Revenue Sheet'!F$1,'OPs Data'!$D:$D,'Revenue Sheet'!$A27,'OPs Data'!$L:$L,'Revenue Sheet'!H$2)*VLOOKUP($F$1,'Rate Card'!$B:$E,MATCH('Revenue Sheet'!H$2,'Rate Card'!$B$2:$E$2,0),0))</f>
      </c>
      <c r="I27" s="57">
        <f>IF(A27&gt;TODAY(),"",SUMIFS('OPs Data'!$N:$N,'OPs Data'!$F:$F,'Revenue Sheet'!I$1,'OPs Data'!$D:$D,'Revenue Sheet'!$A27,'OPs Data'!$L:$L,'Revenue Sheet'!I$2)*VLOOKUP($I$1,'Rate Card'!$B:$E,MATCH('Revenue Sheet'!I$2,'Rate Card'!$B$2:$E$2,0),0))</f>
      </c>
      <c r="J27" s="57">
        <f>IF(A27&gt;TODAY(),"",SUMIFS('OPs Data'!$N:$N,'OPs Data'!$F:$F,'Revenue Sheet'!I$1,'OPs Data'!$D:$D,'Revenue Sheet'!$A27,'OPs Data'!$L:$L,'Revenue Sheet'!J$2)*VLOOKUP($I$1,'Rate Card'!$B:$E,MATCH('Revenue Sheet'!J$2,'Rate Card'!$B$2:$E$2,0),0))</f>
      </c>
      <c r="K27" s="57">
        <f>IF(A27&gt;TODAY(),"",SUMIFS('OPs Data'!$N:$N,'OPs Data'!$F:$F,'Revenue Sheet'!I$1,'OPs Data'!$D:$D,'Revenue Sheet'!$A27,'OPs Data'!$L:$L,'Revenue Sheet'!K$2)*VLOOKUP($I$1,'Rate Card'!$B:$E,MATCH('Revenue Sheet'!K$2,'Rate Card'!$B$2:$E$2,0),0))</f>
      </c>
      <c r="L27" s="57">
        <f>IF(A27&gt;TODAY(),"",SUMIFS('OPs Data'!$N:$N,'OPs Data'!$F:$F,'Revenue Sheet'!L$1,'OPs Data'!$D:$D,'Revenue Sheet'!$A27,'OPs Data'!$L:$L,'Revenue Sheet'!L$2)*VLOOKUP($L$1,'Rate Card'!$B:$E,MATCH('Revenue Sheet'!L$2,'Rate Card'!$B$2:$E$2,0),0))</f>
      </c>
      <c r="M27" s="57">
        <f>IF(A27&gt;TODAY(),"",SUMIFS('OPs Data'!$N:$N,'OPs Data'!$F:$F,'Revenue Sheet'!L$1,'OPs Data'!$D:$D,'Revenue Sheet'!$A27,'OPs Data'!$L:$L,'Revenue Sheet'!M$2)*VLOOKUP($L$1,'Rate Card'!$B:$E,MATCH('Revenue Sheet'!M$2,'Rate Card'!$B$2:$E$2,0),0))</f>
      </c>
      <c r="N27" s="57">
        <f>IF(A27&gt;TODAY(),"",SUMIFS('OPs Data'!$N:$N,'OPs Data'!$F:$F,'Revenue Sheet'!L$1,'OPs Data'!$D:$D,'Revenue Sheet'!$A27,'OPs Data'!$L:$L,'Revenue Sheet'!N$2)*VLOOKUP($L$1,'Rate Card'!$B:$E,MATCH('Revenue Sheet'!N$2,'Rate Card'!$B$2:$E$2,0),0))</f>
      </c>
      <c r="O27" s="57">
        <f>IF($A27&gt;TODAY(),"",SUM(C27,F27,I27,L27))</f>
      </c>
      <c r="P27" s="57">
        <f>IF($A27&gt;TODAY(),"",SUM(D27,G27,J27,M27))</f>
      </c>
      <c r="Q27" s="57">
        <f>IF($A27&gt;TODAY(),"",SUM(E27,H27,K27,N27))</f>
      </c>
      <c r="R27" s="58">
        <f>IF($A27&gt;TODAY(),"",SUM(O27:Q27))</f>
      </c>
    </row>
    <row x14ac:dyDescent="0.25" r="28" customHeight="1" ht="18.75">
      <c r="A28" s="55">
        <v>45759</v>
      </c>
      <c r="B28" s="56">
        <f>IF(A28&gt;TODAY(),"",COUNTA(_xlfn.UNIQUE(_xlfn._xlws.FILTER('OPs Data'!$K:$K,'OPs Data'!$D:$D='Revenue Sheet'!A28))))</f>
      </c>
      <c r="C28" s="57">
        <f>IF(A28&gt;TODAY(),"",SUMIFS('OPs Data'!$N:$N,'OPs Data'!$F:$F,'Revenue Sheet'!C$1,'OPs Data'!$D:$D,'Revenue Sheet'!$A28,'OPs Data'!$L:$L,'Revenue Sheet'!C$2)*VLOOKUP($C$1,'Rate Card'!$B:$E,MATCH('Revenue Sheet'!C$2,'Rate Card'!$B$2:$E$2,0),0))</f>
      </c>
      <c r="D28" s="57">
        <f>IF(A28&gt;TODAY(),"",SUMIFS('OPs Data'!$N:$N,'OPs Data'!$F:$F,'Revenue Sheet'!C$1,'OPs Data'!$D:$D,'Revenue Sheet'!$A28,'OPs Data'!$L:$L,'Revenue Sheet'!D$2)*VLOOKUP($C$1,'Rate Card'!$B:$E,MATCH('Revenue Sheet'!D$2,'Rate Card'!$B$2:$E$2,0),0))</f>
      </c>
      <c r="E28" s="57">
        <f>IF(A28&gt;TODAY(),"",SUMIFS('OPs Data'!$N:$N,'OPs Data'!$F:$F,'Revenue Sheet'!C$1,'OPs Data'!$D:$D,'Revenue Sheet'!$A28,'OPs Data'!$L:$L,'Revenue Sheet'!E$2)*VLOOKUP($C$1,'Rate Card'!$B:$E,MATCH('Revenue Sheet'!E$2,'Rate Card'!$B$2:$E$2,0),0))</f>
      </c>
      <c r="F28" s="57">
        <f>IF(A28&gt;TODAY(),"",SUMIFS('OPs Data'!$N:$N,'OPs Data'!$F:$F,'Revenue Sheet'!F$1,'OPs Data'!$D:$D,'Revenue Sheet'!$A28,'OPs Data'!$L:$L,'Revenue Sheet'!F$2)*VLOOKUP($F$1,'Rate Card'!$B:$E,MATCH('Revenue Sheet'!F$2,'Rate Card'!$B$2:$E$2,0),0))</f>
      </c>
      <c r="G28" s="57">
        <f>IF(A28&gt;TODAY(),"",SUMIFS('OPs Data'!$N:$N,'OPs Data'!$F:$F,'Revenue Sheet'!F$1,'OPs Data'!$D:$D,'Revenue Sheet'!$A28,'OPs Data'!$L:$L,'Revenue Sheet'!G$2)*VLOOKUP($F$1,'Rate Card'!$B:$E,MATCH('Revenue Sheet'!G$2,'Rate Card'!$B$2:$E$2,0),0))</f>
      </c>
      <c r="H28" s="57">
        <f>IF(A28&gt;TODAY(),"",SUMIFS('OPs Data'!$N:$N,'OPs Data'!$F:$F,'Revenue Sheet'!F$1,'OPs Data'!$D:$D,'Revenue Sheet'!$A28,'OPs Data'!$L:$L,'Revenue Sheet'!H$2)*VLOOKUP($F$1,'Rate Card'!$B:$E,MATCH('Revenue Sheet'!H$2,'Rate Card'!$B$2:$E$2,0),0))</f>
      </c>
      <c r="I28" s="57">
        <f>IF(A28&gt;TODAY(),"",SUMIFS('OPs Data'!$N:$N,'OPs Data'!$F:$F,'Revenue Sheet'!I$1,'OPs Data'!$D:$D,'Revenue Sheet'!$A28,'OPs Data'!$L:$L,'Revenue Sheet'!I$2)*VLOOKUP($I$1,'Rate Card'!$B:$E,MATCH('Revenue Sheet'!I$2,'Rate Card'!$B$2:$E$2,0),0))</f>
      </c>
      <c r="J28" s="57">
        <f>IF(A28&gt;TODAY(),"",SUMIFS('OPs Data'!$N:$N,'OPs Data'!$F:$F,'Revenue Sheet'!I$1,'OPs Data'!$D:$D,'Revenue Sheet'!$A28,'OPs Data'!$L:$L,'Revenue Sheet'!J$2)*VLOOKUP($I$1,'Rate Card'!$B:$E,MATCH('Revenue Sheet'!J$2,'Rate Card'!$B$2:$E$2,0),0))</f>
      </c>
      <c r="K28" s="57">
        <f>IF(A28&gt;TODAY(),"",SUMIFS('OPs Data'!$N:$N,'OPs Data'!$F:$F,'Revenue Sheet'!I$1,'OPs Data'!$D:$D,'Revenue Sheet'!$A28,'OPs Data'!$L:$L,'Revenue Sheet'!K$2)*VLOOKUP($I$1,'Rate Card'!$B:$E,MATCH('Revenue Sheet'!K$2,'Rate Card'!$B$2:$E$2,0),0))</f>
      </c>
      <c r="L28" s="57">
        <f>IF(A28&gt;TODAY(),"",SUMIFS('OPs Data'!$N:$N,'OPs Data'!$F:$F,'Revenue Sheet'!L$1,'OPs Data'!$D:$D,'Revenue Sheet'!$A28,'OPs Data'!$L:$L,'Revenue Sheet'!L$2)*VLOOKUP($L$1,'Rate Card'!$B:$E,MATCH('Revenue Sheet'!L$2,'Rate Card'!$B$2:$E$2,0),0))</f>
      </c>
      <c r="M28" s="57">
        <f>IF(A28&gt;TODAY(),"",SUMIFS('OPs Data'!$N:$N,'OPs Data'!$F:$F,'Revenue Sheet'!L$1,'OPs Data'!$D:$D,'Revenue Sheet'!$A28,'OPs Data'!$L:$L,'Revenue Sheet'!M$2)*VLOOKUP($L$1,'Rate Card'!$B:$E,MATCH('Revenue Sheet'!M$2,'Rate Card'!$B$2:$E$2,0),0))</f>
      </c>
      <c r="N28" s="57">
        <f>IF(A28&gt;TODAY(),"",SUMIFS('OPs Data'!$N:$N,'OPs Data'!$F:$F,'Revenue Sheet'!L$1,'OPs Data'!$D:$D,'Revenue Sheet'!$A28,'OPs Data'!$L:$L,'Revenue Sheet'!N$2)*VLOOKUP($L$1,'Rate Card'!$B:$E,MATCH('Revenue Sheet'!N$2,'Rate Card'!$B$2:$E$2,0),0))</f>
      </c>
      <c r="O28" s="57">
        <f>IF($A28&gt;TODAY(),"",SUM(C28,F28,I28,L28))</f>
      </c>
      <c r="P28" s="57">
        <f>IF($A28&gt;TODAY(),"",SUM(D28,G28,J28,M28))</f>
      </c>
      <c r="Q28" s="57">
        <f>IF($A28&gt;TODAY(),"",SUM(E28,H28,K28,N28))</f>
      </c>
      <c r="R28" s="58">
        <f>IF($A28&gt;TODAY(),"",SUM(O28:Q28))</f>
      </c>
    </row>
    <row x14ac:dyDescent="0.25" r="29" customHeight="1" ht="18.75">
      <c r="A29" s="55">
        <v>45760</v>
      </c>
      <c r="B29" s="56">
        <f>IF(A29&gt;TODAY(),"",COUNTA(_xlfn.UNIQUE(_xlfn._xlws.FILTER('OPs Data'!$K:$K,'OPs Data'!$D:$D='Revenue Sheet'!A29))))</f>
      </c>
      <c r="C29" s="57">
        <f>IF(A29&gt;TODAY(),"",SUMIFS('OPs Data'!$N:$N,'OPs Data'!$F:$F,'Revenue Sheet'!C$1,'OPs Data'!$D:$D,'Revenue Sheet'!$A29,'OPs Data'!$L:$L,'Revenue Sheet'!C$2)*VLOOKUP($C$1,'Rate Card'!$B:$E,MATCH('Revenue Sheet'!C$2,'Rate Card'!$B$2:$E$2,0),0))</f>
      </c>
      <c r="D29" s="57">
        <f>IF(A29&gt;TODAY(),"",SUMIFS('OPs Data'!$N:$N,'OPs Data'!$F:$F,'Revenue Sheet'!C$1,'OPs Data'!$D:$D,'Revenue Sheet'!$A29,'OPs Data'!$L:$L,'Revenue Sheet'!D$2)*VLOOKUP($C$1,'Rate Card'!$B:$E,MATCH('Revenue Sheet'!D$2,'Rate Card'!$B$2:$E$2,0),0))</f>
      </c>
      <c r="E29" s="57">
        <f>IF(A29&gt;TODAY(),"",SUMIFS('OPs Data'!$N:$N,'OPs Data'!$F:$F,'Revenue Sheet'!C$1,'OPs Data'!$D:$D,'Revenue Sheet'!$A29,'OPs Data'!$L:$L,'Revenue Sheet'!E$2)*VLOOKUP($C$1,'Rate Card'!$B:$E,MATCH('Revenue Sheet'!E$2,'Rate Card'!$B$2:$E$2,0),0))</f>
      </c>
      <c r="F29" s="57">
        <f>IF(A29&gt;TODAY(),"",SUMIFS('OPs Data'!$N:$N,'OPs Data'!$F:$F,'Revenue Sheet'!F$1,'OPs Data'!$D:$D,'Revenue Sheet'!$A29,'OPs Data'!$L:$L,'Revenue Sheet'!F$2)*VLOOKUP($F$1,'Rate Card'!$B:$E,MATCH('Revenue Sheet'!F$2,'Rate Card'!$B$2:$E$2,0),0))</f>
      </c>
      <c r="G29" s="57">
        <f>IF(A29&gt;TODAY(),"",SUMIFS('OPs Data'!$N:$N,'OPs Data'!$F:$F,'Revenue Sheet'!F$1,'OPs Data'!$D:$D,'Revenue Sheet'!$A29,'OPs Data'!$L:$L,'Revenue Sheet'!G$2)*VLOOKUP($F$1,'Rate Card'!$B:$E,MATCH('Revenue Sheet'!G$2,'Rate Card'!$B$2:$E$2,0),0))</f>
      </c>
      <c r="H29" s="57">
        <f>IF(A29&gt;TODAY(),"",SUMIFS('OPs Data'!$N:$N,'OPs Data'!$F:$F,'Revenue Sheet'!F$1,'OPs Data'!$D:$D,'Revenue Sheet'!$A29,'OPs Data'!$L:$L,'Revenue Sheet'!H$2)*VLOOKUP($F$1,'Rate Card'!$B:$E,MATCH('Revenue Sheet'!H$2,'Rate Card'!$B$2:$E$2,0),0))</f>
      </c>
      <c r="I29" s="57">
        <f>IF(A29&gt;TODAY(),"",SUMIFS('OPs Data'!$N:$N,'OPs Data'!$F:$F,'Revenue Sheet'!I$1,'OPs Data'!$D:$D,'Revenue Sheet'!$A29,'OPs Data'!$L:$L,'Revenue Sheet'!I$2)*VLOOKUP($I$1,'Rate Card'!$B:$E,MATCH('Revenue Sheet'!I$2,'Rate Card'!$B$2:$E$2,0),0))</f>
      </c>
      <c r="J29" s="57">
        <f>IF(A29&gt;TODAY(),"",SUMIFS('OPs Data'!$N:$N,'OPs Data'!$F:$F,'Revenue Sheet'!I$1,'OPs Data'!$D:$D,'Revenue Sheet'!$A29,'OPs Data'!$L:$L,'Revenue Sheet'!J$2)*VLOOKUP($I$1,'Rate Card'!$B:$E,MATCH('Revenue Sheet'!J$2,'Rate Card'!$B$2:$E$2,0),0))</f>
      </c>
      <c r="K29" s="57">
        <f>IF(A29&gt;TODAY(),"",SUMIFS('OPs Data'!$N:$N,'OPs Data'!$F:$F,'Revenue Sheet'!I$1,'OPs Data'!$D:$D,'Revenue Sheet'!$A29,'OPs Data'!$L:$L,'Revenue Sheet'!K$2)*VLOOKUP($I$1,'Rate Card'!$B:$E,MATCH('Revenue Sheet'!K$2,'Rate Card'!$B$2:$E$2,0),0))</f>
      </c>
      <c r="L29" s="57">
        <f>IF(A29&gt;TODAY(),"",SUMIFS('OPs Data'!$N:$N,'OPs Data'!$F:$F,'Revenue Sheet'!L$1,'OPs Data'!$D:$D,'Revenue Sheet'!$A29,'OPs Data'!$L:$L,'Revenue Sheet'!L$2)*VLOOKUP($L$1,'Rate Card'!$B:$E,MATCH('Revenue Sheet'!L$2,'Rate Card'!$B$2:$E$2,0),0))</f>
      </c>
      <c r="M29" s="57">
        <f>IF(A29&gt;TODAY(),"",SUMIFS('OPs Data'!$N:$N,'OPs Data'!$F:$F,'Revenue Sheet'!L$1,'OPs Data'!$D:$D,'Revenue Sheet'!$A29,'OPs Data'!$L:$L,'Revenue Sheet'!M$2)*VLOOKUP($L$1,'Rate Card'!$B:$E,MATCH('Revenue Sheet'!M$2,'Rate Card'!$B$2:$E$2,0),0))</f>
      </c>
      <c r="N29" s="57">
        <f>IF(A29&gt;TODAY(),"",SUMIFS('OPs Data'!$N:$N,'OPs Data'!$F:$F,'Revenue Sheet'!L$1,'OPs Data'!$D:$D,'Revenue Sheet'!$A29,'OPs Data'!$L:$L,'Revenue Sheet'!N$2)*VLOOKUP($L$1,'Rate Card'!$B:$E,MATCH('Revenue Sheet'!N$2,'Rate Card'!$B$2:$E$2,0),0))</f>
      </c>
      <c r="O29" s="57">
        <f>IF($A29&gt;TODAY(),"",SUM(C29,F29,I29,L29))</f>
      </c>
      <c r="P29" s="57">
        <f>IF($A29&gt;TODAY(),"",SUM(D29,G29,J29,M29))</f>
      </c>
      <c r="Q29" s="57">
        <f>IF($A29&gt;TODAY(),"",SUM(E29,H29,K29,N29))</f>
      </c>
      <c r="R29" s="58">
        <f>IF($A29&gt;TODAY(),"",SUM(O29:Q29))</f>
      </c>
    </row>
    <row x14ac:dyDescent="0.25" r="30" customHeight="1" ht="18.75">
      <c r="A30" s="55">
        <v>45761</v>
      </c>
      <c r="B30" s="56">
        <f>IF(A30&gt;TODAY(),"",COUNTA(_xlfn.UNIQUE(_xlfn._xlws.FILTER('OPs Data'!$K:$K,'OPs Data'!$D:$D='Revenue Sheet'!A30))))</f>
      </c>
      <c r="C30" s="57">
        <f>IF(A30&gt;TODAY(),"",SUMIFS('OPs Data'!$N:$N,'OPs Data'!$F:$F,'Revenue Sheet'!C$1,'OPs Data'!$D:$D,'Revenue Sheet'!$A30,'OPs Data'!$L:$L,'Revenue Sheet'!C$2)*VLOOKUP($C$1,'Rate Card'!$B:$E,MATCH('Revenue Sheet'!C$2,'Rate Card'!$B$2:$E$2,0),0))</f>
      </c>
      <c r="D30" s="57">
        <f>IF(A30&gt;TODAY(),"",SUMIFS('OPs Data'!$N:$N,'OPs Data'!$F:$F,'Revenue Sheet'!C$1,'OPs Data'!$D:$D,'Revenue Sheet'!$A30,'OPs Data'!$L:$L,'Revenue Sheet'!D$2)*VLOOKUP($C$1,'Rate Card'!$B:$E,MATCH('Revenue Sheet'!D$2,'Rate Card'!$B$2:$E$2,0),0))</f>
      </c>
      <c r="E30" s="57">
        <f>IF(A30&gt;TODAY(),"",SUMIFS('OPs Data'!$N:$N,'OPs Data'!$F:$F,'Revenue Sheet'!C$1,'OPs Data'!$D:$D,'Revenue Sheet'!$A30,'OPs Data'!$L:$L,'Revenue Sheet'!E$2)*VLOOKUP($C$1,'Rate Card'!$B:$E,MATCH('Revenue Sheet'!E$2,'Rate Card'!$B$2:$E$2,0),0))</f>
      </c>
      <c r="F30" s="57">
        <f>IF(A30&gt;TODAY(),"",SUMIFS('OPs Data'!$N:$N,'OPs Data'!$F:$F,'Revenue Sheet'!F$1,'OPs Data'!$D:$D,'Revenue Sheet'!$A30,'OPs Data'!$L:$L,'Revenue Sheet'!F$2)*VLOOKUP($F$1,'Rate Card'!$B:$E,MATCH('Revenue Sheet'!F$2,'Rate Card'!$B$2:$E$2,0),0))</f>
      </c>
      <c r="G30" s="57">
        <f>IF(A30&gt;TODAY(),"",SUMIFS('OPs Data'!$N:$N,'OPs Data'!$F:$F,'Revenue Sheet'!F$1,'OPs Data'!$D:$D,'Revenue Sheet'!$A30,'OPs Data'!$L:$L,'Revenue Sheet'!G$2)*VLOOKUP($F$1,'Rate Card'!$B:$E,MATCH('Revenue Sheet'!G$2,'Rate Card'!$B$2:$E$2,0),0))</f>
      </c>
      <c r="H30" s="57">
        <f>IF(A30&gt;TODAY(),"",SUMIFS('OPs Data'!$N:$N,'OPs Data'!$F:$F,'Revenue Sheet'!F$1,'OPs Data'!$D:$D,'Revenue Sheet'!$A30,'OPs Data'!$L:$L,'Revenue Sheet'!H$2)*VLOOKUP($F$1,'Rate Card'!$B:$E,MATCH('Revenue Sheet'!H$2,'Rate Card'!$B$2:$E$2,0),0))</f>
      </c>
      <c r="I30" s="57">
        <f>IF(A30&gt;TODAY(),"",SUMIFS('OPs Data'!$N:$N,'OPs Data'!$F:$F,'Revenue Sheet'!I$1,'OPs Data'!$D:$D,'Revenue Sheet'!$A30,'OPs Data'!$L:$L,'Revenue Sheet'!I$2)*VLOOKUP($I$1,'Rate Card'!$B:$E,MATCH('Revenue Sheet'!I$2,'Rate Card'!$B$2:$E$2,0),0))</f>
      </c>
      <c r="J30" s="57">
        <f>IF(A30&gt;TODAY(),"",SUMIFS('OPs Data'!$N:$N,'OPs Data'!$F:$F,'Revenue Sheet'!I$1,'OPs Data'!$D:$D,'Revenue Sheet'!$A30,'OPs Data'!$L:$L,'Revenue Sheet'!J$2)*VLOOKUP($I$1,'Rate Card'!$B:$E,MATCH('Revenue Sheet'!J$2,'Rate Card'!$B$2:$E$2,0),0))</f>
      </c>
      <c r="K30" s="57">
        <f>IF(A30&gt;TODAY(),"",SUMIFS('OPs Data'!$N:$N,'OPs Data'!$F:$F,'Revenue Sheet'!I$1,'OPs Data'!$D:$D,'Revenue Sheet'!$A30,'OPs Data'!$L:$L,'Revenue Sheet'!K$2)*VLOOKUP($I$1,'Rate Card'!$B:$E,MATCH('Revenue Sheet'!K$2,'Rate Card'!$B$2:$E$2,0),0))</f>
      </c>
      <c r="L30" s="57">
        <f>IF(A30&gt;TODAY(),"",SUMIFS('OPs Data'!$N:$N,'OPs Data'!$F:$F,'Revenue Sheet'!L$1,'OPs Data'!$D:$D,'Revenue Sheet'!$A30,'OPs Data'!$L:$L,'Revenue Sheet'!L$2)*VLOOKUP($L$1,'Rate Card'!$B:$E,MATCH('Revenue Sheet'!L$2,'Rate Card'!$B$2:$E$2,0),0))</f>
      </c>
      <c r="M30" s="57">
        <f>IF(A30&gt;TODAY(),"",SUMIFS('OPs Data'!$N:$N,'OPs Data'!$F:$F,'Revenue Sheet'!L$1,'OPs Data'!$D:$D,'Revenue Sheet'!$A30,'OPs Data'!$L:$L,'Revenue Sheet'!M$2)*VLOOKUP($L$1,'Rate Card'!$B:$E,MATCH('Revenue Sheet'!M$2,'Rate Card'!$B$2:$E$2,0),0))</f>
      </c>
      <c r="N30" s="57">
        <f>IF(A30&gt;TODAY(),"",SUMIFS('OPs Data'!$N:$N,'OPs Data'!$F:$F,'Revenue Sheet'!L$1,'OPs Data'!$D:$D,'Revenue Sheet'!$A30,'OPs Data'!$L:$L,'Revenue Sheet'!N$2)*VLOOKUP($L$1,'Rate Card'!$B:$E,MATCH('Revenue Sheet'!N$2,'Rate Card'!$B$2:$E$2,0),0))</f>
      </c>
      <c r="O30" s="57">
        <f>IF($A30&gt;TODAY(),"",SUM(C30,F30,I30,L30))</f>
      </c>
      <c r="P30" s="57">
        <f>IF($A30&gt;TODAY(),"",SUM(D30,G30,J30,M30))</f>
      </c>
      <c r="Q30" s="57">
        <f>IF($A30&gt;TODAY(),"",SUM(E30,H30,K30,N30))</f>
      </c>
      <c r="R30" s="58">
        <f>IF($A30&gt;TODAY(),"",SUM(O30:Q30))</f>
      </c>
    </row>
    <row x14ac:dyDescent="0.25" r="31" customHeight="1" ht="18.75">
      <c r="A31" s="55">
        <v>45762</v>
      </c>
      <c r="B31" s="56">
        <f>IF(A31&gt;TODAY(),"",COUNTA(_xlfn.UNIQUE(_xlfn._xlws.FILTER('OPs Data'!$K:$K,'OPs Data'!$D:$D='Revenue Sheet'!A31))))</f>
      </c>
      <c r="C31" s="57">
        <f>IF(A31&gt;TODAY(),"",SUMIFS('OPs Data'!$N:$N,'OPs Data'!$F:$F,'Revenue Sheet'!C$1,'OPs Data'!$D:$D,'Revenue Sheet'!$A31,'OPs Data'!$L:$L,'Revenue Sheet'!C$2)*VLOOKUP($C$1,'Rate Card'!$B:$E,MATCH('Revenue Sheet'!C$2,'Rate Card'!$B$2:$E$2,0),0))</f>
      </c>
      <c r="D31" s="57">
        <f>IF(A31&gt;TODAY(),"",SUMIFS('OPs Data'!$N:$N,'OPs Data'!$F:$F,'Revenue Sheet'!C$1,'OPs Data'!$D:$D,'Revenue Sheet'!$A31,'OPs Data'!$L:$L,'Revenue Sheet'!D$2)*VLOOKUP($C$1,'Rate Card'!$B:$E,MATCH('Revenue Sheet'!D$2,'Rate Card'!$B$2:$E$2,0),0))</f>
      </c>
      <c r="E31" s="57">
        <f>IF(A31&gt;TODAY(),"",SUMIFS('OPs Data'!$N:$N,'OPs Data'!$F:$F,'Revenue Sheet'!C$1,'OPs Data'!$D:$D,'Revenue Sheet'!$A31,'OPs Data'!$L:$L,'Revenue Sheet'!E$2)*VLOOKUP($C$1,'Rate Card'!$B:$E,MATCH('Revenue Sheet'!E$2,'Rate Card'!$B$2:$E$2,0),0))</f>
      </c>
      <c r="F31" s="57">
        <f>IF(A31&gt;TODAY(),"",SUMIFS('OPs Data'!$N:$N,'OPs Data'!$F:$F,'Revenue Sheet'!F$1,'OPs Data'!$D:$D,'Revenue Sheet'!$A31,'OPs Data'!$L:$L,'Revenue Sheet'!F$2)*VLOOKUP($F$1,'Rate Card'!$B:$E,MATCH('Revenue Sheet'!F$2,'Rate Card'!$B$2:$E$2,0),0))</f>
      </c>
      <c r="G31" s="57">
        <f>IF(A31&gt;TODAY(),"",SUMIFS('OPs Data'!$N:$N,'OPs Data'!$F:$F,'Revenue Sheet'!F$1,'OPs Data'!$D:$D,'Revenue Sheet'!$A31,'OPs Data'!$L:$L,'Revenue Sheet'!G$2)*VLOOKUP($F$1,'Rate Card'!$B:$E,MATCH('Revenue Sheet'!G$2,'Rate Card'!$B$2:$E$2,0),0))</f>
      </c>
      <c r="H31" s="57">
        <f>IF(A31&gt;TODAY(),"",SUMIFS('OPs Data'!$N:$N,'OPs Data'!$F:$F,'Revenue Sheet'!F$1,'OPs Data'!$D:$D,'Revenue Sheet'!$A31,'OPs Data'!$L:$L,'Revenue Sheet'!H$2)*VLOOKUP($F$1,'Rate Card'!$B:$E,MATCH('Revenue Sheet'!H$2,'Rate Card'!$B$2:$E$2,0),0))</f>
      </c>
      <c r="I31" s="57">
        <f>IF(A31&gt;TODAY(),"",SUMIFS('OPs Data'!$N:$N,'OPs Data'!$F:$F,'Revenue Sheet'!I$1,'OPs Data'!$D:$D,'Revenue Sheet'!$A31,'OPs Data'!$L:$L,'Revenue Sheet'!I$2)*VLOOKUP($I$1,'Rate Card'!$B:$E,MATCH('Revenue Sheet'!I$2,'Rate Card'!$B$2:$E$2,0),0))</f>
      </c>
      <c r="J31" s="57">
        <f>IF(A31&gt;TODAY(),"",SUMIFS('OPs Data'!$N:$N,'OPs Data'!$F:$F,'Revenue Sheet'!I$1,'OPs Data'!$D:$D,'Revenue Sheet'!$A31,'OPs Data'!$L:$L,'Revenue Sheet'!J$2)*VLOOKUP($I$1,'Rate Card'!$B:$E,MATCH('Revenue Sheet'!J$2,'Rate Card'!$B$2:$E$2,0),0))</f>
      </c>
      <c r="K31" s="57">
        <f>IF(A31&gt;TODAY(),"",SUMIFS('OPs Data'!$N:$N,'OPs Data'!$F:$F,'Revenue Sheet'!I$1,'OPs Data'!$D:$D,'Revenue Sheet'!$A31,'OPs Data'!$L:$L,'Revenue Sheet'!K$2)*VLOOKUP($I$1,'Rate Card'!$B:$E,MATCH('Revenue Sheet'!K$2,'Rate Card'!$B$2:$E$2,0),0))</f>
      </c>
      <c r="L31" s="57">
        <f>IF(A31&gt;TODAY(),"",SUMIFS('OPs Data'!$N:$N,'OPs Data'!$F:$F,'Revenue Sheet'!L$1,'OPs Data'!$D:$D,'Revenue Sheet'!$A31,'OPs Data'!$L:$L,'Revenue Sheet'!L$2)*VLOOKUP($L$1,'Rate Card'!$B:$E,MATCH('Revenue Sheet'!L$2,'Rate Card'!$B$2:$E$2,0),0))</f>
      </c>
      <c r="M31" s="57">
        <f>IF(A31&gt;TODAY(),"",SUMIFS('OPs Data'!$N:$N,'OPs Data'!$F:$F,'Revenue Sheet'!L$1,'OPs Data'!$D:$D,'Revenue Sheet'!$A31,'OPs Data'!$L:$L,'Revenue Sheet'!M$2)*VLOOKUP($L$1,'Rate Card'!$B:$E,MATCH('Revenue Sheet'!M$2,'Rate Card'!$B$2:$E$2,0),0))</f>
      </c>
      <c r="N31" s="57">
        <f>IF(A31&gt;TODAY(),"",SUMIFS('OPs Data'!$N:$N,'OPs Data'!$F:$F,'Revenue Sheet'!L$1,'OPs Data'!$D:$D,'Revenue Sheet'!$A31,'OPs Data'!$L:$L,'Revenue Sheet'!N$2)*VLOOKUP($L$1,'Rate Card'!$B:$E,MATCH('Revenue Sheet'!N$2,'Rate Card'!$B$2:$E$2,0),0))</f>
      </c>
      <c r="O31" s="57">
        <f>IF($A31&gt;TODAY(),"",SUM(C31,F31,I31,L31))</f>
      </c>
      <c r="P31" s="57">
        <f>IF($A31&gt;TODAY(),"",SUM(D31,G31,J31,M31))</f>
      </c>
      <c r="Q31" s="57">
        <f>IF($A31&gt;TODAY(),"",SUM(E31,H31,K31,N31))</f>
      </c>
      <c r="R31" s="58">
        <f>IF($A31&gt;TODAY(),"",SUM(O31:Q31))</f>
      </c>
    </row>
    <row x14ac:dyDescent="0.25" r="32" customHeight="1" ht="18.75">
      <c r="A32" s="55">
        <v>45763</v>
      </c>
      <c r="B32" s="56">
        <f>IF(A32&gt;TODAY(),"",COUNTA(_xlfn.UNIQUE(_xlfn._xlws.FILTER('OPs Data'!$K:$K,'OPs Data'!$D:$D='Revenue Sheet'!A32))))</f>
      </c>
      <c r="C32" s="57">
        <f>IF(A32&gt;TODAY(),"",SUMIFS('OPs Data'!$N:$N,'OPs Data'!$F:$F,'Revenue Sheet'!C$1,'OPs Data'!$D:$D,'Revenue Sheet'!$A32,'OPs Data'!$L:$L,'Revenue Sheet'!C$2)*VLOOKUP($C$1,'Rate Card'!$B:$E,MATCH('Revenue Sheet'!C$2,'Rate Card'!$B$2:$E$2,0),0))</f>
      </c>
      <c r="D32" s="57">
        <f>IF(A32&gt;TODAY(),"",SUMIFS('OPs Data'!$N:$N,'OPs Data'!$F:$F,'Revenue Sheet'!C$1,'OPs Data'!$D:$D,'Revenue Sheet'!$A32,'OPs Data'!$L:$L,'Revenue Sheet'!D$2)*VLOOKUP($C$1,'Rate Card'!$B:$E,MATCH('Revenue Sheet'!D$2,'Rate Card'!$B$2:$E$2,0),0))</f>
      </c>
      <c r="E32" s="57">
        <f>IF(A32&gt;TODAY(),"",SUMIFS('OPs Data'!$N:$N,'OPs Data'!$F:$F,'Revenue Sheet'!C$1,'OPs Data'!$D:$D,'Revenue Sheet'!$A32,'OPs Data'!$L:$L,'Revenue Sheet'!E$2)*VLOOKUP($C$1,'Rate Card'!$B:$E,MATCH('Revenue Sheet'!E$2,'Rate Card'!$B$2:$E$2,0),0))</f>
      </c>
      <c r="F32" s="57">
        <f>IF(A32&gt;TODAY(),"",SUMIFS('OPs Data'!$N:$N,'OPs Data'!$F:$F,'Revenue Sheet'!F$1,'OPs Data'!$D:$D,'Revenue Sheet'!$A32,'OPs Data'!$L:$L,'Revenue Sheet'!F$2)*VLOOKUP($F$1,'Rate Card'!$B:$E,MATCH('Revenue Sheet'!F$2,'Rate Card'!$B$2:$E$2,0),0))</f>
      </c>
      <c r="G32" s="57">
        <f>IF(A32&gt;TODAY(),"",SUMIFS('OPs Data'!$N:$N,'OPs Data'!$F:$F,'Revenue Sheet'!F$1,'OPs Data'!$D:$D,'Revenue Sheet'!$A32,'OPs Data'!$L:$L,'Revenue Sheet'!G$2)*VLOOKUP($F$1,'Rate Card'!$B:$E,MATCH('Revenue Sheet'!G$2,'Rate Card'!$B$2:$E$2,0),0))</f>
      </c>
      <c r="H32" s="57">
        <f>IF(A32&gt;TODAY(),"",SUMIFS('OPs Data'!$N:$N,'OPs Data'!$F:$F,'Revenue Sheet'!F$1,'OPs Data'!$D:$D,'Revenue Sheet'!$A32,'OPs Data'!$L:$L,'Revenue Sheet'!H$2)*VLOOKUP($F$1,'Rate Card'!$B:$E,MATCH('Revenue Sheet'!H$2,'Rate Card'!$B$2:$E$2,0),0))</f>
      </c>
      <c r="I32" s="57">
        <f>IF(A32&gt;TODAY(),"",SUMIFS('OPs Data'!$N:$N,'OPs Data'!$F:$F,'Revenue Sheet'!I$1,'OPs Data'!$D:$D,'Revenue Sheet'!$A32,'OPs Data'!$L:$L,'Revenue Sheet'!I$2)*VLOOKUP($I$1,'Rate Card'!$B:$E,MATCH('Revenue Sheet'!I$2,'Rate Card'!$B$2:$E$2,0),0))</f>
      </c>
      <c r="J32" s="57">
        <f>IF(A32&gt;TODAY(),"",SUMIFS('OPs Data'!$N:$N,'OPs Data'!$F:$F,'Revenue Sheet'!I$1,'OPs Data'!$D:$D,'Revenue Sheet'!$A32,'OPs Data'!$L:$L,'Revenue Sheet'!J$2)*VLOOKUP($I$1,'Rate Card'!$B:$E,MATCH('Revenue Sheet'!J$2,'Rate Card'!$B$2:$E$2,0),0))</f>
      </c>
      <c r="K32" s="57">
        <f>IF(A32&gt;TODAY(),"",SUMIFS('OPs Data'!$N:$N,'OPs Data'!$F:$F,'Revenue Sheet'!I$1,'OPs Data'!$D:$D,'Revenue Sheet'!$A32,'OPs Data'!$L:$L,'Revenue Sheet'!K$2)*VLOOKUP($I$1,'Rate Card'!$B:$E,MATCH('Revenue Sheet'!K$2,'Rate Card'!$B$2:$E$2,0),0))</f>
      </c>
      <c r="L32" s="57">
        <f>IF(A32&gt;TODAY(),"",SUMIFS('OPs Data'!$N:$N,'OPs Data'!$F:$F,'Revenue Sheet'!L$1,'OPs Data'!$D:$D,'Revenue Sheet'!$A32,'OPs Data'!$L:$L,'Revenue Sheet'!L$2)*VLOOKUP($L$1,'Rate Card'!$B:$E,MATCH('Revenue Sheet'!L$2,'Rate Card'!$B$2:$E$2,0),0))</f>
      </c>
      <c r="M32" s="57">
        <f>IF(A32&gt;TODAY(),"",SUMIFS('OPs Data'!$N:$N,'OPs Data'!$F:$F,'Revenue Sheet'!L$1,'OPs Data'!$D:$D,'Revenue Sheet'!$A32,'OPs Data'!$L:$L,'Revenue Sheet'!M$2)*VLOOKUP($L$1,'Rate Card'!$B:$E,MATCH('Revenue Sheet'!M$2,'Rate Card'!$B$2:$E$2,0),0))</f>
      </c>
      <c r="N32" s="57">
        <f>IF(A32&gt;TODAY(),"",SUMIFS('OPs Data'!$N:$N,'OPs Data'!$F:$F,'Revenue Sheet'!L$1,'OPs Data'!$D:$D,'Revenue Sheet'!$A32,'OPs Data'!$L:$L,'Revenue Sheet'!N$2)*VLOOKUP($L$1,'Rate Card'!$B:$E,MATCH('Revenue Sheet'!N$2,'Rate Card'!$B$2:$E$2,0),0))</f>
      </c>
      <c r="O32" s="57">
        <f>IF($A32&gt;TODAY(),"",SUM(C32,F32,I32,L32))</f>
      </c>
      <c r="P32" s="57">
        <f>IF($A32&gt;TODAY(),"",SUM(D32,G32,J32,M32))</f>
      </c>
      <c r="Q32" s="57">
        <f>IF($A32&gt;TODAY(),"",SUM(E32,H32,K32,N32))</f>
      </c>
      <c r="R32" s="58">
        <f>IF($A32&gt;TODAY(),"",SUM(O32:Q32))</f>
      </c>
    </row>
    <row x14ac:dyDescent="0.25" r="33" customHeight="1" ht="18.75">
      <c r="A33" s="55">
        <v>45764</v>
      </c>
      <c r="B33" s="56">
        <f>IF(A33&gt;TODAY(),"",COUNTA(_xlfn.UNIQUE(_xlfn._xlws.FILTER('OPs Data'!$K:$K,'OPs Data'!$D:$D='Revenue Sheet'!A33))))</f>
      </c>
      <c r="C33" s="57">
        <f>IF(A33&gt;TODAY(),"",SUMIFS('OPs Data'!$N:$N,'OPs Data'!$F:$F,'Revenue Sheet'!C$1,'OPs Data'!$D:$D,'Revenue Sheet'!$A33,'OPs Data'!$L:$L,'Revenue Sheet'!C$2)*VLOOKUP($C$1,'Rate Card'!$B:$E,MATCH('Revenue Sheet'!C$2,'Rate Card'!$B$2:$E$2,0),0))</f>
      </c>
      <c r="D33" s="57">
        <f>IF(A33&gt;TODAY(),"",SUMIFS('OPs Data'!$N:$N,'OPs Data'!$F:$F,'Revenue Sheet'!C$1,'OPs Data'!$D:$D,'Revenue Sheet'!$A33,'OPs Data'!$L:$L,'Revenue Sheet'!D$2)*VLOOKUP($C$1,'Rate Card'!$B:$E,MATCH('Revenue Sheet'!D$2,'Rate Card'!$B$2:$E$2,0),0))</f>
      </c>
      <c r="E33" s="57">
        <f>IF(A33&gt;TODAY(),"",SUMIFS('OPs Data'!$N:$N,'OPs Data'!$F:$F,'Revenue Sheet'!C$1,'OPs Data'!$D:$D,'Revenue Sheet'!$A33,'OPs Data'!$L:$L,'Revenue Sheet'!E$2)*VLOOKUP($C$1,'Rate Card'!$B:$E,MATCH('Revenue Sheet'!E$2,'Rate Card'!$B$2:$E$2,0),0))</f>
      </c>
      <c r="F33" s="57">
        <f>IF(A33&gt;TODAY(),"",SUMIFS('OPs Data'!$N:$N,'OPs Data'!$F:$F,'Revenue Sheet'!F$1,'OPs Data'!$D:$D,'Revenue Sheet'!$A33,'OPs Data'!$L:$L,'Revenue Sheet'!F$2)*VLOOKUP($F$1,'Rate Card'!$B:$E,MATCH('Revenue Sheet'!F$2,'Rate Card'!$B$2:$E$2,0),0))</f>
      </c>
      <c r="G33" s="57">
        <f>IF(A33&gt;TODAY(),"",SUMIFS('OPs Data'!$N:$N,'OPs Data'!$F:$F,'Revenue Sheet'!F$1,'OPs Data'!$D:$D,'Revenue Sheet'!$A33,'OPs Data'!$L:$L,'Revenue Sheet'!G$2)*VLOOKUP($F$1,'Rate Card'!$B:$E,MATCH('Revenue Sheet'!G$2,'Rate Card'!$B$2:$E$2,0),0))</f>
      </c>
      <c r="H33" s="57">
        <f>IF(A33&gt;TODAY(),"",SUMIFS('OPs Data'!$N:$N,'OPs Data'!$F:$F,'Revenue Sheet'!F$1,'OPs Data'!$D:$D,'Revenue Sheet'!$A33,'OPs Data'!$L:$L,'Revenue Sheet'!H$2)*VLOOKUP($F$1,'Rate Card'!$B:$E,MATCH('Revenue Sheet'!H$2,'Rate Card'!$B$2:$E$2,0),0))</f>
      </c>
      <c r="I33" s="57">
        <f>IF(A33&gt;TODAY(),"",SUMIFS('OPs Data'!$N:$N,'OPs Data'!$F:$F,'Revenue Sheet'!I$1,'OPs Data'!$D:$D,'Revenue Sheet'!$A33,'OPs Data'!$L:$L,'Revenue Sheet'!I$2)*VLOOKUP($I$1,'Rate Card'!$B:$E,MATCH('Revenue Sheet'!I$2,'Rate Card'!$B$2:$E$2,0),0))</f>
      </c>
      <c r="J33" s="57">
        <f>IF(A33&gt;TODAY(),"",SUMIFS('OPs Data'!$N:$N,'OPs Data'!$F:$F,'Revenue Sheet'!I$1,'OPs Data'!$D:$D,'Revenue Sheet'!$A33,'OPs Data'!$L:$L,'Revenue Sheet'!J$2)*VLOOKUP($I$1,'Rate Card'!$B:$E,MATCH('Revenue Sheet'!J$2,'Rate Card'!$B$2:$E$2,0),0))</f>
      </c>
      <c r="K33" s="57">
        <f>IF(A33&gt;TODAY(),"",SUMIFS('OPs Data'!$N:$N,'OPs Data'!$F:$F,'Revenue Sheet'!I$1,'OPs Data'!$D:$D,'Revenue Sheet'!$A33,'OPs Data'!$L:$L,'Revenue Sheet'!K$2)*VLOOKUP($I$1,'Rate Card'!$B:$E,MATCH('Revenue Sheet'!K$2,'Rate Card'!$B$2:$E$2,0),0))</f>
      </c>
      <c r="L33" s="57">
        <f>IF(A33&gt;TODAY(),"",SUMIFS('OPs Data'!$N:$N,'OPs Data'!$F:$F,'Revenue Sheet'!L$1,'OPs Data'!$D:$D,'Revenue Sheet'!$A33,'OPs Data'!$L:$L,'Revenue Sheet'!L$2)*VLOOKUP($L$1,'Rate Card'!$B:$E,MATCH('Revenue Sheet'!L$2,'Rate Card'!$B$2:$E$2,0),0))</f>
      </c>
      <c r="M33" s="57">
        <f>IF(A33&gt;TODAY(),"",SUMIFS('OPs Data'!$N:$N,'OPs Data'!$F:$F,'Revenue Sheet'!L$1,'OPs Data'!$D:$D,'Revenue Sheet'!$A33,'OPs Data'!$L:$L,'Revenue Sheet'!M$2)*VLOOKUP($L$1,'Rate Card'!$B:$E,MATCH('Revenue Sheet'!M$2,'Rate Card'!$B$2:$E$2,0),0))</f>
      </c>
      <c r="N33" s="57">
        <f>IF(A33&gt;TODAY(),"",SUMIFS('OPs Data'!$N:$N,'OPs Data'!$F:$F,'Revenue Sheet'!L$1,'OPs Data'!$D:$D,'Revenue Sheet'!$A33,'OPs Data'!$L:$L,'Revenue Sheet'!N$2)*VLOOKUP($L$1,'Rate Card'!$B:$E,MATCH('Revenue Sheet'!N$2,'Rate Card'!$B$2:$E$2,0),0))</f>
      </c>
      <c r="O33" s="57">
        <f>IF($A33&gt;TODAY(),"",SUM(C33,F33,I33,L33))</f>
      </c>
      <c r="P33" s="57">
        <f>IF($A33&gt;TODAY(),"",SUM(D33,G33,J33,M33))</f>
      </c>
      <c r="Q33" s="57">
        <f>IF($A33&gt;TODAY(),"",SUM(E33,H33,K33,N33))</f>
      </c>
      <c r="R33" s="58">
        <f>IF($A33&gt;TODAY(),"",SUM(O33:Q33))</f>
      </c>
    </row>
    <row x14ac:dyDescent="0.25" r="34" customHeight="1" ht="18.75">
      <c r="A34" s="55">
        <v>45765</v>
      </c>
      <c r="B34" s="56">
        <f>IF(A34&gt;TODAY(),"",COUNTA(_xlfn.UNIQUE(_xlfn._xlws.FILTER('OPs Data'!$K:$K,'OPs Data'!$D:$D='Revenue Sheet'!A34))))</f>
      </c>
      <c r="C34" s="57">
        <f>IF(A34&gt;TODAY(),"",SUMIFS('OPs Data'!$N:$N,'OPs Data'!$F:$F,'Revenue Sheet'!C$1,'OPs Data'!$D:$D,'Revenue Sheet'!$A34,'OPs Data'!$L:$L,'Revenue Sheet'!C$2)*VLOOKUP($C$1,'Rate Card'!$B:$E,MATCH('Revenue Sheet'!C$2,'Rate Card'!$B$2:$E$2,0),0))</f>
      </c>
      <c r="D34" s="57">
        <f>IF(A34&gt;TODAY(),"",SUMIFS('OPs Data'!$N:$N,'OPs Data'!$F:$F,'Revenue Sheet'!C$1,'OPs Data'!$D:$D,'Revenue Sheet'!$A34,'OPs Data'!$L:$L,'Revenue Sheet'!D$2)*VLOOKUP($C$1,'Rate Card'!$B:$E,MATCH('Revenue Sheet'!D$2,'Rate Card'!$B$2:$E$2,0),0))</f>
      </c>
      <c r="E34" s="57">
        <f>IF(A34&gt;TODAY(),"",SUMIFS('OPs Data'!$N:$N,'OPs Data'!$F:$F,'Revenue Sheet'!C$1,'OPs Data'!$D:$D,'Revenue Sheet'!$A34,'OPs Data'!$L:$L,'Revenue Sheet'!E$2)*VLOOKUP($C$1,'Rate Card'!$B:$E,MATCH('Revenue Sheet'!E$2,'Rate Card'!$B$2:$E$2,0),0))</f>
      </c>
      <c r="F34" s="57">
        <f>IF(A34&gt;TODAY(),"",SUMIFS('OPs Data'!$N:$N,'OPs Data'!$F:$F,'Revenue Sheet'!F$1,'OPs Data'!$D:$D,'Revenue Sheet'!$A34,'OPs Data'!$L:$L,'Revenue Sheet'!F$2)*VLOOKUP($F$1,'Rate Card'!$B:$E,MATCH('Revenue Sheet'!F$2,'Rate Card'!$B$2:$E$2,0),0))</f>
      </c>
      <c r="G34" s="57">
        <f>IF(A34&gt;TODAY(),"",SUMIFS('OPs Data'!$N:$N,'OPs Data'!$F:$F,'Revenue Sheet'!F$1,'OPs Data'!$D:$D,'Revenue Sheet'!$A34,'OPs Data'!$L:$L,'Revenue Sheet'!G$2)*VLOOKUP($F$1,'Rate Card'!$B:$E,MATCH('Revenue Sheet'!G$2,'Rate Card'!$B$2:$E$2,0),0))</f>
      </c>
      <c r="H34" s="57">
        <f>IF(A34&gt;TODAY(),"",SUMIFS('OPs Data'!$N:$N,'OPs Data'!$F:$F,'Revenue Sheet'!F$1,'OPs Data'!$D:$D,'Revenue Sheet'!$A34,'OPs Data'!$L:$L,'Revenue Sheet'!H$2)*VLOOKUP($F$1,'Rate Card'!$B:$E,MATCH('Revenue Sheet'!H$2,'Rate Card'!$B$2:$E$2,0),0))</f>
      </c>
      <c r="I34" s="57">
        <f>IF(A34&gt;TODAY(),"",SUMIFS('OPs Data'!$N:$N,'OPs Data'!$F:$F,'Revenue Sheet'!I$1,'OPs Data'!$D:$D,'Revenue Sheet'!$A34,'OPs Data'!$L:$L,'Revenue Sheet'!I$2)*VLOOKUP($I$1,'Rate Card'!$B:$E,MATCH('Revenue Sheet'!I$2,'Rate Card'!$B$2:$E$2,0),0))</f>
      </c>
      <c r="J34" s="57">
        <f>IF(A34&gt;TODAY(),"",SUMIFS('OPs Data'!$N:$N,'OPs Data'!$F:$F,'Revenue Sheet'!I$1,'OPs Data'!$D:$D,'Revenue Sheet'!$A34,'OPs Data'!$L:$L,'Revenue Sheet'!J$2)*VLOOKUP($I$1,'Rate Card'!$B:$E,MATCH('Revenue Sheet'!J$2,'Rate Card'!$B$2:$E$2,0),0))</f>
      </c>
      <c r="K34" s="57">
        <f>IF(A34&gt;TODAY(),"",SUMIFS('OPs Data'!$N:$N,'OPs Data'!$F:$F,'Revenue Sheet'!I$1,'OPs Data'!$D:$D,'Revenue Sheet'!$A34,'OPs Data'!$L:$L,'Revenue Sheet'!K$2)*VLOOKUP($I$1,'Rate Card'!$B:$E,MATCH('Revenue Sheet'!K$2,'Rate Card'!$B$2:$E$2,0),0))</f>
      </c>
      <c r="L34" s="57">
        <f>IF(A34&gt;TODAY(),"",SUMIFS('OPs Data'!$N:$N,'OPs Data'!$F:$F,'Revenue Sheet'!L$1,'OPs Data'!$D:$D,'Revenue Sheet'!$A34,'OPs Data'!$L:$L,'Revenue Sheet'!L$2)*VLOOKUP($L$1,'Rate Card'!$B:$E,MATCH('Revenue Sheet'!L$2,'Rate Card'!$B$2:$E$2,0),0))</f>
      </c>
      <c r="M34" s="57">
        <f>IF(A34&gt;TODAY(),"",SUMIFS('OPs Data'!$N:$N,'OPs Data'!$F:$F,'Revenue Sheet'!L$1,'OPs Data'!$D:$D,'Revenue Sheet'!$A34,'OPs Data'!$L:$L,'Revenue Sheet'!M$2)*VLOOKUP($L$1,'Rate Card'!$B:$E,MATCH('Revenue Sheet'!M$2,'Rate Card'!$B$2:$E$2,0),0))</f>
      </c>
      <c r="N34" s="57">
        <f>IF(A34&gt;TODAY(),"",SUMIFS('OPs Data'!$N:$N,'OPs Data'!$F:$F,'Revenue Sheet'!L$1,'OPs Data'!$D:$D,'Revenue Sheet'!$A34,'OPs Data'!$L:$L,'Revenue Sheet'!N$2)*VLOOKUP($L$1,'Rate Card'!$B:$E,MATCH('Revenue Sheet'!N$2,'Rate Card'!$B$2:$E$2,0),0))</f>
      </c>
      <c r="O34" s="57">
        <f>IF($A34&gt;TODAY(),"",SUM(C34,F34,I34,L34))</f>
      </c>
      <c r="P34" s="57">
        <f>IF($A34&gt;TODAY(),"",SUM(D34,G34,J34,M34))</f>
      </c>
      <c r="Q34" s="57">
        <f>IF($A34&gt;TODAY(),"",SUM(E34,H34,K34,N34))</f>
      </c>
      <c r="R34" s="58">
        <f>IF($A34&gt;TODAY(),"",SUM(O34:Q34))</f>
      </c>
    </row>
    <row x14ac:dyDescent="0.25" r="35" customHeight="1" ht="18.75">
      <c r="A35" s="55">
        <v>45766</v>
      </c>
      <c r="B35" s="56">
        <f>IF(A35&gt;TODAY(),"",COUNTA(_xlfn.UNIQUE(_xlfn._xlws.FILTER('OPs Data'!$K:$K,'OPs Data'!$D:$D='Revenue Sheet'!A35))))</f>
      </c>
      <c r="C35" s="57">
        <f>IF(A35&gt;TODAY(),"",SUMIFS('OPs Data'!$N:$N,'OPs Data'!$F:$F,'Revenue Sheet'!C$1,'OPs Data'!$D:$D,'Revenue Sheet'!$A35,'OPs Data'!$L:$L,'Revenue Sheet'!C$2)*VLOOKUP($C$1,'Rate Card'!$B:$E,MATCH('Revenue Sheet'!C$2,'Rate Card'!$B$2:$E$2,0),0))</f>
      </c>
      <c r="D35" s="57">
        <f>IF(A35&gt;TODAY(),"",SUMIFS('OPs Data'!$N:$N,'OPs Data'!$F:$F,'Revenue Sheet'!C$1,'OPs Data'!$D:$D,'Revenue Sheet'!$A35,'OPs Data'!$L:$L,'Revenue Sheet'!D$2)*VLOOKUP($C$1,'Rate Card'!$B:$E,MATCH('Revenue Sheet'!D$2,'Rate Card'!$B$2:$E$2,0),0))</f>
      </c>
      <c r="E35" s="57">
        <f>IF(A35&gt;TODAY(),"",SUMIFS('OPs Data'!$N:$N,'OPs Data'!$F:$F,'Revenue Sheet'!C$1,'OPs Data'!$D:$D,'Revenue Sheet'!$A35,'OPs Data'!$L:$L,'Revenue Sheet'!E$2)*VLOOKUP($C$1,'Rate Card'!$B:$E,MATCH('Revenue Sheet'!E$2,'Rate Card'!$B$2:$E$2,0),0))</f>
      </c>
      <c r="F35" s="57">
        <f>IF(A35&gt;TODAY(),"",SUMIFS('OPs Data'!$N:$N,'OPs Data'!$F:$F,'Revenue Sheet'!F$1,'OPs Data'!$D:$D,'Revenue Sheet'!$A35,'OPs Data'!$L:$L,'Revenue Sheet'!F$2)*VLOOKUP($F$1,'Rate Card'!$B:$E,MATCH('Revenue Sheet'!F$2,'Rate Card'!$B$2:$E$2,0),0))</f>
      </c>
      <c r="G35" s="57">
        <f>IF(A35&gt;TODAY(),"",SUMIFS('OPs Data'!$N:$N,'OPs Data'!$F:$F,'Revenue Sheet'!F$1,'OPs Data'!$D:$D,'Revenue Sheet'!$A35,'OPs Data'!$L:$L,'Revenue Sheet'!G$2)*VLOOKUP($F$1,'Rate Card'!$B:$E,MATCH('Revenue Sheet'!G$2,'Rate Card'!$B$2:$E$2,0),0))</f>
      </c>
      <c r="H35" s="57">
        <f>IF(A35&gt;TODAY(),"",SUMIFS('OPs Data'!$N:$N,'OPs Data'!$F:$F,'Revenue Sheet'!F$1,'OPs Data'!$D:$D,'Revenue Sheet'!$A35,'OPs Data'!$L:$L,'Revenue Sheet'!H$2)*VLOOKUP($F$1,'Rate Card'!$B:$E,MATCH('Revenue Sheet'!H$2,'Rate Card'!$B$2:$E$2,0),0))</f>
      </c>
      <c r="I35" s="57">
        <f>IF(A35&gt;TODAY(),"",SUMIFS('OPs Data'!$N:$N,'OPs Data'!$F:$F,'Revenue Sheet'!I$1,'OPs Data'!$D:$D,'Revenue Sheet'!$A35,'OPs Data'!$L:$L,'Revenue Sheet'!I$2)*VLOOKUP($I$1,'Rate Card'!$B:$E,MATCH('Revenue Sheet'!I$2,'Rate Card'!$B$2:$E$2,0),0))</f>
      </c>
      <c r="J35" s="57">
        <f>IF(A35&gt;TODAY(),"",SUMIFS('OPs Data'!$N:$N,'OPs Data'!$F:$F,'Revenue Sheet'!I$1,'OPs Data'!$D:$D,'Revenue Sheet'!$A35,'OPs Data'!$L:$L,'Revenue Sheet'!J$2)*VLOOKUP($I$1,'Rate Card'!$B:$E,MATCH('Revenue Sheet'!J$2,'Rate Card'!$B$2:$E$2,0),0))</f>
      </c>
      <c r="K35" s="57">
        <f>IF(A35&gt;TODAY(),"",SUMIFS('OPs Data'!$N:$N,'OPs Data'!$F:$F,'Revenue Sheet'!I$1,'OPs Data'!$D:$D,'Revenue Sheet'!$A35,'OPs Data'!$L:$L,'Revenue Sheet'!K$2)*VLOOKUP($I$1,'Rate Card'!$B:$E,MATCH('Revenue Sheet'!K$2,'Rate Card'!$B$2:$E$2,0),0))</f>
      </c>
      <c r="L35" s="57">
        <f>IF(A35&gt;TODAY(),"",SUMIFS('OPs Data'!$N:$N,'OPs Data'!$F:$F,'Revenue Sheet'!L$1,'OPs Data'!$D:$D,'Revenue Sheet'!$A35,'OPs Data'!$L:$L,'Revenue Sheet'!L$2)*VLOOKUP($L$1,'Rate Card'!$B:$E,MATCH('Revenue Sheet'!L$2,'Rate Card'!$B$2:$E$2,0),0))</f>
      </c>
      <c r="M35" s="57">
        <f>IF(A35&gt;TODAY(),"",SUMIFS('OPs Data'!$N:$N,'OPs Data'!$F:$F,'Revenue Sheet'!L$1,'OPs Data'!$D:$D,'Revenue Sheet'!$A35,'OPs Data'!$L:$L,'Revenue Sheet'!M$2)*VLOOKUP($L$1,'Rate Card'!$B:$E,MATCH('Revenue Sheet'!M$2,'Rate Card'!$B$2:$E$2,0),0))</f>
      </c>
      <c r="N35" s="57">
        <f>IF(A35&gt;TODAY(),"",SUMIFS('OPs Data'!$N:$N,'OPs Data'!$F:$F,'Revenue Sheet'!L$1,'OPs Data'!$D:$D,'Revenue Sheet'!$A35,'OPs Data'!$L:$L,'Revenue Sheet'!N$2)*VLOOKUP($L$1,'Rate Card'!$B:$E,MATCH('Revenue Sheet'!N$2,'Rate Card'!$B$2:$E$2,0),0))</f>
      </c>
      <c r="O35" s="57">
        <f>IF($A35&gt;TODAY(),"",SUM(C35,F35,I35,L35))</f>
      </c>
      <c r="P35" s="57">
        <f>IF($A35&gt;TODAY(),"",SUM(D35,G35,J35,M35))</f>
      </c>
      <c r="Q35" s="57">
        <f>IF($A35&gt;TODAY(),"",SUM(E35,H35,K35,N35))</f>
      </c>
      <c r="R35" s="58">
        <f>IF($A35&gt;TODAY(),"",SUM(O35:Q35))</f>
      </c>
    </row>
    <row x14ac:dyDescent="0.25" r="36" customHeight="1" ht="18.75">
      <c r="A36" s="55">
        <v>45767</v>
      </c>
      <c r="B36" s="56">
        <f>IF(A36&gt;TODAY(),"",COUNTA(_xlfn.UNIQUE(_xlfn._xlws.FILTER('OPs Data'!$K:$K,'OPs Data'!$D:$D='Revenue Sheet'!A36))))</f>
      </c>
      <c r="C36" s="57">
        <f>IF(A36&gt;TODAY(),"",SUMIFS('OPs Data'!$N:$N,'OPs Data'!$F:$F,'Revenue Sheet'!C$1,'OPs Data'!$D:$D,'Revenue Sheet'!$A36,'OPs Data'!$L:$L,'Revenue Sheet'!C$2)*VLOOKUP($C$1,'Rate Card'!$B:$E,MATCH('Revenue Sheet'!C$2,'Rate Card'!$B$2:$E$2,0),0))</f>
      </c>
      <c r="D36" s="57">
        <f>IF(A36&gt;TODAY(),"",SUMIFS('OPs Data'!$N:$N,'OPs Data'!$F:$F,'Revenue Sheet'!C$1,'OPs Data'!$D:$D,'Revenue Sheet'!$A36,'OPs Data'!$L:$L,'Revenue Sheet'!D$2)*VLOOKUP($C$1,'Rate Card'!$B:$E,MATCH('Revenue Sheet'!D$2,'Rate Card'!$B$2:$E$2,0),0))</f>
      </c>
      <c r="E36" s="57">
        <f>IF(A36&gt;TODAY(),"",SUMIFS('OPs Data'!$N:$N,'OPs Data'!$F:$F,'Revenue Sheet'!C$1,'OPs Data'!$D:$D,'Revenue Sheet'!$A36,'OPs Data'!$L:$L,'Revenue Sheet'!E$2)*VLOOKUP($C$1,'Rate Card'!$B:$E,MATCH('Revenue Sheet'!E$2,'Rate Card'!$B$2:$E$2,0),0))</f>
      </c>
      <c r="F36" s="57">
        <f>IF(A36&gt;TODAY(),"",SUMIFS('OPs Data'!$N:$N,'OPs Data'!$F:$F,'Revenue Sheet'!F$1,'OPs Data'!$D:$D,'Revenue Sheet'!$A36,'OPs Data'!$L:$L,'Revenue Sheet'!F$2)*VLOOKUP($F$1,'Rate Card'!$B:$E,MATCH('Revenue Sheet'!F$2,'Rate Card'!$B$2:$E$2,0),0))</f>
      </c>
      <c r="G36" s="57">
        <f>IF(A36&gt;TODAY(),"",SUMIFS('OPs Data'!$N:$N,'OPs Data'!$F:$F,'Revenue Sheet'!F$1,'OPs Data'!$D:$D,'Revenue Sheet'!$A36,'OPs Data'!$L:$L,'Revenue Sheet'!G$2)*VLOOKUP($F$1,'Rate Card'!$B:$E,MATCH('Revenue Sheet'!G$2,'Rate Card'!$B$2:$E$2,0),0))</f>
      </c>
      <c r="H36" s="57">
        <f>IF(A36&gt;TODAY(),"",SUMIFS('OPs Data'!$N:$N,'OPs Data'!$F:$F,'Revenue Sheet'!F$1,'OPs Data'!$D:$D,'Revenue Sheet'!$A36,'OPs Data'!$L:$L,'Revenue Sheet'!H$2)*VLOOKUP($F$1,'Rate Card'!$B:$E,MATCH('Revenue Sheet'!H$2,'Rate Card'!$B$2:$E$2,0),0))</f>
      </c>
      <c r="I36" s="57">
        <f>IF(A36&gt;TODAY(),"",SUMIFS('OPs Data'!$N:$N,'OPs Data'!$F:$F,'Revenue Sheet'!I$1,'OPs Data'!$D:$D,'Revenue Sheet'!$A36,'OPs Data'!$L:$L,'Revenue Sheet'!I$2)*VLOOKUP($I$1,'Rate Card'!$B:$E,MATCH('Revenue Sheet'!I$2,'Rate Card'!$B$2:$E$2,0),0))</f>
      </c>
      <c r="J36" s="57">
        <f>IF(A36&gt;TODAY(),"",SUMIFS('OPs Data'!$N:$N,'OPs Data'!$F:$F,'Revenue Sheet'!I$1,'OPs Data'!$D:$D,'Revenue Sheet'!$A36,'OPs Data'!$L:$L,'Revenue Sheet'!J$2)*VLOOKUP($I$1,'Rate Card'!$B:$E,MATCH('Revenue Sheet'!J$2,'Rate Card'!$B$2:$E$2,0),0))</f>
      </c>
      <c r="K36" s="57">
        <f>IF(A36&gt;TODAY(),"",SUMIFS('OPs Data'!$N:$N,'OPs Data'!$F:$F,'Revenue Sheet'!I$1,'OPs Data'!$D:$D,'Revenue Sheet'!$A36,'OPs Data'!$L:$L,'Revenue Sheet'!K$2)*VLOOKUP($I$1,'Rate Card'!$B:$E,MATCH('Revenue Sheet'!K$2,'Rate Card'!$B$2:$E$2,0),0))</f>
      </c>
      <c r="L36" s="57">
        <f>IF(A36&gt;TODAY(),"",SUMIFS('OPs Data'!$N:$N,'OPs Data'!$F:$F,'Revenue Sheet'!L$1,'OPs Data'!$D:$D,'Revenue Sheet'!$A36,'OPs Data'!$L:$L,'Revenue Sheet'!L$2)*VLOOKUP($L$1,'Rate Card'!$B:$E,MATCH('Revenue Sheet'!L$2,'Rate Card'!$B$2:$E$2,0),0))</f>
      </c>
      <c r="M36" s="57">
        <f>IF(A36&gt;TODAY(),"",SUMIFS('OPs Data'!$N:$N,'OPs Data'!$F:$F,'Revenue Sheet'!L$1,'OPs Data'!$D:$D,'Revenue Sheet'!$A36,'OPs Data'!$L:$L,'Revenue Sheet'!M$2)*VLOOKUP($L$1,'Rate Card'!$B:$E,MATCH('Revenue Sheet'!M$2,'Rate Card'!$B$2:$E$2,0),0))</f>
      </c>
      <c r="N36" s="57">
        <f>IF(A36&gt;TODAY(),"",SUMIFS('OPs Data'!$N:$N,'OPs Data'!$F:$F,'Revenue Sheet'!L$1,'OPs Data'!$D:$D,'Revenue Sheet'!$A36,'OPs Data'!$L:$L,'Revenue Sheet'!N$2)*VLOOKUP($L$1,'Rate Card'!$B:$E,MATCH('Revenue Sheet'!N$2,'Rate Card'!$B$2:$E$2,0),0))</f>
      </c>
      <c r="O36" s="57">
        <f>IF($A36&gt;TODAY(),"",SUM(C36,F36,I36,L36))</f>
      </c>
      <c r="P36" s="57">
        <f>IF($A36&gt;TODAY(),"",SUM(D36,G36,J36,M36))</f>
      </c>
      <c r="Q36" s="57">
        <f>IF($A36&gt;TODAY(),"",SUM(E36,H36,K36,N36))</f>
      </c>
      <c r="R36" s="58">
        <f>IF($A36&gt;TODAY(),"",SUM(O36:Q36))</f>
      </c>
    </row>
    <row x14ac:dyDescent="0.25" r="37" customHeight="1" ht="18.75">
      <c r="A37" s="55">
        <v>45768</v>
      </c>
      <c r="B37" s="56">
        <f>IF(A37&gt;TODAY(),"",COUNTA(_xlfn.UNIQUE(_xlfn._xlws.FILTER('OPs Data'!$K:$K,'OPs Data'!$D:$D='Revenue Sheet'!A37))))</f>
      </c>
      <c r="C37" s="57">
        <f>IF(A37&gt;TODAY(),"",SUMIFS('OPs Data'!$N:$N,'OPs Data'!$F:$F,'Revenue Sheet'!C$1,'OPs Data'!$D:$D,'Revenue Sheet'!$A37,'OPs Data'!$L:$L,'Revenue Sheet'!C$2)*VLOOKUP($C$1,'Rate Card'!$B:$E,MATCH('Revenue Sheet'!C$2,'Rate Card'!$B$2:$E$2,0),0))</f>
      </c>
      <c r="D37" s="57">
        <f>IF(A37&gt;TODAY(),"",SUMIFS('OPs Data'!$N:$N,'OPs Data'!$F:$F,'Revenue Sheet'!C$1,'OPs Data'!$D:$D,'Revenue Sheet'!$A37,'OPs Data'!$L:$L,'Revenue Sheet'!D$2)*VLOOKUP($C$1,'Rate Card'!$B:$E,MATCH('Revenue Sheet'!D$2,'Rate Card'!$B$2:$E$2,0),0))</f>
      </c>
      <c r="E37" s="57">
        <f>IF(A37&gt;TODAY(),"",SUMIFS('OPs Data'!$N:$N,'OPs Data'!$F:$F,'Revenue Sheet'!C$1,'OPs Data'!$D:$D,'Revenue Sheet'!$A37,'OPs Data'!$L:$L,'Revenue Sheet'!E$2)*VLOOKUP($C$1,'Rate Card'!$B:$E,MATCH('Revenue Sheet'!E$2,'Rate Card'!$B$2:$E$2,0),0))</f>
      </c>
      <c r="F37" s="57">
        <f>IF(A37&gt;TODAY(),"",SUMIFS('OPs Data'!$N:$N,'OPs Data'!$F:$F,'Revenue Sheet'!F$1,'OPs Data'!$D:$D,'Revenue Sheet'!$A37,'OPs Data'!$L:$L,'Revenue Sheet'!F$2)*VLOOKUP($F$1,'Rate Card'!$B:$E,MATCH('Revenue Sheet'!F$2,'Rate Card'!$B$2:$E$2,0),0))</f>
      </c>
      <c r="G37" s="57">
        <f>IF(A37&gt;TODAY(),"",SUMIFS('OPs Data'!$N:$N,'OPs Data'!$F:$F,'Revenue Sheet'!F$1,'OPs Data'!$D:$D,'Revenue Sheet'!$A37,'OPs Data'!$L:$L,'Revenue Sheet'!G$2)*VLOOKUP($F$1,'Rate Card'!$B:$E,MATCH('Revenue Sheet'!G$2,'Rate Card'!$B$2:$E$2,0),0))</f>
      </c>
      <c r="H37" s="57">
        <f>IF(A37&gt;TODAY(),"",SUMIFS('OPs Data'!$N:$N,'OPs Data'!$F:$F,'Revenue Sheet'!F$1,'OPs Data'!$D:$D,'Revenue Sheet'!$A37,'OPs Data'!$L:$L,'Revenue Sheet'!H$2)*VLOOKUP($F$1,'Rate Card'!$B:$E,MATCH('Revenue Sheet'!H$2,'Rate Card'!$B$2:$E$2,0),0))</f>
      </c>
      <c r="I37" s="57">
        <f>IF(A37&gt;TODAY(),"",SUMIFS('OPs Data'!$N:$N,'OPs Data'!$F:$F,'Revenue Sheet'!I$1,'OPs Data'!$D:$D,'Revenue Sheet'!$A37,'OPs Data'!$L:$L,'Revenue Sheet'!I$2)*VLOOKUP($I$1,'Rate Card'!$B:$E,MATCH('Revenue Sheet'!I$2,'Rate Card'!$B$2:$E$2,0),0))</f>
      </c>
      <c r="J37" s="57">
        <f>IF(A37&gt;TODAY(),"",SUMIFS('OPs Data'!$N:$N,'OPs Data'!$F:$F,'Revenue Sheet'!I$1,'OPs Data'!$D:$D,'Revenue Sheet'!$A37,'OPs Data'!$L:$L,'Revenue Sheet'!J$2)*VLOOKUP($I$1,'Rate Card'!$B:$E,MATCH('Revenue Sheet'!J$2,'Rate Card'!$B$2:$E$2,0),0))</f>
      </c>
      <c r="K37" s="57">
        <f>IF(A37&gt;TODAY(),"",SUMIFS('OPs Data'!$N:$N,'OPs Data'!$F:$F,'Revenue Sheet'!I$1,'OPs Data'!$D:$D,'Revenue Sheet'!$A37,'OPs Data'!$L:$L,'Revenue Sheet'!K$2)*VLOOKUP($I$1,'Rate Card'!$B:$E,MATCH('Revenue Sheet'!K$2,'Rate Card'!$B$2:$E$2,0),0))</f>
      </c>
      <c r="L37" s="57">
        <f>IF(A37&gt;TODAY(),"",SUMIFS('OPs Data'!$N:$N,'OPs Data'!$F:$F,'Revenue Sheet'!L$1,'OPs Data'!$D:$D,'Revenue Sheet'!$A37,'OPs Data'!$L:$L,'Revenue Sheet'!L$2)*VLOOKUP($L$1,'Rate Card'!$B:$E,MATCH('Revenue Sheet'!L$2,'Rate Card'!$B$2:$E$2,0),0))</f>
      </c>
      <c r="M37" s="57">
        <f>IF(A37&gt;TODAY(),"",SUMIFS('OPs Data'!$N:$N,'OPs Data'!$F:$F,'Revenue Sheet'!L$1,'OPs Data'!$D:$D,'Revenue Sheet'!$A37,'OPs Data'!$L:$L,'Revenue Sheet'!M$2)*VLOOKUP($L$1,'Rate Card'!$B:$E,MATCH('Revenue Sheet'!M$2,'Rate Card'!$B$2:$E$2,0),0))</f>
      </c>
      <c r="N37" s="57">
        <f>IF(A37&gt;TODAY(),"",SUMIFS('OPs Data'!$N:$N,'OPs Data'!$F:$F,'Revenue Sheet'!L$1,'OPs Data'!$D:$D,'Revenue Sheet'!$A37,'OPs Data'!$L:$L,'Revenue Sheet'!N$2)*VLOOKUP($L$1,'Rate Card'!$B:$E,MATCH('Revenue Sheet'!N$2,'Rate Card'!$B$2:$E$2,0),0))</f>
      </c>
      <c r="O37" s="57">
        <f>IF($A37&gt;TODAY(),"",SUM(C37,F37,I37,L37))</f>
      </c>
      <c r="P37" s="57">
        <f>IF($A37&gt;TODAY(),"",SUM(D37,G37,J37,M37))</f>
      </c>
      <c r="Q37" s="57">
        <f>IF($A37&gt;TODAY(),"",SUM(E37,H37,K37,N37))</f>
      </c>
      <c r="R37" s="58">
        <f>IF($A37&gt;TODAY(),"",SUM(O37:Q37))</f>
      </c>
    </row>
    <row x14ac:dyDescent="0.25" r="38" customHeight="1" ht="18.75">
      <c r="A38" s="55">
        <v>45769</v>
      </c>
      <c r="B38" s="56">
        <f>IF(A38&gt;TODAY(),"",COUNTA(_xlfn.UNIQUE(_xlfn._xlws.FILTER('OPs Data'!$K:$K,'OPs Data'!$D:$D='Revenue Sheet'!A38))))</f>
      </c>
      <c r="C38" s="57">
        <f>IF(A38&gt;TODAY(),"",SUMIFS('OPs Data'!$N:$N,'OPs Data'!$F:$F,'Revenue Sheet'!C$1,'OPs Data'!$D:$D,'Revenue Sheet'!$A38,'OPs Data'!$L:$L,'Revenue Sheet'!C$2)*VLOOKUP($C$1,'Rate Card'!$B:$E,MATCH('Revenue Sheet'!C$2,'Rate Card'!$B$2:$E$2,0),0))</f>
      </c>
      <c r="D38" s="57">
        <f>IF(A38&gt;TODAY(),"",SUMIFS('OPs Data'!$N:$N,'OPs Data'!$F:$F,'Revenue Sheet'!C$1,'OPs Data'!$D:$D,'Revenue Sheet'!$A38,'OPs Data'!$L:$L,'Revenue Sheet'!D$2)*VLOOKUP($C$1,'Rate Card'!$B:$E,MATCH('Revenue Sheet'!D$2,'Rate Card'!$B$2:$E$2,0),0))</f>
      </c>
      <c r="E38" s="57">
        <f>IF(A38&gt;TODAY(),"",SUMIFS('OPs Data'!$N:$N,'OPs Data'!$F:$F,'Revenue Sheet'!C$1,'OPs Data'!$D:$D,'Revenue Sheet'!$A38,'OPs Data'!$L:$L,'Revenue Sheet'!E$2)*VLOOKUP($C$1,'Rate Card'!$B:$E,MATCH('Revenue Sheet'!E$2,'Rate Card'!$B$2:$E$2,0),0))</f>
      </c>
      <c r="F38" s="57">
        <f>IF(A38&gt;TODAY(),"",SUMIFS('OPs Data'!$N:$N,'OPs Data'!$F:$F,'Revenue Sheet'!F$1,'OPs Data'!$D:$D,'Revenue Sheet'!$A38,'OPs Data'!$L:$L,'Revenue Sheet'!F$2)*VLOOKUP($F$1,'Rate Card'!$B:$E,MATCH('Revenue Sheet'!F$2,'Rate Card'!$B$2:$E$2,0),0))</f>
      </c>
      <c r="G38" s="57">
        <f>IF(A38&gt;TODAY(),"",SUMIFS('OPs Data'!$N:$N,'OPs Data'!$F:$F,'Revenue Sheet'!F$1,'OPs Data'!$D:$D,'Revenue Sheet'!$A38,'OPs Data'!$L:$L,'Revenue Sheet'!G$2)*VLOOKUP($F$1,'Rate Card'!$B:$E,MATCH('Revenue Sheet'!G$2,'Rate Card'!$B$2:$E$2,0),0))</f>
      </c>
      <c r="H38" s="57">
        <f>IF(A38&gt;TODAY(),"",SUMIFS('OPs Data'!$N:$N,'OPs Data'!$F:$F,'Revenue Sheet'!F$1,'OPs Data'!$D:$D,'Revenue Sheet'!$A38,'OPs Data'!$L:$L,'Revenue Sheet'!H$2)*VLOOKUP($F$1,'Rate Card'!$B:$E,MATCH('Revenue Sheet'!H$2,'Rate Card'!$B$2:$E$2,0),0))</f>
      </c>
      <c r="I38" s="57">
        <f>IF(A38&gt;TODAY(),"",SUMIFS('OPs Data'!$N:$N,'OPs Data'!$F:$F,'Revenue Sheet'!I$1,'OPs Data'!$D:$D,'Revenue Sheet'!$A38,'OPs Data'!$L:$L,'Revenue Sheet'!I$2)*VLOOKUP($I$1,'Rate Card'!$B:$E,MATCH('Revenue Sheet'!I$2,'Rate Card'!$B$2:$E$2,0),0))</f>
      </c>
      <c r="J38" s="57">
        <f>IF(A38&gt;TODAY(),"",SUMIFS('OPs Data'!$N:$N,'OPs Data'!$F:$F,'Revenue Sheet'!I$1,'OPs Data'!$D:$D,'Revenue Sheet'!$A38,'OPs Data'!$L:$L,'Revenue Sheet'!J$2)*VLOOKUP($I$1,'Rate Card'!$B:$E,MATCH('Revenue Sheet'!J$2,'Rate Card'!$B$2:$E$2,0),0))</f>
      </c>
      <c r="K38" s="57">
        <f>IF(A38&gt;TODAY(),"",SUMIFS('OPs Data'!$N:$N,'OPs Data'!$F:$F,'Revenue Sheet'!I$1,'OPs Data'!$D:$D,'Revenue Sheet'!$A38,'OPs Data'!$L:$L,'Revenue Sheet'!K$2)*VLOOKUP($I$1,'Rate Card'!$B:$E,MATCH('Revenue Sheet'!K$2,'Rate Card'!$B$2:$E$2,0),0))</f>
      </c>
      <c r="L38" s="57">
        <f>IF(A38&gt;TODAY(),"",SUMIFS('OPs Data'!$N:$N,'OPs Data'!$F:$F,'Revenue Sheet'!L$1,'OPs Data'!$D:$D,'Revenue Sheet'!$A38,'OPs Data'!$L:$L,'Revenue Sheet'!L$2)*VLOOKUP($L$1,'Rate Card'!$B:$E,MATCH('Revenue Sheet'!L$2,'Rate Card'!$B$2:$E$2,0),0))</f>
      </c>
      <c r="M38" s="57">
        <f>IF(A38&gt;TODAY(),"",SUMIFS('OPs Data'!$N:$N,'OPs Data'!$F:$F,'Revenue Sheet'!L$1,'OPs Data'!$D:$D,'Revenue Sheet'!$A38,'OPs Data'!$L:$L,'Revenue Sheet'!M$2)*VLOOKUP($L$1,'Rate Card'!$B:$E,MATCH('Revenue Sheet'!M$2,'Rate Card'!$B$2:$E$2,0),0))</f>
      </c>
      <c r="N38" s="57">
        <f>IF(A38&gt;TODAY(),"",SUMIFS('OPs Data'!$N:$N,'OPs Data'!$F:$F,'Revenue Sheet'!L$1,'OPs Data'!$D:$D,'Revenue Sheet'!$A38,'OPs Data'!$L:$L,'Revenue Sheet'!N$2)*VLOOKUP($L$1,'Rate Card'!$B:$E,MATCH('Revenue Sheet'!N$2,'Rate Card'!$B$2:$E$2,0),0))</f>
      </c>
      <c r="O38" s="57">
        <f>IF($A38&gt;TODAY(),"",SUM(C38,F38,I38,L38))</f>
      </c>
      <c r="P38" s="57">
        <f>IF($A38&gt;TODAY(),"",SUM(D38,G38,J38,M38))</f>
      </c>
      <c r="Q38" s="57">
        <f>IF($A38&gt;TODAY(),"",SUM(E38,H38,K38,N38))</f>
      </c>
      <c r="R38" s="58">
        <f>IF($A38&gt;TODAY(),"",SUM(O38:Q38))</f>
      </c>
    </row>
    <row x14ac:dyDescent="0.25" r="39" customHeight="1" ht="18.75">
      <c r="A39" s="55">
        <v>45770</v>
      </c>
      <c r="B39" s="56">
        <f>IF(A39&gt;TODAY(),"",COUNTA(_xlfn.UNIQUE(_xlfn._xlws.FILTER('OPs Data'!$K:$K,'OPs Data'!$D:$D='Revenue Sheet'!A39))))</f>
      </c>
      <c r="C39" s="57">
        <f>IF(A39&gt;TODAY(),"",SUMIFS('OPs Data'!$N:$N,'OPs Data'!$F:$F,'Revenue Sheet'!C$1,'OPs Data'!$D:$D,'Revenue Sheet'!$A39,'OPs Data'!$L:$L,'Revenue Sheet'!C$2)*VLOOKUP($C$1,'Rate Card'!$B:$E,MATCH('Revenue Sheet'!C$2,'Rate Card'!$B$2:$E$2,0),0))</f>
      </c>
      <c r="D39" s="57">
        <f>IF(A39&gt;TODAY(),"",SUMIFS('OPs Data'!$N:$N,'OPs Data'!$F:$F,'Revenue Sheet'!C$1,'OPs Data'!$D:$D,'Revenue Sheet'!$A39,'OPs Data'!$L:$L,'Revenue Sheet'!D$2)*VLOOKUP($C$1,'Rate Card'!$B:$E,MATCH('Revenue Sheet'!D$2,'Rate Card'!$B$2:$E$2,0),0))</f>
      </c>
      <c r="E39" s="57">
        <f>IF(A39&gt;TODAY(),"",SUMIFS('OPs Data'!$N:$N,'OPs Data'!$F:$F,'Revenue Sheet'!C$1,'OPs Data'!$D:$D,'Revenue Sheet'!$A39,'OPs Data'!$L:$L,'Revenue Sheet'!E$2)*VLOOKUP($C$1,'Rate Card'!$B:$E,MATCH('Revenue Sheet'!E$2,'Rate Card'!$B$2:$E$2,0),0))</f>
      </c>
      <c r="F39" s="57">
        <f>IF(A39&gt;TODAY(),"",SUMIFS('OPs Data'!$N:$N,'OPs Data'!$F:$F,'Revenue Sheet'!F$1,'OPs Data'!$D:$D,'Revenue Sheet'!$A39,'OPs Data'!$L:$L,'Revenue Sheet'!F$2)*VLOOKUP($F$1,'Rate Card'!$B:$E,MATCH('Revenue Sheet'!F$2,'Rate Card'!$B$2:$E$2,0),0))</f>
      </c>
      <c r="G39" s="57">
        <f>IF(A39&gt;TODAY(),"",SUMIFS('OPs Data'!$N:$N,'OPs Data'!$F:$F,'Revenue Sheet'!F$1,'OPs Data'!$D:$D,'Revenue Sheet'!$A39,'OPs Data'!$L:$L,'Revenue Sheet'!G$2)*VLOOKUP($F$1,'Rate Card'!$B:$E,MATCH('Revenue Sheet'!G$2,'Rate Card'!$B$2:$E$2,0),0))</f>
      </c>
      <c r="H39" s="57">
        <f>IF(A39&gt;TODAY(),"",SUMIFS('OPs Data'!$N:$N,'OPs Data'!$F:$F,'Revenue Sheet'!F$1,'OPs Data'!$D:$D,'Revenue Sheet'!$A39,'OPs Data'!$L:$L,'Revenue Sheet'!H$2)*VLOOKUP($F$1,'Rate Card'!$B:$E,MATCH('Revenue Sheet'!H$2,'Rate Card'!$B$2:$E$2,0),0))</f>
      </c>
      <c r="I39" s="57">
        <f>IF(A39&gt;TODAY(),"",SUMIFS('OPs Data'!$N:$N,'OPs Data'!$F:$F,'Revenue Sheet'!I$1,'OPs Data'!$D:$D,'Revenue Sheet'!$A39,'OPs Data'!$L:$L,'Revenue Sheet'!I$2)*VLOOKUP($I$1,'Rate Card'!$B:$E,MATCH('Revenue Sheet'!I$2,'Rate Card'!$B$2:$E$2,0),0))</f>
      </c>
      <c r="J39" s="57">
        <f>IF(A39&gt;TODAY(),"",SUMIFS('OPs Data'!$N:$N,'OPs Data'!$F:$F,'Revenue Sheet'!I$1,'OPs Data'!$D:$D,'Revenue Sheet'!$A39,'OPs Data'!$L:$L,'Revenue Sheet'!J$2)*VLOOKUP($I$1,'Rate Card'!$B:$E,MATCH('Revenue Sheet'!J$2,'Rate Card'!$B$2:$E$2,0),0))</f>
      </c>
      <c r="K39" s="57">
        <f>IF(A39&gt;TODAY(),"",SUMIFS('OPs Data'!$N:$N,'OPs Data'!$F:$F,'Revenue Sheet'!I$1,'OPs Data'!$D:$D,'Revenue Sheet'!$A39,'OPs Data'!$L:$L,'Revenue Sheet'!K$2)*VLOOKUP($I$1,'Rate Card'!$B:$E,MATCH('Revenue Sheet'!K$2,'Rate Card'!$B$2:$E$2,0),0))</f>
      </c>
      <c r="L39" s="57">
        <f>IF(A39&gt;TODAY(),"",SUMIFS('OPs Data'!$N:$N,'OPs Data'!$F:$F,'Revenue Sheet'!L$1,'OPs Data'!$D:$D,'Revenue Sheet'!$A39,'OPs Data'!$L:$L,'Revenue Sheet'!L$2)*VLOOKUP($L$1,'Rate Card'!$B:$E,MATCH('Revenue Sheet'!L$2,'Rate Card'!$B$2:$E$2,0),0))</f>
      </c>
      <c r="M39" s="57">
        <f>IF(A39&gt;TODAY(),"",SUMIFS('OPs Data'!$N:$N,'OPs Data'!$F:$F,'Revenue Sheet'!L$1,'OPs Data'!$D:$D,'Revenue Sheet'!$A39,'OPs Data'!$L:$L,'Revenue Sheet'!M$2)*VLOOKUP($L$1,'Rate Card'!$B:$E,MATCH('Revenue Sheet'!M$2,'Rate Card'!$B$2:$E$2,0),0))</f>
      </c>
      <c r="N39" s="57">
        <f>IF(A39&gt;TODAY(),"",SUMIFS('OPs Data'!$N:$N,'OPs Data'!$F:$F,'Revenue Sheet'!L$1,'OPs Data'!$D:$D,'Revenue Sheet'!$A39,'OPs Data'!$L:$L,'Revenue Sheet'!N$2)*VLOOKUP($L$1,'Rate Card'!$B:$E,MATCH('Revenue Sheet'!N$2,'Rate Card'!$B$2:$E$2,0),0))</f>
      </c>
      <c r="O39" s="57">
        <f>IF($A39&gt;TODAY(),"",SUM(C39,F39,I39,L39))</f>
      </c>
      <c r="P39" s="57">
        <f>IF($A39&gt;TODAY(),"",SUM(D39,G39,J39,M39))</f>
      </c>
      <c r="Q39" s="57">
        <f>IF($A39&gt;TODAY(),"",SUM(E39,H39,K39,N39))</f>
      </c>
      <c r="R39" s="58">
        <f>IF($A39&gt;TODAY(),"",SUM(O39:Q39))</f>
      </c>
    </row>
    <row x14ac:dyDescent="0.25" r="40" customHeight="1" ht="18.75">
      <c r="A40" s="55">
        <v>45771</v>
      </c>
      <c r="B40" s="56">
        <f>IF(A40&gt;TODAY(),"",COUNTA(_xlfn.UNIQUE(_xlfn._xlws.FILTER('OPs Data'!$K:$K,'OPs Data'!$D:$D='Revenue Sheet'!A40))))</f>
      </c>
      <c r="C40" s="57">
        <f>IF(A40&gt;TODAY(),"",SUMIFS('OPs Data'!$N:$N,'OPs Data'!$F:$F,'Revenue Sheet'!C$1,'OPs Data'!$D:$D,'Revenue Sheet'!$A40,'OPs Data'!$L:$L,'Revenue Sheet'!C$2)*VLOOKUP($C$1,'Rate Card'!$B:$E,MATCH('Revenue Sheet'!C$2,'Rate Card'!$B$2:$E$2,0),0))</f>
      </c>
      <c r="D40" s="57">
        <f>IF(A40&gt;TODAY(),"",SUMIFS('OPs Data'!$N:$N,'OPs Data'!$F:$F,'Revenue Sheet'!C$1,'OPs Data'!$D:$D,'Revenue Sheet'!$A40,'OPs Data'!$L:$L,'Revenue Sheet'!D$2)*VLOOKUP($C$1,'Rate Card'!$B:$E,MATCH('Revenue Sheet'!D$2,'Rate Card'!$B$2:$E$2,0),0))</f>
      </c>
      <c r="E40" s="57">
        <f>IF(A40&gt;TODAY(),"",SUMIFS('OPs Data'!$N:$N,'OPs Data'!$F:$F,'Revenue Sheet'!C$1,'OPs Data'!$D:$D,'Revenue Sheet'!$A40,'OPs Data'!$L:$L,'Revenue Sheet'!E$2)*VLOOKUP($C$1,'Rate Card'!$B:$E,MATCH('Revenue Sheet'!E$2,'Rate Card'!$B$2:$E$2,0),0))</f>
      </c>
      <c r="F40" s="57">
        <f>IF(A40&gt;TODAY(),"",SUMIFS('OPs Data'!$N:$N,'OPs Data'!$F:$F,'Revenue Sheet'!F$1,'OPs Data'!$D:$D,'Revenue Sheet'!$A40,'OPs Data'!$L:$L,'Revenue Sheet'!F$2)*VLOOKUP($F$1,'Rate Card'!$B:$E,MATCH('Revenue Sheet'!F$2,'Rate Card'!$B$2:$E$2,0),0))</f>
      </c>
      <c r="G40" s="57">
        <f>IF(A40&gt;TODAY(),"",SUMIFS('OPs Data'!$N:$N,'OPs Data'!$F:$F,'Revenue Sheet'!F$1,'OPs Data'!$D:$D,'Revenue Sheet'!$A40,'OPs Data'!$L:$L,'Revenue Sheet'!G$2)*VLOOKUP($F$1,'Rate Card'!$B:$E,MATCH('Revenue Sheet'!G$2,'Rate Card'!$B$2:$E$2,0),0))</f>
      </c>
      <c r="H40" s="57">
        <f>IF(A40&gt;TODAY(),"",SUMIFS('OPs Data'!$N:$N,'OPs Data'!$F:$F,'Revenue Sheet'!F$1,'OPs Data'!$D:$D,'Revenue Sheet'!$A40,'OPs Data'!$L:$L,'Revenue Sheet'!H$2)*VLOOKUP($F$1,'Rate Card'!$B:$E,MATCH('Revenue Sheet'!H$2,'Rate Card'!$B$2:$E$2,0),0))</f>
      </c>
      <c r="I40" s="57">
        <f>IF(A40&gt;TODAY(),"",SUMIFS('OPs Data'!$N:$N,'OPs Data'!$F:$F,'Revenue Sheet'!I$1,'OPs Data'!$D:$D,'Revenue Sheet'!$A40,'OPs Data'!$L:$L,'Revenue Sheet'!I$2)*VLOOKUP($I$1,'Rate Card'!$B:$E,MATCH('Revenue Sheet'!I$2,'Rate Card'!$B$2:$E$2,0),0))</f>
      </c>
      <c r="J40" s="57">
        <f>IF(A40&gt;TODAY(),"",SUMIFS('OPs Data'!$N:$N,'OPs Data'!$F:$F,'Revenue Sheet'!I$1,'OPs Data'!$D:$D,'Revenue Sheet'!$A40,'OPs Data'!$L:$L,'Revenue Sheet'!J$2)*VLOOKUP($I$1,'Rate Card'!$B:$E,MATCH('Revenue Sheet'!J$2,'Rate Card'!$B$2:$E$2,0),0))</f>
      </c>
      <c r="K40" s="57">
        <f>IF(A40&gt;TODAY(),"",SUMIFS('OPs Data'!$N:$N,'OPs Data'!$F:$F,'Revenue Sheet'!I$1,'OPs Data'!$D:$D,'Revenue Sheet'!$A40,'OPs Data'!$L:$L,'Revenue Sheet'!K$2)*VLOOKUP($I$1,'Rate Card'!$B:$E,MATCH('Revenue Sheet'!K$2,'Rate Card'!$B$2:$E$2,0),0))</f>
      </c>
      <c r="L40" s="57">
        <f>IF(A40&gt;TODAY(),"",SUMIFS('OPs Data'!$N:$N,'OPs Data'!$F:$F,'Revenue Sheet'!L$1,'OPs Data'!$D:$D,'Revenue Sheet'!$A40,'OPs Data'!$L:$L,'Revenue Sheet'!L$2)*VLOOKUP($L$1,'Rate Card'!$B:$E,MATCH('Revenue Sheet'!L$2,'Rate Card'!$B$2:$E$2,0),0))</f>
      </c>
      <c r="M40" s="57">
        <f>IF(A40&gt;TODAY(),"",SUMIFS('OPs Data'!$N:$N,'OPs Data'!$F:$F,'Revenue Sheet'!L$1,'OPs Data'!$D:$D,'Revenue Sheet'!$A40,'OPs Data'!$L:$L,'Revenue Sheet'!M$2)*VLOOKUP($L$1,'Rate Card'!$B:$E,MATCH('Revenue Sheet'!M$2,'Rate Card'!$B$2:$E$2,0),0))</f>
      </c>
      <c r="N40" s="57">
        <f>IF(A40&gt;TODAY(),"",SUMIFS('OPs Data'!$N:$N,'OPs Data'!$F:$F,'Revenue Sheet'!L$1,'OPs Data'!$D:$D,'Revenue Sheet'!$A40,'OPs Data'!$L:$L,'Revenue Sheet'!N$2)*VLOOKUP($L$1,'Rate Card'!$B:$E,MATCH('Revenue Sheet'!N$2,'Rate Card'!$B$2:$E$2,0),0))</f>
      </c>
      <c r="O40" s="57">
        <f>IF($A40&gt;TODAY(),"",SUM(C40,F40,I40,L40))</f>
      </c>
      <c r="P40" s="57">
        <f>IF($A40&gt;TODAY(),"",SUM(D40,G40,J40,M40))</f>
      </c>
      <c r="Q40" s="57">
        <f>IF($A40&gt;TODAY(),"",SUM(E40,H40,K40,N40))</f>
      </c>
      <c r="R40" s="58">
        <f>IF($A40&gt;TODAY(),"",SUM(O40:Q40))</f>
      </c>
    </row>
    <row x14ac:dyDescent="0.25" r="41" customHeight="1" ht="18.75">
      <c r="A41" s="55">
        <v>45772</v>
      </c>
      <c r="B41" s="56">
        <f>IF(A41&gt;TODAY(),"",COUNTA(_xlfn.UNIQUE(_xlfn._xlws.FILTER('OPs Data'!$K:$K,'OPs Data'!$D:$D='Revenue Sheet'!A41))))</f>
      </c>
      <c r="C41" s="57">
        <f>IF(A41&gt;TODAY(),"",SUMIFS('OPs Data'!$N:$N,'OPs Data'!$F:$F,'Revenue Sheet'!C$1,'OPs Data'!$D:$D,'Revenue Sheet'!$A41,'OPs Data'!$L:$L,'Revenue Sheet'!C$2)*VLOOKUP($C$1,'Rate Card'!$B:$E,MATCH('Revenue Sheet'!C$2,'Rate Card'!$B$2:$E$2,0),0))</f>
      </c>
      <c r="D41" s="57">
        <f>IF(A41&gt;TODAY(),"",SUMIFS('OPs Data'!$N:$N,'OPs Data'!$F:$F,'Revenue Sheet'!C$1,'OPs Data'!$D:$D,'Revenue Sheet'!$A41,'OPs Data'!$L:$L,'Revenue Sheet'!D$2)*VLOOKUP($C$1,'Rate Card'!$B:$E,MATCH('Revenue Sheet'!D$2,'Rate Card'!$B$2:$E$2,0),0))</f>
      </c>
      <c r="E41" s="57">
        <f>IF(A41&gt;TODAY(),"",SUMIFS('OPs Data'!$N:$N,'OPs Data'!$F:$F,'Revenue Sheet'!C$1,'OPs Data'!$D:$D,'Revenue Sheet'!$A41,'OPs Data'!$L:$L,'Revenue Sheet'!E$2)*VLOOKUP($C$1,'Rate Card'!$B:$E,MATCH('Revenue Sheet'!E$2,'Rate Card'!$B$2:$E$2,0),0))</f>
      </c>
      <c r="F41" s="57">
        <f>IF(A41&gt;TODAY(),"",SUMIFS('OPs Data'!$N:$N,'OPs Data'!$F:$F,'Revenue Sheet'!F$1,'OPs Data'!$D:$D,'Revenue Sheet'!$A41,'OPs Data'!$L:$L,'Revenue Sheet'!F$2)*VLOOKUP($F$1,'Rate Card'!$B:$E,MATCH('Revenue Sheet'!F$2,'Rate Card'!$B$2:$E$2,0),0))</f>
      </c>
      <c r="G41" s="57">
        <f>IF(A41&gt;TODAY(),"",SUMIFS('OPs Data'!$N:$N,'OPs Data'!$F:$F,'Revenue Sheet'!F$1,'OPs Data'!$D:$D,'Revenue Sheet'!$A41,'OPs Data'!$L:$L,'Revenue Sheet'!G$2)*VLOOKUP($F$1,'Rate Card'!$B:$E,MATCH('Revenue Sheet'!G$2,'Rate Card'!$B$2:$E$2,0),0))</f>
      </c>
      <c r="H41" s="57">
        <f>IF(A41&gt;TODAY(),"",SUMIFS('OPs Data'!$N:$N,'OPs Data'!$F:$F,'Revenue Sheet'!F$1,'OPs Data'!$D:$D,'Revenue Sheet'!$A41,'OPs Data'!$L:$L,'Revenue Sheet'!H$2)*VLOOKUP($F$1,'Rate Card'!$B:$E,MATCH('Revenue Sheet'!H$2,'Rate Card'!$B$2:$E$2,0),0))</f>
      </c>
      <c r="I41" s="57">
        <f>IF(A41&gt;TODAY(),"",SUMIFS('OPs Data'!$N:$N,'OPs Data'!$F:$F,'Revenue Sheet'!I$1,'OPs Data'!$D:$D,'Revenue Sheet'!$A41,'OPs Data'!$L:$L,'Revenue Sheet'!I$2)*VLOOKUP($I$1,'Rate Card'!$B:$E,MATCH('Revenue Sheet'!I$2,'Rate Card'!$B$2:$E$2,0),0))</f>
      </c>
      <c r="J41" s="57">
        <f>IF(A41&gt;TODAY(),"",SUMIFS('OPs Data'!$N:$N,'OPs Data'!$F:$F,'Revenue Sheet'!I$1,'OPs Data'!$D:$D,'Revenue Sheet'!$A41,'OPs Data'!$L:$L,'Revenue Sheet'!J$2)*VLOOKUP($I$1,'Rate Card'!$B:$E,MATCH('Revenue Sheet'!J$2,'Rate Card'!$B$2:$E$2,0),0))</f>
      </c>
      <c r="K41" s="57">
        <f>IF(A41&gt;TODAY(),"",SUMIFS('OPs Data'!$N:$N,'OPs Data'!$F:$F,'Revenue Sheet'!I$1,'OPs Data'!$D:$D,'Revenue Sheet'!$A41,'OPs Data'!$L:$L,'Revenue Sheet'!K$2)*VLOOKUP($I$1,'Rate Card'!$B:$E,MATCH('Revenue Sheet'!K$2,'Rate Card'!$B$2:$E$2,0),0))</f>
      </c>
      <c r="L41" s="57">
        <f>IF(A41&gt;TODAY(),"",SUMIFS('OPs Data'!$N:$N,'OPs Data'!$F:$F,'Revenue Sheet'!L$1,'OPs Data'!$D:$D,'Revenue Sheet'!$A41,'OPs Data'!$L:$L,'Revenue Sheet'!L$2)*VLOOKUP($L$1,'Rate Card'!$B:$E,MATCH('Revenue Sheet'!L$2,'Rate Card'!$B$2:$E$2,0),0))</f>
      </c>
      <c r="M41" s="57">
        <f>IF(A41&gt;TODAY(),"",SUMIFS('OPs Data'!$N:$N,'OPs Data'!$F:$F,'Revenue Sheet'!L$1,'OPs Data'!$D:$D,'Revenue Sheet'!$A41,'OPs Data'!$L:$L,'Revenue Sheet'!M$2)*VLOOKUP($L$1,'Rate Card'!$B:$E,MATCH('Revenue Sheet'!M$2,'Rate Card'!$B$2:$E$2,0),0))</f>
      </c>
      <c r="N41" s="57">
        <f>IF(A41&gt;TODAY(),"",SUMIFS('OPs Data'!$N:$N,'OPs Data'!$F:$F,'Revenue Sheet'!L$1,'OPs Data'!$D:$D,'Revenue Sheet'!$A41,'OPs Data'!$L:$L,'Revenue Sheet'!N$2)*VLOOKUP($L$1,'Rate Card'!$B:$E,MATCH('Revenue Sheet'!N$2,'Rate Card'!$B$2:$E$2,0),0))</f>
      </c>
      <c r="O41" s="57">
        <f>IF($A41&gt;TODAY(),"",SUM(C41,F41,I41,L41))</f>
      </c>
      <c r="P41" s="57">
        <f>IF($A41&gt;TODAY(),"",SUM(D41,G41,J41,M41))</f>
      </c>
      <c r="Q41" s="57">
        <f>IF($A41&gt;TODAY(),"",SUM(E41,H41,K41,N41))</f>
      </c>
      <c r="R41" s="58">
        <f>IF($A41&gt;TODAY(),"",SUM(O41:Q41))</f>
      </c>
    </row>
    <row x14ac:dyDescent="0.25" r="42" customHeight="1" ht="18.75">
      <c r="A42" s="55">
        <v>45773</v>
      </c>
      <c r="B42" s="56">
        <f>IF(A42&gt;TODAY(),"",COUNTA(_xlfn.UNIQUE(_xlfn._xlws.FILTER('OPs Data'!$K:$K,'OPs Data'!$D:$D='Revenue Sheet'!A42))))</f>
      </c>
      <c r="C42" s="57">
        <f>IF(A42&gt;TODAY(),"",SUMIFS('OPs Data'!$N:$N,'OPs Data'!$F:$F,'Revenue Sheet'!C$1,'OPs Data'!$D:$D,'Revenue Sheet'!$A42,'OPs Data'!$L:$L,'Revenue Sheet'!C$2)*VLOOKUP($C$1,'Rate Card'!$B:$E,MATCH('Revenue Sheet'!C$2,'Rate Card'!$B$2:$E$2,0),0))</f>
      </c>
      <c r="D42" s="57">
        <f>IF(A42&gt;TODAY(),"",SUMIFS('OPs Data'!$N:$N,'OPs Data'!$F:$F,'Revenue Sheet'!C$1,'OPs Data'!$D:$D,'Revenue Sheet'!$A42,'OPs Data'!$L:$L,'Revenue Sheet'!D$2)*VLOOKUP($C$1,'Rate Card'!$B:$E,MATCH('Revenue Sheet'!D$2,'Rate Card'!$B$2:$E$2,0),0))</f>
      </c>
      <c r="E42" s="57">
        <f>IF(A42&gt;TODAY(),"",SUMIFS('OPs Data'!$N:$N,'OPs Data'!$F:$F,'Revenue Sheet'!C$1,'OPs Data'!$D:$D,'Revenue Sheet'!$A42,'OPs Data'!$L:$L,'Revenue Sheet'!E$2)*VLOOKUP($C$1,'Rate Card'!$B:$E,MATCH('Revenue Sheet'!E$2,'Rate Card'!$B$2:$E$2,0),0))</f>
      </c>
      <c r="F42" s="57">
        <f>IF(A42&gt;TODAY(),"",SUMIFS('OPs Data'!$N:$N,'OPs Data'!$F:$F,'Revenue Sheet'!F$1,'OPs Data'!$D:$D,'Revenue Sheet'!$A42,'OPs Data'!$L:$L,'Revenue Sheet'!F$2)*VLOOKUP($F$1,'Rate Card'!$B:$E,MATCH('Revenue Sheet'!F$2,'Rate Card'!$B$2:$E$2,0),0))</f>
      </c>
      <c r="G42" s="57">
        <f>IF(A42&gt;TODAY(),"",SUMIFS('OPs Data'!$N:$N,'OPs Data'!$F:$F,'Revenue Sheet'!F$1,'OPs Data'!$D:$D,'Revenue Sheet'!$A42,'OPs Data'!$L:$L,'Revenue Sheet'!G$2)*VLOOKUP($F$1,'Rate Card'!$B:$E,MATCH('Revenue Sheet'!G$2,'Rate Card'!$B$2:$E$2,0),0))</f>
      </c>
      <c r="H42" s="57">
        <f>IF(A42&gt;TODAY(),"",SUMIFS('OPs Data'!$N:$N,'OPs Data'!$F:$F,'Revenue Sheet'!F$1,'OPs Data'!$D:$D,'Revenue Sheet'!$A42,'OPs Data'!$L:$L,'Revenue Sheet'!H$2)*VLOOKUP($F$1,'Rate Card'!$B:$E,MATCH('Revenue Sheet'!H$2,'Rate Card'!$B$2:$E$2,0),0))</f>
      </c>
      <c r="I42" s="57">
        <f>IF(A42&gt;TODAY(),"",SUMIFS('OPs Data'!$N:$N,'OPs Data'!$F:$F,'Revenue Sheet'!I$1,'OPs Data'!$D:$D,'Revenue Sheet'!$A42,'OPs Data'!$L:$L,'Revenue Sheet'!I$2)*VLOOKUP($I$1,'Rate Card'!$B:$E,MATCH('Revenue Sheet'!I$2,'Rate Card'!$B$2:$E$2,0),0))</f>
      </c>
      <c r="J42" s="57">
        <f>IF(A42&gt;TODAY(),"",SUMIFS('OPs Data'!$N:$N,'OPs Data'!$F:$F,'Revenue Sheet'!I$1,'OPs Data'!$D:$D,'Revenue Sheet'!$A42,'OPs Data'!$L:$L,'Revenue Sheet'!J$2)*VLOOKUP($I$1,'Rate Card'!$B:$E,MATCH('Revenue Sheet'!J$2,'Rate Card'!$B$2:$E$2,0),0))</f>
      </c>
      <c r="K42" s="57">
        <f>IF(A42&gt;TODAY(),"",SUMIFS('OPs Data'!$N:$N,'OPs Data'!$F:$F,'Revenue Sheet'!I$1,'OPs Data'!$D:$D,'Revenue Sheet'!$A42,'OPs Data'!$L:$L,'Revenue Sheet'!K$2)*VLOOKUP($I$1,'Rate Card'!$B:$E,MATCH('Revenue Sheet'!K$2,'Rate Card'!$B$2:$E$2,0),0))</f>
      </c>
      <c r="L42" s="57">
        <f>IF(A42&gt;TODAY(),"",SUMIFS('OPs Data'!$N:$N,'OPs Data'!$F:$F,'Revenue Sheet'!L$1,'OPs Data'!$D:$D,'Revenue Sheet'!$A42,'OPs Data'!$L:$L,'Revenue Sheet'!L$2)*VLOOKUP($L$1,'Rate Card'!$B:$E,MATCH('Revenue Sheet'!L$2,'Rate Card'!$B$2:$E$2,0),0))</f>
      </c>
      <c r="M42" s="57">
        <f>IF(A42&gt;TODAY(),"",SUMIFS('OPs Data'!$N:$N,'OPs Data'!$F:$F,'Revenue Sheet'!L$1,'OPs Data'!$D:$D,'Revenue Sheet'!$A42,'OPs Data'!$L:$L,'Revenue Sheet'!M$2)*VLOOKUP($L$1,'Rate Card'!$B:$E,MATCH('Revenue Sheet'!M$2,'Rate Card'!$B$2:$E$2,0),0))</f>
      </c>
      <c r="N42" s="57">
        <f>IF(A42&gt;TODAY(),"",SUMIFS('OPs Data'!$N:$N,'OPs Data'!$F:$F,'Revenue Sheet'!L$1,'OPs Data'!$D:$D,'Revenue Sheet'!$A42,'OPs Data'!$L:$L,'Revenue Sheet'!N$2)*VLOOKUP($L$1,'Rate Card'!$B:$E,MATCH('Revenue Sheet'!N$2,'Rate Card'!$B$2:$E$2,0),0))</f>
      </c>
      <c r="O42" s="57">
        <f>IF($A42&gt;TODAY(),"",SUM(C42,F42,I42,L42))</f>
      </c>
      <c r="P42" s="57">
        <f>IF($A42&gt;TODAY(),"",SUM(D42,G42,J42,M42))</f>
      </c>
      <c r="Q42" s="57">
        <f>IF($A42&gt;TODAY(),"",SUM(E42,H42,K42,N42))</f>
      </c>
      <c r="R42" s="58">
        <f>IF($A42&gt;TODAY(),"",SUM(O42:Q42))</f>
      </c>
    </row>
    <row x14ac:dyDescent="0.25" r="43" customHeight="1" ht="18.75">
      <c r="A43" s="55">
        <v>45774</v>
      </c>
      <c r="B43" s="56">
        <f>IF(A43&gt;TODAY(),"",COUNTA(_xlfn.UNIQUE(_xlfn._xlws.FILTER('OPs Data'!$K:$K,'OPs Data'!$D:$D='Revenue Sheet'!A43))))</f>
      </c>
      <c r="C43" s="57">
        <f>IF(A43&gt;TODAY(),"",SUMIFS('OPs Data'!$N:$N,'OPs Data'!$F:$F,'Revenue Sheet'!C$1,'OPs Data'!$D:$D,'Revenue Sheet'!$A43,'OPs Data'!$L:$L,'Revenue Sheet'!C$2)*VLOOKUP($C$1,'Rate Card'!$B:$E,MATCH('Revenue Sheet'!C$2,'Rate Card'!$B$2:$E$2,0),0))</f>
      </c>
      <c r="D43" s="57">
        <f>IF(A43&gt;TODAY(),"",SUMIFS('OPs Data'!$N:$N,'OPs Data'!$F:$F,'Revenue Sheet'!C$1,'OPs Data'!$D:$D,'Revenue Sheet'!$A43,'OPs Data'!$L:$L,'Revenue Sheet'!D$2)*VLOOKUP($C$1,'Rate Card'!$B:$E,MATCH('Revenue Sheet'!D$2,'Rate Card'!$B$2:$E$2,0),0))</f>
      </c>
      <c r="E43" s="57">
        <f>IF(A43&gt;TODAY(),"",SUMIFS('OPs Data'!$N:$N,'OPs Data'!$F:$F,'Revenue Sheet'!C$1,'OPs Data'!$D:$D,'Revenue Sheet'!$A43,'OPs Data'!$L:$L,'Revenue Sheet'!E$2)*VLOOKUP($C$1,'Rate Card'!$B:$E,MATCH('Revenue Sheet'!E$2,'Rate Card'!$B$2:$E$2,0),0))</f>
      </c>
      <c r="F43" s="57">
        <f>IF(A43&gt;TODAY(),"",SUMIFS('OPs Data'!$N:$N,'OPs Data'!$F:$F,'Revenue Sheet'!F$1,'OPs Data'!$D:$D,'Revenue Sheet'!$A43,'OPs Data'!$L:$L,'Revenue Sheet'!F$2)*VLOOKUP($F$1,'Rate Card'!$B:$E,MATCH('Revenue Sheet'!F$2,'Rate Card'!$B$2:$E$2,0),0))</f>
      </c>
      <c r="G43" s="57">
        <f>IF(A43&gt;TODAY(),"",SUMIFS('OPs Data'!$N:$N,'OPs Data'!$F:$F,'Revenue Sheet'!F$1,'OPs Data'!$D:$D,'Revenue Sheet'!$A43,'OPs Data'!$L:$L,'Revenue Sheet'!G$2)*VLOOKUP($F$1,'Rate Card'!$B:$E,MATCH('Revenue Sheet'!G$2,'Rate Card'!$B$2:$E$2,0),0))</f>
      </c>
      <c r="H43" s="57">
        <f>IF(A43&gt;TODAY(),"",SUMIFS('OPs Data'!$N:$N,'OPs Data'!$F:$F,'Revenue Sheet'!F$1,'OPs Data'!$D:$D,'Revenue Sheet'!$A43,'OPs Data'!$L:$L,'Revenue Sheet'!H$2)*VLOOKUP($F$1,'Rate Card'!$B:$E,MATCH('Revenue Sheet'!H$2,'Rate Card'!$B$2:$E$2,0),0))</f>
      </c>
      <c r="I43" s="57">
        <f>IF(A43&gt;TODAY(),"",SUMIFS('OPs Data'!$N:$N,'OPs Data'!$F:$F,'Revenue Sheet'!I$1,'OPs Data'!$D:$D,'Revenue Sheet'!$A43,'OPs Data'!$L:$L,'Revenue Sheet'!I$2)*VLOOKUP($I$1,'Rate Card'!$B:$E,MATCH('Revenue Sheet'!I$2,'Rate Card'!$B$2:$E$2,0),0))</f>
      </c>
      <c r="J43" s="57">
        <f>IF(A43&gt;TODAY(),"",SUMIFS('OPs Data'!$N:$N,'OPs Data'!$F:$F,'Revenue Sheet'!I$1,'OPs Data'!$D:$D,'Revenue Sheet'!$A43,'OPs Data'!$L:$L,'Revenue Sheet'!J$2)*VLOOKUP($I$1,'Rate Card'!$B:$E,MATCH('Revenue Sheet'!J$2,'Rate Card'!$B$2:$E$2,0),0))</f>
      </c>
      <c r="K43" s="57">
        <f>IF(A43&gt;TODAY(),"",SUMIFS('OPs Data'!$N:$N,'OPs Data'!$F:$F,'Revenue Sheet'!I$1,'OPs Data'!$D:$D,'Revenue Sheet'!$A43,'OPs Data'!$L:$L,'Revenue Sheet'!K$2)*VLOOKUP($I$1,'Rate Card'!$B:$E,MATCH('Revenue Sheet'!K$2,'Rate Card'!$B$2:$E$2,0),0))</f>
      </c>
      <c r="L43" s="57">
        <f>IF(A43&gt;TODAY(),"",SUMIFS('OPs Data'!$N:$N,'OPs Data'!$F:$F,'Revenue Sheet'!L$1,'OPs Data'!$D:$D,'Revenue Sheet'!$A43,'OPs Data'!$L:$L,'Revenue Sheet'!L$2)*VLOOKUP($L$1,'Rate Card'!$B:$E,MATCH('Revenue Sheet'!L$2,'Rate Card'!$B$2:$E$2,0),0))</f>
      </c>
      <c r="M43" s="57">
        <f>IF(A43&gt;TODAY(),"",SUMIFS('OPs Data'!$N:$N,'OPs Data'!$F:$F,'Revenue Sheet'!L$1,'OPs Data'!$D:$D,'Revenue Sheet'!$A43,'OPs Data'!$L:$L,'Revenue Sheet'!M$2)*VLOOKUP($L$1,'Rate Card'!$B:$E,MATCH('Revenue Sheet'!M$2,'Rate Card'!$B$2:$E$2,0),0))</f>
      </c>
      <c r="N43" s="57">
        <f>IF(A43&gt;TODAY(),"",SUMIFS('OPs Data'!$N:$N,'OPs Data'!$F:$F,'Revenue Sheet'!L$1,'OPs Data'!$D:$D,'Revenue Sheet'!$A43,'OPs Data'!$L:$L,'Revenue Sheet'!N$2)*VLOOKUP($L$1,'Rate Card'!$B:$E,MATCH('Revenue Sheet'!N$2,'Rate Card'!$B$2:$E$2,0),0))</f>
      </c>
      <c r="O43" s="57">
        <f>IF($A43&gt;TODAY(),"",SUM(C43,F43,I43,L43))</f>
      </c>
      <c r="P43" s="57">
        <f>IF($A43&gt;TODAY(),"",SUM(D43,G43,J43,M43))</f>
      </c>
      <c r="Q43" s="57">
        <f>IF($A43&gt;TODAY(),"",SUM(E43,H43,K43,N43))</f>
      </c>
      <c r="R43" s="58">
        <f>IF($A43&gt;TODAY(),"",SUM(O43:Q43))</f>
      </c>
    </row>
    <row x14ac:dyDescent="0.25" r="44" customHeight="1" ht="18.75">
      <c r="A44" s="55">
        <v>45775</v>
      </c>
      <c r="B44" s="56">
        <f>IF(A44&gt;TODAY(),"",COUNTA(_xlfn.UNIQUE(_xlfn._xlws.FILTER('OPs Data'!$K:$K,'OPs Data'!$D:$D='Revenue Sheet'!A44))))</f>
      </c>
      <c r="C44" s="57">
        <f>IF(A44&gt;TODAY(),"",SUMIFS('OPs Data'!$N:$N,'OPs Data'!$F:$F,'Revenue Sheet'!C$1,'OPs Data'!$D:$D,'Revenue Sheet'!$A44,'OPs Data'!$L:$L,'Revenue Sheet'!C$2)*VLOOKUP($C$1,'Rate Card'!$B:$E,MATCH('Revenue Sheet'!C$2,'Rate Card'!$B$2:$E$2,0),0))</f>
      </c>
      <c r="D44" s="57">
        <f>IF(A44&gt;TODAY(),"",SUMIFS('OPs Data'!$N:$N,'OPs Data'!$F:$F,'Revenue Sheet'!C$1,'OPs Data'!$D:$D,'Revenue Sheet'!$A44,'OPs Data'!$L:$L,'Revenue Sheet'!D$2)*VLOOKUP($C$1,'Rate Card'!$B:$E,MATCH('Revenue Sheet'!D$2,'Rate Card'!$B$2:$E$2,0),0))</f>
      </c>
      <c r="E44" s="57">
        <f>IF(A44&gt;TODAY(),"",SUMIFS('OPs Data'!$N:$N,'OPs Data'!$F:$F,'Revenue Sheet'!C$1,'OPs Data'!$D:$D,'Revenue Sheet'!$A44,'OPs Data'!$L:$L,'Revenue Sheet'!E$2)*VLOOKUP($C$1,'Rate Card'!$B:$E,MATCH('Revenue Sheet'!E$2,'Rate Card'!$B$2:$E$2,0),0))</f>
      </c>
      <c r="F44" s="57">
        <f>IF(A44&gt;TODAY(),"",SUMIFS('OPs Data'!$N:$N,'OPs Data'!$F:$F,'Revenue Sheet'!F$1,'OPs Data'!$D:$D,'Revenue Sheet'!$A44,'OPs Data'!$L:$L,'Revenue Sheet'!F$2)*VLOOKUP($F$1,'Rate Card'!$B:$E,MATCH('Revenue Sheet'!F$2,'Rate Card'!$B$2:$E$2,0),0))</f>
      </c>
      <c r="G44" s="57">
        <f>IF(A44&gt;TODAY(),"",SUMIFS('OPs Data'!$N:$N,'OPs Data'!$F:$F,'Revenue Sheet'!F$1,'OPs Data'!$D:$D,'Revenue Sheet'!$A44,'OPs Data'!$L:$L,'Revenue Sheet'!G$2)*VLOOKUP($F$1,'Rate Card'!$B:$E,MATCH('Revenue Sheet'!G$2,'Rate Card'!$B$2:$E$2,0),0))</f>
      </c>
      <c r="H44" s="57">
        <f>IF(A44&gt;TODAY(),"",SUMIFS('OPs Data'!$N:$N,'OPs Data'!$F:$F,'Revenue Sheet'!F$1,'OPs Data'!$D:$D,'Revenue Sheet'!$A44,'OPs Data'!$L:$L,'Revenue Sheet'!H$2)*VLOOKUP($F$1,'Rate Card'!$B:$E,MATCH('Revenue Sheet'!H$2,'Rate Card'!$B$2:$E$2,0),0))</f>
      </c>
      <c r="I44" s="57">
        <f>IF(A44&gt;TODAY(),"",SUMIFS('OPs Data'!$N:$N,'OPs Data'!$F:$F,'Revenue Sheet'!I$1,'OPs Data'!$D:$D,'Revenue Sheet'!$A44,'OPs Data'!$L:$L,'Revenue Sheet'!I$2)*VLOOKUP($I$1,'Rate Card'!$B:$E,MATCH('Revenue Sheet'!I$2,'Rate Card'!$B$2:$E$2,0),0))</f>
      </c>
      <c r="J44" s="57">
        <f>IF(A44&gt;TODAY(),"",SUMIFS('OPs Data'!$N:$N,'OPs Data'!$F:$F,'Revenue Sheet'!I$1,'OPs Data'!$D:$D,'Revenue Sheet'!$A44,'OPs Data'!$L:$L,'Revenue Sheet'!J$2)*VLOOKUP($I$1,'Rate Card'!$B:$E,MATCH('Revenue Sheet'!J$2,'Rate Card'!$B$2:$E$2,0),0))</f>
      </c>
      <c r="K44" s="57">
        <f>IF(A44&gt;TODAY(),"",SUMIFS('OPs Data'!$N:$N,'OPs Data'!$F:$F,'Revenue Sheet'!I$1,'OPs Data'!$D:$D,'Revenue Sheet'!$A44,'OPs Data'!$L:$L,'Revenue Sheet'!K$2)*VLOOKUP($I$1,'Rate Card'!$B:$E,MATCH('Revenue Sheet'!K$2,'Rate Card'!$B$2:$E$2,0),0))</f>
      </c>
      <c r="L44" s="57">
        <f>IF(A44&gt;TODAY(),"",SUMIFS('OPs Data'!$N:$N,'OPs Data'!$F:$F,'Revenue Sheet'!L$1,'OPs Data'!$D:$D,'Revenue Sheet'!$A44,'OPs Data'!$L:$L,'Revenue Sheet'!L$2)*VLOOKUP($L$1,'Rate Card'!$B:$E,MATCH('Revenue Sheet'!L$2,'Rate Card'!$B$2:$E$2,0),0))</f>
      </c>
      <c r="M44" s="57">
        <f>IF(A44&gt;TODAY(),"",SUMIFS('OPs Data'!$N:$N,'OPs Data'!$F:$F,'Revenue Sheet'!L$1,'OPs Data'!$D:$D,'Revenue Sheet'!$A44,'OPs Data'!$L:$L,'Revenue Sheet'!M$2)*VLOOKUP($L$1,'Rate Card'!$B:$E,MATCH('Revenue Sheet'!M$2,'Rate Card'!$B$2:$E$2,0),0))</f>
      </c>
      <c r="N44" s="57">
        <f>IF(A44&gt;TODAY(),"",SUMIFS('OPs Data'!$N:$N,'OPs Data'!$F:$F,'Revenue Sheet'!L$1,'OPs Data'!$D:$D,'Revenue Sheet'!$A44,'OPs Data'!$L:$L,'Revenue Sheet'!N$2)*VLOOKUP($L$1,'Rate Card'!$B:$E,MATCH('Revenue Sheet'!N$2,'Rate Card'!$B$2:$E$2,0),0))</f>
      </c>
      <c r="O44" s="57">
        <f>IF($A44&gt;TODAY(),"",SUM(C44,F44,I44,L44))</f>
      </c>
      <c r="P44" s="57">
        <f>IF($A44&gt;TODAY(),"",SUM(D44,G44,J44,M44))</f>
      </c>
      <c r="Q44" s="57">
        <f>IF($A44&gt;TODAY(),"",SUM(E44,H44,K44,N44))</f>
      </c>
      <c r="R44" s="58">
        <f>IF($A44&gt;TODAY(),"",SUM(O44:Q44))</f>
      </c>
    </row>
    <row x14ac:dyDescent="0.25" r="45" customHeight="1" ht="18.75">
      <c r="A45" s="55">
        <v>45776</v>
      </c>
      <c r="B45" s="56">
        <f>IF(A45&gt;TODAY(),"",COUNTA(_xlfn.UNIQUE(_xlfn._xlws.FILTER('OPs Data'!$K:$K,'OPs Data'!$D:$D='Revenue Sheet'!A45))))</f>
      </c>
      <c r="C45" s="57">
        <f>IF(A45&gt;TODAY(),"",SUMIFS('OPs Data'!$N:$N,'OPs Data'!$F:$F,'Revenue Sheet'!C$1,'OPs Data'!$D:$D,'Revenue Sheet'!$A45,'OPs Data'!$L:$L,'Revenue Sheet'!C$2)*VLOOKUP($C$1,'Rate Card'!$B:$E,MATCH('Revenue Sheet'!C$2,'Rate Card'!$B$2:$E$2,0),0))</f>
      </c>
      <c r="D45" s="57">
        <f>IF(A45&gt;TODAY(),"",SUMIFS('OPs Data'!$N:$N,'OPs Data'!$F:$F,'Revenue Sheet'!C$1,'OPs Data'!$D:$D,'Revenue Sheet'!$A45,'OPs Data'!$L:$L,'Revenue Sheet'!D$2)*VLOOKUP($C$1,'Rate Card'!$B:$E,MATCH('Revenue Sheet'!D$2,'Rate Card'!$B$2:$E$2,0),0))</f>
      </c>
      <c r="E45" s="57">
        <f>IF(A45&gt;TODAY(),"",SUMIFS('OPs Data'!$N:$N,'OPs Data'!$F:$F,'Revenue Sheet'!C$1,'OPs Data'!$D:$D,'Revenue Sheet'!$A45,'OPs Data'!$L:$L,'Revenue Sheet'!E$2)*VLOOKUP($C$1,'Rate Card'!$B:$E,MATCH('Revenue Sheet'!E$2,'Rate Card'!$B$2:$E$2,0),0))</f>
      </c>
      <c r="F45" s="57">
        <f>IF(A45&gt;TODAY(),"",SUMIFS('OPs Data'!$N:$N,'OPs Data'!$F:$F,'Revenue Sheet'!F$1,'OPs Data'!$D:$D,'Revenue Sheet'!$A45,'OPs Data'!$L:$L,'Revenue Sheet'!F$2)*VLOOKUP($F$1,'Rate Card'!$B:$E,MATCH('Revenue Sheet'!F$2,'Rate Card'!$B$2:$E$2,0),0))</f>
      </c>
      <c r="G45" s="57">
        <f>IF(A45&gt;TODAY(),"",SUMIFS('OPs Data'!$N:$N,'OPs Data'!$F:$F,'Revenue Sheet'!F$1,'OPs Data'!$D:$D,'Revenue Sheet'!$A45,'OPs Data'!$L:$L,'Revenue Sheet'!G$2)*VLOOKUP($F$1,'Rate Card'!$B:$E,MATCH('Revenue Sheet'!G$2,'Rate Card'!$B$2:$E$2,0),0))</f>
      </c>
      <c r="H45" s="57">
        <f>IF(A45&gt;TODAY(),"",SUMIFS('OPs Data'!$N:$N,'OPs Data'!$F:$F,'Revenue Sheet'!F$1,'OPs Data'!$D:$D,'Revenue Sheet'!$A45,'OPs Data'!$L:$L,'Revenue Sheet'!H$2)*VLOOKUP($F$1,'Rate Card'!$B:$E,MATCH('Revenue Sheet'!H$2,'Rate Card'!$B$2:$E$2,0),0))</f>
      </c>
      <c r="I45" s="57">
        <f>IF(A45&gt;TODAY(),"",SUMIFS('OPs Data'!$N:$N,'OPs Data'!$F:$F,'Revenue Sheet'!I$1,'OPs Data'!$D:$D,'Revenue Sheet'!$A45,'OPs Data'!$L:$L,'Revenue Sheet'!I$2)*VLOOKUP($I$1,'Rate Card'!$B:$E,MATCH('Revenue Sheet'!I$2,'Rate Card'!$B$2:$E$2,0),0))</f>
      </c>
      <c r="J45" s="57">
        <f>IF(A45&gt;TODAY(),"",SUMIFS('OPs Data'!$N:$N,'OPs Data'!$F:$F,'Revenue Sheet'!I$1,'OPs Data'!$D:$D,'Revenue Sheet'!$A45,'OPs Data'!$L:$L,'Revenue Sheet'!J$2)*VLOOKUP($I$1,'Rate Card'!$B:$E,MATCH('Revenue Sheet'!J$2,'Rate Card'!$B$2:$E$2,0),0))</f>
      </c>
      <c r="K45" s="57">
        <f>IF(A45&gt;TODAY(),"",SUMIFS('OPs Data'!$N:$N,'OPs Data'!$F:$F,'Revenue Sheet'!I$1,'OPs Data'!$D:$D,'Revenue Sheet'!$A45,'OPs Data'!$L:$L,'Revenue Sheet'!K$2)*VLOOKUP($I$1,'Rate Card'!$B:$E,MATCH('Revenue Sheet'!K$2,'Rate Card'!$B$2:$E$2,0),0))</f>
      </c>
      <c r="L45" s="57">
        <f>IF(A45&gt;TODAY(),"",SUMIFS('OPs Data'!$N:$N,'OPs Data'!$F:$F,'Revenue Sheet'!L$1,'OPs Data'!$D:$D,'Revenue Sheet'!$A45,'OPs Data'!$L:$L,'Revenue Sheet'!L$2)*VLOOKUP($L$1,'Rate Card'!$B:$E,MATCH('Revenue Sheet'!L$2,'Rate Card'!$B$2:$E$2,0),0))</f>
      </c>
      <c r="M45" s="57">
        <f>IF(A45&gt;TODAY(),"",SUMIFS('OPs Data'!$N:$N,'OPs Data'!$F:$F,'Revenue Sheet'!L$1,'OPs Data'!$D:$D,'Revenue Sheet'!$A45,'OPs Data'!$L:$L,'Revenue Sheet'!M$2)*VLOOKUP($L$1,'Rate Card'!$B:$E,MATCH('Revenue Sheet'!M$2,'Rate Card'!$B$2:$E$2,0),0))</f>
      </c>
      <c r="N45" s="57">
        <f>IF(A45&gt;TODAY(),"",SUMIFS('OPs Data'!$N:$N,'OPs Data'!$F:$F,'Revenue Sheet'!L$1,'OPs Data'!$D:$D,'Revenue Sheet'!$A45,'OPs Data'!$L:$L,'Revenue Sheet'!N$2)*VLOOKUP($L$1,'Rate Card'!$B:$E,MATCH('Revenue Sheet'!N$2,'Rate Card'!$B$2:$E$2,0),0))</f>
      </c>
      <c r="O45" s="57">
        <f>IF($A45&gt;TODAY(),"",SUM(C45,F45,I45,L45))</f>
      </c>
      <c r="P45" s="57">
        <f>IF($A45&gt;TODAY(),"",SUM(D45,G45,J45,M45))</f>
      </c>
      <c r="Q45" s="57">
        <f>IF($A45&gt;TODAY(),"",SUM(E45,H45,K45,N45))</f>
      </c>
      <c r="R45" s="58">
        <f>IF($A45&gt;TODAY(),"",SUM(O45:Q45))</f>
      </c>
    </row>
    <row x14ac:dyDescent="0.25" r="46" customHeight="1" ht="18.75">
      <c r="A46" s="55">
        <v>45777</v>
      </c>
      <c r="B46" s="56">
        <f>IF(A46&gt;TODAY(),"",COUNTA(_xlfn.UNIQUE(_xlfn._xlws.FILTER('OPs Data'!$K:$K,'OPs Data'!$D:$D='Revenue Sheet'!A46))))</f>
      </c>
      <c r="C46" s="57">
        <f>IF(A46&gt;TODAY(),"",SUMIFS('OPs Data'!$N:$N,'OPs Data'!$F:$F,'Revenue Sheet'!C$1,'OPs Data'!$D:$D,'Revenue Sheet'!$A46,'OPs Data'!$L:$L,'Revenue Sheet'!C$2)*VLOOKUP($C$1,'Rate Card'!$B:$E,MATCH('Revenue Sheet'!C$2,'Rate Card'!$B$2:$E$2,0),0))</f>
      </c>
      <c r="D46" s="57">
        <f>IF(A46&gt;TODAY(),"",SUMIFS('OPs Data'!$N:$N,'OPs Data'!$F:$F,'Revenue Sheet'!C$1,'OPs Data'!$D:$D,'Revenue Sheet'!$A46,'OPs Data'!$L:$L,'Revenue Sheet'!D$2)*VLOOKUP($C$1,'Rate Card'!$B:$E,MATCH('Revenue Sheet'!D$2,'Rate Card'!$B$2:$E$2,0),0))</f>
      </c>
      <c r="E46" s="57">
        <f>IF(A46&gt;TODAY(),"",SUMIFS('OPs Data'!$N:$N,'OPs Data'!$F:$F,'Revenue Sheet'!C$1,'OPs Data'!$D:$D,'Revenue Sheet'!$A46,'OPs Data'!$L:$L,'Revenue Sheet'!E$2)*VLOOKUP($C$1,'Rate Card'!$B:$E,MATCH('Revenue Sheet'!E$2,'Rate Card'!$B$2:$E$2,0),0))</f>
      </c>
      <c r="F46" s="57">
        <f>IF(A46&gt;TODAY(),"",SUMIFS('OPs Data'!$N:$N,'OPs Data'!$F:$F,'Revenue Sheet'!F$1,'OPs Data'!$D:$D,'Revenue Sheet'!$A46,'OPs Data'!$L:$L,'Revenue Sheet'!F$2)*VLOOKUP($F$1,'Rate Card'!$B:$E,MATCH('Revenue Sheet'!F$2,'Rate Card'!$B$2:$E$2,0),0))</f>
      </c>
      <c r="G46" s="57">
        <f>IF(A46&gt;TODAY(),"",SUMIFS('OPs Data'!$N:$N,'OPs Data'!$F:$F,'Revenue Sheet'!F$1,'OPs Data'!$D:$D,'Revenue Sheet'!$A46,'OPs Data'!$L:$L,'Revenue Sheet'!G$2)*VLOOKUP($F$1,'Rate Card'!$B:$E,MATCH('Revenue Sheet'!G$2,'Rate Card'!$B$2:$E$2,0),0))</f>
      </c>
      <c r="H46" s="57">
        <f>IF(A46&gt;TODAY(),"",SUMIFS('OPs Data'!$N:$N,'OPs Data'!$F:$F,'Revenue Sheet'!F$1,'OPs Data'!$D:$D,'Revenue Sheet'!$A46,'OPs Data'!$L:$L,'Revenue Sheet'!H$2)*VLOOKUP($F$1,'Rate Card'!$B:$E,MATCH('Revenue Sheet'!H$2,'Rate Card'!$B$2:$E$2,0),0))</f>
      </c>
      <c r="I46" s="57">
        <f>IF(A46&gt;TODAY(),"",SUMIFS('OPs Data'!$N:$N,'OPs Data'!$F:$F,'Revenue Sheet'!I$1,'OPs Data'!$D:$D,'Revenue Sheet'!$A46,'OPs Data'!$L:$L,'Revenue Sheet'!I$2)*VLOOKUP($I$1,'Rate Card'!$B:$E,MATCH('Revenue Sheet'!I$2,'Rate Card'!$B$2:$E$2,0),0))</f>
      </c>
      <c r="J46" s="57">
        <f>IF(A46&gt;TODAY(),"",SUMIFS('OPs Data'!$N:$N,'OPs Data'!$F:$F,'Revenue Sheet'!I$1,'OPs Data'!$D:$D,'Revenue Sheet'!$A46,'OPs Data'!$L:$L,'Revenue Sheet'!J$2)*VLOOKUP($I$1,'Rate Card'!$B:$E,MATCH('Revenue Sheet'!J$2,'Rate Card'!$B$2:$E$2,0),0))</f>
      </c>
      <c r="K46" s="57">
        <f>IF(A46&gt;TODAY(),"",SUMIFS('OPs Data'!$N:$N,'OPs Data'!$F:$F,'Revenue Sheet'!I$1,'OPs Data'!$D:$D,'Revenue Sheet'!$A46,'OPs Data'!$L:$L,'Revenue Sheet'!K$2)*VLOOKUP($I$1,'Rate Card'!$B:$E,MATCH('Revenue Sheet'!K$2,'Rate Card'!$B$2:$E$2,0),0))</f>
      </c>
      <c r="L46" s="57">
        <f>IF(A46&gt;TODAY(),"",SUMIFS('OPs Data'!$N:$N,'OPs Data'!$F:$F,'Revenue Sheet'!L$1,'OPs Data'!$D:$D,'Revenue Sheet'!$A46,'OPs Data'!$L:$L,'Revenue Sheet'!L$2)*VLOOKUP($L$1,'Rate Card'!$B:$E,MATCH('Revenue Sheet'!L$2,'Rate Card'!$B$2:$E$2,0),0))</f>
      </c>
      <c r="M46" s="57">
        <f>IF(A46&gt;TODAY(),"",SUMIFS('OPs Data'!$N:$N,'OPs Data'!$F:$F,'Revenue Sheet'!L$1,'OPs Data'!$D:$D,'Revenue Sheet'!$A46,'OPs Data'!$L:$L,'Revenue Sheet'!M$2)*VLOOKUP($L$1,'Rate Card'!$B:$E,MATCH('Revenue Sheet'!M$2,'Rate Card'!$B$2:$E$2,0),0))</f>
      </c>
      <c r="N46" s="57">
        <f>IF(A46&gt;TODAY(),"",SUMIFS('OPs Data'!$N:$N,'OPs Data'!$F:$F,'Revenue Sheet'!L$1,'OPs Data'!$D:$D,'Revenue Sheet'!$A46,'OPs Data'!$L:$L,'Revenue Sheet'!N$2)*VLOOKUP($L$1,'Rate Card'!$B:$E,MATCH('Revenue Sheet'!N$2,'Rate Card'!$B$2:$E$2,0),0))</f>
      </c>
      <c r="O46" s="57">
        <f>IF($A46&gt;TODAY(),"",SUM(C46,F46,I46,L46))</f>
      </c>
      <c r="P46" s="57">
        <f>IF($A46&gt;TODAY(),"",SUM(D46,G46,J46,M46))</f>
      </c>
      <c r="Q46" s="57">
        <f>IF($A46&gt;TODAY(),"",SUM(E46,H46,K46,N46))</f>
      </c>
      <c r="R46" s="58">
        <f>IF($A46&gt;TODAY(),"",SUM(O46:Q46))</f>
      </c>
    </row>
    <row x14ac:dyDescent="0.25" r="47" customHeight="1" ht="18.75">
      <c r="A47" s="55">
        <v>45778</v>
      </c>
      <c r="B47" s="56">
        <f>IF(A47&gt;TODAY(),"",COUNTA(_xlfn.UNIQUE(_xlfn._xlws.FILTER('OPs Data'!$K:$K,'OPs Data'!$D:$D='Revenue Sheet'!A47))))</f>
      </c>
      <c r="C47" s="57">
        <f>IF(A47&gt;TODAY(),"",SUMIFS('OPs Data'!$N:$N,'OPs Data'!$F:$F,'Revenue Sheet'!C$1,'OPs Data'!$D:$D,'Revenue Sheet'!$A47,'OPs Data'!$L:$L,'Revenue Sheet'!C$2)*VLOOKUP($C$1,'Rate Card'!$B:$E,MATCH('Revenue Sheet'!C$2,'Rate Card'!$B$2:$E$2,0),0))</f>
      </c>
      <c r="D47" s="57">
        <f>IF(A47&gt;TODAY(),"",SUMIFS('OPs Data'!$N:$N,'OPs Data'!$F:$F,'Revenue Sheet'!C$1,'OPs Data'!$D:$D,'Revenue Sheet'!$A47,'OPs Data'!$L:$L,'Revenue Sheet'!D$2)*VLOOKUP($C$1,'Rate Card'!$B:$E,MATCH('Revenue Sheet'!D$2,'Rate Card'!$B$2:$E$2,0),0))</f>
      </c>
      <c r="E47" s="57">
        <f>IF(A47&gt;TODAY(),"",SUMIFS('OPs Data'!$N:$N,'OPs Data'!$F:$F,'Revenue Sheet'!C$1,'OPs Data'!$D:$D,'Revenue Sheet'!$A47,'OPs Data'!$L:$L,'Revenue Sheet'!E$2)*VLOOKUP($C$1,'Rate Card'!$B:$E,MATCH('Revenue Sheet'!E$2,'Rate Card'!$B$2:$E$2,0),0))</f>
      </c>
      <c r="F47" s="57">
        <f>IF(A47&gt;TODAY(),"",SUMIFS('OPs Data'!$N:$N,'OPs Data'!$F:$F,'Revenue Sheet'!F$1,'OPs Data'!$D:$D,'Revenue Sheet'!$A47,'OPs Data'!$L:$L,'Revenue Sheet'!F$2)*VLOOKUP($F$1,'Rate Card'!$B:$E,MATCH('Revenue Sheet'!F$2,'Rate Card'!$B$2:$E$2,0),0))</f>
      </c>
      <c r="G47" s="57">
        <f>IF(A47&gt;TODAY(),"",SUMIFS('OPs Data'!$N:$N,'OPs Data'!$F:$F,'Revenue Sheet'!F$1,'OPs Data'!$D:$D,'Revenue Sheet'!$A47,'OPs Data'!$L:$L,'Revenue Sheet'!G$2)*VLOOKUP($F$1,'Rate Card'!$B:$E,MATCH('Revenue Sheet'!G$2,'Rate Card'!$B$2:$E$2,0),0))</f>
      </c>
      <c r="H47" s="57">
        <f>IF(A47&gt;TODAY(),"",SUMIFS('OPs Data'!$N:$N,'OPs Data'!$F:$F,'Revenue Sheet'!F$1,'OPs Data'!$D:$D,'Revenue Sheet'!$A47,'OPs Data'!$L:$L,'Revenue Sheet'!H$2)*VLOOKUP($F$1,'Rate Card'!$B:$E,MATCH('Revenue Sheet'!H$2,'Rate Card'!$B$2:$E$2,0),0))</f>
      </c>
      <c r="I47" s="57">
        <f>IF(A47&gt;TODAY(),"",SUMIFS('OPs Data'!$N:$N,'OPs Data'!$F:$F,'Revenue Sheet'!I$1,'OPs Data'!$D:$D,'Revenue Sheet'!$A47,'OPs Data'!$L:$L,'Revenue Sheet'!I$2)*VLOOKUP($I$1,'Rate Card'!$B:$E,MATCH('Revenue Sheet'!I$2,'Rate Card'!$B$2:$E$2,0),0))</f>
      </c>
      <c r="J47" s="57">
        <f>IF(A47&gt;TODAY(),"",SUMIFS('OPs Data'!$N:$N,'OPs Data'!$F:$F,'Revenue Sheet'!I$1,'OPs Data'!$D:$D,'Revenue Sheet'!$A47,'OPs Data'!$L:$L,'Revenue Sheet'!J$2)*VLOOKUP($I$1,'Rate Card'!$B:$E,MATCH('Revenue Sheet'!J$2,'Rate Card'!$B$2:$E$2,0),0))</f>
      </c>
      <c r="K47" s="57">
        <f>IF(A47&gt;TODAY(),"",SUMIFS('OPs Data'!$N:$N,'OPs Data'!$F:$F,'Revenue Sheet'!I$1,'OPs Data'!$D:$D,'Revenue Sheet'!$A47,'OPs Data'!$L:$L,'Revenue Sheet'!K$2)*VLOOKUP($I$1,'Rate Card'!$B:$E,MATCH('Revenue Sheet'!K$2,'Rate Card'!$B$2:$E$2,0),0))</f>
      </c>
      <c r="L47" s="57">
        <f>IF(A47&gt;TODAY(),"",SUMIFS('OPs Data'!$N:$N,'OPs Data'!$F:$F,'Revenue Sheet'!L$1,'OPs Data'!$D:$D,'Revenue Sheet'!$A47,'OPs Data'!$L:$L,'Revenue Sheet'!L$2)*VLOOKUP($L$1,'Rate Card'!$B:$E,MATCH('Revenue Sheet'!L$2,'Rate Card'!$B$2:$E$2,0),0))</f>
      </c>
      <c r="M47" s="57">
        <f>IF(A47&gt;TODAY(),"",SUMIFS('OPs Data'!$N:$N,'OPs Data'!$F:$F,'Revenue Sheet'!L$1,'OPs Data'!$D:$D,'Revenue Sheet'!$A47,'OPs Data'!$L:$L,'Revenue Sheet'!M$2)*VLOOKUP($L$1,'Rate Card'!$B:$E,MATCH('Revenue Sheet'!M$2,'Rate Card'!$B$2:$E$2,0),0))</f>
      </c>
      <c r="N47" s="57">
        <f>IF(A47&gt;TODAY(),"",SUMIFS('OPs Data'!$N:$N,'OPs Data'!$F:$F,'Revenue Sheet'!L$1,'OPs Data'!$D:$D,'Revenue Sheet'!$A47,'OPs Data'!$L:$L,'Revenue Sheet'!N$2)*VLOOKUP($L$1,'Rate Card'!$B:$E,MATCH('Revenue Sheet'!N$2,'Rate Card'!$B$2:$E$2,0),0))</f>
      </c>
      <c r="O47" s="57">
        <f>IF($A47&gt;TODAY(),"",SUM(C47,F47,I47,L47))</f>
      </c>
      <c r="P47" s="57">
        <f>IF($A47&gt;TODAY(),"",SUM(D47,G47,J47,M47))</f>
      </c>
      <c r="Q47" s="57">
        <f>IF($A47&gt;TODAY(),"",SUM(E47,H47,K47,N47))</f>
      </c>
      <c r="R47" s="58">
        <f>IF($A47&gt;TODAY(),"",SUM(O47:Q47))</f>
      </c>
    </row>
    <row x14ac:dyDescent="0.25" r="48" customHeight="1" ht="18.75">
      <c r="A48" s="55">
        <v>45779</v>
      </c>
      <c r="B48" s="56">
        <f>IF(A48&gt;TODAY(),"",COUNTA(_xlfn.UNIQUE(_xlfn._xlws.FILTER('OPs Data'!$K:$K,'OPs Data'!$D:$D='Revenue Sheet'!A48))))</f>
      </c>
      <c r="C48" s="57">
        <f>IF(A48&gt;TODAY(),"",SUMIFS('OPs Data'!$N:$N,'OPs Data'!$F:$F,'Revenue Sheet'!C$1,'OPs Data'!$D:$D,'Revenue Sheet'!$A48,'OPs Data'!$L:$L,'Revenue Sheet'!C$2)*VLOOKUP($C$1,'Rate Card'!$B:$E,MATCH('Revenue Sheet'!C$2,'Rate Card'!$B$2:$E$2,0),0))</f>
      </c>
      <c r="D48" s="57">
        <f>IF(A48&gt;TODAY(),"",SUMIFS('OPs Data'!$N:$N,'OPs Data'!$F:$F,'Revenue Sheet'!C$1,'OPs Data'!$D:$D,'Revenue Sheet'!$A48,'OPs Data'!$L:$L,'Revenue Sheet'!D$2)*VLOOKUP($C$1,'Rate Card'!$B:$E,MATCH('Revenue Sheet'!D$2,'Rate Card'!$B$2:$E$2,0),0))</f>
      </c>
      <c r="E48" s="57">
        <f>IF(A48&gt;TODAY(),"",SUMIFS('OPs Data'!$N:$N,'OPs Data'!$F:$F,'Revenue Sheet'!C$1,'OPs Data'!$D:$D,'Revenue Sheet'!$A48,'OPs Data'!$L:$L,'Revenue Sheet'!E$2)*VLOOKUP($C$1,'Rate Card'!$B:$E,MATCH('Revenue Sheet'!E$2,'Rate Card'!$B$2:$E$2,0),0))</f>
      </c>
      <c r="F48" s="57">
        <f>IF(A48&gt;TODAY(),"",SUMIFS('OPs Data'!$N:$N,'OPs Data'!$F:$F,'Revenue Sheet'!F$1,'OPs Data'!$D:$D,'Revenue Sheet'!$A48,'OPs Data'!$L:$L,'Revenue Sheet'!F$2)*VLOOKUP($F$1,'Rate Card'!$B:$E,MATCH('Revenue Sheet'!F$2,'Rate Card'!$B$2:$E$2,0),0))</f>
      </c>
      <c r="G48" s="57">
        <f>IF(A48&gt;TODAY(),"",SUMIFS('OPs Data'!$N:$N,'OPs Data'!$F:$F,'Revenue Sheet'!F$1,'OPs Data'!$D:$D,'Revenue Sheet'!$A48,'OPs Data'!$L:$L,'Revenue Sheet'!G$2)*VLOOKUP($F$1,'Rate Card'!$B:$E,MATCH('Revenue Sheet'!G$2,'Rate Card'!$B$2:$E$2,0),0))</f>
      </c>
      <c r="H48" s="57">
        <f>IF(A48&gt;TODAY(),"",SUMIFS('OPs Data'!$N:$N,'OPs Data'!$F:$F,'Revenue Sheet'!F$1,'OPs Data'!$D:$D,'Revenue Sheet'!$A48,'OPs Data'!$L:$L,'Revenue Sheet'!H$2)*VLOOKUP($F$1,'Rate Card'!$B:$E,MATCH('Revenue Sheet'!H$2,'Rate Card'!$B$2:$E$2,0),0))</f>
      </c>
      <c r="I48" s="57">
        <f>IF(A48&gt;TODAY(),"",SUMIFS('OPs Data'!$N:$N,'OPs Data'!$F:$F,'Revenue Sheet'!I$1,'OPs Data'!$D:$D,'Revenue Sheet'!$A48,'OPs Data'!$L:$L,'Revenue Sheet'!I$2)*VLOOKUP($I$1,'Rate Card'!$B:$E,MATCH('Revenue Sheet'!I$2,'Rate Card'!$B$2:$E$2,0),0))</f>
      </c>
      <c r="J48" s="57">
        <f>IF(A48&gt;TODAY(),"",SUMIFS('OPs Data'!$N:$N,'OPs Data'!$F:$F,'Revenue Sheet'!I$1,'OPs Data'!$D:$D,'Revenue Sheet'!$A48,'OPs Data'!$L:$L,'Revenue Sheet'!J$2)*VLOOKUP($I$1,'Rate Card'!$B:$E,MATCH('Revenue Sheet'!J$2,'Rate Card'!$B$2:$E$2,0),0))</f>
      </c>
      <c r="K48" s="57">
        <f>IF(A48&gt;TODAY(),"",SUMIFS('OPs Data'!$N:$N,'OPs Data'!$F:$F,'Revenue Sheet'!I$1,'OPs Data'!$D:$D,'Revenue Sheet'!$A48,'OPs Data'!$L:$L,'Revenue Sheet'!K$2)*VLOOKUP($I$1,'Rate Card'!$B:$E,MATCH('Revenue Sheet'!K$2,'Rate Card'!$B$2:$E$2,0),0))</f>
      </c>
      <c r="L48" s="57">
        <f>IF(A48&gt;TODAY(),"",SUMIFS('OPs Data'!$N:$N,'OPs Data'!$F:$F,'Revenue Sheet'!L$1,'OPs Data'!$D:$D,'Revenue Sheet'!$A48,'OPs Data'!$L:$L,'Revenue Sheet'!L$2)*VLOOKUP($L$1,'Rate Card'!$B:$E,MATCH('Revenue Sheet'!L$2,'Rate Card'!$B$2:$E$2,0),0))</f>
      </c>
      <c r="M48" s="57">
        <f>IF(A48&gt;TODAY(),"",SUMIFS('OPs Data'!$N:$N,'OPs Data'!$F:$F,'Revenue Sheet'!L$1,'OPs Data'!$D:$D,'Revenue Sheet'!$A48,'OPs Data'!$L:$L,'Revenue Sheet'!M$2)*VLOOKUP($L$1,'Rate Card'!$B:$E,MATCH('Revenue Sheet'!M$2,'Rate Card'!$B$2:$E$2,0),0))</f>
      </c>
      <c r="N48" s="57">
        <f>IF(A48&gt;TODAY(),"",SUMIFS('OPs Data'!$N:$N,'OPs Data'!$F:$F,'Revenue Sheet'!L$1,'OPs Data'!$D:$D,'Revenue Sheet'!$A48,'OPs Data'!$L:$L,'Revenue Sheet'!N$2)*VLOOKUP($L$1,'Rate Card'!$B:$E,MATCH('Revenue Sheet'!N$2,'Rate Card'!$B$2:$E$2,0),0))</f>
      </c>
      <c r="O48" s="57">
        <f>IF($A48&gt;TODAY(),"",SUM(C48,F48,I48,L48))</f>
      </c>
      <c r="P48" s="57">
        <f>IF($A48&gt;TODAY(),"",SUM(D48,G48,J48,M48))</f>
      </c>
      <c r="Q48" s="57">
        <f>IF($A48&gt;TODAY(),"",SUM(E48,H48,K48,N48))</f>
      </c>
      <c r="R48" s="58">
        <f>IF($A48&gt;TODAY(),"",SUM(O48:Q48))</f>
      </c>
    </row>
    <row x14ac:dyDescent="0.25" r="49" customHeight="1" ht="18.75">
      <c r="A49" s="55">
        <v>45780</v>
      </c>
      <c r="B49" s="56">
        <f>IF(A49&gt;TODAY(),"",COUNTA(_xlfn.UNIQUE(_xlfn._xlws.FILTER('OPs Data'!$K:$K,'OPs Data'!$D:$D='Revenue Sheet'!A49))))</f>
      </c>
      <c r="C49" s="57">
        <f>IF(A49&gt;TODAY(),"",SUMIFS('OPs Data'!$N:$N,'OPs Data'!$F:$F,'Revenue Sheet'!C$1,'OPs Data'!$D:$D,'Revenue Sheet'!$A49,'OPs Data'!$L:$L,'Revenue Sheet'!C$2)*VLOOKUP($C$1,'Rate Card'!$B:$E,MATCH('Revenue Sheet'!C$2,'Rate Card'!$B$2:$E$2,0),0))</f>
      </c>
      <c r="D49" s="57">
        <f>IF(A49&gt;TODAY(),"",SUMIFS('OPs Data'!$N:$N,'OPs Data'!$F:$F,'Revenue Sheet'!C$1,'OPs Data'!$D:$D,'Revenue Sheet'!$A49,'OPs Data'!$L:$L,'Revenue Sheet'!D$2)*VLOOKUP($C$1,'Rate Card'!$B:$E,MATCH('Revenue Sheet'!D$2,'Rate Card'!$B$2:$E$2,0),0))</f>
      </c>
      <c r="E49" s="57">
        <f>IF(A49&gt;TODAY(),"",SUMIFS('OPs Data'!$N:$N,'OPs Data'!$F:$F,'Revenue Sheet'!C$1,'OPs Data'!$D:$D,'Revenue Sheet'!$A49,'OPs Data'!$L:$L,'Revenue Sheet'!E$2)*VLOOKUP($C$1,'Rate Card'!$B:$E,MATCH('Revenue Sheet'!E$2,'Rate Card'!$B$2:$E$2,0),0))</f>
      </c>
      <c r="F49" s="57">
        <f>IF(A49&gt;TODAY(),"",SUMIFS('OPs Data'!$N:$N,'OPs Data'!$F:$F,'Revenue Sheet'!F$1,'OPs Data'!$D:$D,'Revenue Sheet'!$A49,'OPs Data'!$L:$L,'Revenue Sheet'!F$2)*VLOOKUP($F$1,'Rate Card'!$B:$E,MATCH('Revenue Sheet'!F$2,'Rate Card'!$B$2:$E$2,0),0))</f>
      </c>
      <c r="G49" s="57">
        <f>IF(A49&gt;TODAY(),"",SUMIFS('OPs Data'!$N:$N,'OPs Data'!$F:$F,'Revenue Sheet'!F$1,'OPs Data'!$D:$D,'Revenue Sheet'!$A49,'OPs Data'!$L:$L,'Revenue Sheet'!G$2)*VLOOKUP($F$1,'Rate Card'!$B:$E,MATCH('Revenue Sheet'!G$2,'Rate Card'!$B$2:$E$2,0),0))</f>
      </c>
      <c r="H49" s="57">
        <f>IF(A49&gt;TODAY(),"",SUMIFS('OPs Data'!$N:$N,'OPs Data'!$F:$F,'Revenue Sheet'!F$1,'OPs Data'!$D:$D,'Revenue Sheet'!$A49,'OPs Data'!$L:$L,'Revenue Sheet'!H$2)*VLOOKUP($F$1,'Rate Card'!$B:$E,MATCH('Revenue Sheet'!H$2,'Rate Card'!$B$2:$E$2,0),0))</f>
      </c>
      <c r="I49" s="57">
        <f>IF(A49&gt;TODAY(),"",SUMIFS('OPs Data'!$N:$N,'OPs Data'!$F:$F,'Revenue Sheet'!I$1,'OPs Data'!$D:$D,'Revenue Sheet'!$A49,'OPs Data'!$L:$L,'Revenue Sheet'!I$2)*VLOOKUP($I$1,'Rate Card'!$B:$E,MATCH('Revenue Sheet'!I$2,'Rate Card'!$B$2:$E$2,0),0))</f>
      </c>
      <c r="J49" s="57">
        <f>IF(A49&gt;TODAY(),"",SUMIFS('OPs Data'!$N:$N,'OPs Data'!$F:$F,'Revenue Sheet'!I$1,'OPs Data'!$D:$D,'Revenue Sheet'!$A49,'OPs Data'!$L:$L,'Revenue Sheet'!J$2)*VLOOKUP($I$1,'Rate Card'!$B:$E,MATCH('Revenue Sheet'!J$2,'Rate Card'!$B$2:$E$2,0),0))</f>
      </c>
      <c r="K49" s="57">
        <f>IF(A49&gt;TODAY(),"",SUMIFS('OPs Data'!$N:$N,'OPs Data'!$F:$F,'Revenue Sheet'!I$1,'OPs Data'!$D:$D,'Revenue Sheet'!$A49,'OPs Data'!$L:$L,'Revenue Sheet'!K$2)*VLOOKUP($I$1,'Rate Card'!$B:$E,MATCH('Revenue Sheet'!K$2,'Rate Card'!$B$2:$E$2,0),0))</f>
      </c>
      <c r="L49" s="57">
        <f>IF(A49&gt;TODAY(),"",SUMIFS('OPs Data'!$N:$N,'OPs Data'!$F:$F,'Revenue Sheet'!L$1,'OPs Data'!$D:$D,'Revenue Sheet'!$A49,'OPs Data'!$L:$L,'Revenue Sheet'!L$2)*VLOOKUP($L$1,'Rate Card'!$B:$E,MATCH('Revenue Sheet'!L$2,'Rate Card'!$B$2:$E$2,0),0))</f>
      </c>
      <c r="M49" s="57">
        <f>IF(A49&gt;TODAY(),"",SUMIFS('OPs Data'!$N:$N,'OPs Data'!$F:$F,'Revenue Sheet'!L$1,'OPs Data'!$D:$D,'Revenue Sheet'!$A49,'OPs Data'!$L:$L,'Revenue Sheet'!M$2)*VLOOKUP($L$1,'Rate Card'!$B:$E,MATCH('Revenue Sheet'!M$2,'Rate Card'!$B$2:$E$2,0),0))</f>
      </c>
      <c r="N49" s="57">
        <f>IF(A49&gt;TODAY(),"",SUMIFS('OPs Data'!$N:$N,'OPs Data'!$F:$F,'Revenue Sheet'!L$1,'OPs Data'!$D:$D,'Revenue Sheet'!$A49,'OPs Data'!$L:$L,'Revenue Sheet'!N$2)*VLOOKUP($L$1,'Rate Card'!$B:$E,MATCH('Revenue Sheet'!N$2,'Rate Card'!$B$2:$E$2,0),0))</f>
      </c>
      <c r="O49" s="57">
        <f>IF($A49&gt;TODAY(),"",SUM(C49,F49,I49,L49))</f>
      </c>
      <c r="P49" s="57">
        <f>IF($A49&gt;TODAY(),"",SUM(D49,G49,J49,M49))</f>
      </c>
      <c r="Q49" s="57">
        <f>IF($A49&gt;TODAY(),"",SUM(E49,H49,K49,N49))</f>
      </c>
      <c r="R49" s="58">
        <f>IF($A49&gt;TODAY(),"",SUM(O49:Q49))</f>
      </c>
    </row>
    <row x14ac:dyDescent="0.25" r="50" customHeight="1" ht="18.75">
      <c r="A50" s="55">
        <v>45781</v>
      </c>
      <c r="B50" s="56">
        <f>IF(A50&gt;TODAY(),"",COUNTA(_xlfn.UNIQUE(_xlfn._xlws.FILTER('OPs Data'!$K:$K,'OPs Data'!$D:$D='Revenue Sheet'!A50))))</f>
      </c>
      <c r="C50" s="57">
        <f>IF(A50&gt;TODAY(),"",SUMIFS('OPs Data'!$N:$N,'OPs Data'!$F:$F,'Revenue Sheet'!C$1,'OPs Data'!$D:$D,'Revenue Sheet'!$A50,'OPs Data'!$L:$L,'Revenue Sheet'!C$2)*VLOOKUP($C$1,'Rate Card'!$B:$E,MATCH('Revenue Sheet'!C$2,'Rate Card'!$B$2:$E$2,0),0))</f>
      </c>
      <c r="D50" s="57">
        <f>IF(A50&gt;TODAY(),"",SUMIFS('OPs Data'!$N:$N,'OPs Data'!$F:$F,'Revenue Sheet'!C$1,'OPs Data'!$D:$D,'Revenue Sheet'!$A50,'OPs Data'!$L:$L,'Revenue Sheet'!D$2)*VLOOKUP($C$1,'Rate Card'!$B:$E,MATCH('Revenue Sheet'!D$2,'Rate Card'!$B$2:$E$2,0),0))</f>
      </c>
      <c r="E50" s="57">
        <f>IF(A50&gt;TODAY(),"",SUMIFS('OPs Data'!$N:$N,'OPs Data'!$F:$F,'Revenue Sheet'!C$1,'OPs Data'!$D:$D,'Revenue Sheet'!$A50,'OPs Data'!$L:$L,'Revenue Sheet'!E$2)*VLOOKUP($C$1,'Rate Card'!$B:$E,MATCH('Revenue Sheet'!E$2,'Rate Card'!$B$2:$E$2,0),0))</f>
      </c>
      <c r="F50" s="57">
        <f>IF(A50&gt;TODAY(),"",SUMIFS('OPs Data'!$N:$N,'OPs Data'!$F:$F,'Revenue Sheet'!F$1,'OPs Data'!$D:$D,'Revenue Sheet'!$A50,'OPs Data'!$L:$L,'Revenue Sheet'!F$2)*VLOOKUP($F$1,'Rate Card'!$B:$E,MATCH('Revenue Sheet'!F$2,'Rate Card'!$B$2:$E$2,0),0))</f>
      </c>
      <c r="G50" s="57">
        <f>IF(A50&gt;TODAY(),"",SUMIFS('OPs Data'!$N:$N,'OPs Data'!$F:$F,'Revenue Sheet'!F$1,'OPs Data'!$D:$D,'Revenue Sheet'!$A50,'OPs Data'!$L:$L,'Revenue Sheet'!G$2)*VLOOKUP($F$1,'Rate Card'!$B:$E,MATCH('Revenue Sheet'!G$2,'Rate Card'!$B$2:$E$2,0),0))</f>
      </c>
      <c r="H50" s="57">
        <f>IF(A50&gt;TODAY(),"",SUMIFS('OPs Data'!$N:$N,'OPs Data'!$F:$F,'Revenue Sheet'!F$1,'OPs Data'!$D:$D,'Revenue Sheet'!$A50,'OPs Data'!$L:$L,'Revenue Sheet'!H$2)*VLOOKUP($F$1,'Rate Card'!$B:$E,MATCH('Revenue Sheet'!H$2,'Rate Card'!$B$2:$E$2,0),0))</f>
      </c>
      <c r="I50" s="57">
        <f>IF(A50&gt;TODAY(),"",SUMIFS('OPs Data'!$N:$N,'OPs Data'!$F:$F,'Revenue Sheet'!I$1,'OPs Data'!$D:$D,'Revenue Sheet'!$A50,'OPs Data'!$L:$L,'Revenue Sheet'!I$2)*VLOOKUP($I$1,'Rate Card'!$B:$E,MATCH('Revenue Sheet'!I$2,'Rate Card'!$B$2:$E$2,0),0))</f>
      </c>
      <c r="J50" s="57">
        <f>IF(A50&gt;TODAY(),"",SUMIFS('OPs Data'!$N:$N,'OPs Data'!$F:$F,'Revenue Sheet'!I$1,'OPs Data'!$D:$D,'Revenue Sheet'!$A50,'OPs Data'!$L:$L,'Revenue Sheet'!J$2)*VLOOKUP($I$1,'Rate Card'!$B:$E,MATCH('Revenue Sheet'!J$2,'Rate Card'!$B$2:$E$2,0),0))</f>
      </c>
      <c r="K50" s="57">
        <f>IF(A50&gt;TODAY(),"",SUMIFS('OPs Data'!$N:$N,'OPs Data'!$F:$F,'Revenue Sheet'!I$1,'OPs Data'!$D:$D,'Revenue Sheet'!$A50,'OPs Data'!$L:$L,'Revenue Sheet'!K$2)*VLOOKUP($I$1,'Rate Card'!$B:$E,MATCH('Revenue Sheet'!K$2,'Rate Card'!$B$2:$E$2,0),0))</f>
      </c>
      <c r="L50" s="57">
        <f>IF(A50&gt;TODAY(),"",SUMIFS('OPs Data'!$N:$N,'OPs Data'!$F:$F,'Revenue Sheet'!L$1,'OPs Data'!$D:$D,'Revenue Sheet'!$A50,'OPs Data'!$L:$L,'Revenue Sheet'!L$2)*VLOOKUP($L$1,'Rate Card'!$B:$E,MATCH('Revenue Sheet'!L$2,'Rate Card'!$B$2:$E$2,0),0))</f>
      </c>
      <c r="M50" s="57">
        <f>IF(A50&gt;TODAY(),"",SUMIFS('OPs Data'!$N:$N,'OPs Data'!$F:$F,'Revenue Sheet'!L$1,'OPs Data'!$D:$D,'Revenue Sheet'!$A50,'OPs Data'!$L:$L,'Revenue Sheet'!M$2)*VLOOKUP($L$1,'Rate Card'!$B:$E,MATCH('Revenue Sheet'!M$2,'Rate Card'!$B$2:$E$2,0),0))</f>
      </c>
      <c r="N50" s="57">
        <f>IF(A50&gt;TODAY(),"",SUMIFS('OPs Data'!$N:$N,'OPs Data'!$F:$F,'Revenue Sheet'!L$1,'OPs Data'!$D:$D,'Revenue Sheet'!$A50,'OPs Data'!$L:$L,'Revenue Sheet'!N$2)*VLOOKUP($L$1,'Rate Card'!$B:$E,MATCH('Revenue Sheet'!N$2,'Rate Card'!$B$2:$E$2,0),0))</f>
      </c>
      <c r="O50" s="57">
        <f>IF($A50&gt;TODAY(),"",SUM(C50,F50,I50,L50))</f>
      </c>
      <c r="P50" s="57">
        <f>IF($A50&gt;TODAY(),"",SUM(D50,G50,J50,M50))</f>
      </c>
      <c r="Q50" s="57">
        <f>IF($A50&gt;TODAY(),"",SUM(E50,H50,K50,N50))</f>
      </c>
      <c r="R50" s="58">
        <f>IF($A50&gt;TODAY(),"",SUM(O50:Q50))</f>
      </c>
    </row>
    <row x14ac:dyDescent="0.25" r="51" customHeight="1" ht="18.75">
      <c r="A51" s="55">
        <v>45782</v>
      </c>
      <c r="B51" s="56">
        <f>IF(A51&gt;TODAY(),"",COUNTA(_xlfn.UNIQUE(_xlfn._xlws.FILTER('OPs Data'!$K:$K,'OPs Data'!$D:$D='Revenue Sheet'!A51))))</f>
      </c>
      <c r="C51" s="57">
        <f>IF(A51&gt;TODAY(),"",SUMIFS('OPs Data'!$N:$N,'OPs Data'!$F:$F,'Revenue Sheet'!C$1,'OPs Data'!$D:$D,'Revenue Sheet'!$A51,'OPs Data'!$L:$L,'Revenue Sheet'!C$2)*VLOOKUP($C$1,'Rate Card'!$B:$E,MATCH('Revenue Sheet'!C$2,'Rate Card'!$B$2:$E$2,0),0))</f>
      </c>
      <c r="D51" s="57">
        <f>IF(A51&gt;TODAY(),"",SUMIFS('OPs Data'!$N:$N,'OPs Data'!$F:$F,'Revenue Sheet'!C$1,'OPs Data'!$D:$D,'Revenue Sheet'!$A51,'OPs Data'!$L:$L,'Revenue Sheet'!D$2)*VLOOKUP($C$1,'Rate Card'!$B:$E,MATCH('Revenue Sheet'!D$2,'Rate Card'!$B$2:$E$2,0),0))</f>
      </c>
      <c r="E51" s="57">
        <f>IF(A51&gt;TODAY(),"",SUMIFS('OPs Data'!$N:$N,'OPs Data'!$F:$F,'Revenue Sheet'!C$1,'OPs Data'!$D:$D,'Revenue Sheet'!$A51,'OPs Data'!$L:$L,'Revenue Sheet'!E$2)*VLOOKUP($C$1,'Rate Card'!$B:$E,MATCH('Revenue Sheet'!E$2,'Rate Card'!$B$2:$E$2,0),0))</f>
      </c>
      <c r="F51" s="57">
        <f>IF(A51&gt;TODAY(),"",SUMIFS('OPs Data'!$N:$N,'OPs Data'!$F:$F,'Revenue Sheet'!F$1,'OPs Data'!$D:$D,'Revenue Sheet'!$A51,'OPs Data'!$L:$L,'Revenue Sheet'!F$2)*VLOOKUP($F$1,'Rate Card'!$B:$E,MATCH('Revenue Sheet'!F$2,'Rate Card'!$B$2:$E$2,0),0))</f>
      </c>
      <c r="G51" s="57">
        <f>IF(A51&gt;TODAY(),"",SUMIFS('OPs Data'!$N:$N,'OPs Data'!$F:$F,'Revenue Sheet'!F$1,'OPs Data'!$D:$D,'Revenue Sheet'!$A51,'OPs Data'!$L:$L,'Revenue Sheet'!G$2)*VLOOKUP($F$1,'Rate Card'!$B:$E,MATCH('Revenue Sheet'!G$2,'Rate Card'!$B$2:$E$2,0),0))</f>
      </c>
      <c r="H51" s="57">
        <f>IF(A51&gt;TODAY(),"",SUMIFS('OPs Data'!$N:$N,'OPs Data'!$F:$F,'Revenue Sheet'!F$1,'OPs Data'!$D:$D,'Revenue Sheet'!$A51,'OPs Data'!$L:$L,'Revenue Sheet'!H$2)*VLOOKUP($F$1,'Rate Card'!$B:$E,MATCH('Revenue Sheet'!H$2,'Rate Card'!$B$2:$E$2,0),0))</f>
      </c>
      <c r="I51" s="57">
        <f>IF(A51&gt;TODAY(),"",SUMIFS('OPs Data'!$N:$N,'OPs Data'!$F:$F,'Revenue Sheet'!I$1,'OPs Data'!$D:$D,'Revenue Sheet'!$A51,'OPs Data'!$L:$L,'Revenue Sheet'!I$2)*VLOOKUP($I$1,'Rate Card'!$B:$E,MATCH('Revenue Sheet'!I$2,'Rate Card'!$B$2:$E$2,0),0))</f>
      </c>
      <c r="J51" s="57">
        <f>IF(A51&gt;TODAY(),"",SUMIFS('OPs Data'!$N:$N,'OPs Data'!$F:$F,'Revenue Sheet'!I$1,'OPs Data'!$D:$D,'Revenue Sheet'!$A51,'OPs Data'!$L:$L,'Revenue Sheet'!J$2)*VLOOKUP($I$1,'Rate Card'!$B:$E,MATCH('Revenue Sheet'!J$2,'Rate Card'!$B$2:$E$2,0),0))</f>
      </c>
      <c r="K51" s="57">
        <f>IF(A51&gt;TODAY(),"",SUMIFS('OPs Data'!$N:$N,'OPs Data'!$F:$F,'Revenue Sheet'!I$1,'OPs Data'!$D:$D,'Revenue Sheet'!$A51,'OPs Data'!$L:$L,'Revenue Sheet'!K$2)*VLOOKUP($I$1,'Rate Card'!$B:$E,MATCH('Revenue Sheet'!K$2,'Rate Card'!$B$2:$E$2,0),0))</f>
      </c>
      <c r="L51" s="57">
        <f>IF(A51&gt;TODAY(),"",SUMIFS('OPs Data'!$N:$N,'OPs Data'!$F:$F,'Revenue Sheet'!L$1,'OPs Data'!$D:$D,'Revenue Sheet'!$A51,'OPs Data'!$L:$L,'Revenue Sheet'!L$2)*VLOOKUP($L$1,'Rate Card'!$B:$E,MATCH('Revenue Sheet'!L$2,'Rate Card'!$B$2:$E$2,0),0))</f>
      </c>
      <c r="M51" s="57">
        <f>IF(A51&gt;TODAY(),"",SUMIFS('OPs Data'!$N:$N,'OPs Data'!$F:$F,'Revenue Sheet'!L$1,'OPs Data'!$D:$D,'Revenue Sheet'!$A51,'OPs Data'!$L:$L,'Revenue Sheet'!M$2)*VLOOKUP($L$1,'Rate Card'!$B:$E,MATCH('Revenue Sheet'!M$2,'Rate Card'!$B$2:$E$2,0),0))</f>
      </c>
      <c r="N51" s="57">
        <f>IF(A51&gt;TODAY(),"",SUMIFS('OPs Data'!$N:$N,'OPs Data'!$F:$F,'Revenue Sheet'!L$1,'OPs Data'!$D:$D,'Revenue Sheet'!$A51,'OPs Data'!$L:$L,'Revenue Sheet'!N$2)*VLOOKUP($L$1,'Rate Card'!$B:$E,MATCH('Revenue Sheet'!N$2,'Rate Card'!$B$2:$E$2,0),0))</f>
      </c>
      <c r="O51" s="57">
        <f>IF($A51&gt;TODAY(),"",SUM(C51,F51,I51,L51))</f>
      </c>
      <c r="P51" s="57">
        <f>IF($A51&gt;TODAY(),"",SUM(D51,G51,J51,M51))</f>
      </c>
      <c r="Q51" s="57">
        <f>IF($A51&gt;TODAY(),"",SUM(E51,H51,K51,N51))</f>
      </c>
      <c r="R51" s="58">
        <f>IF($A51&gt;TODAY(),"",SUM(O51:Q51))</f>
      </c>
    </row>
    <row x14ac:dyDescent="0.25" r="52" customHeight="1" ht="18.75">
      <c r="A52" s="55">
        <v>45783</v>
      </c>
      <c r="B52" s="56">
        <f>IF(A52&gt;TODAY(),"",COUNTA(_xlfn.UNIQUE(_xlfn._xlws.FILTER('OPs Data'!$K:$K,'OPs Data'!$D:$D='Revenue Sheet'!A52))))</f>
      </c>
      <c r="C52" s="57">
        <f>IF(A52&gt;TODAY(),"",SUMIFS('OPs Data'!$N:$N,'OPs Data'!$F:$F,'Revenue Sheet'!C$1,'OPs Data'!$D:$D,'Revenue Sheet'!$A52,'OPs Data'!$L:$L,'Revenue Sheet'!C$2)*VLOOKUP($C$1,'Rate Card'!$B:$E,MATCH('Revenue Sheet'!C$2,'Rate Card'!$B$2:$E$2,0),0))</f>
      </c>
      <c r="D52" s="57">
        <f>IF(A52&gt;TODAY(),"",SUMIFS('OPs Data'!$N:$N,'OPs Data'!$F:$F,'Revenue Sheet'!C$1,'OPs Data'!$D:$D,'Revenue Sheet'!$A52,'OPs Data'!$L:$L,'Revenue Sheet'!D$2)*VLOOKUP($C$1,'Rate Card'!$B:$E,MATCH('Revenue Sheet'!D$2,'Rate Card'!$B$2:$E$2,0),0))</f>
      </c>
      <c r="E52" s="57">
        <f>IF(A52&gt;TODAY(),"",SUMIFS('OPs Data'!$N:$N,'OPs Data'!$F:$F,'Revenue Sheet'!C$1,'OPs Data'!$D:$D,'Revenue Sheet'!$A52,'OPs Data'!$L:$L,'Revenue Sheet'!E$2)*VLOOKUP($C$1,'Rate Card'!$B:$E,MATCH('Revenue Sheet'!E$2,'Rate Card'!$B$2:$E$2,0),0))</f>
      </c>
      <c r="F52" s="57">
        <f>IF(A52&gt;TODAY(),"",SUMIFS('OPs Data'!$N:$N,'OPs Data'!$F:$F,'Revenue Sheet'!F$1,'OPs Data'!$D:$D,'Revenue Sheet'!$A52,'OPs Data'!$L:$L,'Revenue Sheet'!F$2)*VLOOKUP($F$1,'Rate Card'!$B:$E,MATCH('Revenue Sheet'!F$2,'Rate Card'!$B$2:$E$2,0),0))</f>
      </c>
      <c r="G52" s="57">
        <f>IF(A52&gt;TODAY(),"",SUMIFS('OPs Data'!$N:$N,'OPs Data'!$F:$F,'Revenue Sheet'!F$1,'OPs Data'!$D:$D,'Revenue Sheet'!$A52,'OPs Data'!$L:$L,'Revenue Sheet'!G$2)*VLOOKUP($F$1,'Rate Card'!$B:$E,MATCH('Revenue Sheet'!G$2,'Rate Card'!$B$2:$E$2,0),0))</f>
      </c>
      <c r="H52" s="57">
        <f>IF(A52&gt;TODAY(),"",SUMIFS('OPs Data'!$N:$N,'OPs Data'!$F:$F,'Revenue Sheet'!F$1,'OPs Data'!$D:$D,'Revenue Sheet'!$A52,'OPs Data'!$L:$L,'Revenue Sheet'!H$2)*VLOOKUP($F$1,'Rate Card'!$B:$E,MATCH('Revenue Sheet'!H$2,'Rate Card'!$B$2:$E$2,0),0))</f>
      </c>
      <c r="I52" s="57">
        <f>IF(A52&gt;TODAY(),"",SUMIFS('OPs Data'!$N:$N,'OPs Data'!$F:$F,'Revenue Sheet'!I$1,'OPs Data'!$D:$D,'Revenue Sheet'!$A52,'OPs Data'!$L:$L,'Revenue Sheet'!I$2)*VLOOKUP($I$1,'Rate Card'!$B:$E,MATCH('Revenue Sheet'!I$2,'Rate Card'!$B$2:$E$2,0),0))</f>
      </c>
      <c r="J52" s="57">
        <f>IF(A52&gt;TODAY(),"",SUMIFS('OPs Data'!$N:$N,'OPs Data'!$F:$F,'Revenue Sheet'!I$1,'OPs Data'!$D:$D,'Revenue Sheet'!$A52,'OPs Data'!$L:$L,'Revenue Sheet'!J$2)*VLOOKUP($I$1,'Rate Card'!$B:$E,MATCH('Revenue Sheet'!J$2,'Rate Card'!$B$2:$E$2,0),0))</f>
      </c>
      <c r="K52" s="57">
        <f>IF(A52&gt;TODAY(),"",SUMIFS('OPs Data'!$N:$N,'OPs Data'!$F:$F,'Revenue Sheet'!I$1,'OPs Data'!$D:$D,'Revenue Sheet'!$A52,'OPs Data'!$L:$L,'Revenue Sheet'!K$2)*VLOOKUP($I$1,'Rate Card'!$B:$E,MATCH('Revenue Sheet'!K$2,'Rate Card'!$B$2:$E$2,0),0))</f>
      </c>
      <c r="L52" s="57">
        <f>IF(A52&gt;TODAY(),"",SUMIFS('OPs Data'!$N:$N,'OPs Data'!$F:$F,'Revenue Sheet'!L$1,'OPs Data'!$D:$D,'Revenue Sheet'!$A52,'OPs Data'!$L:$L,'Revenue Sheet'!L$2)*VLOOKUP($L$1,'Rate Card'!$B:$E,MATCH('Revenue Sheet'!L$2,'Rate Card'!$B$2:$E$2,0),0))</f>
      </c>
      <c r="M52" s="57">
        <f>IF(A52&gt;TODAY(),"",SUMIFS('OPs Data'!$N:$N,'OPs Data'!$F:$F,'Revenue Sheet'!L$1,'OPs Data'!$D:$D,'Revenue Sheet'!$A52,'OPs Data'!$L:$L,'Revenue Sheet'!M$2)*VLOOKUP($L$1,'Rate Card'!$B:$E,MATCH('Revenue Sheet'!M$2,'Rate Card'!$B$2:$E$2,0),0))</f>
      </c>
      <c r="N52" s="57">
        <f>IF(A52&gt;TODAY(),"",SUMIFS('OPs Data'!$N:$N,'OPs Data'!$F:$F,'Revenue Sheet'!L$1,'OPs Data'!$D:$D,'Revenue Sheet'!$A52,'OPs Data'!$L:$L,'Revenue Sheet'!N$2)*VLOOKUP($L$1,'Rate Card'!$B:$E,MATCH('Revenue Sheet'!N$2,'Rate Card'!$B$2:$E$2,0),0))</f>
      </c>
      <c r="O52" s="57">
        <f>IF($A52&gt;TODAY(),"",SUM(C52,F52,I52,L52))</f>
      </c>
      <c r="P52" s="57">
        <f>IF($A52&gt;TODAY(),"",SUM(D52,G52,J52,M52))</f>
      </c>
      <c r="Q52" s="57">
        <f>IF($A52&gt;TODAY(),"",SUM(E52,H52,K52,N52))</f>
      </c>
      <c r="R52" s="58">
        <f>IF($A52&gt;TODAY(),"",SUM(O52:Q52))</f>
      </c>
    </row>
    <row x14ac:dyDescent="0.25" r="53" customHeight="1" ht="18.75">
      <c r="A53" s="55">
        <v>45784</v>
      </c>
      <c r="B53" s="56">
        <f>IF(A53&gt;TODAY(),"",COUNTA(_xlfn.UNIQUE(_xlfn._xlws.FILTER('OPs Data'!$K:$K,'OPs Data'!$D:$D='Revenue Sheet'!A53))))</f>
      </c>
      <c r="C53" s="57">
        <f>IF(A53&gt;TODAY(),"",SUMIFS('OPs Data'!$N:$N,'OPs Data'!$F:$F,'Revenue Sheet'!C$1,'OPs Data'!$D:$D,'Revenue Sheet'!$A53,'OPs Data'!$L:$L,'Revenue Sheet'!C$2)*VLOOKUP($C$1,'Rate Card'!$B:$E,MATCH('Revenue Sheet'!C$2,'Rate Card'!$B$2:$E$2,0),0))</f>
      </c>
      <c r="D53" s="57">
        <f>IF(A53&gt;TODAY(),"",SUMIFS('OPs Data'!$N:$N,'OPs Data'!$F:$F,'Revenue Sheet'!C$1,'OPs Data'!$D:$D,'Revenue Sheet'!$A53,'OPs Data'!$L:$L,'Revenue Sheet'!D$2)*VLOOKUP($C$1,'Rate Card'!$B:$E,MATCH('Revenue Sheet'!D$2,'Rate Card'!$B$2:$E$2,0),0))</f>
      </c>
      <c r="E53" s="57">
        <f>IF(A53&gt;TODAY(),"",SUMIFS('OPs Data'!$N:$N,'OPs Data'!$F:$F,'Revenue Sheet'!C$1,'OPs Data'!$D:$D,'Revenue Sheet'!$A53,'OPs Data'!$L:$L,'Revenue Sheet'!E$2)*VLOOKUP($C$1,'Rate Card'!$B:$E,MATCH('Revenue Sheet'!E$2,'Rate Card'!$B$2:$E$2,0),0))</f>
      </c>
      <c r="F53" s="57">
        <f>IF(A53&gt;TODAY(),"",SUMIFS('OPs Data'!$N:$N,'OPs Data'!$F:$F,'Revenue Sheet'!F$1,'OPs Data'!$D:$D,'Revenue Sheet'!$A53,'OPs Data'!$L:$L,'Revenue Sheet'!F$2)*VLOOKUP($F$1,'Rate Card'!$B:$E,MATCH('Revenue Sheet'!F$2,'Rate Card'!$B$2:$E$2,0),0))</f>
      </c>
      <c r="G53" s="57">
        <f>IF(A53&gt;TODAY(),"",SUMIFS('OPs Data'!$N:$N,'OPs Data'!$F:$F,'Revenue Sheet'!F$1,'OPs Data'!$D:$D,'Revenue Sheet'!$A53,'OPs Data'!$L:$L,'Revenue Sheet'!G$2)*VLOOKUP($F$1,'Rate Card'!$B:$E,MATCH('Revenue Sheet'!G$2,'Rate Card'!$B$2:$E$2,0),0))</f>
      </c>
      <c r="H53" s="57">
        <f>IF(A53&gt;TODAY(),"",SUMIFS('OPs Data'!$N:$N,'OPs Data'!$F:$F,'Revenue Sheet'!F$1,'OPs Data'!$D:$D,'Revenue Sheet'!$A53,'OPs Data'!$L:$L,'Revenue Sheet'!H$2)*VLOOKUP($F$1,'Rate Card'!$B:$E,MATCH('Revenue Sheet'!H$2,'Rate Card'!$B$2:$E$2,0),0))</f>
      </c>
      <c r="I53" s="57">
        <f>IF(A53&gt;TODAY(),"",SUMIFS('OPs Data'!$N:$N,'OPs Data'!$F:$F,'Revenue Sheet'!I$1,'OPs Data'!$D:$D,'Revenue Sheet'!$A53,'OPs Data'!$L:$L,'Revenue Sheet'!I$2)*VLOOKUP($I$1,'Rate Card'!$B:$E,MATCH('Revenue Sheet'!I$2,'Rate Card'!$B$2:$E$2,0),0))</f>
      </c>
      <c r="J53" s="57">
        <f>IF(A53&gt;TODAY(),"",SUMIFS('OPs Data'!$N:$N,'OPs Data'!$F:$F,'Revenue Sheet'!I$1,'OPs Data'!$D:$D,'Revenue Sheet'!$A53,'OPs Data'!$L:$L,'Revenue Sheet'!J$2)*VLOOKUP($I$1,'Rate Card'!$B:$E,MATCH('Revenue Sheet'!J$2,'Rate Card'!$B$2:$E$2,0),0))</f>
      </c>
      <c r="K53" s="57">
        <f>IF(A53&gt;TODAY(),"",SUMIFS('OPs Data'!$N:$N,'OPs Data'!$F:$F,'Revenue Sheet'!I$1,'OPs Data'!$D:$D,'Revenue Sheet'!$A53,'OPs Data'!$L:$L,'Revenue Sheet'!K$2)*VLOOKUP($I$1,'Rate Card'!$B:$E,MATCH('Revenue Sheet'!K$2,'Rate Card'!$B$2:$E$2,0),0))</f>
      </c>
      <c r="L53" s="57">
        <f>IF(A53&gt;TODAY(),"",SUMIFS('OPs Data'!$N:$N,'OPs Data'!$F:$F,'Revenue Sheet'!L$1,'OPs Data'!$D:$D,'Revenue Sheet'!$A53,'OPs Data'!$L:$L,'Revenue Sheet'!L$2)*VLOOKUP($L$1,'Rate Card'!$B:$E,MATCH('Revenue Sheet'!L$2,'Rate Card'!$B$2:$E$2,0),0))</f>
      </c>
      <c r="M53" s="57">
        <f>IF(A53&gt;TODAY(),"",SUMIFS('OPs Data'!$N:$N,'OPs Data'!$F:$F,'Revenue Sheet'!L$1,'OPs Data'!$D:$D,'Revenue Sheet'!$A53,'OPs Data'!$L:$L,'Revenue Sheet'!M$2)*VLOOKUP($L$1,'Rate Card'!$B:$E,MATCH('Revenue Sheet'!M$2,'Rate Card'!$B$2:$E$2,0),0))</f>
      </c>
      <c r="N53" s="57">
        <f>IF(A53&gt;TODAY(),"",SUMIFS('OPs Data'!$N:$N,'OPs Data'!$F:$F,'Revenue Sheet'!L$1,'OPs Data'!$D:$D,'Revenue Sheet'!$A53,'OPs Data'!$L:$L,'Revenue Sheet'!N$2)*VLOOKUP($L$1,'Rate Card'!$B:$E,MATCH('Revenue Sheet'!N$2,'Rate Card'!$B$2:$E$2,0),0))</f>
      </c>
      <c r="O53" s="57">
        <f>IF($A53&gt;TODAY(),"",SUM(C53,F53,I53,L53))</f>
      </c>
      <c r="P53" s="57">
        <f>IF($A53&gt;TODAY(),"",SUM(D53,G53,J53,M53))</f>
      </c>
      <c r="Q53" s="57">
        <f>IF($A53&gt;TODAY(),"",SUM(E53,H53,K53,N53))</f>
      </c>
      <c r="R53" s="58">
        <f>IF($A53&gt;TODAY(),"",SUM(O53:Q53))</f>
      </c>
    </row>
    <row x14ac:dyDescent="0.25" r="54" customHeight="1" ht="18.75">
      <c r="A54" s="55">
        <v>45785</v>
      </c>
      <c r="B54" s="56">
        <f>IF(A54&gt;TODAY(),"",COUNTA(_xlfn.UNIQUE(_xlfn._xlws.FILTER('OPs Data'!$K:$K,'OPs Data'!$D:$D='Revenue Sheet'!A54))))</f>
      </c>
      <c r="C54" s="57">
        <f>IF(A54&gt;TODAY(),"",SUMIFS('OPs Data'!$N:$N,'OPs Data'!$F:$F,'Revenue Sheet'!C$1,'OPs Data'!$D:$D,'Revenue Sheet'!$A54,'OPs Data'!$L:$L,'Revenue Sheet'!C$2)*VLOOKUP($C$1,'Rate Card'!$B:$E,MATCH('Revenue Sheet'!C$2,'Rate Card'!$B$2:$E$2,0),0))</f>
      </c>
      <c r="D54" s="57">
        <f>IF(A54&gt;TODAY(),"",SUMIFS('OPs Data'!$N:$N,'OPs Data'!$F:$F,'Revenue Sheet'!C$1,'OPs Data'!$D:$D,'Revenue Sheet'!$A54,'OPs Data'!$L:$L,'Revenue Sheet'!D$2)*VLOOKUP($C$1,'Rate Card'!$B:$E,MATCH('Revenue Sheet'!D$2,'Rate Card'!$B$2:$E$2,0),0))</f>
      </c>
      <c r="E54" s="57">
        <f>IF(A54&gt;TODAY(),"",SUMIFS('OPs Data'!$N:$N,'OPs Data'!$F:$F,'Revenue Sheet'!C$1,'OPs Data'!$D:$D,'Revenue Sheet'!$A54,'OPs Data'!$L:$L,'Revenue Sheet'!E$2)*VLOOKUP($C$1,'Rate Card'!$B:$E,MATCH('Revenue Sheet'!E$2,'Rate Card'!$B$2:$E$2,0),0))</f>
      </c>
      <c r="F54" s="57">
        <f>IF(A54&gt;TODAY(),"",SUMIFS('OPs Data'!$N:$N,'OPs Data'!$F:$F,'Revenue Sheet'!F$1,'OPs Data'!$D:$D,'Revenue Sheet'!$A54,'OPs Data'!$L:$L,'Revenue Sheet'!F$2)*VLOOKUP($F$1,'Rate Card'!$B:$E,MATCH('Revenue Sheet'!F$2,'Rate Card'!$B$2:$E$2,0),0))</f>
      </c>
      <c r="G54" s="57">
        <f>IF(A54&gt;TODAY(),"",SUMIFS('OPs Data'!$N:$N,'OPs Data'!$F:$F,'Revenue Sheet'!F$1,'OPs Data'!$D:$D,'Revenue Sheet'!$A54,'OPs Data'!$L:$L,'Revenue Sheet'!G$2)*VLOOKUP($F$1,'Rate Card'!$B:$E,MATCH('Revenue Sheet'!G$2,'Rate Card'!$B$2:$E$2,0),0))</f>
      </c>
      <c r="H54" s="57">
        <f>IF(A54&gt;TODAY(),"",SUMIFS('OPs Data'!$N:$N,'OPs Data'!$F:$F,'Revenue Sheet'!F$1,'OPs Data'!$D:$D,'Revenue Sheet'!$A54,'OPs Data'!$L:$L,'Revenue Sheet'!H$2)*VLOOKUP($F$1,'Rate Card'!$B:$E,MATCH('Revenue Sheet'!H$2,'Rate Card'!$B$2:$E$2,0),0))</f>
      </c>
      <c r="I54" s="57">
        <f>IF(A54&gt;TODAY(),"",SUMIFS('OPs Data'!$N:$N,'OPs Data'!$F:$F,'Revenue Sheet'!I$1,'OPs Data'!$D:$D,'Revenue Sheet'!$A54,'OPs Data'!$L:$L,'Revenue Sheet'!I$2)*VLOOKUP($I$1,'Rate Card'!$B:$E,MATCH('Revenue Sheet'!I$2,'Rate Card'!$B$2:$E$2,0),0))</f>
      </c>
      <c r="J54" s="57">
        <f>IF(A54&gt;TODAY(),"",SUMIFS('OPs Data'!$N:$N,'OPs Data'!$F:$F,'Revenue Sheet'!I$1,'OPs Data'!$D:$D,'Revenue Sheet'!$A54,'OPs Data'!$L:$L,'Revenue Sheet'!J$2)*VLOOKUP($I$1,'Rate Card'!$B:$E,MATCH('Revenue Sheet'!J$2,'Rate Card'!$B$2:$E$2,0),0))</f>
      </c>
      <c r="K54" s="57">
        <f>IF(A54&gt;TODAY(),"",SUMIFS('OPs Data'!$N:$N,'OPs Data'!$F:$F,'Revenue Sheet'!I$1,'OPs Data'!$D:$D,'Revenue Sheet'!$A54,'OPs Data'!$L:$L,'Revenue Sheet'!K$2)*VLOOKUP($I$1,'Rate Card'!$B:$E,MATCH('Revenue Sheet'!K$2,'Rate Card'!$B$2:$E$2,0),0))</f>
      </c>
      <c r="L54" s="57">
        <f>IF(A54&gt;TODAY(),"",SUMIFS('OPs Data'!$N:$N,'OPs Data'!$F:$F,'Revenue Sheet'!L$1,'OPs Data'!$D:$D,'Revenue Sheet'!$A54,'OPs Data'!$L:$L,'Revenue Sheet'!L$2)*VLOOKUP($L$1,'Rate Card'!$B:$E,MATCH('Revenue Sheet'!L$2,'Rate Card'!$B$2:$E$2,0),0))</f>
      </c>
      <c r="M54" s="57">
        <f>IF(A54&gt;TODAY(),"",SUMIFS('OPs Data'!$N:$N,'OPs Data'!$F:$F,'Revenue Sheet'!L$1,'OPs Data'!$D:$D,'Revenue Sheet'!$A54,'OPs Data'!$L:$L,'Revenue Sheet'!M$2)*VLOOKUP($L$1,'Rate Card'!$B:$E,MATCH('Revenue Sheet'!M$2,'Rate Card'!$B$2:$E$2,0),0))</f>
      </c>
      <c r="N54" s="57">
        <f>IF(A54&gt;TODAY(),"",SUMIFS('OPs Data'!$N:$N,'OPs Data'!$F:$F,'Revenue Sheet'!L$1,'OPs Data'!$D:$D,'Revenue Sheet'!$A54,'OPs Data'!$L:$L,'Revenue Sheet'!N$2)*VLOOKUP($L$1,'Rate Card'!$B:$E,MATCH('Revenue Sheet'!N$2,'Rate Card'!$B$2:$E$2,0),0))</f>
      </c>
      <c r="O54" s="57">
        <f>IF($A54&gt;TODAY(),"",SUM(C54,F54,I54,L54))</f>
      </c>
      <c r="P54" s="57">
        <f>IF($A54&gt;TODAY(),"",SUM(D54,G54,J54,M54))</f>
      </c>
      <c r="Q54" s="57">
        <f>IF($A54&gt;TODAY(),"",SUM(E54,H54,K54,N54))</f>
      </c>
      <c r="R54" s="58">
        <f>IF($A54&gt;TODAY(),"",SUM(O54:Q54))</f>
      </c>
    </row>
    <row x14ac:dyDescent="0.25" r="55" customHeight="1" ht="18.75">
      <c r="A55" s="55">
        <v>45786</v>
      </c>
      <c r="B55" s="56">
        <f>IF(A55&gt;TODAY(),"",COUNTA(_xlfn.UNIQUE(_xlfn._xlws.FILTER('OPs Data'!$K:$K,'OPs Data'!$D:$D='Revenue Sheet'!A55))))</f>
      </c>
      <c r="C55" s="57">
        <f>IF(A55&gt;TODAY(),"",SUMIFS('OPs Data'!$N:$N,'OPs Data'!$F:$F,'Revenue Sheet'!C$1,'OPs Data'!$D:$D,'Revenue Sheet'!$A55,'OPs Data'!$L:$L,'Revenue Sheet'!C$2)*VLOOKUP($C$1,'Rate Card'!$B:$E,MATCH('Revenue Sheet'!C$2,'Rate Card'!$B$2:$E$2,0),0))</f>
      </c>
      <c r="D55" s="57">
        <f>IF(A55&gt;TODAY(),"",SUMIFS('OPs Data'!$N:$N,'OPs Data'!$F:$F,'Revenue Sheet'!C$1,'OPs Data'!$D:$D,'Revenue Sheet'!$A55,'OPs Data'!$L:$L,'Revenue Sheet'!D$2)*VLOOKUP($C$1,'Rate Card'!$B:$E,MATCH('Revenue Sheet'!D$2,'Rate Card'!$B$2:$E$2,0),0))</f>
      </c>
      <c r="E55" s="57">
        <f>IF(A55&gt;TODAY(),"",SUMIFS('OPs Data'!$N:$N,'OPs Data'!$F:$F,'Revenue Sheet'!C$1,'OPs Data'!$D:$D,'Revenue Sheet'!$A55,'OPs Data'!$L:$L,'Revenue Sheet'!E$2)*VLOOKUP($C$1,'Rate Card'!$B:$E,MATCH('Revenue Sheet'!E$2,'Rate Card'!$B$2:$E$2,0),0))</f>
      </c>
      <c r="F55" s="57">
        <f>IF(A55&gt;TODAY(),"",SUMIFS('OPs Data'!$N:$N,'OPs Data'!$F:$F,'Revenue Sheet'!F$1,'OPs Data'!$D:$D,'Revenue Sheet'!$A55,'OPs Data'!$L:$L,'Revenue Sheet'!F$2)*VLOOKUP($F$1,'Rate Card'!$B:$E,MATCH('Revenue Sheet'!F$2,'Rate Card'!$B$2:$E$2,0),0))</f>
      </c>
      <c r="G55" s="57">
        <f>IF(A55&gt;TODAY(),"",SUMIFS('OPs Data'!$N:$N,'OPs Data'!$F:$F,'Revenue Sheet'!F$1,'OPs Data'!$D:$D,'Revenue Sheet'!$A55,'OPs Data'!$L:$L,'Revenue Sheet'!G$2)*VLOOKUP($F$1,'Rate Card'!$B:$E,MATCH('Revenue Sheet'!G$2,'Rate Card'!$B$2:$E$2,0),0))</f>
      </c>
      <c r="H55" s="57">
        <f>IF(A55&gt;TODAY(),"",SUMIFS('OPs Data'!$N:$N,'OPs Data'!$F:$F,'Revenue Sheet'!F$1,'OPs Data'!$D:$D,'Revenue Sheet'!$A55,'OPs Data'!$L:$L,'Revenue Sheet'!H$2)*VLOOKUP($F$1,'Rate Card'!$B:$E,MATCH('Revenue Sheet'!H$2,'Rate Card'!$B$2:$E$2,0),0))</f>
      </c>
      <c r="I55" s="57">
        <f>IF(A55&gt;TODAY(),"",SUMIFS('OPs Data'!$N:$N,'OPs Data'!$F:$F,'Revenue Sheet'!I$1,'OPs Data'!$D:$D,'Revenue Sheet'!$A55,'OPs Data'!$L:$L,'Revenue Sheet'!I$2)*VLOOKUP($I$1,'Rate Card'!$B:$E,MATCH('Revenue Sheet'!I$2,'Rate Card'!$B$2:$E$2,0),0))</f>
      </c>
      <c r="J55" s="57">
        <f>IF(A55&gt;TODAY(),"",SUMIFS('OPs Data'!$N:$N,'OPs Data'!$F:$F,'Revenue Sheet'!I$1,'OPs Data'!$D:$D,'Revenue Sheet'!$A55,'OPs Data'!$L:$L,'Revenue Sheet'!J$2)*VLOOKUP($I$1,'Rate Card'!$B:$E,MATCH('Revenue Sheet'!J$2,'Rate Card'!$B$2:$E$2,0),0))</f>
      </c>
      <c r="K55" s="57">
        <f>IF(A55&gt;TODAY(),"",SUMIFS('OPs Data'!$N:$N,'OPs Data'!$F:$F,'Revenue Sheet'!I$1,'OPs Data'!$D:$D,'Revenue Sheet'!$A55,'OPs Data'!$L:$L,'Revenue Sheet'!K$2)*VLOOKUP($I$1,'Rate Card'!$B:$E,MATCH('Revenue Sheet'!K$2,'Rate Card'!$B$2:$E$2,0),0))</f>
      </c>
      <c r="L55" s="57">
        <f>IF(A55&gt;TODAY(),"",SUMIFS('OPs Data'!$N:$N,'OPs Data'!$F:$F,'Revenue Sheet'!L$1,'OPs Data'!$D:$D,'Revenue Sheet'!$A55,'OPs Data'!$L:$L,'Revenue Sheet'!L$2)*VLOOKUP($L$1,'Rate Card'!$B:$E,MATCH('Revenue Sheet'!L$2,'Rate Card'!$B$2:$E$2,0),0))</f>
      </c>
      <c r="M55" s="57">
        <f>IF(A55&gt;TODAY(),"",SUMIFS('OPs Data'!$N:$N,'OPs Data'!$F:$F,'Revenue Sheet'!L$1,'OPs Data'!$D:$D,'Revenue Sheet'!$A55,'OPs Data'!$L:$L,'Revenue Sheet'!M$2)*VLOOKUP($L$1,'Rate Card'!$B:$E,MATCH('Revenue Sheet'!M$2,'Rate Card'!$B$2:$E$2,0),0))</f>
      </c>
      <c r="N55" s="57">
        <f>IF(A55&gt;TODAY(),"",SUMIFS('OPs Data'!$N:$N,'OPs Data'!$F:$F,'Revenue Sheet'!L$1,'OPs Data'!$D:$D,'Revenue Sheet'!$A55,'OPs Data'!$L:$L,'Revenue Sheet'!N$2)*VLOOKUP($L$1,'Rate Card'!$B:$E,MATCH('Revenue Sheet'!N$2,'Rate Card'!$B$2:$E$2,0),0))</f>
      </c>
      <c r="O55" s="57">
        <f>IF($A55&gt;TODAY(),"",SUM(C55,F55,I55,L55))</f>
      </c>
      <c r="P55" s="57">
        <f>IF($A55&gt;TODAY(),"",SUM(D55,G55,J55,M55))</f>
      </c>
      <c r="Q55" s="57">
        <f>IF($A55&gt;TODAY(),"",SUM(E55,H55,K55,N55))</f>
      </c>
      <c r="R55" s="58">
        <f>IF($A55&gt;TODAY(),"",SUM(O55:Q55))</f>
      </c>
    </row>
    <row x14ac:dyDescent="0.25" r="56" customHeight="1" ht="18.75">
      <c r="A56" s="55">
        <v>45787</v>
      </c>
      <c r="B56" s="56">
        <f>IF(A56&gt;TODAY(),"",COUNTA(_xlfn.UNIQUE(_xlfn._xlws.FILTER('OPs Data'!$K:$K,'OPs Data'!$D:$D='Revenue Sheet'!A56))))</f>
      </c>
      <c r="C56" s="57">
        <f>IF(A56&gt;TODAY(),"",SUMIFS('OPs Data'!$N:$N,'OPs Data'!$F:$F,'Revenue Sheet'!C$1,'OPs Data'!$D:$D,'Revenue Sheet'!$A56,'OPs Data'!$L:$L,'Revenue Sheet'!C$2)*VLOOKUP($C$1,'Rate Card'!$B:$E,MATCH('Revenue Sheet'!C$2,'Rate Card'!$B$2:$E$2,0),0))</f>
      </c>
      <c r="D56" s="57">
        <f>IF(A56&gt;TODAY(),"",SUMIFS('OPs Data'!$N:$N,'OPs Data'!$F:$F,'Revenue Sheet'!C$1,'OPs Data'!$D:$D,'Revenue Sheet'!$A56,'OPs Data'!$L:$L,'Revenue Sheet'!D$2)*VLOOKUP($C$1,'Rate Card'!$B:$E,MATCH('Revenue Sheet'!D$2,'Rate Card'!$B$2:$E$2,0),0))</f>
      </c>
      <c r="E56" s="57">
        <f>IF(A56&gt;TODAY(),"",SUMIFS('OPs Data'!$N:$N,'OPs Data'!$F:$F,'Revenue Sheet'!C$1,'OPs Data'!$D:$D,'Revenue Sheet'!$A56,'OPs Data'!$L:$L,'Revenue Sheet'!E$2)*VLOOKUP($C$1,'Rate Card'!$B:$E,MATCH('Revenue Sheet'!E$2,'Rate Card'!$B$2:$E$2,0),0))</f>
      </c>
      <c r="F56" s="57">
        <f>IF(A56&gt;TODAY(),"",SUMIFS('OPs Data'!$N:$N,'OPs Data'!$F:$F,'Revenue Sheet'!F$1,'OPs Data'!$D:$D,'Revenue Sheet'!$A56,'OPs Data'!$L:$L,'Revenue Sheet'!F$2)*VLOOKUP($F$1,'Rate Card'!$B:$E,MATCH('Revenue Sheet'!F$2,'Rate Card'!$B$2:$E$2,0),0))</f>
      </c>
      <c r="G56" s="57">
        <f>IF(A56&gt;TODAY(),"",SUMIFS('OPs Data'!$N:$N,'OPs Data'!$F:$F,'Revenue Sheet'!F$1,'OPs Data'!$D:$D,'Revenue Sheet'!$A56,'OPs Data'!$L:$L,'Revenue Sheet'!G$2)*VLOOKUP($F$1,'Rate Card'!$B:$E,MATCH('Revenue Sheet'!G$2,'Rate Card'!$B$2:$E$2,0),0))</f>
      </c>
      <c r="H56" s="57">
        <f>IF(A56&gt;TODAY(),"",SUMIFS('OPs Data'!$N:$N,'OPs Data'!$F:$F,'Revenue Sheet'!F$1,'OPs Data'!$D:$D,'Revenue Sheet'!$A56,'OPs Data'!$L:$L,'Revenue Sheet'!H$2)*VLOOKUP($F$1,'Rate Card'!$B:$E,MATCH('Revenue Sheet'!H$2,'Rate Card'!$B$2:$E$2,0),0))</f>
      </c>
      <c r="I56" s="57">
        <f>IF(A56&gt;TODAY(),"",SUMIFS('OPs Data'!$N:$N,'OPs Data'!$F:$F,'Revenue Sheet'!I$1,'OPs Data'!$D:$D,'Revenue Sheet'!$A56,'OPs Data'!$L:$L,'Revenue Sheet'!I$2)*VLOOKUP($I$1,'Rate Card'!$B:$E,MATCH('Revenue Sheet'!I$2,'Rate Card'!$B$2:$E$2,0),0))</f>
      </c>
      <c r="J56" s="57">
        <f>IF(A56&gt;TODAY(),"",SUMIFS('OPs Data'!$N:$N,'OPs Data'!$F:$F,'Revenue Sheet'!I$1,'OPs Data'!$D:$D,'Revenue Sheet'!$A56,'OPs Data'!$L:$L,'Revenue Sheet'!J$2)*VLOOKUP($I$1,'Rate Card'!$B:$E,MATCH('Revenue Sheet'!J$2,'Rate Card'!$B$2:$E$2,0),0))</f>
      </c>
      <c r="K56" s="57">
        <f>IF(A56&gt;TODAY(),"",SUMIFS('OPs Data'!$N:$N,'OPs Data'!$F:$F,'Revenue Sheet'!I$1,'OPs Data'!$D:$D,'Revenue Sheet'!$A56,'OPs Data'!$L:$L,'Revenue Sheet'!K$2)*VLOOKUP($I$1,'Rate Card'!$B:$E,MATCH('Revenue Sheet'!K$2,'Rate Card'!$B$2:$E$2,0),0))</f>
      </c>
      <c r="L56" s="57">
        <f>IF(A56&gt;TODAY(),"",SUMIFS('OPs Data'!$N:$N,'OPs Data'!$F:$F,'Revenue Sheet'!L$1,'OPs Data'!$D:$D,'Revenue Sheet'!$A56,'OPs Data'!$L:$L,'Revenue Sheet'!L$2)*VLOOKUP($L$1,'Rate Card'!$B:$E,MATCH('Revenue Sheet'!L$2,'Rate Card'!$B$2:$E$2,0),0))</f>
      </c>
      <c r="M56" s="57">
        <f>IF(A56&gt;TODAY(),"",SUMIFS('OPs Data'!$N:$N,'OPs Data'!$F:$F,'Revenue Sheet'!L$1,'OPs Data'!$D:$D,'Revenue Sheet'!$A56,'OPs Data'!$L:$L,'Revenue Sheet'!M$2)*VLOOKUP($L$1,'Rate Card'!$B:$E,MATCH('Revenue Sheet'!M$2,'Rate Card'!$B$2:$E$2,0),0))</f>
      </c>
      <c r="N56" s="57">
        <f>IF(A56&gt;TODAY(),"",SUMIFS('OPs Data'!$N:$N,'OPs Data'!$F:$F,'Revenue Sheet'!L$1,'OPs Data'!$D:$D,'Revenue Sheet'!$A56,'OPs Data'!$L:$L,'Revenue Sheet'!N$2)*VLOOKUP($L$1,'Rate Card'!$B:$E,MATCH('Revenue Sheet'!N$2,'Rate Card'!$B$2:$E$2,0),0))</f>
      </c>
      <c r="O56" s="57">
        <f>IF($A56&gt;TODAY(),"",SUM(C56,F56,I56,L56))</f>
      </c>
      <c r="P56" s="57">
        <f>IF($A56&gt;TODAY(),"",SUM(D56,G56,J56,M56))</f>
      </c>
      <c r="Q56" s="57">
        <f>IF($A56&gt;TODAY(),"",SUM(E56,H56,K56,N56))</f>
      </c>
      <c r="R56" s="58">
        <f>IF($A56&gt;TODAY(),"",SUM(O56:Q56))</f>
      </c>
    </row>
    <row x14ac:dyDescent="0.25" r="57" customHeight="1" ht="18.75">
      <c r="A57" s="55">
        <v>45788</v>
      </c>
      <c r="B57" s="56">
        <f>IF(A57&gt;TODAY(),"",COUNTA(_xlfn.UNIQUE(_xlfn._xlws.FILTER('OPs Data'!$K:$K,'OPs Data'!$D:$D='Revenue Sheet'!A57))))</f>
      </c>
      <c r="C57" s="57">
        <f>IF(A57&gt;TODAY(),"",SUMIFS('OPs Data'!$N:$N,'OPs Data'!$F:$F,'Revenue Sheet'!C$1,'OPs Data'!$D:$D,'Revenue Sheet'!$A57,'OPs Data'!$L:$L,'Revenue Sheet'!C$2)*VLOOKUP($C$1,'Rate Card'!$B:$E,MATCH('Revenue Sheet'!C$2,'Rate Card'!$B$2:$E$2,0),0))</f>
      </c>
      <c r="D57" s="57">
        <f>IF(A57&gt;TODAY(),"",SUMIFS('OPs Data'!$N:$N,'OPs Data'!$F:$F,'Revenue Sheet'!C$1,'OPs Data'!$D:$D,'Revenue Sheet'!$A57,'OPs Data'!$L:$L,'Revenue Sheet'!D$2)*VLOOKUP($C$1,'Rate Card'!$B:$E,MATCH('Revenue Sheet'!D$2,'Rate Card'!$B$2:$E$2,0),0))</f>
      </c>
      <c r="E57" s="57">
        <f>IF(A57&gt;TODAY(),"",SUMIFS('OPs Data'!$N:$N,'OPs Data'!$F:$F,'Revenue Sheet'!C$1,'OPs Data'!$D:$D,'Revenue Sheet'!$A57,'OPs Data'!$L:$L,'Revenue Sheet'!E$2)*VLOOKUP($C$1,'Rate Card'!$B:$E,MATCH('Revenue Sheet'!E$2,'Rate Card'!$B$2:$E$2,0),0))</f>
      </c>
      <c r="F57" s="57">
        <f>IF(A57&gt;TODAY(),"",SUMIFS('OPs Data'!$N:$N,'OPs Data'!$F:$F,'Revenue Sheet'!F$1,'OPs Data'!$D:$D,'Revenue Sheet'!$A57,'OPs Data'!$L:$L,'Revenue Sheet'!F$2)*VLOOKUP($F$1,'Rate Card'!$B:$E,MATCH('Revenue Sheet'!F$2,'Rate Card'!$B$2:$E$2,0),0))</f>
      </c>
      <c r="G57" s="57">
        <f>IF(A57&gt;TODAY(),"",SUMIFS('OPs Data'!$N:$N,'OPs Data'!$F:$F,'Revenue Sheet'!F$1,'OPs Data'!$D:$D,'Revenue Sheet'!$A57,'OPs Data'!$L:$L,'Revenue Sheet'!G$2)*VLOOKUP($F$1,'Rate Card'!$B:$E,MATCH('Revenue Sheet'!G$2,'Rate Card'!$B$2:$E$2,0),0))</f>
      </c>
      <c r="H57" s="57">
        <f>IF(A57&gt;TODAY(),"",SUMIFS('OPs Data'!$N:$N,'OPs Data'!$F:$F,'Revenue Sheet'!F$1,'OPs Data'!$D:$D,'Revenue Sheet'!$A57,'OPs Data'!$L:$L,'Revenue Sheet'!H$2)*VLOOKUP($F$1,'Rate Card'!$B:$E,MATCH('Revenue Sheet'!H$2,'Rate Card'!$B$2:$E$2,0),0))</f>
      </c>
      <c r="I57" s="57">
        <f>IF(A57&gt;TODAY(),"",SUMIFS('OPs Data'!$N:$N,'OPs Data'!$F:$F,'Revenue Sheet'!I$1,'OPs Data'!$D:$D,'Revenue Sheet'!$A57,'OPs Data'!$L:$L,'Revenue Sheet'!I$2)*VLOOKUP($I$1,'Rate Card'!$B:$E,MATCH('Revenue Sheet'!I$2,'Rate Card'!$B$2:$E$2,0),0))</f>
      </c>
      <c r="J57" s="57">
        <f>IF(A57&gt;TODAY(),"",SUMIFS('OPs Data'!$N:$N,'OPs Data'!$F:$F,'Revenue Sheet'!I$1,'OPs Data'!$D:$D,'Revenue Sheet'!$A57,'OPs Data'!$L:$L,'Revenue Sheet'!J$2)*VLOOKUP($I$1,'Rate Card'!$B:$E,MATCH('Revenue Sheet'!J$2,'Rate Card'!$B$2:$E$2,0),0))</f>
      </c>
      <c r="K57" s="57">
        <f>IF(A57&gt;TODAY(),"",SUMIFS('OPs Data'!$N:$N,'OPs Data'!$F:$F,'Revenue Sheet'!I$1,'OPs Data'!$D:$D,'Revenue Sheet'!$A57,'OPs Data'!$L:$L,'Revenue Sheet'!K$2)*VLOOKUP($I$1,'Rate Card'!$B:$E,MATCH('Revenue Sheet'!K$2,'Rate Card'!$B$2:$E$2,0),0))</f>
      </c>
      <c r="L57" s="57">
        <f>IF(A57&gt;TODAY(),"",SUMIFS('OPs Data'!$N:$N,'OPs Data'!$F:$F,'Revenue Sheet'!L$1,'OPs Data'!$D:$D,'Revenue Sheet'!$A57,'OPs Data'!$L:$L,'Revenue Sheet'!L$2)*VLOOKUP($L$1,'Rate Card'!$B:$E,MATCH('Revenue Sheet'!L$2,'Rate Card'!$B$2:$E$2,0),0))</f>
      </c>
      <c r="M57" s="57">
        <f>IF(A57&gt;TODAY(),"",SUMIFS('OPs Data'!$N:$N,'OPs Data'!$F:$F,'Revenue Sheet'!L$1,'OPs Data'!$D:$D,'Revenue Sheet'!$A57,'OPs Data'!$L:$L,'Revenue Sheet'!M$2)*VLOOKUP($L$1,'Rate Card'!$B:$E,MATCH('Revenue Sheet'!M$2,'Rate Card'!$B$2:$E$2,0),0))</f>
      </c>
      <c r="N57" s="57">
        <f>IF(A57&gt;TODAY(),"",SUMIFS('OPs Data'!$N:$N,'OPs Data'!$F:$F,'Revenue Sheet'!L$1,'OPs Data'!$D:$D,'Revenue Sheet'!$A57,'OPs Data'!$L:$L,'Revenue Sheet'!N$2)*VLOOKUP($L$1,'Rate Card'!$B:$E,MATCH('Revenue Sheet'!N$2,'Rate Card'!$B$2:$E$2,0),0))</f>
      </c>
      <c r="O57" s="57">
        <f>IF($A57&gt;TODAY(),"",SUM(C57,F57,I57,L57))</f>
      </c>
      <c r="P57" s="57">
        <f>IF($A57&gt;TODAY(),"",SUM(D57,G57,J57,M57))</f>
      </c>
      <c r="Q57" s="57">
        <f>IF($A57&gt;TODAY(),"",SUM(E57,H57,K57,N57))</f>
      </c>
      <c r="R57" s="58">
        <f>IF($A57&gt;TODAY(),"",SUM(O57:Q57))</f>
      </c>
    </row>
    <row x14ac:dyDescent="0.25" r="58" customHeight="1" ht="18.75">
      <c r="A58" s="55">
        <v>45789</v>
      </c>
      <c r="B58" s="56">
        <f>IF(A58&gt;TODAY(),"",COUNTA(_xlfn.UNIQUE(_xlfn._xlws.FILTER('OPs Data'!$K:$K,'OPs Data'!$D:$D='Revenue Sheet'!A58))))</f>
      </c>
      <c r="C58" s="57">
        <f>IF(A58&gt;TODAY(),"",SUMIFS('OPs Data'!$N:$N,'OPs Data'!$F:$F,'Revenue Sheet'!C$1,'OPs Data'!$D:$D,'Revenue Sheet'!$A58,'OPs Data'!$L:$L,'Revenue Sheet'!C$2)*VLOOKUP($C$1,'Rate Card'!$B:$E,MATCH('Revenue Sheet'!C$2,'Rate Card'!$B$2:$E$2,0),0))</f>
      </c>
      <c r="D58" s="57">
        <f>IF(A58&gt;TODAY(),"",SUMIFS('OPs Data'!$N:$N,'OPs Data'!$F:$F,'Revenue Sheet'!C$1,'OPs Data'!$D:$D,'Revenue Sheet'!$A58,'OPs Data'!$L:$L,'Revenue Sheet'!D$2)*VLOOKUP($C$1,'Rate Card'!$B:$E,MATCH('Revenue Sheet'!D$2,'Rate Card'!$B$2:$E$2,0),0))</f>
      </c>
      <c r="E58" s="57">
        <f>IF(A58&gt;TODAY(),"",SUMIFS('OPs Data'!$N:$N,'OPs Data'!$F:$F,'Revenue Sheet'!C$1,'OPs Data'!$D:$D,'Revenue Sheet'!$A58,'OPs Data'!$L:$L,'Revenue Sheet'!E$2)*VLOOKUP($C$1,'Rate Card'!$B:$E,MATCH('Revenue Sheet'!E$2,'Rate Card'!$B$2:$E$2,0),0))</f>
      </c>
      <c r="F58" s="57">
        <f>IF(A58&gt;TODAY(),"",SUMIFS('OPs Data'!$N:$N,'OPs Data'!$F:$F,'Revenue Sheet'!F$1,'OPs Data'!$D:$D,'Revenue Sheet'!$A58,'OPs Data'!$L:$L,'Revenue Sheet'!F$2)*VLOOKUP($F$1,'Rate Card'!$B:$E,MATCH('Revenue Sheet'!F$2,'Rate Card'!$B$2:$E$2,0),0))</f>
      </c>
      <c r="G58" s="57">
        <f>IF(A58&gt;TODAY(),"",SUMIFS('OPs Data'!$N:$N,'OPs Data'!$F:$F,'Revenue Sheet'!F$1,'OPs Data'!$D:$D,'Revenue Sheet'!$A58,'OPs Data'!$L:$L,'Revenue Sheet'!G$2)*VLOOKUP($F$1,'Rate Card'!$B:$E,MATCH('Revenue Sheet'!G$2,'Rate Card'!$B$2:$E$2,0),0))</f>
      </c>
      <c r="H58" s="57">
        <f>IF(A58&gt;TODAY(),"",SUMIFS('OPs Data'!$N:$N,'OPs Data'!$F:$F,'Revenue Sheet'!F$1,'OPs Data'!$D:$D,'Revenue Sheet'!$A58,'OPs Data'!$L:$L,'Revenue Sheet'!H$2)*VLOOKUP($F$1,'Rate Card'!$B:$E,MATCH('Revenue Sheet'!H$2,'Rate Card'!$B$2:$E$2,0),0))</f>
      </c>
      <c r="I58" s="57">
        <f>IF(A58&gt;TODAY(),"",SUMIFS('OPs Data'!$N:$N,'OPs Data'!$F:$F,'Revenue Sheet'!I$1,'OPs Data'!$D:$D,'Revenue Sheet'!$A58,'OPs Data'!$L:$L,'Revenue Sheet'!I$2)*VLOOKUP($I$1,'Rate Card'!$B:$E,MATCH('Revenue Sheet'!I$2,'Rate Card'!$B$2:$E$2,0),0))</f>
      </c>
      <c r="J58" s="57">
        <f>IF(A58&gt;TODAY(),"",SUMIFS('OPs Data'!$N:$N,'OPs Data'!$F:$F,'Revenue Sheet'!I$1,'OPs Data'!$D:$D,'Revenue Sheet'!$A58,'OPs Data'!$L:$L,'Revenue Sheet'!J$2)*VLOOKUP($I$1,'Rate Card'!$B:$E,MATCH('Revenue Sheet'!J$2,'Rate Card'!$B$2:$E$2,0),0))</f>
      </c>
      <c r="K58" s="57">
        <f>IF(A58&gt;TODAY(),"",SUMIFS('OPs Data'!$N:$N,'OPs Data'!$F:$F,'Revenue Sheet'!I$1,'OPs Data'!$D:$D,'Revenue Sheet'!$A58,'OPs Data'!$L:$L,'Revenue Sheet'!K$2)*VLOOKUP($I$1,'Rate Card'!$B:$E,MATCH('Revenue Sheet'!K$2,'Rate Card'!$B$2:$E$2,0),0))</f>
      </c>
      <c r="L58" s="57">
        <f>IF(A58&gt;TODAY(),"",SUMIFS('OPs Data'!$N:$N,'OPs Data'!$F:$F,'Revenue Sheet'!L$1,'OPs Data'!$D:$D,'Revenue Sheet'!$A58,'OPs Data'!$L:$L,'Revenue Sheet'!L$2)*VLOOKUP($L$1,'Rate Card'!$B:$E,MATCH('Revenue Sheet'!L$2,'Rate Card'!$B$2:$E$2,0),0))</f>
      </c>
      <c r="M58" s="57">
        <f>IF(A58&gt;TODAY(),"",SUMIFS('OPs Data'!$N:$N,'OPs Data'!$F:$F,'Revenue Sheet'!L$1,'OPs Data'!$D:$D,'Revenue Sheet'!$A58,'OPs Data'!$L:$L,'Revenue Sheet'!M$2)*VLOOKUP($L$1,'Rate Card'!$B:$E,MATCH('Revenue Sheet'!M$2,'Rate Card'!$B$2:$E$2,0),0))</f>
      </c>
      <c r="N58" s="57">
        <f>IF(A58&gt;TODAY(),"",SUMIFS('OPs Data'!$N:$N,'OPs Data'!$F:$F,'Revenue Sheet'!L$1,'OPs Data'!$D:$D,'Revenue Sheet'!$A58,'OPs Data'!$L:$L,'Revenue Sheet'!N$2)*VLOOKUP($L$1,'Rate Card'!$B:$E,MATCH('Revenue Sheet'!N$2,'Rate Card'!$B$2:$E$2,0),0))</f>
      </c>
      <c r="O58" s="57">
        <f>IF($A58&gt;TODAY(),"",SUM(C58,F58,I58,L58))</f>
      </c>
      <c r="P58" s="57">
        <f>IF($A58&gt;TODAY(),"",SUM(D58,G58,J58,M58))</f>
      </c>
      <c r="Q58" s="57">
        <f>IF($A58&gt;TODAY(),"",SUM(E58,H58,K58,N58))</f>
      </c>
      <c r="R58" s="58">
        <f>IF($A58&gt;TODAY(),"",SUM(O58:Q58))</f>
      </c>
    </row>
    <row x14ac:dyDescent="0.25" r="59" customHeight="1" ht="18.75">
      <c r="A59" s="55">
        <v>45790</v>
      </c>
      <c r="B59" s="56">
        <f>IF(A59&gt;TODAY(),"",COUNTA(_xlfn.UNIQUE(_xlfn._xlws.FILTER('OPs Data'!$K:$K,'OPs Data'!$D:$D='Revenue Sheet'!A59))))</f>
      </c>
      <c r="C59" s="57">
        <f>IF(A59&gt;TODAY(),"",SUMIFS('OPs Data'!$N:$N,'OPs Data'!$F:$F,'Revenue Sheet'!C$1,'OPs Data'!$D:$D,'Revenue Sheet'!$A59,'OPs Data'!$L:$L,'Revenue Sheet'!C$2)*VLOOKUP($C$1,'Rate Card'!$B:$E,MATCH('Revenue Sheet'!C$2,'Rate Card'!$B$2:$E$2,0),0))</f>
      </c>
      <c r="D59" s="57">
        <f>IF(A59&gt;TODAY(),"",SUMIFS('OPs Data'!$N:$N,'OPs Data'!$F:$F,'Revenue Sheet'!C$1,'OPs Data'!$D:$D,'Revenue Sheet'!$A59,'OPs Data'!$L:$L,'Revenue Sheet'!D$2)*VLOOKUP($C$1,'Rate Card'!$B:$E,MATCH('Revenue Sheet'!D$2,'Rate Card'!$B$2:$E$2,0),0))</f>
      </c>
      <c r="E59" s="57">
        <f>IF(A59&gt;TODAY(),"",SUMIFS('OPs Data'!$N:$N,'OPs Data'!$F:$F,'Revenue Sheet'!C$1,'OPs Data'!$D:$D,'Revenue Sheet'!$A59,'OPs Data'!$L:$L,'Revenue Sheet'!E$2)*VLOOKUP($C$1,'Rate Card'!$B:$E,MATCH('Revenue Sheet'!E$2,'Rate Card'!$B$2:$E$2,0),0))</f>
      </c>
      <c r="F59" s="57">
        <f>IF(A59&gt;TODAY(),"",SUMIFS('OPs Data'!$N:$N,'OPs Data'!$F:$F,'Revenue Sheet'!F$1,'OPs Data'!$D:$D,'Revenue Sheet'!$A59,'OPs Data'!$L:$L,'Revenue Sheet'!F$2)*VLOOKUP($F$1,'Rate Card'!$B:$E,MATCH('Revenue Sheet'!F$2,'Rate Card'!$B$2:$E$2,0),0))</f>
      </c>
      <c r="G59" s="57">
        <f>IF(A59&gt;TODAY(),"",SUMIFS('OPs Data'!$N:$N,'OPs Data'!$F:$F,'Revenue Sheet'!F$1,'OPs Data'!$D:$D,'Revenue Sheet'!$A59,'OPs Data'!$L:$L,'Revenue Sheet'!G$2)*VLOOKUP($F$1,'Rate Card'!$B:$E,MATCH('Revenue Sheet'!G$2,'Rate Card'!$B$2:$E$2,0),0))</f>
      </c>
      <c r="H59" s="57">
        <f>IF(A59&gt;TODAY(),"",SUMIFS('OPs Data'!$N:$N,'OPs Data'!$F:$F,'Revenue Sheet'!F$1,'OPs Data'!$D:$D,'Revenue Sheet'!$A59,'OPs Data'!$L:$L,'Revenue Sheet'!H$2)*VLOOKUP($F$1,'Rate Card'!$B:$E,MATCH('Revenue Sheet'!H$2,'Rate Card'!$B$2:$E$2,0),0))</f>
      </c>
      <c r="I59" s="57">
        <f>IF(A59&gt;TODAY(),"",SUMIFS('OPs Data'!$N:$N,'OPs Data'!$F:$F,'Revenue Sheet'!I$1,'OPs Data'!$D:$D,'Revenue Sheet'!$A59,'OPs Data'!$L:$L,'Revenue Sheet'!I$2)*VLOOKUP($I$1,'Rate Card'!$B:$E,MATCH('Revenue Sheet'!I$2,'Rate Card'!$B$2:$E$2,0),0))</f>
      </c>
      <c r="J59" s="57">
        <f>IF(A59&gt;TODAY(),"",SUMIFS('OPs Data'!$N:$N,'OPs Data'!$F:$F,'Revenue Sheet'!I$1,'OPs Data'!$D:$D,'Revenue Sheet'!$A59,'OPs Data'!$L:$L,'Revenue Sheet'!J$2)*VLOOKUP($I$1,'Rate Card'!$B:$E,MATCH('Revenue Sheet'!J$2,'Rate Card'!$B$2:$E$2,0),0))</f>
      </c>
      <c r="K59" s="57">
        <f>IF(A59&gt;TODAY(),"",SUMIFS('OPs Data'!$N:$N,'OPs Data'!$F:$F,'Revenue Sheet'!I$1,'OPs Data'!$D:$D,'Revenue Sheet'!$A59,'OPs Data'!$L:$L,'Revenue Sheet'!K$2)*VLOOKUP($I$1,'Rate Card'!$B:$E,MATCH('Revenue Sheet'!K$2,'Rate Card'!$B$2:$E$2,0),0))</f>
      </c>
      <c r="L59" s="57">
        <f>IF(A59&gt;TODAY(),"",SUMIFS('OPs Data'!$N:$N,'OPs Data'!$F:$F,'Revenue Sheet'!L$1,'OPs Data'!$D:$D,'Revenue Sheet'!$A59,'OPs Data'!$L:$L,'Revenue Sheet'!L$2)*VLOOKUP($L$1,'Rate Card'!$B:$E,MATCH('Revenue Sheet'!L$2,'Rate Card'!$B$2:$E$2,0),0))</f>
      </c>
      <c r="M59" s="57">
        <f>IF(A59&gt;TODAY(),"",SUMIFS('OPs Data'!$N:$N,'OPs Data'!$F:$F,'Revenue Sheet'!L$1,'OPs Data'!$D:$D,'Revenue Sheet'!$A59,'OPs Data'!$L:$L,'Revenue Sheet'!M$2)*VLOOKUP($L$1,'Rate Card'!$B:$E,MATCH('Revenue Sheet'!M$2,'Rate Card'!$B$2:$E$2,0),0))</f>
      </c>
      <c r="N59" s="57">
        <f>IF(A59&gt;TODAY(),"",SUMIFS('OPs Data'!$N:$N,'OPs Data'!$F:$F,'Revenue Sheet'!L$1,'OPs Data'!$D:$D,'Revenue Sheet'!$A59,'OPs Data'!$L:$L,'Revenue Sheet'!N$2)*VLOOKUP($L$1,'Rate Card'!$B:$E,MATCH('Revenue Sheet'!N$2,'Rate Card'!$B$2:$E$2,0),0))</f>
      </c>
      <c r="O59" s="57">
        <f>IF($A59&gt;TODAY(),"",SUM(C59,F59,I59,L59))</f>
      </c>
      <c r="P59" s="57">
        <f>IF($A59&gt;TODAY(),"",SUM(D59,G59,J59,M59))</f>
      </c>
      <c r="Q59" s="57">
        <f>IF($A59&gt;TODAY(),"",SUM(E59,H59,K59,N59))</f>
      </c>
      <c r="R59" s="58">
        <f>IF($A59&gt;TODAY(),"",SUM(O59:Q59))</f>
      </c>
    </row>
    <row x14ac:dyDescent="0.25" r="60" customHeight="1" ht="18.75">
      <c r="A60" s="55">
        <v>45791</v>
      </c>
      <c r="B60" s="56">
        <f>IF(A60&gt;TODAY(),"",COUNTA(_xlfn.UNIQUE(_xlfn._xlws.FILTER('OPs Data'!$K:$K,'OPs Data'!$D:$D='Revenue Sheet'!A60))))</f>
      </c>
      <c r="C60" s="57">
        <f>IF(A60&gt;TODAY(),"",SUMIFS('OPs Data'!$N:$N,'OPs Data'!$F:$F,'Revenue Sheet'!C$1,'OPs Data'!$D:$D,'Revenue Sheet'!$A60,'OPs Data'!$L:$L,'Revenue Sheet'!C$2)*VLOOKUP($C$1,'Rate Card'!$B:$E,MATCH('Revenue Sheet'!C$2,'Rate Card'!$B$2:$E$2,0),0))</f>
      </c>
      <c r="D60" s="57">
        <f>IF(A60&gt;TODAY(),"",SUMIFS('OPs Data'!$N:$N,'OPs Data'!$F:$F,'Revenue Sheet'!C$1,'OPs Data'!$D:$D,'Revenue Sheet'!$A60,'OPs Data'!$L:$L,'Revenue Sheet'!D$2)*VLOOKUP($C$1,'Rate Card'!$B:$E,MATCH('Revenue Sheet'!D$2,'Rate Card'!$B$2:$E$2,0),0))</f>
      </c>
      <c r="E60" s="57">
        <f>IF(A60&gt;TODAY(),"",SUMIFS('OPs Data'!$N:$N,'OPs Data'!$F:$F,'Revenue Sheet'!C$1,'OPs Data'!$D:$D,'Revenue Sheet'!$A60,'OPs Data'!$L:$L,'Revenue Sheet'!E$2)*VLOOKUP($C$1,'Rate Card'!$B:$E,MATCH('Revenue Sheet'!E$2,'Rate Card'!$B$2:$E$2,0),0))</f>
      </c>
      <c r="F60" s="57">
        <f>IF(A60&gt;TODAY(),"",SUMIFS('OPs Data'!$N:$N,'OPs Data'!$F:$F,'Revenue Sheet'!F$1,'OPs Data'!$D:$D,'Revenue Sheet'!$A60,'OPs Data'!$L:$L,'Revenue Sheet'!F$2)*VLOOKUP($F$1,'Rate Card'!$B:$E,MATCH('Revenue Sheet'!F$2,'Rate Card'!$B$2:$E$2,0),0))</f>
      </c>
      <c r="G60" s="57">
        <f>IF(A60&gt;TODAY(),"",SUMIFS('OPs Data'!$N:$N,'OPs Data'!$F:$F,'Revenue Sheet'!F$1,'OPs Data'!$D:$D,'Revenue Sheet'!$A60,'OPs Data'!$L:$L,'Revenue Sheet'!G$2)*VLOOKUP($F$1,'Rate Card'!$B:$E,MATCH('Revenue Sheet'!G$2,'Rate Card'!$B$2:$E$2,0),0))</f>
      </c>
      <c r="H60" s="57">
        <f>IF(A60&gt;TODAY(),"",SUMIFS('OPs Data'!$N:$N,'OPs Data'!$F:$F,'Revenue Sheet'!F$1,'OPs Data'!$D:$D,'Revenue Sheet'!$A60,'OPs Data'!$L:$L,'Revenue Sheet'!H$2)*VLOOKUP($F$1,'Rate Card'!$B:$E,MATCH('Revenue Sheet'!H$2,'Rate Card'!$B$2:$E$2,0),0))</f>
      </c>
      <c r="I60" s="57">
        <f>IF(A60&gt;TODAY(),"",SUMIFS('OPs Data'!$N:$N,'OPs Data'!$F:$F,'Revenue Sheet'!I$1,'OPs Data'!$D:$D,'Revenue Sheet'!$A60,'OPs Data'!$L:$L,'Revenue Sheet'!I$2)*VLOOKUP($I$1,'Rate Card'!$B:$E,MATCH('Revenue Sheet'!I$2,'Rate Card'!$B$2:$E$2,0),0))</f>
      </c>
      <c r="J60" s="57">
        <f>IF(A60&gt;TODAY(),"",SUMIFS('OPs Data'!$N:$N,'OPs Data'!$F:$F,'Revenue Sheet'!I$1,'OPs Data'!$D:$D,'Revenue Sheet'!$A60,'OPs Data'!$L:$L,'Revenue Sheet'!J$2)*VLOOKUP($I$1,'Rate Card'!$B:$E,MATCH('Revenue Sheet'!J$2,'Rate Card'!$B$2:$E$2,0),0))</f>
      </c>
      <c r="K60" s="57">
        <f>IF(A60&gt;TODAY(),"",SUMIFS('OPs Data'!$N:$N,'OPs Data'!$F:$F,'Revenue Sheet'!I$1,'OPs Data'!$D:$D,'Revenue Sheet'!$A60,'OPs Data'!$L:$L,'Revenue Sheet'!K$2)*VLOOKUP($I$1,'Rate Card'!$B:$E,MATCH('Revenue Sheet'!K$2,'Rate Card'!$B$2:$E$2,0),0))</f>
      </c>
      <c r="L60" s="57">
        <f>IF(A60&gt;TODAY(),"",SUMIFS('OPs Data'!$N:$N,'OPs Data'!$F:$F,'Revenue Sheet'!L$1,'OPs Data'!$D:$D,'Revenue Sheet'!$A60,'OPs Data'!$L:$L,'Revenue Sheet'!L$2)*VLOOKUP($L$1,'Rate Card'!$B:$E,MATCH('Revenue Sheet'!L$2,'Rate Card'!$B$2:$E$2,0),0))</f>
      </c>
      <c r="M60" s="57">
        <f>IF(A60&gt;TODAY(),"",SUMIFS('OPs Data'!$N:$N,'OPs Data'!$F:$F,'Revenue Sheet'!L$1,'OPs Data'!$D:$D,'Revenue Sheet'!$A60,'OPs Data'!$L:$L,'Revenue Sheet'!M$2)*VLOOKUP($L$1,'Rate Card'!$B:$E,MATCH('Revenue Sheet'!M$2,'Rate Card'!$B$2:$E$2,0),0))</f>
      </c>
      <c r="N60" s="57">
        <f>IF(A60&gt;TODAY(),"",SUMIFS('OPs Data'!$N:$N,'OPs Data'!$F:$F,'Revenue Sheet'!L$1,'OPs Data'!$D:$D,'Revenue Sheet'!$A60,'OPs Data'!$L:$L,'Revenue Sheet'!N$2)*VLOOKUP($L$1,'Rate Card'!$B:$E,MATCH('Revenue Sheet'!N$2,'Rate Card'!$B$2:$E$2,0),0))</f>
      </c>
      <c r="O60" s="57">
        <f>IF($A60&gt;TODAY(),"",SUM(C60,F60,I60,L60))</f>
      </c>
      <c r="P60" s="57">
        <f>IF($A60&gt;TODAY(),"",SUM(D60,G60,J60,M60))</f>
      </c>
      <c r="Q60" s="57">
        <f>IF($A60&gt;TODAY(),"",SUM(E60,H60,K60,N60))</f>
      </c>
      <c r="R60" s="58">
        <f>IF($A60&gt;TODAY(),"",SUM(O60:Q60))</f>
      </c>
    </row>
    <row x14ac:dyDescent="0.25" r="61" customHeight="1" ht="18.75">
      <c r="A61" s="55">
        <v>45792</v>
      </c>
      <c r="B61" s="56">
        <f>IF(A61&gt;TODAY(),"",COUNTA(_xlfn.UNIQUE(_xlfn._xlws.FILTER('OPs Data'!$K:$K,'OPs Data'!$D:$D='Revenue Sheet'!A61))))</f>
      </c>
      <c r="C61" s="57">
        <f>IF(A61&gt;TODAY(),"",SUMIFS('OPs Data'!$N:$N,'OPs Data'!$F:$F,'Revenue Sheet'!C$1,'OPs Data'!$D:$D,'Revenue Sheet'!$A61,'OPs Data'!$L:$L,'Revenue Sheet'!C$2)*VLOOKUP($C$1,'Rate Card'!$B:$E,MATCH('Revenue Sheet'!C$2,'Rate Card'!$B$2:$E$2,0),0))</f>
      </c>
      <c r="D61" s="57">
        <f>IF(A61&gt;TODAY(),"",SUMIFS('OPs Data'!$N:$N,'OPs Data'!$F:$F,'Revenue Sheet'!C$1,'OPs Data'!$D:$D,'Revenue Sheet'!$A61,'OPs Data'!$L:$L,'Revenue Sheet'!D$2)*VLOOKUP($C$1,'Rate Card'!$B:$E,MATCH('Revenue Sheet'!D$2,'Rate Card'!$B$2:$E$2,0),0))</f>
      </c>
      <c r="E61" s="57">
        <f>IF(A61&gt;TODAY(),"",SUMIFS('OPs Data'!$N:$N,'OPs Data'!$F:$F,'Revenue Sheet'!C$1,'OPs Data'!$D:$D,'Revenue Sheet'!$A61,'OPs Data'!$L:$L,'Revenue Sheet'!E$2)*VLOOKUP($C$1,'Rate Card'!$B:$E,MATCH('Revenue Sheet'!E$2,'Rate Card'!$B$2:$E$2,0),0))</f>
      </c>
      <c r="F61" s="57">
        <f>IF(A61&gt;TODAY(),"",SUMIFS('OPs Data'!$N:$N,'OPs Data'!$F:$F,'Revenue Sheet'!F$1,'OPs Data'!$D:$D,'Revenue Sheet'!$A61,'OPs Data'!$L:$L,'Revenue Sheet'!F$2)*VLOOKUP($F$1,'Rate Card'!$B:$E,MATCH('Revenue Sheet'!F$2,'Rate Card'!$B$2:$E$2,0),0))</f>
      </c>
      <c r="G61" s="57">
        <f>IF(A61&gt;TODAY(),"",SUMIFS('OPs Data'!$N:$N,'OPs Data'!$F:$F,'Revenue Sheet'!F$1,'OPs Data'!$D:$D,'Revenue Sheet'!$A61,'OPs Data'!$L:$L,'Revenue Sheet'!G$2)*VLOOKUP($F$1,'Rate Card'!$B:$E,MATCH('Revenue Sheet'!G$2,'Rate Card'!$B$2:$E$2,0),0))</f>
      </c>
      <c r="H61" s="57">
        <f>IF(A61&gt;TODAY(),"",SUMIFS('OPs Data'!$N:$N,'OPs Data'!$F:$F,'Revenue Sheet'!F$1,'OPs Data'!$D:$D,'Revenue Sheet'!$A61,'OPs Data'!$L:$L,'Revenue Sheet'!H$2)*VLOOKUP($F$1,'Rate Card'!$B:$E,MATCH('Revenue Sheet'!H$2,'Rate Card'!$B$2:$E$2,0),0))</f>
      </c>
      <c r="I61" s="57">
        <f>IF(A61&gt;TODAY(),"",SUMIFS('OPs Data'!$N:$N,'OPs Data'!$F:$F,'Revenue Sheet'!I$1,'OPs Data'!$D:$D,'Revenue Sheet'!$A61,'OPs Data'!$L:$L,'Revenue Sheet'!I$2)*VLOOKUP($I$1,'Rate Card'!$B:$E,MATCH('Revenue Sheet'!I$2,'Rate Card'!$B$2:$E$2,0),0))</f>
      </c>
      <c r="J61" s="57">
        <f>IF(A61&gt;TODAY(),"",SUMIFS('OPs Data'!$N:$N,'OPs Data'!$F:$F,'Revenue Sheet'!I$1,'OPs Data'!$D:$D,'Revenue Sheet'!$A61,'OPs Data'!$L:$L,'Revenue Sheet'!J$2)*VLOOKUP($I$1,'Rate Card'!$B:$E,MATCH('Revenue Sheet'!J$2,'Rate Card'!$B$2:$E$2,0),0))</f>
      </c>
      <c r="K61" s="57">
        <f>IF(A61&gt;TODAY(),"",SUMIFS('OPs Data'!$N:$N,'OPs Data'!$F:$F,'Revenue Sheet'!I$1,'OPs Data'!$D:$D,'Revenue Sheet'!$A61,'OPs Data'!$L:$L,'Revenue Sheet'!K$2)*VLOOKUP($I$1,'Rate Card'!$B:$E,MATCH('Revenue Sheet'!K$2,'Rate Card'!$B$2:$E$2,0),0))</f>
      </c>
      <c r="L61" s="57">
        <f>IF(A61&gt;TODAY(),"",SUMIFS('OPs Data'!$N:$N,'OPs Data'!$F:$F,'Revenue Sheet'!L$1,'OPs Data'!$D:$D,'Revenue Sheet'!$A61,'OPs Data'!$L:$L,'Revenue Sheet'!L$2)*VLOOKUP($L$1,'Rate Card'!$B:$E,MATCH('Revenue Sheet'!L$2,'Rate Card'!$B$2:$E$2,0),0))</f>
      </c>
      <c r="M61" s="57">
        <f>IF(A61&gt;TODAY(),"",SUMIFS('OPs Data'!$N:$N,'OPs Data'!$F:$F,'Revenue Sheet'!L$1,'OPs Data'!$D:$D,'Revenue Sheet'!$A61,'OPs Data'!$L:$L,'Revenue Sheet'!M$2)*VLOOKUP($L$1,'Rate Card'!$B:$E,MATCH('Revenue Sheet'!M$2,'Rate Card'!$B$2:$E$2,0),0))</f>
      </c>
      <c r="N61" s="57">
        <f>IF(A61&gt;TODAY(),"",SUMIFS('OPs Data'!$N:$N,'OPs Data'!$F:$F,'Revenue Sheet'!L$1,'OPs Data'!$D:$D,'Revenue Sheet'!$A61,'OPs Data'!$L:$L,'Revenue Sheet'!N$2)*VLOOKUP($L$1,'Rate Card'!$B:$E,MATCH('Revenue Sheet'!N$2,'Rate Card'!$B$2:$E$2,0),0))</f>
      </c>
      <c r="O61" s="57">
        <f>IF($A61&gt;TODAY(),"",SUM(C61,F61,I61,L61))</f>
      </c>
      <c r="P61" s="57">
        <f>IF($A61&gt;TODAY(),"",SUM(D61,G61,J61,M61))</f>
      </c>
      <c r="Q61" s="57">
        <f>IF($A61&gt;TODAY(),"",SUM(E61,H61,K61,N61))</f>
      </c>
      <c r="R61" s="58">
        <f>IF($A61&gt;TODAY(),"",SUM(O61:Q61))</f>
      </c>
    </row>
    <row x14ac:dyDescent="0.25" r="62" customHeight="1" ht="18.75">
      <c r="A62" s="55">
        <v>45793</v>
      </c>
      <c r="B62" s="56">
        <f>IF(A62&gt;TODAY(),"",COUNTA(_xlfn.UNIQUE(_xlfn._xlws.FILTER('OPs Data'!$K:$K,'OPs Data'!$D:$D='Revenue Sheet'!A62))))</f>
      </c>
      <c r="C62" s="57">
        <f>IF(A62&gt;TODAY(),"",SUMIFS('OPs Data'!$N:$N,'OPs Data'!$F:$F,'Revenue Sheet'!C$1,'OPs Data'!$D:$D,'Revenue Sheet'!$A62,'OPs Data'!$L:$L,'Revenue Sheet'!C$2)*VLOOKUP($C$1,'Rate Card'!$B:$E,MATCH('Revenue Sheet'!C$2,'Rate Card'!$B$2:$E$2,0),0))</f>
      </c>
      <c r="D62" s="57">
        <f>IF(A62&gt;TODAY(),"",SUMIFS('OPs Data'!$N:$N,'OPs Data'!$F:$F,'Revenue Sheet'!C$1,'OPs Data'!$D:$D,'Revenue Sheet'!$A62,'OPs Data'!$L:$L,'Revenue Sheet'!D$2)*VLOOKUP($C$1,'Rate Card'!$B:$E,MATCH('Revenue Sheet'!D$2,'Rate Card'!$B$2:$E$2,0),0))</f>
      </c>
      <c r="E62" s="57">
        <f>IF(A62&gt;TODAY(),"",SUMIFS('OPs Data'!$N:$N,'OPs Data'!$F:$F,'Revenue Sheet'!C$1,'OPs Data'!$D:$D,'Revenue Sheet'!$A62,'OPs Data'!$L:$L,'Revenue Sheet'!E$2)*VLOOKUP($C$1,'Rate Card'!$B:$E,MATCH('Revenue Sheet'!E$2,'Rate Card'!$B$2:$E$2,0),0))</f>
      </c>
      <c r="F62" s="57">
        <f>IF(A62&gt;TODAY(),"",SUMIFS('OPs Data'!$N:$N,'OPs Data'!$F:$F,'Revenue Sheet'!F$1,'OPs Data'!$D:$D,'Revenue Sheet'!$A62,'OPs Data'!$L:$L,'Revenue Sheet'!F$2)*VLOOKUP($F$1,'Rate Card'!$B:$E,MATCH('Revenue Sheet'!F$2,'Rate Card'!$B$2:$E$2,0),0))</f>
      </c>
      <c r="G62" s="57">
        <f>IF(A62&gt;TODAY(),"",SUMIFS('OPs Data'!$N:$N,'OPs Data'!$F:$F,'Revenue Sheet'!F$1,'OPs Data'!$D:$D,'Revenue Sheet'!$A62,'OPs Data'!$L:$L,'Revenue Sheet'!G$2)*VLOOKUP($F$1,'Rate Card'!$B:$E,MATCH('Revenue Sheet'!G$2,'Rate Card'!$B$2:$E$2,0),0))</f>
      </c>
      <c r="H62" s="57">
        <f>IF(A62&gt;TODAY(),"",SUMIFS('OPs Data'!$N:$N,'OPs Data'!$F:$F,'Revenue Sheet'!F$1,'OPs Data'!$D:$D,'Revenue Sheet'!$A62,'OPs Data'!$L:$L,'Revenue Sheet'!H$2)*VLOOKUP($F$1,'Rate Card'!$B:$E,MATCH('Revenue Sheet'!H$2,'Rate Card'!$B$2:$E$2,0),0))</f>
      </c>
      <c r="I62" s="57">
        <f>IF(A62&gt;TODAY(),"",SUMIFS('OPs Data'!$N:$N,'OPs Data'!$F:$F,'Revenue Sheet'!I$1,'OPs Data'!$D:$D,'Revenue Sheet'!$A62,'OPs Data'!$L:$L,'Revenue Sheet'!I$2)*VLOOKUP($I$1,'Rate Card'!$B:$E,MATCH('Revenue Sheet'!I$2,'Rate Card'!$B$2:$E$2,0),0))</f>
      </c>
      <c r="J62" s="57">
        <f>IF(A62&gt;TODAY(),"",SUMIFS('OPs Data'!$N:$N,'OPs Data'!$F:$F,'Revenue Sheet'!I$1,'OPs Data'!$D:$D,'Revenue Sheet'!$A62,'OPs Data'!$L:$L,'Revenue Sheet'!J$2)*VLOOKUP($I$1,'Rate Card'!$B:$E,MATCH('Revenue Sheet'!J$2,'Rate Card'!$B$2:$E$2,0),0))</f>
      </c>
      <c r="K62" s="57">
        <f>IF(A62&gt;TODAY(),"",SUMIFS('OPs Data'!$N:$N,'OPs Data'!$F:$F,'Revenue Sheet'!I$1,'OPs Data'!$D:$D,'Revenue Sheet'!$A62,'OPs Data'!$L:$L,'Revenue Sheet'!K$2)*VLOOKUP($I$1,'Rate Card'!$B:$E,MATCH('Revenue Sheet'!K$2,'Rate Card'!$B$2:$E$2,0),0))</f>
      </c>
      <c r="L62" s="57">
        <f>IF(A62&gt;TODAY(),"",SUMIFS('OPs Data'!$N:$N,'OPs Data'!$F:$F,'Revenue Sheet'!L$1,'OPs Data'!$D:$D,'Revenue Sheet'!$A62,'OPs Data'!$L:$L,'Revenue Sheet'!L$2)*VLOOKUP($L$1,'Rate Card'!$B:$E,MATCH('Revenue Sheet'!L$2,'Rate Card'!$B$2:$E$2,0),0))</f>
      </c>
      <c r="M62" s="57">
        <f>IF(A62&gt;TODAY(),"",SUMIFS('OPs Data'!$N:$N,'OPs Data'!$F:$F,'Revenue Sheet'!L$1,'OPs Data'!$D:$D,'Revenue Sheet'!$A62,'OPs Data'!$L:$L,'Revenue Sheet'!M$2)*VLOOKUP($L$1,'Rate Card'!$B:$E,MATCH('Revenue Sheet'!M$2,'Rate Card'!$B$2:$E$2,0),0))</f>
      </c>
      <c r="N62" s="57">
        <f>IF(A62&gt;TODAY(),"",SUMIFS('OPs Data'!$N:$N,'OPs Data'!$F:$F,'Revenue Sheet'!L$1,'OPs Data'!$D:$D,'Revenue Sheet'!$A62,'OPs Data'!$L:$L,'Revenue Sheet'!N$2)*VLOOKUP($L$1,'Rate Card'!$B:$E,MATCH('Revenue Sheet'!N$2,'Rate Card'!$B$2:$E$2,0),0))</f>
      </c>
      <c r="O62" s="57">
        <f>IF($A62&gt;TODAY(),"",SUM(C62,F62,I62,L62))</f>
      </c>
      <c r="P62" s="57">
        <f>IF($A62&gt;TODAY(),"",SUM(D62,G62,J62,M62))</f>
      </c>
      <c r="Q62" s="57">
        <f>IF($A62&gt;TODAY(),"",SUM(E62,H62,K62,N62))</f>
      </c>
      <c r="R62" s="58">
        <f>IF($A62&gt;TODAY(),"",SUM(O62:Q62))</f>
      </c>
    </row>
    <row x14ac:dyDescent="0.25" r="63" customHeight="1" ht="18.75">
      <c r="A63" s="55">
        <v>45794</v>
      </c>
      <c r="B63" s="56">
        <f>IF(A63&gt;TODAY(),"",COUNTA(_xlfn.UNIQUE(_xlfn._xlws.FILTER('OPs Data'!$K:$K,'OPs Data'!$D:$D='Revenue Sheet'!A63))))</f>
      </c>
      <c r="C63" s="57">
        <f>IF(A63&gt;TODAY(),"",SUMIFS('OPs Data'!$N:$N,'OPs Data'!$F:$F,'Revenue Sheet'!C$1,'OPs Data'!$D:$D,'Revenue Sheet'!$A63,'OPs Data'!$L:$L,'Revenue Sheet'!C$2)*VLOOKUP($C$1,'Rate Card'!$B:$E,MATCH('Revenue Sheet'!C$2,'Rate Card'!$B$2:$E$2,0),0))</f>
      </c>
      <c r="D63" s="57">
        <f>IF(A63&gt;TODAY(),"",SUMIFS('OPs Data'!$N:$N,'OPs Data'!$F:$F,'Revenue Sheet'!C$1,'OPs Data'!$D:$D,'Revenue Sheet'!$A63,'OPs Data'!$L:$L,'Revenue Sheet'!D$2)*VLOOKUP($C$1,'Rate Card'!$B:$E,MATCH('Revenue Sheet'!D$2,'Rate Card'!$B$2:$E$2,0),0))</f>
      </c>
      <c r="E63" s="57">
        <f>IF(A63&gt;TODAY(),"",SUMIFS('OPs Data'!$N:$N,'OPs Data'!$F:$F,'Revenue Sheet'!C$1,'OPs Data'!$D:$D,'Revenue Sheet'!$A63,'OPs Data'!$L:$L,'Revenue Sheet'!E$2)*VLOOKUP($C$1,'Rate Card'!$B:$E,MATCH('Revenue Sheet'!E$2,'Rate Card'!$B$2:$E$2,0),0))</f>
      </c>
      <c r="F63" s="57">
        <f>IF(A63&gt;TODAY(),"",SUMIFS('OPs Data'!$N:$N,'OPs Data'!$F:$F,'Revenue Sheet'!F$1,'OPs Data'!$D:$D,'Revenue Sheet'!$A63,'OPs Data'!$L:$L,'Revenue Sheet'!F$2)*VLOOKUP($F$1,'Rate Card'!$B:$E,MATCH('Revenue Sheet'!F$2,'Rate Card'!$B$2:$E$2,0),0))</f>
      </c>
      <c r="G63" s="57">
        <f>IF(A63&gt;TODAY(),"",SUMIFS('OPs Data'!$N:$N,'OPs Data'!$F:$F,'Revenue Sheet'!F$1,'OPs Data'!$D:$D,'Revenue Sheet'!$A63,'OPs Data'!$L:$L,'Revenue Sheet'!G$2)*VLOOKUP($F$1,'Rate Card'!$B:$E,MATCH('Revenue Sheet'!G$2,'Rate Card'!$B$2:$E$2,0),0))</f>
      </c>
      <c r="H63" s="57">
        <f>IF(A63&gt;TODAY(),"",SUMIFS('OPs Data'!$N:$N,'OPs Data'!$F:$F,'Revenue Sheet'!F$1,'OPs Data'!$D:$D,'Revenue Sheet'!$A63,'OPs Data'!$L:$L,'Revenue Sheet'!H$2)*VLOOKUP($F$1,'Rate Card'!$B:$E,MATCH('Revenue Sheet'!H$2,'Rate Card'!$B$2:$E$2,0),0))</f>
      </c>
      <c r="I63" s="57">
        <f>IF(A63&gt;TODAY(),"",SUMIFS('OPs Data'!$N:$N,'OPs Data'!$F:$F,'Revenue Sheet'!I$1,'OPs Data'!$D:$D,'Revenue Sheet'!$A63,'OPs Data'!$L:$L,'Revenue Sheet'!I$2)*VLOOKUP($I$1,'Rate Card'!$B:$E,MATCH('Revenue Sheet'!I$2,'Rate Card'!$B$2:$E$2,0),0))</f>
      </c>
      <c r="J63" s="57">
        <f>IF(A63&gt;TODAY(),"",SUMIFS('OPs Data'!$N:$N,'OPs Data'!$F:$F,'Revenue Sheet'!I$1,'OPs Data'!$D:$D,'Revenue Sheet'!$A63,'OPs Data'!$L:$L,'Revenue Sheet'!J$2)*VLOOKUP($I$1,'Rate Card'!$B:$E,MATCH('Revenue Sheet'!J$2,'Rate Card'!$B$2:$E$2,0),0))</f>
      </c>
      <c r="K63" s="57">
        <f>IF(A63&gt;TODAY(),"",SUMIFS('OPs Data'!$N:$N,'OPs Data'!$F:$F,'Revenue Sheet'!I$1,'OPs Data'!$D:$D,'Revenue Sheet'!$A63,'OPs Data'!$L:$L,'Revenue Sheet'!K$2)*VLOOKUP($I$1,'Rate Card'!$B:$E,MATCH('Revenue Sheet'!K$2,'Rate Card'!$B$2:$E$2,0),0))</f>
      </c>
      <c r="L63" s="57">
        <f>IF(A63&gt;TODAY(),"",SUMIFS('OPs Data'!$N:$N,'OPs Data'!$F:$F,'Revenue Sheet'!L$1,'OPs Data'!$D:$D,'Revenue Sheet'!$A63,'OPs Data'!$L:$L,'Revenue Sheet'!L$2)*VLOOKUP($L$1,'Rate Card'!$B:$E,MATCH('Revenue Sheet'!L$2,'Rate Card'!$B$2:$E$2,0),0))</f>
      </c>
      <c r="M63" s="57">
        <f>IF(A63&gt;TODAY(),"",SUMIFS('OPs Data'!$N:$N,'OPs Data'!$F:$F,'Revenue Sheet'!L$1,'OPs Data'!$D:$D,'Revenue Sheet'!$A63,'OPs Data'!$L:$L,'Revenue Sheet'!M$2)*VLOOKUP($L$1,'Rate Card'!$B:$E,MATCH('Revenue Sheet'!M$2,'Rate Card'!$B$2:$E$2,0),0))</f>
      </c>
      <c r="N63" s="57">
        <f>IF(A63&gt;TODAY(),"",SUMIFS('OPs Data'!$N:$N,'OPs Data'!$F:$F,'Revenue Sheet'!L$1,'OPs Data'!$D:$D,'Revenue Sheet'!$A63,'OPs Data'!$L:$L,'Revenue Sheet'!N$2)*VLOOKUP($L$1,'Rate Card'!$B:$E,MATCH('Revenue Sheet'!N$2,'Rate Card'!$B$2:$E$2,0),0))</f>
      </c>
      <c r="O63" s="57">
        <f>IF($A63&gt;TODAY(),"",SUM(C63,F63,I63,L63))</f>
      </c>
      <c r="P63" s="57">
        <f>IF($A63&gt;TODAY(),"",SUM(D63,G63,J63,M63))</f>
      </c>
      <c r="Q63" s="57">
        <f>IF($A63&gt;TODAY(),"",SUM(E63,H63,K63,N63))</f>
      </c>
      <c r="R63" s="58">
        <f>IF($A63&gt;TODAY(),"",SUM(O63:Q63))</f>
      </c>
    </row>
    <row x14ac:dyDescent="0.25" r="64" customHeight="1" ht="18.75">
      <c r="A64" s="55">
        <v>45795</v>
      </c>
      <c r="B64" s="56">
        <f>IF(A64&gt;TODAY(),"",COUNTA(_xlfn.UNIQUE(_xlfn._xlws.FILTER('OPs Data'!$K:$K,'OPs Data'!$D:$D='Revenue Sheet'!A64))))</f>
      </c>
      <c r="C64" s="57">
        <f>IF(A64&gt;TODAY(),"",SUMIFS('OPs Data'!$N:$N,'OPs Data'!$F:$F,'Revenue Sheet'!C$1,'OPs Data'!$D:$D,'Revenue Sheet'!$A64,'OPs Data'!$L:$L,'Revenue Sheet'!C$2)*VLOOKUP($C$1,'Rate Card'!$B:$E,MATCH('Revenue Sheet'!C$2,'Rate Card'!$B$2:$E$2,0),0))</f>
      </c>
      <c r="D64" s="57">
        <f>IF(A64&gt;TODAY(),"",SUMIFS('OPs Data'!$N:$N,'OPs Data'!$F:$F,'Revenue Sheet'!C$1,'OPs Data'!$D:$D,'Revenue Sheet'!$A64,'OPs Data'!$L:$L,'Revenue Sheet'!D$2)*VLOOKUP($C$1,'Rate Card'!$B:$E,MATCH('Revenue Sheet'!D$2,'Rate Card'!$B$2:$E$2,0),0))</f>
      </c>
      <c r="E64" s="57">
        <f>IF(A64&gt;TODAY(),"",SUMIFS('OPs Data'!$N:$N,'OPs Data'!$F:$F,'Revenue Sheet'!C$1,'OPs Data'!$D:$D,'Revenue Sheet'!$A64,'OPs Data'!$L:$L,'Revenue Sheet'!E$2)*VLOOKUP($C$1,'Rate Card'!$B:$E,MATCH('Revenue Sheet'!E$2,'Rate Card'!$B$2:$E$2,0),0))</f>
      </c>
      <c r="F64" s="57">
        <f>IF(A64&gt;TODAY(),"",SUMIFS('OPs Data'!$N:$N,'OPs Data'!$F:$F,'Revenue Sheet'!F$1,'OPs Data'!$D:$D,'Revenue Sheet'!$A64,'OPs Data'!$L:$L,'Revenue Sheet'!F$2)*VLOOKUP($F$1,'Rate Card'!$B:$E,MATCH('Revenue Sheet'!F$2,'Rate Card'!$B$2:$E$2,0),0))</f>
      </c>
      <c r="G64" s="57">
        <f>IF(A64&gt;TODAY(),"",SUMIFS('OPs Data'!$N:$N,'OPs Data'!$F:$F,'Revenue Sheet'!F$1,'OPs Data'!$D:$D,'Revenue Sheet'!$A64,'OPs Data'!$L:$L,'Revenue Sheet'!G$2)*VLOOKUP($F$1,'Rate Card'!$B:$E,MATCH('Revenue Sheet'!G$2,'Rate Card'!$B$2:$E$2,0),0))</f>
      </c>
      <c r="H64" s="57">
        <f>IF(A64&gt;TODAY(),"",SUMIFS('OPs Data'!$N:$N,'OPs Data'!$F:$F,'Revenue Sheet'!F$1,'OPs Data'!$D:$D,'Revenue Sheet'!$A64,'OPs Data'!$L:$L,'Revenue Sheet'!H$2)*VLOOKUP($F$1,'Rate Card'!$B:$E,MATCH('Revenue Sheet'!H$2,'Rate Card'!$B$2:$E$2,0),0))</f>
      </c>
      <c r="I64" s="57">
        <f>IF(A64&gt;TODAY(),"",SUMIFS('OPs Data'!$N:$N,'OPs Data'!$F:$F,'Revenue Sheet'!I$1,'OPs Data'!$D:$D,'Revenue Sheet'!$A64,'OPs Data'!$L:$L,'Revenue Sheet'!I$2)*VLOOKUP($I$1,'Rate Card'!$B:$E,MATCH('Revenue Sheet'!I$2,'Rate Card'!$B$2:$E$2,0),0))</f>
      </c>
      <c r="J64" s="57">
        <f>IF(A64&gt;TODAY(),"",SUMIFS('OPs Data'!$N:$N,'OPs Data'!$F:$F,'Revenue Sheet'!I$1,'OPs Data'!$D:$D,'Revenue Sheet'!$A64,'OPs Data'!$L:$L,'Revenue Sheet'!J$2)*VLOOKUP($I$1,'Rate Card'!$B:$E,MATCH('Revenue Sheet'!J$2,'Rate Card'!$B$2:$E$2,0),0))</f>
      </c>
      <c r="K64" s="57">
        <f>IF(A64&gt;TODAY(),"",SUMIFS('OPs Data'!$N:$N,'OPs Data'!$F:$F,'Revenue Sheet'!I$1,'OPs Data'!$D:$D,'Revenue Sheet'!$A64,'OPs Data'!$L:$L,'Revenue Sheet'!K$2)*VLOOKUP($I$1,'Rate Card'!$B:$E,MATCH('Revenue Sheet'!K$2,'Rate Card'!$B$2:$E$2,0),0))</f>
      </c>
      <c r="L64" s="57">
        <f>IF(A64&gt;TODAY(),"",SUMIFS('OPs Data'!$N:$N,'OPs Data'!$F:$F,'Revenue Sheet'!L$1,'OPs Data'!$D:$D,'Revenue Sheet'!$A64,'OPs Data'!$L:$L,'Revenue Sheet'!L$2)*VLOOKUP($L$1,'Rate Card'!$B:$E,MATCH('Revenue Sheet'!L$2,'Rate Card'!$B$2:$E$2,0),0))</f>
      </c>
      <c r="M64" s="57">
        <f>IF(A64&gt;TODAY(),"",SUMIFS('OPs Data'!$N:$N,'OPs Data'!$F:$F,'Revenue Sheet'!L$1,'OPs Data'!$D:$D,'Revenue Sheet'!$A64,'OPs Data'!$L:$L,'Revenue Sheet'!M$2)*VLOOKUP($L$1,'Rate Card'!$B:$E,MATCH('Revenue Sheet'!M$2,'Rate Card'!$B$2:$E$2,0),0))</f>
      </c>
      <c r="N64" s="57">
        <f>IF(A64&gt;TODAY(),"",SUMIFS('OPs Data'!$N:$N,'OPs Data'!$F:$F,'Revenue Sheet'!L$1,'OPs Data'!$D:$D,'Revenue Sheet'!$A64,'OPs Data'!$L:$L,'Revenue Sheet'!N$2)*VLOOKUP($L$1,'Rate Card'!$B:$E,MATCH('Revenue Sheet'!N$2,'Rate Card'!$B$2:$E$2,0),0))</f>
      </c>
      <c r="O64" s="57">
        <f>IF($A64&gt;TODAY(),"",SUM(C64,F64,I64,L64))</f>
      </c>
      <c r="P64" s="57">
        <f>IF($A64&gt;TODAY(),"",SUM(D64,G64,J64,M64))</f>
      </c>
      <c r="Q64" s="57">
        <f>IF($A64&gt;TODAY(),"",SUM(E64,H64,K64,N64))</f>
      </c>
      <c r="R64" s="58">
        <f>IF($A64&gt;TODAY(),"",SUM(O64:Q64))</f>
      </c>
    </row>
    <row x14ac:dyDescent="0.25" r="65" customHeight="1" ht="18.75">
      <c r="A65" s="55">
        <v>45796</v>
      </c>
      <c r="B65" s="56">
        <f>IF(A65&gt;TODAY(),"",COUNTA(_xlfn.UNIQUE(_xlfn._xlws.FILTER('OPs Data'!$K:$K,'OPs Data'!$D:$D='Revenue Sheet'!A65))))</f>
      </c>
      <c r="C65" s="57">
        <f>IF(A65&gt;TODAY(),"",SUMIFS('OPs Data'!$N:$N,'OPs Data'!$F:$F,'Revenue Sheet'!C$1,'OPs Data'!$D:$D,'Revenue Sheet'!$A65,'OPs Data'!$L:$L,'Revenue Sheet'!C$2)*VLOOKUP($C$1,'Rate Card'!$B:$E,MATCH('Revenue Sheet'!C$2,'Rate Card'!$B$2:$E$2,0),0))</f>
      </c>
      <c r="D65" s="57">
        <f>IF(A65&gt;TODAY(),"",SUMIFS('OPs Data'!$N:$N,'OPs Data'!$F:$F,'Revenue Sheet'!C$1,'OPs Data'!$D:$D,'Revenue Sheet'!$A65,'OPs Data'!$L:$L,'Revenue Sheet'!D$2)*VLOOKUP($C$1,'Rate Card'!$B:$E,MATCH('Revenue Sheet'!D$2,'Rate Card'!$B$2:$E$2,0),0))</f>
      </c>
      <c r="E65" s="57">
        <f>IF(A65&gt;TODAY(),"",SUMIFS('OPs Data'!$N:$N,'OPs Data'!$F:$F,'Revenue Sheet'!C$1,'OPs Data'!$D:$D,'Revenue Sheet'!$A65,'OPs Data'!$L:$L,'Revenue Sheet'!E$2)*VLOOKUP($C$1,'Rate Card'!$B:$E,MATCH('Revenue Sheet'!E$2,'Rate Card'!$B$2:$E$2,0),0))</f>
      </c>
      <c r="F65" s="57">
        <f>IF(A65&gt;TODAY(),"",SUMIFS('OPs Data'!$N:$N,'OPs Data'!$F:$F,'Revenue Sheet'!F$1,'OPs Data'!$D:$D,'Revenue Sheet'!$A65,'OPs Data'!$L:$L,'Revenue Sheet'!F$2)*VLOOKUP($F$1,'Rate Card'!$B:$E,MATCH('Revenue Sheet'!F$2,'Rate Card'!$B$2:$E$2,0),0))</f>
      </c>
      <c r="G65" s="57">
        <f>IF(A65&gt;TODAY(),"",SUMIFS('OPs Data'!$N:$N,'OPs Data'!$F:$F,'Revenue Sheet'!F$1,'OPs Data'!$D:$D,'Revenue Sheet'!$A65,'OPs Data'!$L:$L,'Revenue Sheet'!G$2)*VLOOKUP($F$1,'Rate Card'!$B:$E,MATCH('Revenue Sheet'!G$2,'Rate Card'!$B$2:$E$2,0),0))</f>
      </c>
      <c r="H65" s="57">
        <f>IF(A65&gt;TODAY(),"",SUMIFS('OPs Data'!$N:$N,'OPs Data'!$F:$F,'Revenue Sheet'!F$1,'OPs Data'!$D:$D,'Revenue Sheet'!$A65,'OPs Data'!$L:$L,'Revenue Sheet'!H$2)*VLOOKUP($F$1,'Rate Card'!$B:$E,MATCH('Revenue Sheet'!H$2,'Rate Card'!$B$2:$E$2,0),0))</f>
      </c>
      <c r="I65" s="57">
        <f>IF(A65&gt;TODAY(),"",SUMIFS('OPs Data'!$N:$N,'OPs Data'!$F:$F,'Revenue Sheet'!I$1,'OPs Data'!$D:$D,'Revenue Sheet'!$A65,'OPs Data'!$L:$L,'Revenue Sheet'!I$2)*VLOOKUP($I$1,'Rate Card'!$B:$E,MATCH('Revenue Sheet'!I$2,'Rate Card'!$B$2:$E$2,0),0))</f>
      </c>
      <c r="J65" s="57">
        <f>IF(A65&gt;TODAY(),"",SUMIFS('OPs Data'!$N:$N,'OPs Data'!$F:$F,'Revenue Sheet'!I$1,'OPs Data'!$D:$D,'Revenue Sheet'!$A65,'OPs Data'!$L:$L,'Revenue Sheet'!J$2)*VLOOKUP($I$1,'Rate Card'!$B:$E,MATCH('Revenue Sheet'!J$2,'Rate Card'!$B$2:$E$2,0),0))</f>
      </c>
      <c r="K65" s="57">
        <f>IF(A65&gt;TODAY(),"",SUMIFS('OPs Data'!$N:$N,'OPs Data'!$F:$F,'Revenue Sheet'!I$1,'OPs Data'!$D:$D,'Revenue Sheet'!$A65,'OPs Data'!$L:$L,'Revenue Sheet'!K$2)*VLOOKUP($I$1,'Rate Card'!$B:$E,MATCH('Revenue Sheet'!K$2,'Rate Card'!$B$2:$E$2,0),0))</f>
      </c>
      <c r="L65" s="57">
        <f>IF(A65&gt;TODAY(),"",SUMIFS('OPs Data'!$N:$N,'OPs Data'!$F:$F,'Revenue Sheet'!L$1,'OPs Data'!$D:$D,'Revenue Sheet'!$A65,'OPs Data'!$L:$L,'Revenue Sheet'!L$2)*VLOOKUP($L$1,'Rate Card'!$B:$E,MATCH('Revenue Sheet'!L$2,'Rate Card'!$B$2:$E$2,0),0))</f>
      </c>
      <c r="M65" s="57">
        <f>IF(A65&gt;TODAY(),"",SUMIFS('OPs Data'!$N:$N,'OPs Data'!$F:$F,'Revenue Sheet'!L$1,'OPs Data'!$D:$D,'Revenue Sheet'!$A65,'OPs Data'!$L:$L,'Revenue Sheet'!M$2)*VLOOKUP($L$1,'Rate Card'!$B:$E,MATCH('Revenue Sheet'!M$2,'Rate Card'!$B$2:$E$2,0),0))</f>
      </c>
      <c r="N65" s="57">
        <f>IF(A65&gt;TODAY(),"",SUMIFS('OPs Data'!$N:$N,'OPs Data'!$F:$F,'Revenue Sheet'!L$1,'OPs Data'!$D:$D,'Revenue Sheet'!$A65,'OPs Data'!$L:$L,'Revenue Sheet'!N$2)*VLOOKUP($L$1,'Rate Card'!$B:$E,MATCH('Revenue Sheet'!N$2,'Rate Card'!$B$2:$E$2,0),0))</f>
      </c>
      <c r="O65" s="57">
        <f>IF($A65&gt;TODAY(),"",SUM(C65,F65,I65,L65))</f>
      </c>
      <c r="P65" s="57">
        <f>IF($A65&gt;TODAY(),"",SUM(D65,G65,J65,M65))</f>
      </c>
      <c r="Q65" s="57">
        <f>IF($A65&gt;TODAY(),"",SUM(E65,H65,K65,N65))</f>
      </c>
      <c r="R65" s="58">
        <f>IF($A65&gt;TODAY(),"",SUM(O65:Q65))</f>
      </c>
    </row>
    <row x14ac:dyDescent="0.25" r="66" customHeight="1" ht="18.75">
      <c r="A66" s="55">
        <v>45797</v>
      </c>
      <c r="B66" s="56">
        <f>IF(A66&gt;TODAY(),"",COUNTA(_xlfn.UNIQUE(_xlfn._xlws.FILTER('OPs Data'!$K:$K,'OPs Data'!$D:$D='Revenue Sheet'!A66))))</f>
      </c>
      <c r="C66" s="57">
        <f>IF(A66&gt;TODAY(),"",SUMIFS('OPs Data'!$N:$N,'OPs Data'!$F:$F,'Revenue Sheet'!C$1,'OPs Data'!$D:$D,'Revenue Sheet'!$A66,'OPs Data'!$L:$L,'Revenue Sheet'!C$2)*VLOOKUP($C$1,'Rate Card'!$B:$E,MATCH('Revenue Sheet'!C$2,'Rate Card'!$B$2:$E$2,0),0))</f>
      </c>
      <c r="D66" s="57">
        <f>IF(A66&gt;TODAY(),"",SUMIFS('OPs Data'!$N:$N,'OPs Data'!$F:$F,'Revenue Sheet'!C$1,'OPs Data'!$D:$D,'Revenue Sheet'!$A66,'OPs Data'!$L:$L,'Revenue Sheet'!D$2)*VLOOKUP($C$1,'Rate Card'!$B:$E,MATCH('Revenue Sheet'!D$2,'Rate Card'!$B$2:$E$2,0),0))</f>
      </c>
      <c r="E66" s="57">
        <f>IF(A66&gt;TODAY(),"",SUMIFS('OPs Data'!$N:$N,'OPs Data'!$F:$F,'Revenue Sheet'!C$1,'OPs Data'!$D:$D,'Revenue Sheet'!$A66,'OPs Data'!$L:$L,'Revenue Sheet'!E$2)*VLOOKUP($C$1,'Rate Card'!$B:$E,MATCH('Revenue Sheet'!E$2,'Rate Card'!$B$2:$E$2,0),0))</f>
      </c>
      <c r="F66" s="57">
        <f>IF(A66&gt;TODAY(),"",SUMIFS('OPs Data'!$N:$N,'OPs Data'!$F:$F,'Revenue Sheet'!F$1,'OPs Data'!$D:$D,'Revenue Sheet'!$A66,'OPs Data'!$L:$L,'Revenue Sheet'!F$2)*VLOOKUP($F$1,'Rate Card'!$B:$E,MATCH('Revenue Sheet'!F$2,'Rate Card'!$B$2:$E$2,0),0))</f>
      </c>
      <c r="G66" s="57">
        <f>IF(A66&gt;TODAY(),"",SUMIFS('OPs Data'!$N:$N,'OPs Data'!$F:$F,'Revenue Sheet'!F$1,'OPs Data'!$D:$D,'Revenue Sheet'!$A66,'OPs Data'!$L:$L,'Revenue Sheet'!G$2)*VLOOKUP($F$1,'Rate Card'!$B:$E,MATCH('Revenue Sheet'!G$2,'Rate Card'!$B$2:$E$2,0),0))</f>
      </c>
      <c r="H66" s="57">
        <f>IF(A66&gt;TODAY(),"",SUMIFS('OPs Data'!$N:$N,'OPs Data'!$F:$F,'Revenue Sheet'!F$1,'OPs Data'!$D:$D,'Revenue Sheet'!$A66,'OPs Data'!$L:$L,'Revenue Sheet'!H$2)*VLOOKUP($F$1,'Rate Card'!$B:$E,MATCH('Revenue Sheet'!H$2,'Rate Card'!$B$2:$E$2,0),0))</f>
      </c>
      <c r="I66" s="57">
        <f>IF(A66&gt;TODAY(),"",SUMIFS('OPs Data'!$N:$N,'OPs Data'!$F:$F,'Revenue Sheet'!I$1,'OPs Data'!$D:$D,'Revenue Sheet'!$A66,'OPs Data'!$L:$L,'Revenue Sheet'!I$2)*VLOOKUP($I$1,'Rate Card'!$B:$E,MATCH('Revenue Sheet'!I$2,'Rate Card'!$B$2:$E$2,0),0))</f>
      </c>
      <c r="J66" s="57">
        <f>IF(A66&gt;TODAY(),"",SUMIFS('OPs Data'!$N:$N,'OPs Data'!$F:$F,'Revenue Sheet'!I$1,'OPs Data'!$D:$D,'Revenue Sheet'!$A66,'OPs Data'!$L:$L,'Revenue Sheet'!J$2)*VLOOKUP($I$1,'Rate Card'!$B:$E,MATCH('Revenue Sheet'!J$2,'Rate Card'!$B$2:$E$2,0),0))</f>
      </c>
      <c r="K66" s="57">
        <f>IF(A66&gt;TODAY(),"",SUMIFS('OPs Data'!$N:$N,'OPs Data'!$F:$F,'Revenue Sheet'!I$1,'OPs Data'!$D:$D,'Revenue Sheet'!$A66,'OPs Data'!$L:$L,'Revenue Sheet'!K$2)*VLOOKUP($I$1,'Rate Card'!$B:$E,MATCH('Revenue Sheet'!K$2,'Rate Card'!$B$2:$E$2,0),0))</f>
      </c>
      <c r="L66" s="57">
        <f>IF(A66&gt;TODAY(),"",SUMIFS('OPs Data'!$N:$N,'OPs Data'!$F:$F,'Revenue Sheet'!L$1,'OPs Data'!$D:$D,'Revenue Sheet'!$A66,'OPs Data'!$L:$L,'Revenue Sheet'!L$2)*VLOOKUP($L$1,'Rate Card'!$B:$E,MATCH('Revenue Sheet'!L$2,'Rate Card'!$B$2:$E$2,0),0))</f>
      </c>
      <c r="M66" s="57">
        <f>IF(A66&gt;TODAY(),"",SUMIFS('OPs Data'!$N:$N,'OPs Data'!$F:$F,'Revenue Sheet'!L$1,'OPs Data'!$D:$D,'Revenue Sheet'!$A66,'OPs Data'!$L:$L,'Revenue Sheet'!M$2)*VLOOKUP($L$1,'Rate Card'!$B:$E,MATCH('Revenue Sheet'!M$2,'Rate Card'!$B$2:$E$2,0),0))</f>
      </c>
      <c r="N66" s="57">
        <f>IF(A66&gt;TODAY(),"",SUMIFS('OPs Data'!$N:$N,'OPs Data'!$F:$F,'Revenue Sheet'!L$1,'OPs Data'!$D:$D,'Revenue Sheet'!$A66,'OPs Data'!$L:$L,'Revenue Sheet'!N$2)*VLOOKUP($L$1,'Rate Card'!$B:$E,MATCH('Revenue Sheet'!N$2,'Rate Card'!$B$2:$E$2,0),0))</f>
      </c>
      <c r="O66" s="57">
        <f>IF($A66&gt;TODAY(),"",SUM(C66,F66,I66,L66))</f>
      </c>
      <c r="P66" s="57">
        <f>IF($A66&gt;TODAY(),"",SUM(D66,G66,J66,M66))</f>
      </c>
      <c r="Q66" s="57">
        <f>IF($A66&gt;TODAY(),"",SUM(E66,H66,K66,N66))</f>
      </c>
      <c r="R66" s="58">
        <f>IF($A66&gt;TODAY(),"",SUM(O66:Q66))</f>
      </c>
    </row>
    <row x14ac:dyDescent="0.25" r="67" customHeight="1" ht="18.75">
      <c r="A67" s="55">
        <v>45798</v>
      </c>
      <c r="B67" s="56">
        <f>IF(A67&gt;TODAY(),"",COUNTA(_xlfn.UNIQUE(_xlfn._xlws.FILTER('OPs Data'!$K:$K,'OPs Data'!$D:$D='Revenue Sheet'!A67))))</f>
      </c>
      <c r="C67" s="57">
        <f>IF(A67&gt;TODAY(),"",SUMIFS('OPs Data'!$N:$N,'OPs Data'!$F:$F,'Revenue Sheet'!C$1,'OPs Data'!$D:$D,'Revenue Sheet'!$A67,'OPs Data'!$L:$L,'Revenue Sheet'!C$2)*VLOOKUP($C$1,'Rate Card'!$B:$E,MATCH('Revenue Sheet'!C$2,'Rate Card'!$B$2:$E$2,0),0))</f>
      </c>
      <c r="D67" s="57">
        <f>IF(A67&gt;TODAY(),"",SUMIFS('OPs Data'!$N:$N,'OPs Data'!$F:$F,'Revenue Sheet'!C$1,'OPs Data'!$D:$D,'Revenue Sheet'!$A67,'OPs Data'!$L:$L,'Revenue Sheet'!D$2)*VLOOKUP($C$1,'Rate Card'!$B:$E,MATCH('Revenue Sheet'!D$2,'Rate Card'!$B$2:$E$2,0),0))</f>
      </c>
      <c r="E67" s="57">
        <f>IF(A67&gt;TODAY(),"",SUMIFS('OPs Data'!$N:$N,'OPs Data'!$F:$F,'Revenue Sheet'!C$1,'OPs Data'!$D:$D,'Revenue Sheet'!$A67,'OPs Data'!$L:$L,'Revenue Sheet'!E$2)*VLOOKUP($C$1,'Rate Card'!$B:$E,MATCH('Revenue Sheet'!E$2,'Rate Card'!$B$2:$E$2,0),0))</f>
      </c>
      <c r="F67" s="57">
        <f>IF(A67&gt;TODAY(),"",SUMIFS('OPs Data'!$N:$N,'OPs Data'!$F:$F,'Revenue Sheet'!F$1,'OPs Data'!$D:$D,'Revenue Sheet'!$A67,'OPs Data'!$L:$L,'Revenue Sheet'!F$2)*VLOOKUP($F$1,'Rate Card'!$B:$E,MATCH('Revenue Sheet'!F$2,'Rate Card'!$B$2:$E$2,0),0))</f>
      </c>
      <c r="G67" s="57">
        <f>IF(A67&gt;TODAY(),"",SUMIFS('OPs Data'!$N:$N,'OPs Data'!$F:$F,'Revenue Sheet'!F$1,'OPs Data'!$D:$D,'Revenue Sheet'!$A67,'OPs Data'!$L:$L,'Revenue Sheet'!G$2)*VLOOKUP($F$1,'Rate Card'!$B:$E,MATCH('Revenue Sheet'!G$2,'Rate Card'!$B$2:$E$2,0),0))</f>
      </c>
      <c r="H67" s="57">
        <f>IF(A67&gt;TODAY(),"",SUMIFS('OPs Data'!$N:$N,'OPs Data'!$F:$F,'Revenue Sheet'!F$1,'OPs Data'!$D:$D,'Revenue Sheet'!$A67,'OPs Data'!$L:$L,'Revenue Sheet'!H$2)*VLOOKUP($F$1,'Rate Card'!$B:$E,MATCH('Revenue Sheet'!H$2,'Rate Card'!$B$2:$E$2,0),0))</f>
      </c>
      <c r="I67" s="57">
        <f>IF(A67&gt;TODAY(),"",SUMIFS('OPs Data'!$N:$N,'OPs Data'!$F:$F,'Revenue Sheet'!I$1,'OPs Data'!$D:$D,'Revenue Sheet'!$A67,'OPs Data'!$L:$L,'Revenue Sheet'!I$2)*VLOOKUP($I$1,'Rate Card'!$B:$E,MATCH('Revenue Sheet'!I$2,'Rate Card'!$B$2:$E$2,0),0))</f>
      </c>
      <c r="J67" s="57">
        <f>IF(A67&gt;TODAY(),"",SUMIFS('OPs Data'!$N:$N,'OPs Data'!$F:$F,'Revenue Sheet'!I$1,'OPs Data'!$D:$D,'Revenue Sheet'!$A67,'OPs Data'!$L:$L,'Revenue Sheet'!J$2)*VLOOKUP($I$1,'Rate Card'!$B:$E,MATCH('Revenue Sheet'!J$2,'Rate Card'!$B$2:$E$2,0),0))</f>
      </c>
      <c r="K67" s="57">
        <f>IF(A67&gt;TODAY(),"",SUMIFS('OPs Data'!$N:$N,'OPs Data'!$F:$F,'Revenue Sheet'!I$1,'OPs Data'!$D:$D,'Revenue Sheet'!$A67,'OPs Data'!$L:$L,'Revenue Sheet'!K$2)*VLOOKUP($I$1,'Rate Card'!$B:$E,MATCH('Revenue Sheet'!K$2,'Rate Card'!$B$2:$E$2,0),0))</f>
      </c>
      <c r="L67" s="57">
        <f>IF(A67&gt;TODAY(),"",SUMIFS('OPs Data'!$N:$N,'OPs Data'!$F:$F,'Revenue Sheet'!L$1,'OPs Data'!$D:$D,'Revenue Sheet'!$A67,'OPs Data'!$L:$L,'Revenue Sheet'!L$2)*VLOOKUP($L$1,'Rate Card'!$B:$E,MATCH('Revenue Sheet'!L$2,'Rate Card'!$B$2:$E$2,0),0))</f>
      </c>
      <c r="M67" s="57">
        <f>IF(A67&gt;TODAY(),"",SUMIFS('OPs Data'!$N:$N,'OPs Data'!$F:$F,'Revenue Sheet'!L$1,'OPs Data'!$D:$D,'Revenue Sheet'!$A67,'OPs Data'!$L:$L,'Revenue Sheet'!M$2)*VLOOKUP($L$1,'Rate Card'!$B:$E,MATCH('Revenue Sheet'!M$2,'Rate Card'!$B$2:$E$2,0),0))</f>
      </c>
      <c r="N67" s="57">
        <f>IF(A67&gt;TODAY(),"",SUMIFS('OPs Data'!$N:$N,'OPs Data'!$F:$F,'Revenue Sheet'!L$1,'OPs Data'!$D:$D,'Revenue Sheet'!$A67,'OPs Data'!$L:$L,'Revenue Sheet'!N$2)*VLOOKUP($L$1,'Rate Card'!$B:$E,MATCH('Revenue Sheet'!N$2,'Rate Card'!$B$2:$E$2,0),0))</f>
      </c>
      <c r="O67" s="57">
        <f>IF($A67&gt;TODAY(),"",SUM(C67,F67,I67,L67))</f>
      </c>
      <c r="P67" s="57">
        <f>IF($A67&gt;TODAY(),"",SUM(D67,G67,J67,M67))</f>
      </c>
      <c r="Q67" s="57">
        <f>IF($A67&gt;TODAY(),"",SUM(E67,H67,K67,N67))</f>
      </c>
      <c r="R67" s="58">
        <f>IF($A67&gt;TODAY(),"",SUM(O67:Q67))</f>
      </c>
    </row>
    <row x14ac:dyDescent="0.25" r="68" customHeight="1" ht="18.75">
      <c r="A68" s="55">
        <v>45799</v>
      </c>
      <c r="B68" s="56">
        <f>IF(A68&gt;TODAY(),"",COUNTA(_xlfn.UNIQUE(_xlfn._xlws.FILTER('OPs Data'!$K:$K,'OPs Data'!$D:$D='Revenue Sheet'!A68))))</f>
      </c>
      <c r="C68" s="57">
        <f>IF(A68&gt;TODAY(),"",SUMIFS('OPs Data'!$N:$N,'OPs Data'!$F:$F,'Revenue Sheet'!C$1,'OPs Data'!$D:$D,'Revenue Sheet'!$A68,'OPs Data'!$L:$L,'Revenue Sheet'!C$2)*VLOOKUP($C$1,'Rate Card'!$B:$E,MATCH('Revenue Sheet'!C$2,'Rate Card'!$B$2:$E$2,0),0))</f>
      </c>
      <c r="D68" s="57">
        <f>IF(A68&gt;TODAY(),"",SUMIFS('OPs Data'!$N:$N,'OPs Data'!$F:$F,'Revenue Sheet'!C$1,'OPs Data'!$D:$D,'Revenue Sheet'!$A68,'OPs Data'!$L:$L,'Revenue Sheet'!D$2)*VLOOKUP($C$1,'Rate Card'!$B:$E,MATCH('Revenue Sheet'!D$2,'Rate Card'!$B$2:$E$2,0),0))</f>
      </c>
      <c r="E68" s="57">
        <f>IF(A68&gt;TODAY(),"",SUMIFS('OPs Data'!$N:$N,'OPs Data'!$F:$F,'Revenue Sheet'!C$1,'OPs Data'!$D:$D,'Revenue Sheet'!$A68,'OPs Data'!$L:$L,'Revenue Sheet'!E$2)*VLOOKUP($C$1,'Rate Card'!$B:$E,MATCH('Revenue Sheet'!E$2,'Rate Card'!$B$2:$E$2,0),0))</f>
      </c>
      <c r="F68" s="57">
        <f>IF(A68&gt;TODAY(),"",SUMIFS('OPs Data'!$N:$N,'OPs Data'!$F:$F,'Revenue Sheet'!F$1,'OPs Data'!$D:$D,'Revenue Sheet'!$A68,'OPs Data'!$L:$L,'Revenue Sheet'!F$2)*VLOOKUP($F$1,'Rate Card'!$B:$E,MATCH('Revenue Sheet'!F$2,'Rate Card'!$B$2:$E$2,0),0))</f>
      </c>
      <c r="G68" s="57">
        <f>IF(A68&gt;TODAY(),"",SUMIFS('OPs Data'!$N:$N,'OPs Data'!$F:$F,'Revenue Sheet'!F$1,'OPs Data'!$D:$D,'Revenue Sheet'!$A68,'OPs Data'!$L:$L,'Revenue Sheet'!G$2)*VLOOKUP($F$1,'Rate Card'!$B:$E,MATCH('Revenue Sheet'!G$2,'Rate Card'!$B$2:$E$2,0),0))</f>
      </c>
      <c r="H68" s="57">
        <f>IF(A68&gt;TODAY(),"",SUMIFS('OPs Data'!$N:$N,'OPs Data'!$F:$F,'Revenue Sheet'!F$1,'OPs Data'!$D:$D,'Revenue Sheet'!$A68,'OPs Data'!$L:$L,'Revenue Sheet'!H$2)*VLOOKUP($F$1,'Rate Card'!$B:$E,MATCH('Revenue Sheet'!H$2,'Rate Card'!$B$2:$E$2,0),0))</f>
      </c>
      <c r="I68" s="57">
        <f>IF(A68&gt;TODAY(),"",SUMIFS('OPs Data'!$N:$N,'OPs Data'!$F:$F,'Revenue Sheet'!I$1,'OPs Data'!$D:$D,'Revenue Sheet'!$A68,'OPs Data'!$L:$L,'Revenue Sheet'!I$2)*VLOOKUP($I$1,'Rate Card'!$B:$E,MATCH('Revenue Sheet'!I$2,'Rate Card'!$B$2:$E$2,0),0))</f>
      </c>
      <c r="J68" s="57">
        <f>IF(A68&gt;TODAY(),"",SUMIFS('OPs Data'!$N:$N,'OPs Data'!$F:$F,'Revenue Sheet'!I$1,'OPs Data'!$D:$D,'Revenue Sheet'!$A68,'OPs Data'!$L:$L,'Revenue Sheet'!J$2)*VLOOKUP($I$1,'Rate Card'!$B:$E,MATCH('Revenue Sheet'!J$2,'Rate Card'!$B$2:$E$2,0),0))</f>
      </c>
      <c r="K68" s="57">
        <f>IF(A68&gt;TODAY(),"",SUMIFS('OPs Data'!$N:$N,'OPs Data'!$F:$F,'Revenue Sheet'!I$1,'OPs Data'!$D:$D,'Revenue Sheet'!$A68,'OPs Data'!$L:$L,'Revenue Sheet'!K$2)*VLOOKUP($I$1,'Rate Card'!$B:$E,MATCH('Revenue Sheet'!K$2,'Rate Card'!$B$2:$E$2,0),0))</f>
      </c>
      <c r="L68" s="57">
        <f>IF(A68&gt;TODAY(),"",SUMIFS('OPs Data'!$N:$N,'OPs Data'!$F:$F,'Revenue Sheet'!L$1,'OPs Data'!$D:$D,'Revenue Sheet'!$A68,'OPs Data'!$L:$L,'Revenue Sheet'!L$2)*VLOOKUP($L$1,'Rate Card'!$B:$E,MATCH('Revenue Sheet'!L$2,'Rate Card'!$B$2:$E$2,0),0))</f>
      </c>
      <c r="M68" s="57">
        <f>IF(A68&gt;TODAY(),"",SUMIFS('OPs Data'!$N:$N,'OPs Data'!$F:$F,'Revenue Sheet'!L$1,'OPs Data'!$D:$D,'Revenue Sheet'!$A68,'OPs Data'!$L:$L,'Revenue Sheet'!M$2)*VLOOKUP($L$1,'Rate Card'!$B:$E,MATCH('Revenue Sheet'!M$2,'Rate Card'!$B$2:$E$2,0),0))</f>
      </c>
      <c r="N68" s="57">
        <f>IF(A68&gt;TODAY(),"",SUMIFS('OPs Data'!$N:$N,'OPs Data'!$F:$F,'Revenue Sheet'!L$1,'OPs Data'!$D:$D,'Revenue Sheet'!$A68,'OPs Data'!$L:$L,'Revenue Sheet'!N$2)*VLOOKUP($L$1,'Rate Card'!$B:$E,MATCH('Revenue Sheet'!N$2,'Rate Card'!$B$2:$E$2,0),0))</f>
      </c>
      <c r="O68" s="57">
        <f>IF($A68&gt;TODAY(),"",SUM(C68,F68,I68,L68))</f>
      </c>
      <c r="P68" s="57">
        <f>IF($A68&gt;TODAY(),"",SUM(D68,G68,J68,M68))</f>
      </c>
      <c r="Q68" s="57">
        <f>IF($A68&gt;TODAY(),"",SUM(E68,H68,K68,N68))</f>
      </c>
      <c r="R68" s="58">
        <f>IF($A68&gt;TODAY(),"",SUM(O68:Q68))</f>
      </c>
    </row>
    <row x14ac:dyDescent="0.25" r="69" customHeight="1" ht="18.75">
      <c r="A69" s="55">
        <v>45800</v>
      </c>
      <c r="B69" s="56">
        <f>IF(A69&gt;TODAY(),"",COUNTA(_xlfn.UNIQUE(_xlfn._xlws.FILTER('OPs Data'!$K:$K,'OPs Data'!$D:$D='Revenue Sheet'!A69))))</f>
      </c>
      <c r="C69" s="57">
        <f>IF(A69&gt;TODAY(),"",SUMIFS('OPs Data'!$N:$N,'OPs Data'!$F:$F,'Revenue Sheet'!C$1,'OPs Data'!$D:$D,'Revenue Sheet'!$A69,'OPs Data'!$L:$L,'Revenue Sheet'!C$2)*VLOOKUP($C$1,'Rate Card'!$B:$E,MATCH('Revenue Sheet'!C$2,'Rate Card'!$B$2:$E$2,0),0))</f>
      </c>
      <c r="D69" s="57">
        <f>IF(A69&gt;TODAY(),"",SUMIFS('OPs Data'!$N:$N,'OPs Data'!$F:$F,'Revenue Sheet'!C$1,'OPs Data'!$D:$D,'Revenue Sheet'!$A69,'OPs Data'!$L:$L,'Revenue Sheet'!D$2)*VLOOKUP($C$1,'Rate Card'!$B:$E,MATCH('Revenue Sheet'!D$2,'Rate Card'!$B$2:$E$2,0),0))</f>
      </c>
      <c r="E69" s="57">
        <f>IF(A69&gt;TODAY(),"",SUMIFS('OPs Data'!$N:$N,'OPs Data'!$F:$F,'Revenue Sheet'!C$1,'OPs Data'!$D:$D,'Revenue Sheet'!$A69,'OPs Data'!$L:$L,'Revenue Sheet'!E$2)*VLOOKUP($C$1,'Rate Card'!$B:$E,MATCH('Revenue Sheet'!E$2,'Rate Card'!$B$2:$E$2,0),0))</f>
      </c>
      <c r="F69" s="57">
        <f>IF(A69&gt;TODAY(),"",SUMIFS('OPs Data'!$N:$N,'OPs Data'!$F:$F,'Revenue Sheet'!F$1,'OPs Data'!$D:$D,'Revenue Sheet'!$A69,'OPs Data'!$L:$L,'Revenue Sheet'!F$2)*VLOOKUP($F$1,'Rate Card'!$B:$E,MATCH('Revenue Sheet'!F$2,'Rate Card'!$B$2:$E$2,0),0))</f>
      </c>
      <c r="G69" s="57">
        <f>IF(A69&gt;TODAY(),"",SUMIFS('OPs Data'!$N:$N,'OPs Data'!$F:$F,'Revenue Sheet'!F$1,'OPs Data'!$D:$D,'Revenue Sheet'!$A69,'OPs Data'!$L:$L,'Revenue Sheet'!G$2)*VLOOKUP($F$1,'Rate Card'!$B:$E,MATCH('Revenue Sheet'!G$2,'Rate Card'!$B$2:$E$2,0),0))</f>
      </c>
      <c r="H69" s="57">
        <f>IF(A69&gt;TODAY(),"",SUMIFS('OPs Data'!$N:$N,'OPs Data'!$F:$F,'Revenue Sheet'!F$1,'OPs Data'!$D:$D,'Revenue Sheet'!$A69,'OPs Data'!$L:$L,'Revenue Sheet'!H$2)*VLOOKUP($F$1,'Rate Card'!$B:$E,MATCH('Revenue Sheet'!H$2,'Rate Card'!$B$2:$E$2,0),0))</f>
      </c>
      <c r="I69" s="57">
        <f>IF(A69&gt;TODAY(),"",SUMIFS('OPs Data'!$N:$N,'OPs Data'!$F:$F,'Revenue Sheet'!I$1,'OPs Data'!$D:$D,'Revenue Sheet'!$A69,'OPs Data'!$L:$L,'Revenue Sheet'!I$2)*VLOOKUP($I$1,'Rate Card'!$B:$E,MATCH('Revenue Sheet'!I$2,'Rate Card'!$B$2:$E$2,0),0))</f>
      </c>
      <c r="J69" s="57">
        <f>IF(A69&gt;TODAY(),"",SUMIFS('OPs Data'!$N:$N,'OPs Data'!$F:$F,'Revenue Sheet'!I$1,'OPs Data'!$D:$D,'Revenue Sheet'!$A69,'OPs Data'!$L:$L,'Revenue Sheet'!J$2)*VLOOKUP($I$1,'Rate Card'!$B:$E,MATCH('Revenue Sheet'!J$2,'Rate Card'!$B$2:$E$2,0),0))</f>
      </c>
      <c r="K69" s="57">
        <f>IF(A69&gt;TODAY(),"",SUMIFS('OPs Data'!$N:$N,'OPs Data'!$F:$F,'Revenue Sheet'!I$1,'OPs Data'!$D:$D,'Revenue Sheet'!$A69,'OPs Data'!$L:$L,'Revenue Sheet'!K$2)*VLOOKUP($I$1,'Rate Card'!$B:$E,MATCH('Revenue Sheet'!K$2,'Rate Card'!$B$2:$E$2,0),0))</f>
      </c>
      <c r="L69" s="57">
        <f>IF(A69&gt;TODAY(),"",SUMIFS('OPs Data'!$N:$N,'OPs Data'!$F:$F,'Revenue Sheet'!L$1,'OPs Data'!$D:$D,'Revenue Sheet'!$A69,'OPs Data'!$L:$L,'Revenue Sheet'!L$2)*VLOOKUP($L$1,'Rate Card'!$B:$E,MATCH('Revenue Sheet'!L$2,'Rate Card'!$B$2:$E$2,0),0))</f>
      </c>
      <c r="M69" s="57">
        <f>IF(A69&gt;TODAY(),"",SUMIFS('OPs Data'!$N:$N,'OPs Data'!$F:$F,'Revenue Sheet'!L$1,'OPs Data'!$D:$D,'Revenue Sheet'!$A69,'OPs Data'!$L:$L,'Revenue Sheet'!M$2)*VLOOKUP($L$1,'Rate Card'!$B:$E,MATCH('Revenue Sheet'!M$2,'Rate Card'!$B$2:$E$2,0),0))</f>
      </c>
      <c r="N69" s="57">
        <f>IF(A69&gt;TODAY(),"",SUMIFS('OPs Data'!$N:$N,'OPs Data'!$F:$F,'Revenue Sheet'!L$1,'OPs Data'!$D:$D,'Revenue Sheet'!$A69,'OPs Data'!$L:$L,'Revenue Sheet'!N$2)*VLOOKUP($L$1,'Rate Card'!$B:$E,MATCH('Revenue Sheet'!N$2,'Rate Card'!$B$2:$E$2,0),0))</f>
      </c>
      <c r="O69" s="57">
        <f>IF($A69&gt;TODAY(),"",SUM(C69,F69,I69,L69))</f>
      </c>
      <c r="P69" s="57">
        <f>IF($A69&gt;TODAY(),"",SUM(D69,G69,J69,M69))</f>
      </c>
      <c r="Q69" s="57">
        <f>IF($A69&gt;TODAY(),"",SUM(E69,H69,K69,N69))</f>
      </c>
      <c r="R69" s="58">
        <f>IF($A69&gt;TODAY(),"",SUM(O69:Q69))</f>
      </c>
    </row>
    <row x14ac:dyDescent="0.25" r="70" customHeight="1" ht="18.75">
      <c r="A70" s="55">
        <v>45801</v>
      </c>
      <c r="B70" s="56">
        <f>IF(A70&gt;TODAY(),"",COUNTA(_xlfn.UNIQUE(_xlfn._xlws.FILTER('OPs Data'!$K:$K,'OPs Data'!$D:$D='Revenue Sheet'!A70))))</f>
      </c>
      <c r="C70" s="57">
        <f>IF(A70&gt;TODAY(),"",SUMIFS('OPs Data'!$N:$N,'OPs Data'!$F:$F,'Revenue Sheet'!C$1,'OPs Data'!$D:$D,'Revenue Sheet'!$A70,'OPs Data'!$L:$L,'Revenue Sheet'!C$2)*VLOOKUP($C$1,'Rate Card'!$B:$E,MATCH('Revenue Sheet'!C$2,'Rate Card'!$B$2:$E$2,0),0))</f>
      </c>
      <c r="D70" s="57">
        <f>IF(A70&gt;TODAY(),"",SUMIFS('OPs Data'!$N:$N,'OPs Data'!$F:$F,'Revenue Sheet'!C$1,'OPs Data'!$D:$D,'Revenue Sheet'!$A70,'OPs Data'!$L:$L,'Revenue Sheet'!D$2)*VLOOKUP($C$1,'Rate Card'!$B:$E,MATCH('Revenue Sheet'!D$2,'Rate Card'!$B$2:$E$2,0),0))</f>
      </c>
      <c r="E70" s="57">
        <f>IF(A70&gt;TODAY(),"",SUMIFS('OPs Data'!$N:$N,'OPs Data'!$F:$F,'Revenue Sheet'!C$1,'OPs Data'!$D:$D,'Revenue Sheet'!$A70,'OPs Data'!$L:$L,'Revenue Sheet'!E$2)*VLOOKUP($C$1,'Rate Card'!$B:$E,MATCH('Revenue Sheet'!E$2,'Rate Card'!$B$2:$E$2,0),0))</f>
      </c>
      <c r="F70" s="57">
        <f>IF(A70&gt;TODAY(),"",SUMIFS('OPs Data'!$N:$N,'OPs Data'!$F:$F,'Revenue Sheet'!F$1,'OPs Data'!$D:$D,'Revenue Sheet'!$A70,'OPs Data'!$L:$L,'Revenue Sheet'!F$2)*VLOOKUP($F$1,'Rate Card'!$B:$E,MATCH('Revenue Sheet'!F$2,'Rate Card'!$B$2:$E$2,0),0))</f>
      </c>
      <c r="G70" s="57">
        <f>IF(A70&gt;TODAY(),"",SUMIFS('OPs Data'!$N:$N,'OPs Data'!$F:$F,'Revenue Sheet'!F$1,'OPs Data'!$D:$D,'Revenue Sheet'!$A70,'OPs Data'!$L:$L,'Revenue Sheet'!G$2)*VLOOKUP($F$1,'Rate Card'!$B:$E,MATCH('Revenue Sheet'!G$2,'Rate Card'!$B$2:$E$2,0),0))</f>
      </c>
      <c r="H70" s="57">
        <f>IF(A70&gt;TODAY(),"",SUMIFS('OPs Data'!$N:$N,'OPs Data'!$F:$F,'Revenue Sheet'!F$1,'OPs Data'!$D:$D,'Revenue Sheet'!$A70,'OPs Data'!$L:$L,'Revenue Sheet'!H$2)*VLOOKUP($F$1,'Rate Card'!$B:$E,MATCH('Revenue Sheet'!H$2,'Rate Card'!$B$2:$E$2,0),0))</f>
      </c>
      <c r="I70" s="57">
        <f>IF(A70&gt;TODAY(),"",SUMIFS('OPs Data'!$N:$N,'OPs Data'!$F:$F,'Revenue Sheet'!I$1,'OPs Data'!$D:$D,'Revenue Sheet'!$A70,'OPs Data'!$L:$L,'Revenue Sheet'!I$2)*VLOOKUP($I$1,'Rate Card'!$B:$E,MATCH('Revenue Sheet'!I$2,'Rate Card'!$B$2:$E$2,0),0))</f>
      </c>
      <c r="J70" s="57">
        <f>IF(A70&gt;TODAY(),"",SUMIFS('OPs Data'!$N:$N,'OPs Data'!$F:$F,'Revenue Sheet'!I$1,'OPs Data'!$D:$D,'Revenue Sheet'!$A70,'OPs Data'!$L:$L,'Revenue Sheet'!J$2)*VLOOKUP($I$1,'Rate Card'!$B:$E,MATCH('Revenue Sheet'!J$2,'Rate Card'!$B$2:$E$2,0),0))</f>
      </c>
      <c r="K70" s="57">
        <f>IF(A70&gt;TODAY(),"",SUMIFS('OPs Data'!$N:$N,'OPs Data'!$F:$F,'Revenue Sheet'!I$1,'OPs Data'!$D:$D,'Revenue Sheet'!$A70,'OPs Data'!$L:$L,'Revenue Sheet'!K$2)*VLOOKUP($I$1,'Rate Card'!$B:$E,MATCH('Revenue Sheet'!K$2,'Rate Card'!$B$2:$E$2,0),0))</f>
      </c>
      <c r="L70" s="57">
        <f>IF(A70&gt;TODAY(),"",SUMIFS('OPs Data'!$N:$N,'OPs Data'!$F:$F,'Revenue Sheet'!L$1,'OPs Data'!$D:$D,'Revenue Sheet'!$A70,'OPs Data'!$L:$L,'Revenue Sheet'!L$2)*VLOOKUP($L$1,'Rate Card'!$B:$E,MATCH('Revenue Sheet'!L$2,'Rate Card'!$B$2:$E$2,0),0))</f>
      </c>
      <c r="M70" s="57">
        <f>IF(A70&gt;TODAY(),"",SUMIFS('OPs Data'!$N:$N,'OPs Data'!$F:$F,'Revenue Sheet'!L$1,'OPs Data'!$D:$D,'Revenue Sheet'!$A70,'OPs Data'!$L:$L,'Revenue Sheet'!M$2)*VLOOKUP($L$1,'Rate Card'!$B:$E,MATCH('Revenue Sheet'!M$2,'Rate Card'!$B$2:$E$2,0),0))</f>
      </c>
      <c r="N70" s="57">
        <f>IF(A70&gt;TODAY(),"",SUMIFS('OPs Data'!$N:$N,'OPs Data'!$F:$F,'Revenue Sheet'!L$1,'OPs Data'!$D:$D,'Revenue Sheet'!$A70,'OPs Data'!$L:$L,'Revenue Sheet'!N$2)*VLOOKUP($L$1,'Rate Card'!$B:$E,MATCH('Revenue Sheet'!N$2,'Rate Card'!$B$2:$E$2,0),0))</f>
      </c>
      <c r="O70" s="57">
        <f>IF($A70&gt;TODAY(),"",SUM(C70,F70,I70,L70))</f>
      </c>
      <c r="P70" s="57">
        <f>IF($A70&gt;TODAY(),"",SUM(D70,G70,J70,M70))</f>
      </c>
      <c r="Q70" s="57">
        <f>IF($A70&gt;TODAY(),"",SUM(E70,H70,K70,N70))</f>
      </c>
      <c r="R70" s="58">
        <f>IF($A70&gt;TODAY(),"",SUM(O70:Q70))</f>
      </c>
    </row>
    <row x14ac:dyDescent="0.25" r="71" customHeight="1" ht="18.75">
      <c r="A71" s="55">
        <v>45802</v>
      </c>
      <c r="B71" s="56">
        <f>IF(A71&gt;TODAY(),"",COUNTA(_xlfn.UNIQUE(_xlfn._xlws.FILTER('OPs Data'!$K:$K,'OPs Data'!$D:$D='Revenue Sheet'!A71))))</f>
      </c>
      <c r="C71" s="57">
        <f>IF(A71&gt;TODAY(),"",SUMIFS('OPs Data'!$N:$N,'OPs Data'!$F:$F,'Revenue Sheet'!C$1,'OPs Data'!$D:$D,'Revenue Sheet'!$A71,'OPs Data'!$L:$L,'Revenue Sheet'!C$2)*VLOOKUP($C$1,'Rate Card'!$B:$E,MATCH('Revenue Sheet'!C$2,'Rate Card'!$B$2:$E$2,0),0))</f>
      </c>
      <c r="D71" s="57">
        <f>IF(A71&gt;TODAY(),"",SUMIFS('OPs Data'!$N:$N,'OPs Data'!$F:$F,'Revenue Sheet'!C$1,'OPs Data'!$D:$D,'Revenue Sheet'!$A71,'OPs Data'!$L:$L,'Revenue Sheet'!D$2)*VLOOKUP($C$1,'Rate Card'!$B:$E,MATCH('Revenue Sheet'!D$2,'Rate Card'!$B$2:$E$2,0),0))</f>
      </c>
      <c r="E71" s="57">
        <f>IF(A71&gt;TODAY(),"",SUMIFS('OPs Data'!$N:$N,'OPs Data'!$F:$F,'Revenue Sheet'!C$1,'OPs Data'!$D:$D,'Revenue Sheet'!$A71,'OPs Data'!$L:$L,'Revenue Sheet'!E$2)*VLOOKUP($C$1,'Rate Card'!$B:$E,MATCH('Revenue Sheet'!E$2,'Rate Card'!$B$2:$E$2,0),0))</f>
      </c>
      <c r="F71" s="57">
        <f>IF(A71&gt;TODAY(),"",SUMIFS('OPs Data'!$N:$N,'OPs Data'!$F:$F,'Revenue Sheet'!F$1,'OPs Data'!$D:$D,'Revenue Sheet'!$A71,'OPs Data'!$L:$L,'Revenue Sheet'!F$2)*VLOOKUP($F$1,'Rate Card'!$B:$E,MATCH('Revenue Sheet'!F$2,'Rate Card'!$B$2:$E$2,0),0))</f>
      </c>
      <c r="G71" s="57">
        <f>IF(A71&gt;TODAY(),"",SUMIFS('OPs Data'!$N:$N,'OPs Data'!$F:$F,'Revenue Sheet'!F$1,'OPs Data'!$D:$D,'Revenue Sheet'!$A71,'OPs Data'!$L:$L,'Revenue Sheet'!G$2)*VLOOKUP($F$1,'Rate Card'!$B:$E,MATCH('Revenue Sheet'!G$2,'Rate Card'!$B$2:$E$2,0),0))</f>
      </c>
      <c r="H71" s="57">
        <f>IF(A71&gt;TODAY(),"",SUMIFS('OPs Data'!$N:$N,'OPs Data'!$F:$F,'Revenue Sheet'!F$1,'OPs Data'!$D:$D,'Revenue Sheet'!$A71,'OPs Data'!$L:$L,'Revenue Sheet'!H$2)*VLOOKUP($F$1,'Rate Card'!$B:$E,MATCH('Revenue Sheet'!H$2,'Rate Card'!$B$2:$E$2,0),0))</f>
      </c>
      <c r="I71" s="57">
        <f>IF(A71&gt;TODAY(),"",SUMIFS('OPs Data'!$N:$N,'OPs Data'!$F:$F,'Revenue Sheet'!I$1,'OPs Data'!$D:$D,'Revenue Sheet'!$A71,'OPs Data'!$L:$L,'Revenue Sheet'!I$2)*VLOOKUP($I$1,'Rate Card'!$B:$E,MATCH('Revenue Sheet'!I$2,'Rate Card'!$B$2:$E$2,0),0))</f>
      </c>
      <c r="J71" s="57">
        <f>IF(A71&gt;TODAY(),"",SUMIFS('OPs Data'!$N:$N,'OPs Data'!$F:$F,'Revenue Sheet'!I$1,'OPs Data'!$D:$D,'Revenue Sheet'!$A71,'OPs Data'!$L:$L,'Revenue Sheet'!J$2)*VLOOKUP($I$1,'Rate Card'!$B:$E,MATCH('Revenue Sheet'!J$2,'Rate Card'!$B$2:$E$2,0),0))</f>
      </c>
      <c r="K71" s="57">
        <f>IF(A71&gt;TODAY(),"",SUMIFS('OPs Data'!$N:$N,'OPs Data'!$F:$F,'Revenue Sheet'!I$1,'OPs Data'!$D:$D,'Revenue Sheet'!$A71,'OPs Data'!$L:$L,'Revenue Sheet'!K$2)*VLOOKUP($I$1,'Rate Card'!$B:$E,MATCH('Revenue Sheet'!K$2,'Rate Card'!$B$2:$E$2,0),0))</f>
      </c>
      <c r="L71" s="57">
        <f>IF(A71&gt;TODAY(),"",SUMIFS('OPs Data'!$N:$N,'OPs Data'!$F:$F,'Revenue Sheet'!L$1,'OPs Data'!$D:$D,'Revenue Sheet'!$A71,'OPs Data'!$L:$L,'Revenue Sheet'!L$2)*VLOOKUP($L$1,'Rate Card'!$B:$E,MATCH('Revenue Sheet'!L$2,'Rate Card'!$B$2:$E$2,0),0))</f>
      </c>
      <c r="M71" s="57">
        <f>IF(A71&gt;TODAY(),"",SUMIFS('OPs Data'!$N:$N,'OPs Data'!$F:$F,'Revenue Sheet'!L$1,'OPs Data'!$D:$D,'Revenue Sheet'!$A71,'OPs Data'!$L:$L,'Revenue Sheet'!M$2)*VLOOKUP($L$1,'Rate Card'!$B:$E,MATCH('Revenue Sheet'!M$2,'Rate Card'!$B$2:$E$2,0),0))</f>
      </c>
      <c r="N71" s="57">
        <f>IF(A71&gt;TODAY(),"",SUMIFS('OPs Data'!$N:$N,'OPs Data'!$F:$F,'Revenue Sheet'!L$1,'OPs Data'!$D:$D,'Revenue Sheet'!$A71,'OPs Data'!$L:$L,'Revenue Sheet'!N$2)*VLOOKUP($L$1,'Rate Card'!$B:$E,MATCH('Revenue Sheet'!N$2,'Rate Card'!$B$2:$E$2,0),0))</f>
      </c>
      <c r="O71" s="57">
        <f>IF($A71&gt;TODAY(),"",SUM(C71,F71,I71,L71))</f>
      </c>
      <c r="P71" s="57">
        <f>IF($A71&gt;TODAY(),"",SUM(D71,G71,J71,M71))</f>
      </c>
      <c r="Q71" s="57">
        <f>IF($A71&gt;TODAY(),"",SUM(E71,H71,K71,N71))</f>
      </c>
      <c r="R71" s="58">
        <f>IF($A71&gt;TODAY(),"",SUM(O71:Q71))</f>
      </c>
    </row>
    <row x14ac:dyDescent="0.25" r="72" customHeight="1" ht="18.75">
      <c r="A72" s="55">
        <v>45803</v>
      </c>
      <c r="B72" s="56">
        <f>IF(A72&gt;TODAY(),"",COUNTA(_xlfn.UNIQUE(_xlfn._xlws.FILTER('OPs Data'!$K:$K,'OPs Data'!$D:$D='Revenue Sheet'!A72))))</f>
      </c>
      <c r="C72" s="57">
        <f>IF(A72&gt;TODAY(),"",SUMIFS('OPs Data'!$N:$N,'OPs Data'!$F:$F,'Revenue Sheet'!C$1,'OPs Data'!$D:$D,'Revenue Sheet'!$A72,'OPs Data'!$L:$L,'Revenue Sheet'!C$2)*VLOOKUP($C$1,'Rate Card'!$B:$E,MATCH('Revenue Sheet'!C$2,'Rate Card'!$B$2:$E$2,0),0))</f>
      </c>
      <c r="D72" s="57">
        <f>IF(A72&gt;TODAY(),"",SUMIFS('OPs Data'!$N:$N,'OPs Data'!$F:$F,'Revenue Sheet'!C$1,'OPs Data'!$D:$D,'Revenue Sheet'!$A72,'OPs Data'!$L:$L,'Revenue Sheet'!D$2)*VLOOKUP($C$1,'Rate Card'!$B:$E,MATCH('Revenue Sheet'!D$2,'Rate Card'!$B$2:$E$2,0),0))</f>
      </c>
      <c r="E72" s="57">
        <f>IF(A72&gt;TODAY(),"",SUMIFS('OPs Data'!$N:$N,'OPs Data'!$F:$F,'Revenue Sheet'!C$1,'OPs Data'!$D:$D,'Revenue Sheet'!$A72,'OPs Data'!$L:$L,'Revenue Sheet'!E$2)*VLOOKUP($C$1,'Rate Card'!$B:$E,MATCH('Revenue Sheet'!E$2,'Rate Card'!$B$2:$E$2,0),0))</f>
      </c>
      <c r="F72" s="57">
        <f>IF(A72&gt;TODAY(),"",SUMIFS('OPs Data'!$N:$N,'OPs Data'!$F:$F,'Revenue Sheet'!F$1,'OPs Data'!$D:$D,'Revenue Sheet'!$A72,'OPs Data'!$L:$L,'Revenue Sheet'!F$2)*VLOOKUP($F$1,'Rate Card'!$B:$E,MATCH('Revenue Sheet'!F$2,'Rate Card'!$B$2:$E$2,0),0))</f>
      </c>
      <c r="G72" s="57">
        <f>IF(A72&gt;TODAY(),"",SUMIFS('OPs Data'!$N:$N,'OPs Data'!$F:$F,'Revenue Sheet'!F$1,'OPs Data'!$D:$D,'Revenue Sheet'!$A72,'OPs Data'!$L:$L,'Revenue Sheet'!G$2)*VLOOKUP($F$1,'Rate Card'!$B:$E,MATCH('Revenue Sheet'!G$2,'Rate Card'!$B$2:$E$2,0),0))</f>
      </c>
      <c r="H72" s="57">
        <f>IF(A72&gt;TODAY(),"",SUMIFS('OPs Data'!$N:$N,'OPs Data'!$F:$F,'Revenue Sheet'!F$1,'OPs Data'!$D:$D,'Revenue Sheet'!$A72,'OPs Data'!$L:$L,'Revenue Sheet'!H$2)*VLOOKUP($F$1,'Rate Card'!$B:$E,MATCH('Revenue Sheet'!H$2,'Rate Card'!$B$2:$E$2,0),0))</f>
      </c>
      <c r="I72" s="57">
        <f>IF(A72&gt;TODAY(),"",SUMIFS('OPs Data'!$N:$N,'OPs Data'!$F:$F,'Revenue Sheet'!I$1,'OPs Data'!$D:$D,'Revenue Sheet'!$A72,'OPs Data'!$L:$L,'Revenue Sheet'!I$2)*VLOOKUP($I$1,'Rate Card'!$B:$E,MATCH('Revenue Sheet'!I$2,'Rate Card'!$B$2:$E$2,0),0))</f>
      </c>
      <c r="J72" s="57">
        <f>IF(A72&gt;TODAY(),"",SUMIFS('OPs Data'!$N:$N,'OPs Data'!$F:$F,'Revenue Sheet'!I$1,'OPs Data'!$D:$D,'Revenue Sheet'!$A72,'OPs Data'!$L:$L,'Revenue Sheet'!J$2)*VLOOKUP($I$1,'Rate Card'!$B:$E,MATCH('Revenue Sheet'!J$2,'Rate Card'!$B$2:$E$2,0),0))</f>
      </c>
      <c r="K72" s="57">
        <f>IF(A72&gt;TODAY(),"",SUMIFS('OPs Data'!$N:$N,'OPs Data'!$F:$F,'Revenue Sheet'!I$1,'OPs Data'!$D:$D,'Revenue Sheet'!$A72,'OPs Data'!$L:$L,'Revenue Sheet'!K$2)*VLOOKUP($I$1,'Rate Card'!$B:$E,MATCH('Revenue Sheet'!K$2,'Rate Card'!$B$2:$E$2,0),0))</f>
      </c>
      <c r="L72" s="57">
        <f>IF(A72&gt;TODAY(),"",SUMIFS('OPs Data'!$N:$N,'OPs Data'!$F:$F,'Revenue Sheet'!L$1,'OPs Data'!$D:$D,'Revenue Sheet'!$A72,'OPs Data'!$L:$L,'Revenue Sheet'!L$2)*VLOOKUP($L$1,'Rate Card'!$B:$E,MATCH('Revenue Sheet'!L$2,'Rate Card'!$B$2:$E$2,0),0))</f>
      </c>
      <c r="M72" s="57">
        <f>IF(A72&gt;TODAY(),"",SUMIFS('OPs Data'!$N:$N,'OPs Data'!$F:$F,'Revenue Sheet'!L$1,'OPs Data'!$D:$D,'Revenue Sheet'!$A72,'OPs Data'!$L:$L,'Revenue Sheet'!M$2)*VLOOKUP($L$1,'Rate Card'!$B:$E,MATCH('Revenue Sheet'!M$2,'Rate Card'!$B$2:$E$2,0),0))</f>
      </c>
      <c r="N72" s="57">
        <f>IF(A72&gt;TODAY(),"",SUMIFS('OPs Data'!$N:$N,'OPs Data'!$F:$F,'Revenue Sheet'!L$1,'OPs Data'!$D:$D,'Revenue Sheet'!$A72,'OPs Data'!$L:$L,'Revenue Sheet'!N$2)*VLOOKUP($L$1,'Rate Card'!$B:$E,MATCH('Revenue Sheet'!N$2,'Rate Card'!$B$2:$E$2,0),0))</f>
      </c>
      <c r="O72" s="57">
        <f>IF($A72&gt;TODAY(),"",SUM(C72,F72,I72,L72))</f>
      </c>
      <c r="P72" s="57">
        <f>IF($A72&gt;TODAY(),"",SUM(D72,G72,J72,M72))</f>
      </c>
      <c r="Q72" s="57">
        <f>IF($A72&gt;TODAY(),"",SUM(E72,H72,K72,N72))</f>
      </c>
      <c r="R72" s="58">
        <f>IF($A72&gt;TODAY(),"",SUM(O72:Q72))</f>
      </c>
    </row>
    <row x14ac:dyDescent="0.25" r="73" customHeight="1" ht="18.75">
      <c r="A73" s="55">
        <v>45804</v>
      </c>
      <c r="B73" s="56">
        <f>IF(A73&gt;TODAY(),"",COUNTA(_xlfn.UNIQUE(_xlfn._xlws.FILTER('OPs Data'!$K:$K,'OPs Data'!$D:$D='Revenue Sheet'!A73))))</f>
      </c>
      <c r="C73" s="57">
        <f>IF(A73&gt;TODAY(),"",SUMIFS('OPs Data'!$N:$N,'OPs Data'!$F:$F,'Revenue Sheet'!C$1,'OPs Data'!$D:$D,'Revenue Sheet'!$A73,'OPs Data'!$L:$L,'Revenue Sheet'!C$2)*VLOOKUP($C$1,'Rate Card'!$B:$E,MATCH('Revenue Sheet'!C$2,'Rate Card'!$B$2:$E$2,0),0))</f>
      </c>
      <c r="D73" s="57">
        <f>IF(A73&gt;TODAY(),"",SUMIFS('OPs Data'!$N:$N,'OPs Data'!$F:$F,'Revenue Sheet'!C$1,'OPs Data'!$D:$D,'Revenue Sheet'!$A73,'OPs Data'!$L:$L,'Revenue Sheet'!D$2)*VLOOKUP($C$1,'Rate Card'!$B:$E,MATCH('Revenue Sheet'!D$2,'Rate Card'!$B$2:$E$2,0),0))</f>
      </c>
      <c r="E73" s="57">
        <f>IF(A73&gt;TODAY(),"",SUMIFS('OPs Data'!$N:$N,'OPs Data'!$F:$F,'Revenue Sheet'!C$1,'OPs Data'!$D:$D,'Revenue Sheet'!$A73,'OPs Data'!$L:$L,'Revenue Sheet'!E$2)*VLOOKUP($C$1,'Rate Card'!$B:$E,MATCH('Revenue Sheet'!E$2,'Rate Card'!$B$2:$E$2,0),0))</f>
      </c>
      <c r="F73" s="57">
        <f>IF(A73&gt;TODAY(),"",SUMIFS('OPs Data'!$N:$N,'OPs Data'!$F:$F,'Revenue Sheet'!F$1,'OPs Data'!$D:$D,'Revenue Sheet'!$A73,'OPs Data'!$L:$L,'Revenue Sheet'!F$2)*VLOOKUP($F$1,'Rate Card'!$B:$E,MATCH('Revenue Sheet'!F$2,'Rate Card'!$B$2:$E$2,0),0))</f>
      </c>
      <c r="G73" s="57">
        <f>IF(A73&gt;TODAY(),"",SUMIFS('OPs Data'!$N:$N,'OPs Data'!$F:$F,'Revenue Sheet'!F$1,'OPs Data'!$D:$D,'Revenue Sheet'!$A73,'OPs Data'!$L:$L,'Revenue Sheet'!G$2)*VLOOKUP($F$1,'Rate Card'!$B:$E,MATCH('Revenue Sheet'!G$2,'Rate Card'!$B$2:$E$2,0),0))</f>
      </c>
      <c r="H73" s="57">
        <f>IF(A73&gt;TODAY(),"",SUMIFS('OPs Data'!$N:$N,'OPs Data'!$F:$F,'Revenue Sheet'!F$1,'OPs Data'!$D:$D,'Revenue Sheet'!$A73,'OPs Data'!$L:$L,'Revenue Sheet'!H$2)*VLOOKUP($F$1,'Rate Card'!$B:$E,MATCH('Revenue Sheet'!H$2,'Rate Card'!$B$2:$E$2,0),0))</f>
      </c>
      <c r="I73" s="57">
        <f>IF(A73&gt;TODAY(),"",SUMIFS('OPs Data'!$N:$N,'OPs Data'!$F:$F,'Revenue Sheet'!I$1,'OPs Data'!$D:$D,'Revenue Sheet'!$A73,'OPs Data'!$L:$L,'Revenue Sheet'!I$2)*VLOOKUP($I$1,'Rate Card'!$B:$E,MATCH('Revenue Sheet'!I$2,'Rate Card'!$B$2:$E$2,0),0))</f>
      </c>
      <c r="J73" s="57">
        <f>IF(A73&gt;TODAY(),"",SUMIFS('OPs Data'!$N:$N,'OPs Data'!$F:$F,'Revenue Sheet'!I$1,'OPs Data'!$D:$D,'Revenue Sheet'!$A73,'OPs Data'!$L:$L,'Revenue Sheet'!J$2)*VLOOKUP($I$1,'Rate Card'!$B:$E,MATCH('Revenue Sheet'!J$2,'Rate Card'!$B$2:$E$2,0),0))</f>
      </c>
      <c r="K73" s="57">
        <f>IF(A73&gt;TODAY(),"",SUMIFS('OPs Data'!$N:$N,'OPs Data'!$F:$F,'Revenue Sheet'!I$1,'OPs Data'!$D:$D,'Revenue Sheet'!$A73,'OPs Data'!$L:$L,'Revenue Sheet'!K$2)*VLOOKUP($I$1,'Rate Card'!$B:$E,MATCH('Revenue Sheet'!K$2,'Rate Card'!$B$2:$E$2,0),0))</f>
      </c>
      <c r="L73" s="57">
        <f>IF(A73&gt;TODAY(),"",SUMIFS('OPs Data'!$N:$N,'OPs Data'!$F:$F,'Revenue Sheet'!L$1,'OPs Data'!$D:$D,'Revenue Sheet'!$A73,'OPs Data'!$L:$L,'Revenue Sheet'!L$2)*VLOOKUP($L$1,'Rate Card'!$B:$E,MATCH('Revenue Sheet'!L$2,'Rate Card'!$B$2:$E$2,0),0))</f>
      </c>
      <c r="M73" s="57">
        <f>IF(A73&gt;TODAY(),"",SUMIFS('OPs Data'!$N:$N,'OPs Data'!$F:$F,'Revenue Sheet'!L$1,'OPs Data'!$D:$D,'Revenue Sheet'!$A73,'OPs Data'!$L:$L,'Revenue Sheet'!M$2)*VLOOKUP($L$1,'Rate Card'!$B:$E,MATCH('Revenue Sheet'!M$2,'Rate Card'!$B$2:$E$2,0),0))</f>
      </c>
      <c r="N73" s="57">
        <f>IF(A73&gt;TODAY(),"",SUMIFS('OPs Data'!$N:$N,'OPs Data'!$F:$F,'Revenue Sheet'!L$1,'OPs Data'!$D:$D,'Revenue Sheet'!$A73,'OPs Data'!$L:$L,'Revenue Sheet'!N$2)*VLOOKUP($L$1,'Rate Card'!$B:$E,MATCH('Revenue Sheet'!N$2,'Rate Card'!$B$2:$E$2,0),0))</f>
      </c>
      <c r="O73" s="57">
        <f>IF($A73&gt;TODAY(),"",SUM(C73,F73,I73,L73))</f>
      </c>
      <c r="P73" s="57">
        <f>IF($A73&gt;TODAY(),"",SUM(D73,G73,J73,M73))</f>
      </c>
      <c r="Q73" s="57">
        <f>IF($A73&gt;TODAY(),"",SUM(E73,H73,K73,N73))</f>
      </c>
      <c r="R73" s="58">
        <f>IF($A73&gt;TODAY(),"",SUM(O73:Q73))</f>
      </c>
    </row>
    <row x14ac:dyDescent="0.25" r="74" customHeight="1" ht="18.75">
      <c r="A74" s="55">
        <v>45805</v>
      </c>
      <c r="B74" s="56">
        <f>IF(A74&gt;TODAY(),"",COUNTA(_xlfn.UNIQUE(_xlfn._xlws.FILTER('OPs Data'!$K:$K,'OPs Data'!$D:$D='Revenue Sheet'!A74))))</f>
      </c>
      <c r="C74" s="57">
        <f>IF(A74&gt;TODAY(),"",SUMIFS('OPs Data'!$N:$N,'OPs Data'!$F:$F,'Revenue Sheet'!C$1,'OPs Data'!$D:$D,'Revenue Sheet'!$A74,'OPs Data'!$L:$L,'Revenue Sheet'!C$2)*VLOOKUP($C$1,'Rate Card'!$B:$E,MATCH('Revenue Sheet'!C$2,'Rate Card'!$B$2:$E$2,0),0))</f>
      </c>
      <c r="D74" s="57">
        <f>IF(A74&gt;TODAY(),"",SUMIFS('OPs Data'!$N:$N,'OPs Data'!$F:$F,'Revenue Sheet'!C$1,'OPs Data'!$D:$D,'Revenue Sheet'!$A74,'OPs Data'!$L:$L,'Revenue Sheet'!D$2)*VLOOKUP($C$1,'Rate Card'!$B:$E,MATCH('Revenue Sheet'!D$2,'Rate Card'!$B$2:$E$2,0),0))</f>
      </c>
      <c r="E74" s="57">
        <f>IF(A74&gt;TODAY(),"",SUMIFS('OPs Data'!$N:$N,'OPs Data'!$F:$F,'Revenue Sheet'!C$1,'OPs Data'!$D:$D,'Revenue Sheet'!$A74,'OPs Data'!$L:$L,'Revenue Sheet'!E$2)*VLOOKUP($C$1,'Rate Card'!$B:$E,MATCH('Revenue Sheet'!E$2,'Rate Card'!$B$2:$E$2,0),0))</f>
      </c>
      <c r="F74" s="57">
        <f>IF(A74&gt;TODAY(),"",SUMIFS('OPs Data'!$N:$N,'OPs Data'!$F:$F,'Revenue Sheet'!F$1,'OPs Data'!$D:$D,'Revenue Sheet'!$A74,'OPs Data'!$L:$L,'Revenue Sheet'!F$2)*VLOOKUP($F$1,'Rate Card'!$B:$E,MATCH('Revenue Sheet'!F$2,'Rate Card'!$B$2:$E$2,0),0))</f>
      </c>
      <c r="G74" s="57">
        <f>IF(A74&gt;TODAY(),"",SUMIFS('OPs Data'!$N:$N,'OPs Data'!$F:$F,'Revenue Sheet'!F$1,'OPs Data'!$D:$D,'Revenue Sheet'!$A74,'OPs Data'!$L:$L,'Revenue Sheet'!G$2)*VLOOKUP($F$1,'Rate Card'!$B:$E,MATCH('Revenue Sheet'!G$2,'Rate Card'!$B$2:$E$2,0),0))</f>
      </c>
      <c r="H74" s="57">
        <f>IF(A74&gt;TODAY(),"",SUMIFS('OPs Data'!$N:$N,'OPs Data'!$F:$F,'Revenue Sheet'!F$1,'OPs Data'!$D:$D,'Revenue Sheet'!$A74,'OPs Data'!$L:$L,'Revenue Sheet'!H$2)*VLOOKUP($F$1,'Rate Card'!$B:$E,MATCH('Revenue Sheet'!H$2,'Rate Card'!$B$2:$E$2,0),0))</f>
      </c>
      <c r="I74" s="57">
        <f>IF(A74&gt;TODAY(),"",SUMIFS('OPs Data'!$N:$N,'OPs Data'!$F:$F,'Revenue Sheet'!I$1,'OPs Data'!$D:$D,'Revenue Sheet'!$A74,'OPs Data'!$L:$L,'Revenue Sheet'!I$2)*VLOOKUP($I$1,'Rate Card'!$B:$E,MATCH('Revenue Sheet'!I$2,'Rate Card'!$B$2:$E$2,0),0))</f>
      </c>
      <c r="J74" s="57">
        <f>IF(A74&gt;TODAY(),"",SUMIFS('OPs Data'!$N:$N,'OPs Data'!$F:$F,'Revenue Sheet'!I$1,'OPs Data'!$D:$D,'Revenue Sheet'!$A74,'OPs Data'!$L:$L,'Revenue Sheet'!J$2)*VLOOKUP($I$1,'Rate Card'!$B:$E,MATCH('Revenue Sheet'!J$2,'Rate Card'!$B$2:$E$2,0),0))</f>
      </c>
      <c r="K74" s="57">
        <f>IF(A74&gt;TODAY(),"",SUMIFS('OPs Data'!$N:$N,'OPs Data'!$F:$F,'Revenue Sheet'!I$1,'OPs Data'!$D:$D,'Revenue Sheet'!$A74,'OPs Data'!$L:$L,'Revenue Sheet'!K$2)*VLOOKUP($I$1,'Rate Card'!$B:$E,MATCH('Revenue Sheet'!K$2,'Rate Card'!$B$2:$E$2,0),0))</f>
      </c>
      <c r="L74" s="57">
        <f>IF(A74&gt;TODAY(),"",SUMIFS('OPs Data'!$N:$N,'OPs Data'!$F:$F,'Revenue Sheet'!L$1,'OPs Data'!$D:$D,'Revenue Sheet'!$A74,'OPs Data'!$L:$L,'Revenue Sheet'!L$2)*VLOOKUP($L$1,'Rate Card'!$B:$E,MATCH('Revenue Sheet'!L$2,'Rate Card'!$B$2:$E$2,0),0))</f>
      </c>
      <c r="M74" s="57">
        <f>IF(A74&gt;TODAY(),"",SUMIFS('OPs Data'!$N:$N,'OPs Data'!$F:$F,'Revenue Sheet'!L$1,'OPs Data'!$D:$D,'Revenue Sheet'!$A74,'OPs Data'!$L:$L,'Revenue Sheet'!M$2)*VLOOKUP($L$1,'Rate Card'!$B:$E,MATCH('Revenue Sheet'!M$2,'Rate Card'!$B$2:$E$2,0),0))</f>
      </c>
      <c r="N74" s="57">
        <f>IF(A74&gt;TODAY(),"",SUMIFS('OPs Data'!$N:$N,'OPs Data'!$F:$F,'Revenue Sheet'!L$1,'OPs Data'!$D:$D,'Revenue Sheet'!$A74,'OPs Data'!$L:$L,'Revenue Sheet'!N$2)*VLOOKUP($L$1,'Rate Card'!$B:$E,MATCH('Revenue Sheet'!N$2,'Rate Card'!$B$2:$E$2,0),0))</f>
      </c>
      <c r="O74" s="57">
        <f>IF($A74&gt;TODAY(),"",SUM(C74,F74,I74,L74))</f>
      </c>
      <c r="P74" s="57">
        <f>IF($A74&gt;TODAY(),"",SUM(D74,G74,J74,M74))</f>
      </c>
      <c r="Q74" s="57">
        <f>IF($A74&gt;TODAY(),"",SUM(E74,H74,K74,N74))</f>
      </c>
      <c r="R74" s="58">
        <f>IF($A74&gt;TODAY(),"",SUM(O74:Q74))</f>
      </c>
    </row>
    <row x14ac:dyDescent="0.25" r="75" customHeight="1" ht="18.75">
      <c r="A75" s="55">
        <v>45806</v>
      </c>
      <c r="B75" s="56">
        <f>IF(A75&gt;TODAY(),"",COUNTA(_xlfn.UNIQUE(_xlfn._xlws.FILTER('OPs Data'!$K:$K,'OPs Data'!$D:$D='Revenue Sheet'!A75))))</f>
      </c>
      <c r="C75" s="57">
        <f>IF(A75&gt;TODAY(),"",SUMIFS('OPs Data'!$N:$N,'OPs Data'!$F:$F,'Revenue Sheet'!C$1,'OPs Data'!$D:$D,'Revenue Sheet'!$A75,'OPs Data'!$L:$L,'Revenue Sheet'!C$2)*VLOOKUP($C$1,'Rate Card'!$B:$E,MATCH('Revenue Sheet'!C$2,'Rate Card'!$B$2:$E$2,0),0))</f>
      </c>
      <c r="D75" s="57">
        <f>IF(A75&gt;TODAY(),"",SUMIFS('OPs Data'!$N:$N,'OPs Data'!$F:$F,'Revenue Sheet'!C$1,'OPs Data'!$D:$D,'Revenue Sheet'!$A75,'OPs Data'!$L:$L,'Revenue Sheet'!D$2)*VLOOKUP($C$1,'Rate Card'!$B:$E,MATCH('Revenue Sheet'!D$2,'Rate Card'!$B$2:$E$2,0),0))</f>
      </c>
      <c r="E75" s="57">
        <f>IF(A75&gt;TODAY(),"",SUMIFS('OPs Data'!$N:$N,'OPs Data'!$F:$F,'Revenue Sheet'!C$1,'OPs Data'!$D:$D,'Revenue Sheet'!$A75,'OPs Data'!$L:$L,'Revenue Sheet'!E$2)*VLOOKUP($C$1,'Rate Card'!$B:$E,MATCH('Revenue Sheet'!E$2,'Rate Card'!$B$2:$E$2,0),0))</f>
      </c>
      <c r="F75" s="57">
        <f>IF(A75&gt;TODAY(),"",SUMIFS('OPs Data'!$N:$N,'OPs Data'!$F:$F,'Revenue Sheet'!F$1,'OPs Data'!$D:$D,'Revenue Sheet'!$A75,'OPs Data'!$L:$L,'Revenue Sheet'!F$2)*VLOOKUP($F$1,'Rate Card'!$B:$E,MATCH('Revenue Sheet'!F$2,'Rate Card'!$B$2:$E$2,0),0))</f>
      </c>
      <c r="G75" s="57">
        <f>IF(A75&gt;TODAY(),"",SUMIFS('OPs Data'!$N:$N,'OPs Data'!$F:$F,'Revenue Sheet'!F$1,'OPs Data'!$D:$D,'Revenue Sheet'!$A75,'OPs Data'!$L:$L,'Revenue Sheet'!G$2)*VLOOKUP($F$1,'Rate Card'!$B:$E,MATCH('Revenue Sheet'!G$2,'Rate Card'!$B$2:$E$2,0),0))</f>
      </c>
      <c r="H75" s="57">
        <f>IF(A75&gt;TODAY(),"",SUMIFS('OPs Data'!$N:$N,'OPs Data'!$F:$F,'Revenue Sheet'!F$1,'OPs Data'!$D:$D,'Revenue Sheet'!$A75,'OPs Data'!$L:$L,'Revenue Sheet'!H$2)*VLOOKUP($F$1,'Rate Card'!$B:$E,MATCH('Revenue Sheet'!H$2,'Rate Card'!$B$2:$E$2,0),0))</f>
      </c>
      <c r="I75" s="57">
        <f>IF(A75&gt;TODAY(),"",SUMIFS('OPs Data'!$N:$N,'OPs Data'!$F:$F,'Revenue Sheet'!I$1,'OPs Data'!$D:$D,'Revenue Sheet'!$A75,'OPs Data'!$L:$L,'Revenue Sheet'!I$2)*VLOOKUP($I$1,'Rate Card'!$B:$E,MATCH('Revenue Sheet'!I$2,'Rate Card'!$B$2:$E$2,0),0))</f>
      </c>
      <c r="J75" s="57">
        <f>IF(A75&gt;TODAY(),"",SUMIFS('OPs Data'!$N:$N,'OPs Data'!$F:$F,'Revenue Sheet'!I$1,'OPs Data'!$D:$D,'Revenue Sheet'!$A75,'OPs Data'!$L:$L,'Revenue Sheet'!J$2)*VLOOKUP($I$1,'Rate Card'!$B:$E,MATCH('Revenue Sheet'!J$2,'Rate Card'!$B$2:$E$2,0),0))</f>
      </c>
      <c r="K75" s="57">
        <f>IF(A75&gt;TODAY(),"",SUMIFS('OPs Data'!$N:$N,'OPs Data'!$F:$F,'Revenue Sheet'!I$1,'OPs Data'!$D:$D,'Revenue Sheet'!$A75,'OPs Data'!$L:$L,'Revenue Sheet'!K$2)*VLOOKUP($I$1,'Rate Card'!$B:$E,MATCH('Revenue Sheet'!K$2,'Rate Card'!$B$2:$E$2,0),0))</f>
      </c>
      <c r="L75" s="57">
        <f>IF(A75&gt;TODAY(),"",SUMIFS('OPs Data'!$N:$N,'OPs Data'!$F:$F,'Revenue Sheet'!L$1,'OPs Data'!$D:$D,'Revenue Sheet'!$A75,'OPs Data'!$L:$L,'Revenue Sheet'!L$2)*VLOOKUP($L$1,'Rate Card'!$B:$E,MATCH('Revenue Sheet'!L$2,'Rate Card'!$B$2:$E$2,0),0))</f>
      </c>
      <c r="M75" s="57">
        <f>IF(A75&gt;TODAY(),"",SUMIFS('OPs Data'!$N:$N,'OPs Data'!$F:$F,'Revenue Sheet'!L$1,'OPs Data'!$D:$D,'Revenue Sheet'!$A75,'OPs Data'!$L:$L,'Revenue Sheet'!M$2)*VLOOKUP($L$1,'Rate Card'!$B:$E,MATCH('Revenue Sheet'!M$2,'Rate Card'!$B$2:$E$2,0),0))</f>
      </c>
      <c r="N75" s="57">
        <f>IF(A75&gt;TODAY(),"",SUMIFS('OPs Data'!$N:$N,'OPs Data'!$F:$F,'Revenue Sheet'!L$1,'OPs Data'!$D:$D,'Revenue Sheet'!$A75,'OPs Data'!$L:$L,'Revenue Sheet'!N$2)*VLOOKUP($L$1,'Rate Card'!$B:$E,MATCH('Revenue Sheet'!N$2,'Rate Card'!$B$2:$E$2,0),0))</f>
      </c>
      <c r="O75" s="57">
        <f>IF($A75&gt;TODAY(),"",SUM(C75,F75,I75,L75))</f>
      </c>
      <c r="P75" s="57">
        <f>IF($A75&gt;TODAY(),"",SUM(D75,G75,J75,M75))</f>
      </c>
      <c r="Q75" s="57">
        <f>IF($A75&gt;TODAY(),"",SUM(E75,H75,K75,N75))</f>
      </c>
      <c r="R75" s="58">
        <f>IF($A75&gt;TODAY(),"",SUM(O75:Q75))</f>
      </c>
    </row>
    <row x14ac:dyDescent="0.25" r="76" customHeight="1" ht="18.75">
      <c r="A76" s="55">
        <v>45807</v>
      </c>
      <c r="B76" s="56">
        <f>IF(A76&gt;TODAY(),"",COUNTA(_xlfn.UNIQUE(_xlfn._xlws.FILTER('OPs Data'!$K:$K,'OPs Data'!$D:$D='Revenue Sheet'!A76))))</f>
      </c>
      <c r="C76" s="57">
        <f>IF(A76&gt;TODAY(),"",SUMIFS('OPs Data'!$N:$N,'OPs Data'!$F:$F,'Revenue Sheet'!C$1,'OPs Data'!$D:$D,'Revenue Sheet'!$A76,'OPs Data'!$L:$L,'Revenue Sheet'!C$2)*VLOOKUP($C$1,'Rate Card'!$B:$E,MATCH('Revenue Sheet'!C$2,'Rate Card'!$B$2:$E$2,0),0))</f>
      </c>
      <c r="D76" s="57">
        <f>IF(A76&gt;TODAY(),"",SUMIFS('OPs Data'!$N:$N,'OPs Data'!$F:$F,'Revenue Sheet'!C$1,'OPs Data'!$D:$D,'Revenue Sheet'!$A76,'OPs Data'!$L:$L,'Revenue Sheet'!D$2)*VLOOKUP($C$1,'Rate Card'!$B:$E,MATCH('Revenue Sheet'!D$2,'Rate Card'!$B$2:$E$2,0),0))</f>
      </c>
      <c r="E76" s="57">
        <f>IF(A76&gt;TODAY(),"",SUMIFS('OPs Data'!$N:$N,'OPs Data'!$F:$F,'Revenue Sheet'!C$1,'OPs Data'!$D:$D,'Revenue Sheet'!$A76,'OPs Data'!$L:$L,'Revenue Sheet'!E$2)*VLOOKUP($C$1,'Rate Card'!$B:$E,MATCH('Revenue Sheet'!E$2,'Rate Card'!$B$2:$E$2,0),0))</f>
      </c>
      <c r="F76" s="57">
        <f>IF(A76&gt;TODAY(),"",SUMIFS('OPs Data'!$N:$N,'OPs Data'!$F:$F,'Revenue Sheet'!F$1,'OPs Data'!$D:$D,'Revenue Sheet'!$A76,'OPs Data'!$L:$L,'Revenue Sheet'!F$2)*VLOOKUP($F$1,'Rate Card'!$B:$E,MATCH('Revenue Sheet'!F$2,'Rate Card'!$B$2:$E$2,0),0))</f>
      </c>
      <c r="G76" s="57">
        <f>IF(A76&gt;TODAY(),"",SUMIFS('OPs Data'!$N:$N,'OPs Data'!$F:$F,'Revenue Sheet'!F$1,'OPs Data'!$D:$D,'Revenue Sheet'!$A76,'OPs Data'!$L:$L,'Revenue Sheet'!G$2)*VLOOKUP($F$1,'Rate Card'!$B:$E,MATCH('Revenue Sheet'!G$2,'Rate Card'!$B$2:$E$2,0),0))</f>
      </c>
      <c r="H76" s="57">
        <f>IF(A76&gt;TODAY(),"",SUMIFS('OPs Data'!$N:$N,'OPs Data'!$F:$F,'Revenue Sheet'!F$1,'OPs Data'!$D:$D,'Revenue Sheet'!$A76,'OPs Data'!$L:$L,'Revenue Sheet'!H$2)*VLOOKUP($F$1,'Rate Card'!$B:$E,MATCH('Revenue Sheet'!H$2,'Rate Card'!$B$2:$E$2,0),0))</f>
      </c>
      <c r="I76" s="57">
        <f>IF(A76&gt;TODAY(),"",SUMIFS('OPs Data'!$N:$N,'OPs Data'!$F:$F,'Revenue Sheet'!I$1,'OPs Data'!$D:$D,'Revenue Sheet'!$A76,'OPs Data'!$L:$L,'Revenue Sheet'!I$2)*VLOOKUP($I$1,'Rate Card'!$B:$E,MATCH('Revenue Sheet'!I$2,'Rate Card'!$B$2:$E$2,0),0))</f>
      </c>
      <c r="J76" s="57">
        <f>IF(A76&gt;TODAY(),"",SUMIFS('OPs Data'!$N:$N,'OPs Data'!$F:$F,'Revenue Sheet'!I$1,'OPs Data'!$D:$D,'Revenue Sheet'!$A76,'OPs Data'!$L:$L,'Revenue Sheet'!J$2)*VLOOKUP($I$1,'Rate Card'!$B:$E,MATCH('Revenue Sheet'!J$2,'Rate Card'!$B$2:$E$2,0),0))</f>
      </c>
      <c r="K76" s="57">
        <f>IF(A76&gt;TODAY(),"",SUMIFS('OPs Data'!$N:$N,'OPs Data'!$F:$F,'Revenue Sheet'!I$1,'OPs Data'!$D:$D,'Revenue Sheet'!$A76,'OPs Data'!$L:$L,'Revenue Sheet'!K$2)*VLOOKUP($I$1,'Rate Card'!$B:$E,MATCH('Revenue Sheet'!K$2,'Rate Card'!$B$2:$E$2,0),0))</f>
      </c>
      <c r="L76" s="57">
        <f>IF(A76&gt;TODAY(),"",SUMIFS('OPs Data'!$N:$N,'OPs Data'!$F:$F,'Revenue Sheet'!L$1,'OPs Data'!$D:$D,'Revenue Sheet'!$A76,'OPs Data'!$L:$L,'Revenue Sheet'!L$2)*VLOOKUP($L$1,'Rate Card'!$B:$E,MATCH('Revenue Sheet'!L$2,'Rate Card'!$B$2:$E$2,0),0))</f>
      </c>
      <c r="M76" s="57">
        <f>IF(A76&gt;TODAY(),"",SUMIFS('OPs Data'!$N:$N,'OPs Data'!$F:$F,'Revenue Sheet'!L$1,'OPs Data'!$D:$D,'Revenue Sheet'!$A76,'OPs Data'!$L:$L,'Revenue Sheet'!M$2)*VLOOKUP($L$1,'Rate Card'!$B:$E,MATCH('Revenue Sheet'!M$2,'Rate Card'!$B$2:$E$2,0),0))</f>
      </c>
      <c r="N76" s="57">
        <f>IF(A76&gt;TODAY(),"",SUMIFS('OPs Data'!$N:$N,'OPs Data'!$F:$F,'Revenue Sheet'!L$1,'OPs Data'!$D:$D,'Revenue Sheet'!$A76,'OPs Data'!$L:$L,'Revenue Sheet'!N$2)*VLOOKUP($L$1,'Rate Card'!$B:$E,MATCH('Revenue Sheet'!N$2,'Rate Card'!$B$2:$E$2,0),0))</f>
      </c>
      <c r="O76" s="57">
        <f>IF($A76&gt;TODAY(),"",SUM(C76,F76,I76,L76))</f>
      </c>
      <c r="P76" s="57">
        <f>IF($A76&gt;TODAY(),"",SUM(D76,G76,J76,M76))</f>
      </c>
      <c r="Q76" s="57">
        <f>IF($A76&gt;TODAY(),"",SUM(E76,H76,K76,N76))</f>
      </c>
      <c r="R76" s="58">
        <f>IF($A76&gt;TODAY(),"",SUM(O76:Q76))</f>
      </c>
    </row>
    <row x14ac:dyDescent="0.25" r="77" customHeight="1" ht="18.75">
      <c r="A77" s="55">
        <v>45808</v>
      </c>
      <c r="B77" s="56">
        <f>IF(A77&gt;TODAY(),"",COUNTA(_xlfn.UNIQUE(_xlfn._xlws.FILTER('OPs Data'!$K:$K,'OPs Data'!$D:$D='Revenue Sheet'!A77))))</f>
      </c>
      <c r="C77" s="57">
        <f>IF(A77&gt;TODAY(),"",SUMIFS('OPs Data'!$N:$N,'OPs Data'!$F:$F,'Revenue Sheet'!C$1,'OPs Data'!$D:$D,'Revenue Sheet'!$A77,'OPs Data'!$L:$L,'Revenue Sheet'!C$2)*VLOOKUP($C$1,'Rate Card'!$B:$E,MATCH('Revenue Sheet'!C$2,'Rate Card'!$B$2:$E$2,0),0))</f>
      </c>
      <c r="D77" s="57">
        <f>IF(A77&gt;TODAY(),"",SUMIFS('OPs Data'!$N:$N,'OPs Data'!$F:$F,'Revenue Sheet'!C$1,'OPs Data'!$D:$D,'Revenue Sheet'!$A77,'OPs Data'!$L:$L,'Revenue Sheet'!D$2)*VLOOKUP($C$1,'Rate Card'!$B:$E,MATCH('Revenue Sheet'!D$2,'Rate Card'!$B$2:$E$2,0),0))</f>
      </c>
      <c r="E77" s="57">
        <f>IF(A77&gt;TODAY(),"",SUMIFS('OPs Data'!$N:$N,'OPs Data'!$F:$F,'Revenue Sheet'!C$1,'OPs Data'!$D:$D,'Revenue Sheet'!$A77,'OPs Data'!$L:$L,'Revenue Sheet'!E$2)*VLOOKUP($C$1,'Rate Card'!$B:$E,MATCH('Revenue Sheet'!E$2,'Rate Card'!$B$2:$E$2,0),0))</f>
      </c>
      <c r="F77" s="57">
        <f>IF(A77&gt;TODAY(),"",SUMIFS('OPs Data'!$N:$N,'OPs Data'!$F:$F,'Revenue Sheet'!F$1,'OPs Data'!$D:$D,'Revenue Sheet'!$A77,'OPs Data'!$L:$L,'Revenue Sheet'!F$2)*VLOOKUP($F$1,'Rate Card'!$B:$E,MATCH('Revenue Sheet'!F$2,'Rate Card'!$B$2:$E$2,0),0))</f>
      </c>
      <c r="G77" s="57">
        <f>IF(A77&gt;TODAY(),"",SUMIFS('OPs Data'!$N:$N,'OPs Data'!$F:$F,'Revenue Sheet'!F$1,'OPs Data'!$D:$D,'Revenue Sheet'!$A77,'OPs Data'!$L:$L,'Revenue Sheet'!G$2)*VLOOKUP($F$1,'Rate Card'!$B:$E,MATCH('Revenue Sheet'!G$2,'Rate Card'!$B$2:$E$2,0),0))</f>
      </c>
      <c r="H77" s="57">
        <f>IF(A77&gt;TODAY(),"",SUMIFS('OPs Data'!$N:$N,'OPs Data'!$F:$F,'Revenue Sheet'!F$1,'OPs Data'!$D:$D,'Revenue Sheet'!$A77,'OPs Data'!$L:$L,'Revenue Sheet'!H$2)*VLOOKUP($F$1,'Rate Card'!$B:$E,MATCH('Revenue Sheet'!H$2,'Rate Card'!$B$2:$E$2,0),0))</f>
      </c>
      <c r="I77" s="57">
        <f>IF(A77&gt;TODAY(),"",SUMIFS('OPs Data'!$N:$N,'OPs Data'!$F:$F,'Revenue Sheet'!I$1,'OPs Data'!$D:$D,'Revenue Sheet'!$A77,'OPs Data'!$L:$L,'Revenue Sheet'!I$2)*VLOOKUP($I$1,'Rate Card'!$B:$E,MATCH('Revenue Sheet'!I$2,'Rate Card'!$B$2:$E$2,0),0))</f>
      </c>
      <c r="J77" s="57">
        <f>IF(A77&gt;TODAY(),"",SUMIFS('OPs Data'!$N:$N,'OPs Data'!$F:$F,'Revenue Sheet'!I$1,'OPs Data'!$D:$D,'Revenue Sheet'!$A77,'OPs Data'!$L:$L,'Revenue Sheet'!J$2)*VLOOKUP($I$1,'Rate Card'!$B:$E,MATCH('Revenue Sheet'!J$2,'Rate Card'!$B$2:$E$2,0),0))</f>
      </c>
      <c r="K77" s="57">
        <f>IF(A77&gt;TODAY(),"",SUMIFS('OPs Data'!$N:$N,'OPs Data'!$F:$F,'Revenue Sheet'!I$1,'OPs Data'!$D:$D,'Revenue Sheet'!$A77,'OPs Data'!$L:$L,'Revenue Sheet'!K$2)*VLOOKUP($I$1,'Rate Card'!$B:$E,MATCH('Revenue Sheet'!K$2,'Rate Card'!$B$2:$E$2,0),0))</f>
      </c>
      <c r="L77" s="57">
        <f>IF(A77&gt;TODAY(),"",SUMIFS('OPs Data'!$N:$N,'OPs Data'!$F:$F,'Revenue Sheet'!L$1,'OPs Data'!$D:$D,'Revenue Sheet'!$A77,'OPs Data'!$L:$L,'Revenue Sheet'!L$2)*VLOOKUP($L$1,'Rate Card'!$B:$E,MATCH('Revenue Sheet'!L$2,'Rate Card'!$B$2:$E$2,0),0))</f>
      </c>
      <c r="M77" s="57">
        <f>IF(A77&gt;TODAY(),"",SUMIFS('OPs Data'!$N:$N,'OPs Data'!$F:$F,'Revenue Sheet'!L$1,'OPs Data'!$D:$D,'Revenue Sheet'!$A77,'OPs Data'!$L:$L,'Revenue Sheet'!M$2)*VLOOKUP($L$1,'Rate Card'!$B:$E,MATCH('Revenue Sheet'!M$2,'Rate Card'!$B$2:$E$2,0),0))</f>
      </c>
      <c r="N77" s="57">
        <f>IF(A77&gt;TODAY(),"",SUMIFS('OPs Data'!$N:$N,'OPs Data'!$F:$F,'Revenue Sheet'!L$1,'OPs Data'!$D:$D,'Revenue Sheet'!$A77,'OPs Data'!$L:$L,'Revenue Sheet'!N$2)*VLOOKUP($L$1,'Rate Card'!$B:$E,MATCH('Revenue Sheet'!N$2,'Rate Card'!$B$2:$E$2,0),0))</f>
      </c>
      <c r="O77" s="57">
        <f>IF($A77&gt;TODAY(),"",SUM(C77,F77,I77,L77))</f>
      </c>
      <c r="P77" s="57">
        <f>IF($A77&gt;TODAY(),"",SUM(D77,G77,J77,M77))</f>
      </c>
      <c r="Q77" s="57">
        <f>IF($A77&gt;TODAY(),"",SUM(E77,H77,K77,N77))</f>
      </c>
      <c r="R77" s="58">
        <f>IF($A77&gt;TODAY(),"",SUM(O77:Q77))</f>
      </c>
    </row>
  </sheetData>
  <mergeCells count="5"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76"/>
  <sheetViews>
    <sheetView workbookViewId="0"/>
  </sheetViews>
  <sheetFormatPr defaultRowHeight="15" x14ac:dyDescent="0.25"/>
  <cols>
    <col min="1" max="1" style="47" width="11.719285714285713" customWidth="1" bestFit="1"/>
    <col min="2" max="2" style="17" width="19.290714285714284" customWidth="1" bestFit="1"/>
    <col min="3" max="3" style="17" width="16.862142857142857" customWidth="1" bestFit="1"/>
    <col min="4" max="4" style="17" width="21.290714285714284" customWidth="1" bestFit="1"/>
    <col min="5" max="5" style="17" width="15.862142857142858" customWidth="1" bestFit="1"/>
    <col min="6" max="6" style="17" width="21.719285714285714" customWidth="1" bestFit="1"/>
  </cols>
  <sheetData>
    <row x14ac:dyDescent="0.25" r="1" customHeight="1" ht="18.75">
      <c r="A1" s="41" t="s">
        <v>46</v>
      </c>
      <c r="B1" s="42" t="s">
        <v>47</v>
      </c>
      <c r="C1" s="42" t="s">
        <v>25</v>
      </c>
      <c r="D1" s="42" t="s">
        <v>22</v>
      </c>
      <c r="E1" s="42" t="s">
        <v>48</v>
      </c>
      <c r="F1" s="42" t="s">
        <v>49</v>
      </c>
    </row>
    <row x14ac:dyDescent="0.25" r="2" customHeight="1" ht="18.75">
      <c r="A2" s="43">
        <v>45734</v>
      </c>
      <c r="B2" s="44">
        <f>IF(A2&gt;TODAY(),"",IFERROR(VLOOKUP($A2,'Category &amp; Range Wise Outward'!$A:$C,3,0)*'Rate Card'!$L$2,0))</f>
      </c>
      <c r="C2" s="44">
        <f>IF(A2&gt;TODAY(),"",VLOOKUP(A2,'Category &amp; Range Wise Outward'!A2:R77,16,0)*'Rate Card'!$I$3+VLOOKUP(A2,'Category &amp; Range Wise Outward'!A2:R77,17,0)*'Rate Card'!$I$5+VLOOKUP(A2,'Category &amp; Range Wise Outward'!A2:R77,18,0)*'Rate Card'!$I$4)</f>
      </c>
      <c r="D2" s="44">
        <f>IF($A2&gt;TODAY(),"",SUMIF('Vehicle Readings'!$A:$A,'Expense Sheet'!$A2,'Vehicle Readings'!$I:$I)+SUMIF('Market Vehicle Data'!$A:$A,'Expense Sheet'!A2,'Market Vehicle Data'!$G:$G))</f>
      </c>
      <c r="E2" s="44">
        <f>IF($A2&gt;TODAY(),"",12000/DAY(EOMONTH(A2,0)))</f>
      </c>
      <c r="F2" s="44">
        <f>IF($A2&gt;TODAY(),"",SUM(B2:E2))</f>
      </c>
    </row>
    <row x14ac:dyDescent="0.25" r="3" customHeight="1" ht="18.75">
      <c r="A3" s="45">
        <v>45735</v>
      </c>
      <c r="B3" s="46">
        <f>IF(A3&gt;TODAY(),"",IFERROR(VLOOKUP($A3,'Category &amp; Range Wise Outward'!$A:$C,3,0)*'Rate Card'!$L$2,0))</f>
      </c>
      <c r="C3" s="44">
        <f>IF(A3&gt;TODAY(),"",VLOOKUP(A3,'Category &amp; Range Wise Outward'!A3:R78,16,0)*'Rate Card'!$I$3+VLOOKUP(A3,'Category &amp; Range Wise Outward'!A3:R78,17,0)*'Rate Card'!$I$5+VLOOKUP(A3,'Category &amp; Range Wise Outward'!A3:R78,18,0)*'Rate Card'!$I$4)</f>
      </c>
      <c r="D3" s="44">
        <f>IF($A3&gt;TODAY(),"",SUMIF('Vehicle Readings'!$A:$A,'Expense Sheet'!$A3,'Vehicle Readings'!$I:$I)+SUMIF('Market Vehicle Data'!$A:$A,'Expense Sheet'!A3,'Market Vehicle Data'!$G:$G))</f>
      </c>
      <c r="E3" s="46">
        <f>IF($A3&gt;TODAY(),"",12000/DAY(EOMONTH(A3,0)))</f>
      </c>
      <c r="F3" s="46">
        <f>IF($A3&gt;TODAY(),"",SUM(B3:E3))</f>
      </c>
    </row>
    <row x14ac:dyDescent="0.25" r="4" customHeight="1" ht="18.75">
      <c r="A4" s="45">
        <v>45736</v>
      </c>
      <c r="B4" s="46">
        <f>IF(A4&gt;TODAY(),"",IFERROR(VLOOKUP($A4,'Category &amp; Range Wise Outward'!$A:$C,3,0)*'Rate Card'!$L$2,0))</f>
      </c>
      <c r="C4" s="44">
        <f>IF(A4&gt;TODAY(),"",VLOOKUP(A4,'Category &amp; Range Wise Outward'!A4:R79,16,0)*'Rate Card'!$I$3+VLOOKUP(A4,'Category &amp; Range Wise Outward'!A4:R79,17,0)*'Rate Card'!$I$5+VLOOKUP(A4,'Category &amp; Range Wise Outward'!A4:R79,18,0)*'Rate Card'!$I$4)</f>
      </c>
      <c r="D4" s="44">
        <f>IF($A4&gt;TODAY(),"",SUMIF('Vehicle Readings'!$A:$A,'Expense Sheet'!$A4,'Vehicle Readings'!$I:$I)+SUMIF('Market Vehicle Data'!$A:$A,'Expense Sheet'!A4,'Market Vehicle Data'!$G:$G))</f>
      </c>
      <c r="E4" s="46">
        <f>IF($A4&gt;TODAY(),"",12000/DAY(EOMONTH(A4,0)))</f>
      </c>
      <c r="F4" s="46">
        <f>IF($A4&gt;TODAY(),"",SUM(B4:E4))</f>
      </c>
    </row>
    <row x14ac:dyDescent="0.25" r="5" customHeight="1" ht="18.75">
      <c r="A5" s="45">
        <v>45737</v>
      </c>
      <c r="B5" s="46">
        <f>IF(A5&gt;TODAY(),"",IFERROR(VLOOKUP($A5,'Category &amp; Range Wise Outward'!$A:$C,3,0)*'Rate Card'!$L$2,0))</f>
      </c>
      <c r="C5" s="44">
        <f>IF(A5&gt;TODAY(),"",VLOOKUP(A5,'Category &amp; Range Wise Outward'!A5:R80,16,0)*'Rate Card'!$I$3+VLOOKUP(A5,'Category &amp; Range Wise Outward'!A5:R80,17,0)*'Rate Card'!$I$5+VLOOKUP(A5,'Category &amp; Range Wise Outward'!A5:R80,18,0)*'Rate Card'!$I$4)</f>
      </c>
      <c r="D5" s="44">
        <f>IF($A5&gt;TODAY(),"",SUMIF('Vehicle Readings'!$A:$A,'Expense Sheet'!$A5,'Vehicle Readings'!$I:$I)+SUMIF('Market Vehicle Data'!$A:$A,'Expense Sheet'!A5,'Market Vehicle Data'!$G:$G))</f>
      </c>
      <c r="E5" s="46">
        <f>IF($A5&gt;TODAY(),"",12000/DAY(EOMONTH(A5,0)))</f>
      </c>
      <c r="F5" s="46">
        <f>IF($A5&gt;TODAY(),"",SUM(B5:E5))</f>
      </c>
    </row>
    <row x14ac:dyDescent="0.25" r="6" customHeight="1" ht="18.75">
      <c r="A6" s="45">
        <v>45738</v>
      </c>
      <c r="B6" s="46">
        <f>IF(A6&gt;TODAY(),"",IFERROR(VLOOKUP($A6,'Category &amp; Range Wise Outward'!$A:$C,3,0)*'Rate Card'!$L$2,0))</f>
      </c>
      <c r="C6" s="44">
        <f>IF(A6&gt;TODAY(),"",VLOOKUP(A6,'Category &amp; Range Wise Outward'!A6:R81,16,0)*'Rate Card'!$I$3+VLOOKUP(A6,'Category &amp; Range Wise Outward'!A6:R81,17,0)*'Rate Card'!$I$5+VLOOKUP(A6,'Category &amp; Range Wise Outward'!A6:R81,18,0)*'Rate Card'!$I$4)</f>
      </c>
      <c r="D6" s="44">
        <f>IF($A6&gt;TODAY(),"",SUMIF('Vehicle Readings'!$A:$A,'Expense Sheet'!$A6,'Vehicle Readings'!$I:$I)+SUMIF('Market Vehicle Data'!$A:$A,'Expense Sheet'!A6,'Market Vehicle Data'!$G:$G))</f>
      </c>
      <c r="E6" s="46">
        <f>IF($A6&gt;TODAY(),"",12000/DAY(EOMONTH(A6,0)))</f>
      </c>
      <c r="F6" s="46">
        <f>IF($A6&gt;TODAY(),"",SUM(B6:E6))</f>
      </c>
    </row>
    <row x14ac:dyDescent="0.25" r="7" customHeight="1" ht="18.75">
      <c r="A7" s="45">
        <v>45739</v>
      </c>
      <c r="B7" s="46">
        <f>IF(A7&gt;TODAY(),"",IFERROR(VLOOKUP($A7,'Category &amp; Range Wise Outward'!$A:$C,3,0)*'Rate Card'!$L$2,0))</f>
      </c>
      <c r="C7" s="44">
        <f>IF(A7&gt;TODAY(),"",VLOOKUP(A7,'Category &amp; Range Wise Outward'!A7:R82,16,0)*'Rate Card'!$I$3+VLOOKUP(A7,'Category &amp; Range Wise Outward'!A7:R82,17,0)*'Rate Card'!$I$5+VLOOKUP(A7,'Category &amp; Range Wise Outward'!A7:R82,18,0)*'Rate Card'!$I$4)</f>
      </c>
      <c r="D7" s="44">
        <f>IF($A7&gt;TODAY(),"",SUMIF('Vehicle Readings'!$A:$A,'Expense Sheet'!$A7,'Vehicle Readings'!$I:$I)+SUMIF('Market Vehicle Data'!$A:$A,'Expense Sheet'!A7,'Market Vehicle Data'!$G:$G))</f>
      </c>
      <c r="E7" s="46">
        <f>IF($A7&gt;TODAY(),"",12000/DAY(EOMONTH(A7,0)))</f>
      </c>
      <c r="F7" s="46">
        <f>IF($A7&gt;TODAY(),"",SUM(B7:E7))</f>
      </c>
    </row>
    <row x14ac:dyDescent="0.25" r="8" customHeight="1" ht="18.75">
      <c r="A8" s="45">
        <v>45740</v>
      </c>
      <c r="B8" s="46">
        <f>IF(A8&gt;TODAY(),"",IFERROR(VLOOKUP($A8,'Category &amp; Range Wise Outward'!$A:$C,3,0)*'Rate Card'!$L$2,0))</f>
      </c>
      <c r="C8" s="44">
        <f>IF(A8&gt;TODAY(),"",VLOOKUP(A8,'Category &amp; Range Wise Outward'!A8:R83,16,0)*'Rate Card'!$I$3+VLOOKUP(A8,'Category &amp; Range Wise Outward'!A8:R83,17,0)*'Rate Card'!$I$5+VLOOKUP(A8,'Category &amp; Range Wise Outward'!A8:R83,18,0)*'Rate Card'!$I$4)</f>
      </c>
      <c r="D8" s="44">
        <f>IF($A8&gt;TODAY(),"",SUMIF('Vehicle Readings'!$A:$A,'Expense Sheet'!$A8,'Vehicle Readings'!$I:$I)+SUMIF('Market Vehicle Data'!$A:$A,'Expense Sheet'!A8,'Market Vehicle Data'!$G:$G))</f>
      </c>
      <c r="E8" s="46">
        <f>IF($A8&gt;TODAY(),"",12000/DAY(EOMONTH(A8,0)))</f>
      </c>
      <c r="F8" s="46">
        <f>IF($A8&gt;TODAY(),"",SUM(B8:E8))</f>
      </c>
    </row>
    <row x14ac:dyDescent="0.25" r="9" customHeight="1" ht="18.75">
      <c r="A9" s="45">
        <v>45741</v>
      </c>
      <c r="B9" s="46">
        <f>IF(A9&gt;TODAY(),"",IFERROR(VLOOKUP($A9,'Category &amp; Range Wise Outward'!$A:$C,3,0)*'Rate Card'!$L$2,0))</f>
      </c>
      <c r="C9" s="44">
        <f>IF(A9&gt;TODAY(),"",VLOOKUP(A9,'Category &amp; Range Wise Outward'!A9:R84,16,0)*'Rate Card'!$I$3+VLOOKUP(A9,'Category &amp; Range Wise Outward'!A9:R84,17,0)*'Rate Card'!$I$5+VLOOKUP(A9,'Category &amp; Range Wise Outward'!A9:R84,18,0)*'Rate Card'!$I$4)</f>
      </c>
      <c r="D9" s="44">
        <f>IF($A9&gt;TODAY(),"",SUMIF('Vehicle Readings'!$A:$A,'Expense Sheet'!$A9,'Vehicle Readings'!$I:$I)+SUMIF('Market Vehicle Data'!$A:$A,'Expense Sheet'!A9,'Market Vehicle Data'!$G:$G))</f>
      </c>
      <c r="E9" s="46">
        <f>IF($A9&gt;TODAY(),"",12000/DAY(EOMONTH(A9,0)))</f>
      </c>
      <c r="F9" s="46">
        <f>IF($A9&gt;TODAY(),"",SUM(B9:E9))</f>
      </c>
    </row>
    <row x14ac:dyDescent="0.25" r="10" customHeight="1" ht="18.75">
      <c r="A10" s="45">
        <v>45742</v>
      </c>
      <c r="B10" s="46">
        <f>IF(A10&gt;TODAY(),"",IFERROR(VLOOKUP($A10,'Category &amp; Range Wise Outward'!$A:$C,3,0)*'Rate Card'!$L$2,0))</f>
      </c>
      <c r="C10" s="44">
        <f>IF(A10&gt;TODAY(),"",VLOOKUP(A10,'Category &amp; Range Wise Outward'!A10:R85,16,0)*'Rate Card'!$I$3+VLOOKUP(A10,'Category &amp; Range Wise Outward'!A10:R85,17,0)*'Rate Card'!$I$5+VLOOKUP(A10,'Category &amp; Range Wise Outward'!A10:R85,18,0)*'Rate Card'!$I$4)</f>
      </c>
      <c r="D10" s="44">
        <f>IF($A10&gt;TODAY(),"",SUMIF('Vehicle Readings'!$A:$A,'Expense Sheet'!$A10,'Vehicle Readings'!$I:$I)+SUMIF('Market Vehicle Data'!$A:$A,'Expense Sheet'!A10,'Market Vehicle Data'!$G:$G))</f>
      </c>
      <c r="E10" s="46">
        <f>IF($A10&gt;TODAY(),"",12000/DAY(EOMONTH(A10,0)))</f>
      </c>
      <c r="F10" s="46">
        <f>IF($A10&gt;TODAY(),"",SUM(B10:E10))</f>
      </c>
    </row>
    <row x14ac:dyDescent="0.25" r="11" customHeight="1" ht="18.75">
      <c r="A11" s="45">
        <v>45743</v>
      </c>
      <c r="B11" s="46">
        <f>IF(A11&gt;TODAY(),"",IFERROR(VLOOKUP($A11,'Category &amp; Range Wise Outward'!$A:$C,3,0)*'Rate Card'!$L$2,0))</f>
      </c>
      <c r="C11" s="44">
        <f>IF(A11&gt;TODAY(),"",VLOOKUP(A11,'Category &amp; Range Wise Outward'!A11:R86,16,0)*'Rate Card'!$I$3+VLOOKUP(A11,'Category &amp; Range Wise Outward'!A11:R86,17,0)*'Rate Card'!$I$5+VLOOKUP(A11,'Category &amp; Range Wise Outward'!A11:R86,18,0)*'Rate Card'!$I$4)</f>
      </c>
      <c r="D11" s="44">
        <f>IF($A11&gt;TODAY(),"",SUMIF('Vehicle Readings'!$A:$A,'Expense Sheet'!$A11,'Vehicle Readings'!$I:$I)+SUMIF('Market Vehicle Data'!$A:$A,'Expense Sheet'!A11,'Market Vehicle Data'!$G:$G))</f>
      </c>
      <c r="E11" s="46">
        <f>IF($A11&gt;TODAY(),"",12000/DAY(EOMONTH(A11,0)))</f>
      </c>
      <c r="F11" s="46">
        <f>IF($A11&gt;TODAY(),"",SUM(B11:E11))</f>
      </c>
    </row>
    <row x14ac:dyDescent="0.25" r="12" customHeight="1" ht="18.75">
      <c r="A12" s="45">
        <v>45744</v>
      </c>
      <c r="B12" s="46">
        <f>IF(A12&gt;TODAY(),"",IFERROR(VLOOKUP($A12,'Category &amp; Range Wise Outward'!$A:$C,3,0)*'Rate Card'!$L$2,0))</f>
      </c>
      <c r="C12" s="44">
        <f>IF(A12&gt;TODAY(),"",VLOOKUP(A12,'Category &amp; Range Wise Outward'!A12:R87,16,0)*'Rate Card'!$I$3+VLOOKUP(A12,'Category &amp; Range Wise Outward'!A12:R87,17,0)*'Rate Card'!$I$5+VLOOKUP(A12,'Category &amp; Range Wise Outward'!A12:R87,18,0)*'Rate Card'!$I$4)</f>
      </c>
      <c r="D12" s="44">
        <f>IF($A12&gt;TODAY(),"",SUMIF('Vehicle Readings'!$A:$A,'Expense Sheet'!$A12,'Vehicle Readings'!$I:$I)+SUMIF('Market Vehicle Data'!$A:$A,'Expense Sheet'!A12,'Market Vehicle Data'!$G:$G))</f>
      </c>
      <c r="E12" s="46">
        <f>IF($A12&gt;TODAY(),"",12000/DAY(EOMONTH(A12,0)))</f>
      </c>
      <c r="F12" s="46">
        <f>IF($A12&gt;TODAY(),"",SUM(B12:E12))</f>
      </c>
    </row>
    <row x14ac:dyDescent="0.25" r="13" customHeight="1" ht="18.75">
      <c r="A13" s="45">
        <v>45745</v>
      </c>
      <c r="B13" s="46">
        <f>IF(A13&gt;TODAY(),"",IFERROR(VLOOKUP($A13,'Category &amp; Range Wise Outward'!$A:$C,3,0)*'Rate Card'!$L$2,0))</f>
      </c>
      <c r="C13" s="44">
        <f>IF(A13&gt;TODAY(),"",VLOOKUP(A13,'Category &amp; Range Wise Outward'!A13:R88,16,0)*'Rate Card'!$I$3+VLOOKUP(A13,'Category &amp; Range Wise Outward'!A13:R88,17,0)*'Rate Card'!$I$5+VLOOKUP(A13,'Category &amp; Range Wise Outward'!A13:R88,18,0)*'Rate Card'!$I$4)</f>
      </c>
      <c r="D13" s="44">
        <f>IF($A13&gt;TODAY(),"",SUMIF('Vehicle Readings'!$A:$A,'Expense Sheet'!$A13,'Vehicle Readings'!$I:$I)+SUMIF('Market Vehicle Data'!$A:$A,'Expense Sheet'!A13,'Market Vehicle Data'!$G:$G))</f>
      </c>
      <c r="E13" s="46">
        <f>IF($A13&gt;TODAY(),"",12000/DAY(EOMONTH(A13,0)))</f>
      </c>
      <c r="F13" s="46">
        <f>IF($A13&gt;TODAY(),"",SUM(B13:E13))</f>
      </c>
    </row>
    <row x14ac:dyDescent="0.25" r="14" customHeight="1" ht="18.75">
      <c r="A14" s="45">
        <v>45746</v>
      </c>
      <c r="B14" s="46">
        <f>IF(A14&gt;TODAY(),"",IFERROR(VLOOKUP($A14,'Category &amp; Range Wise Outward'!$A:$C,3,0)*'Rate Card'!$L$2,0))</f>
      </c>
      <c r="C14" s="44">
        <f>IF(A14&gt;TODAY(),"",VLOOKUP(A14,'Category &amp; Range Wise Outward'!A14:R89,16,0)*'Rate Card'!$I$3+VLOOKUP(A14,'Category &amp; Range Wise Outward'!A14:R89,17,0)*'Rate Card'!$I$5+VLOOKUP(A14,'Category &amp; Range Wise Outward'!A14:R89,18,0)*'Rate Card'!$I$4)</f>
      </c>
      <c r="D14" s="44">
        <f>IF($A14&gt;TODAY(),"",SUMIF('Vehicle Readings'!$A:$A,'Expense Sheet'!$A14,'Vehicle Readings'!$I:$I)+SUMIF('Market Vehicle Data'!$A:$A,'Expense Sheet'!A14,'Market Vehicle Data'!$G:$G))</f>
      </c>
      <c r="E14" s="46">
        <f>IF($A14&gt;TODAY(),"",12000/DAY(EOMONTH(A14,0)))</f>
      </c>
      <c r="F14" s="46">
        <f>IF($A14&gt;TODAY(),"",SUM(B14:E14))</f>
      </c>
    </row>
    <row x14ac:dyDescent="0.25" r="15" customHeight="1" ht="18.75">
      <c r="A15" s="45">
        <v>45747</v>
      </c>
      <c r="B15" s="46">
        <f>IF(A15&gt;TODAY(),"",IFERROR(VLOOKUP($A15,'Category &amp; Range Wise Outward'!$A:$C,3,0)*'Rate Card'!$L$2,0))</f>
      </c>
      <c r="C15" s="44">
        <f>IF(A15&gt;TODAY(),"",VLOOKUP(A15,'Category &amp; Range Wise Outward'!A15:R90,16,0)*'Rate Card'!$I$3+VLOOKUP(A15,'Category &amp; Range Wise Outward'!A15:R90,17,0)*'Rate Card'!$I$5+VLOOKUP(A15,'Category &amp; Range Wise Outward'!A15:R90,18,0)*'Rate Card'!$I$4)</f>
      </c>
      <c r="D15" s="44">
        <f>IF($A15&gt;TODAY(),"",SUMIF('Vehicle Readings'!$A:$A,'Expense Sheet'!$A15,'Vehicle Readings'!$I:$I)+SUMIF('Market Vehicle Data'!$A:$A,'Expense Sheet'!A15,'Market Vehicle Data'!$G:$G))</f>
      </c>
      <c r="E15" s="46">
        <f>IF($A15&gt;TODAY(),"",12000/DAY(EOMONTH(A15,0)))</f>
      </c>
      <c r="F15" s="46">
        <f>IF($A15&gt;TODAY(),"",SUM(B15:E15))</f>
      </c>
    </row>
    <row x14ac:dyDescent="0.25" r="16" customHeight="1" ht="18.75">
      <c r="A16" s="45">
        <v>45748</v>
      </c>
      <c r="B16" s="46">
        <f>IF(A16&gt;TODAY(),"",IFERROR(VLOOKUP($A16,'Category &amp; Range Wise Outward'!$A:$C,3,0)*'Rate Card'!$L$2,0))</f>
      </c>
      <c r="C16" s="44">
        <f>IF(A16&gt;TODAY(),"",VLOOKUP(A16,'Category &amp; Range Wise Outward'!A16:R91,16,0)*'Rate Card'!$I$3+VLOOKUP(A16,'Category &amp; Range Wise Outward'!A16:R91,17,0)*'Rate Card'!$I$5+VLOOKUP(A16,'Category &amp; Range Wise Outward'!A16:R91,18,0)*'Rate Card'!$I$4)</f>
      </c>
      <c r="D16" s="44">
        <f>IF($A16&gt;TODAY(),"",SUMIF('Vehicle Readings'!$A:$A,'Expense Sheet'!$A16,'Vehicle Readings'!$I:$I)+SUMIF('Market Vehicle Data'!$A:$A,'Expense Sheet'!A16,'Market Vehicle Data'!$G:$G))</f>
      </c>
      <c r="E16" s="46">
        <f>IF($A16&gt;TODAY(),"",12000/DAY(EOMONTH(A16,0)))</f>
      </c>
      <c r="F16" s="46">
        <f>IF($A16&gt;TODAY(),"",SUM(B16:E16))</f>
      </c>
    </row>
    <row x14ac:dyDescent="0.25" r="17" customHeight="1" ht="18.75">
      <c r="A17" s="45">
        <v>45749</v>
      </c>
      <c r="B17" s="46">
        <f>IF(A17&gt;TODAY(),"",IFERROR(VLOOKUP($A17,'Category &amp; Range Wise Outward'!$A:$C,3,0)*'Rate Card'!$L$2,0))</f>
      </c>
      <c r="C17" s="44">
        <f>IF(A17&gt;TODAY(),"",VLOOKUP(A17,'Category &amp; Range Wise Outward'!A17:R92,16,0)*'Rate Card'!$I$3+VLOOKUP(A17,'Category &amp; Range Wise Outward'!A17:R92,17,0)*'Rate Card'!$I$5+VLOOKUP(A17,'Category &amp; Range Wise Outward'!A17:R92,18,0)*'Rate Card'!$I$4)</f>
      </c>
      <c r="D17" s="44">
        <f>IF($A17&gt;TODAY(),"",SUMIF('Vehicle Readings'!$A:$A,'Expense Sheet'!$A17,'Vehicle Readings'!$I:$I)+SUMIF('Market Vehicle Data'!$A:$A,'Expense Sheet'!A17,'Market Vehicle Data'!$G:$G))</f>
      </c>
      <c r="E17" s="46">
        <f>IF($A17&gt;TODAY(),"",12000/DAY(EOMONTH(A17,0)))</f>
      </c>
      <c r="F17" s="46">
        <f>IF($A17&gt;TODAY(),"",SUM(B17:E17))</f>
      </c>
    </row>
    <row x14ac:dyDescent="0.25" r="18" customHeight="1" ht="18.75">
      <c r="A18" s="45">
        <v>45750</v>
      </c>
      <c r="B18" s="46">
        <f>IF(A18&gt;TODAY(),"",IFERROR(VLOOKUP($A18,'Category &amp; Range Wise Outward'!$A:$C,3,0)*'Rate Card'!$L$2,0))</f>
      </c>
      <c r="C18" s="44">
        <f>IF(A18&gt;TODAY(),"",VLOOKUP(A18,'Category &amp; Range Wise Outward'!A18:R93,16,0)*'Rate Card'!$I$3+VLOOKUP(A18,'Category &amp; Range Wise Outward'!A18:R93,17,0)*'Rate Card'!$I$5+VLOOKUP(A18,'Category &amp; Range Wise Outward'!A18:R93,18,0)*'Rate Card'!$I$4)</f>
      </c>
      <c r="D18" s="44">
        <f>IF($A18&gt;TODAY(),"",SUMIF('Vehicle Readings'!$A:$A,'Expense Sheet'!$A18,'Vehicle Readings'!$I:$I)+SUMIF('Market Vehicle Data'!$A:$A,'Expense Sheet'!A18,'Market Vehicle Data'!$G:$G))</f>
      </c>
      <c r="E18" s="46">
        <f>IF($A18&gt;TODAY(),"",12000/DAY(EOMONTH(A18,0)))</f>
      </c>
      <c r="F18" s="46">
        <f>IF($A18&gt;TODAY(),"",SUM(B18:E18))</f>
      </c>
    </row>
    <row x14ac:dyDescent="0.25" r="19" customHeight="1" ht="18.75">
      <c r="A19" s="45">
        <v>45751</v>
      </c>
      <c r="B19" s="46">
        <f>IF(A19&gt;TODAY(),"",IFERROR(VLOOKUP($A19,'Category &amp; Range Wise Outward'!$A:$C,3,0)*'Rate Card'!$L$2,0))</f>
      </c>
      <c r="C19" s="44">
        <f>IF(A19&gt;TODAY(),"",VLOOKUP(A19,'Category &amp; Range Wise Outward'!A19:R94,16,0)*'Rate Card'!$I$3+VLOOKUP(A19,'Category &amp; Range Wise Outward'!A19:R94,17,0)*'Rate Card'!$I$5+VLOOKUP(A19,'Category &amp; Range Wise Outward'!A19:R94,18,0)*'Rate Card'!$I$4)</f>
      </c>
      <c r="D19" s="44">
        <f>IF($A19&gt;TODAY(),"",SUMIF('Vehicle Readings'!$A:$A,'Expense Sheet'!$A19,'Vehicle Readings'!$I:$I)+SUMIF('Market Vehicle Data'!$A:$A,'Expense Sheet'!A19,'Market Vehicle Data'!$G:$G))</f>
      </c>
      <c r="E19" s="46">
        <f>IF($A19&gt;TODAY(),"",12000/DAY(EOMONTH(A19,0)))</f>
      </c>
      <c r="F19" s="46">
        <f>IF($A19&gt;TODAY(),"",SUM(B19:E19))</f>
      </c>
    </row>
    <row x14ac:dyDescent="0.25" r="20" customHeight="1" ht="18.75">
      <c r="A20" s="45">
        <v>45752</v>
      </c>
      <c r="B20" s="46">
        <f>IF(A20&gt;TODAY(),"",IFERROR(VLOOKUP($A20,'Category &amp; Range Wise Outward'!$A:$C,3,0)*'Rate Card'!$L$2,0))</f>
      </c>
      <c r="C20" s="44">
        <f>IF(A20&gt;TODAY(),"",VLOOKUP(A20,'Category &amp; Range Wise Outward'!A20:R95,16,0)*'Rate Card'!$I$3+VLOOKUP(A20,'Category &amp; Range Wise Outward'!A20:R95,17,0)*'Rate Card'!$I$5+VLOOKUP(A20,'Category &amp; Range Wise Outward'!A20:R95,18,0)*'Rate Card'!$I$4)</f>
      </c>
      <c r="D20" s="44">
        <f>IF($A20&gt;TODAY(),"",SUMIF('Vehicle Readings'!$A:$A,'Expense Sheet'!$A20,'Vehicle Readings'!$I:$I)+SUMIF('Market Vehicle Data'!$A:$A,'Expense Sheet'!A20,'Market Vehicle Data'!$G:$G))</f>
      </c>
      <c r="E20" s="46">
        <f>IF($A20&gt;TODAY(),"",12000/DAY(EOMONTH(A20,0)))</f>
      </c>
      <c r="F20" s="46">
        <f>IF($A20&gt;TODAY(),"",SUM(B20:E20))</f>
      </c>
    </row>
    <row x14ac:dyDescent="0.25" r="21" customHeight="1" ht="18.75">
      <c r="A21" s="45">
        <v>45753</v>
      </c>
      <c r="B21" s="46">
        <f>IF(A21&gt;TODAY(),"",IFERROR(VLOOKUP($A21,'Category &amp; Range Wise Outward'!$A:$C,3,0)*'Rate Card'!$L$2,0))</f>
      </c>
      <c r="C21" s="44">
        <f>IF(A21&gt;TODAY(),"",VLOOKUP(A21,'Category &amp; Range Wise Outward'!A21:R96,16,0)*'Rate Card'!$I$3+VLOOKUP(A21,'Category &amp; Range Wise Outward'!A21:R96,17,0)*'Rate Card'!$I$5+VLOOKUP(A21,'Category &amp; Range Wise Outward'!A21:R96,18,0)*'Rate Card'!$I$4)</f>
      </c>
      <c r="D21" s="44">
        <f>IF($A21&gt;TODAY(),"",SUMIF('Vehicle Readings'!$A:$A,'Expense Sheet'!$A21,'Vehicle Readings'!$I:$I)+SUMIF('Market Vehicle Data'!$A:$A,'Expense Sheet'!A21,'Market Vehicle Data'!$G:$G))</f>
      </c>
      <c r="E21" s="46">
        <f>IF($A21&gt;TODAY(),"",12000/DAY(EOMONTH(A21,0)))</f>
      </c>
      <c r="F21" s="46">
        <f>IF($A21&gt;TODAY(),"",SUM(B21:E21))</f>
      </c>
    </row>
    <row x14ac:dyDescent="0.25" r="22" customHeight="1" ht="18.75">
      <c r="A22" s="45">
        <v>45754</v>
      </c>
      <c r="B22" s="46">
        <f>IF(A22&gt;TODAY(),"",IFERROR(VLOOKUP($A22,'Category &amp; Range Wise Outward'!$A:$C,3,0)*'Rate Card'!$L$2,0))</f>
      </c>
      <c r="C22" s="44">
        <f>IF(A22&gt;TODAY(),"",VLOOKUP(A22,'Category &amp; Range Wise Outward'!A22:R97,16,0)*'Rate Card'!$I$3+VLOOKUP(A22,'Category &amp; Range Wise Outward'!A22:R97,17,0)*'Rate Card'!$I$5+VLOOKUP(A22,'Category &amp; Range Wise Outward'!A22:R97,18,0)*'Rate Card'!$I$4)</f>
      </c>
      <c r="D22" s="44">
        <f>IF($A22&gt;TODAY(),"",SUMIF('Vehicle Readings'!$A:$A,'Expense Sheet'!$A22,'Vehicle Readings'!$I:$I)+SUMIF('Market Vehicle Data'!$A:$A,'Expense Sheet'!A22,'Market Vehicle Data'!$G:$G))</f>
      </c>
      <c r="E22" s="46">
        <f>IF($A22&gt;TODAY(),"",12000/DAY(EOMONTH(A22,0)))</f>
      </c>
      <c r="F22" s="46">
        <f>IF($A22&gt;TODAY(),"",SUM(B22:E22))</f>
      </c>
    </row>
    <row x14ac:dyDescent="0.25" r="23" customHeight="1" ht="18.75">
      <c r="A23" s="45">
        <v>45755</v>
      </c>
      <c r="B23" s="46">
        <f>IF(A23&gt;TODAY(),"",IFERROR(VLOOKUP($A23,'Category &amp; Range Wise Outward'!$A:$C,3,0)*'Rate Card'!$L$2,0))</f>
      </c>
      <c r="C23" s="44">
        <f>IF(A23&gt;TODAY(),"",VLOOKUP(A23,'Category &amp; Range Wise Outward'!A23:R98,16,0)*'Rate Card'!$I$3+VLOOKUP(A23,'Category &amp; Range Wise Outward'!A23:R98,17,0)*'Rate Card'!$I$5+VLOOKUP(A23,'Category &amp; Range Wise Outward'!A23:R98,18,0)*'Rate Card'!$I$4)</f>
      </c>
      <c r="D23" s="44">
        <f>IF($A23&gt;TODAY(),"",SUMIF('Vehicle Readings'!$A:$A,'Expense Sheet'!$A23,'Vehicle Readings'!$I:$I)+SUMIF('Market Vehicle Data'!$A:$A,'Expense Sheet'!A23,'Market Vehicle Data'!$G:$G))</f>
      </c>
      <c r="E23" s="46">
        <f>IF($A23&gt;TODAY(),"",12000/DAY(EOMONTH(A23,0)))</f>
      </c>
      <c r="F23" s="46">
        <f>IF($A23&gt;TODAY(),"",SUM(B23:E23))</f>
      </c>
    </row>
    <row x14ac:dyDescent="0.25" r="24" customHeight="1" ht="18.75">
      <c r="A24" s="45">
        <v>45756</v>
      </c>
      <c r="B24" s="46">
        <f>IF(A24&gt;TODAY(),"",IFERROR(VLOOKUP($A24,'Category &amp; Range Wise Outward'!$A:$C,3,0)*'Rate Card'!$L$2,0))</f>
      </c>
      <c r="C24" s="44">
        <f>IF(A24&gt;TODAY(),"",VLOOKUP(A24,'Category &amp; Range Wise Outward'!A24:R99,16,0)*'Rate Card'!$I$3+VLOOKUP(A24,'Category &amp; Range Wise Outward'!A24:R99,17,0)*'Rate Card'!$I$5+VLOOKUP(A24,'Category &amp; Range Wise Outward'!A24:R99,18,0)*'Rate Card'!$I$4)</f>
      </c>
      <c r="D24" s="44">
        <f>IF($A24&gt;TODAY(),"",SUMIF('Vehicle Readings'!$A:$A,'Expense Sheet'!$A24,'Vehicle Readings'!$I:$I)+SUMIF('Market Vehicle Data'!$A:$A,'Expense Sheet'!A24,'Market Vehicle Data'!$G:$G))</f>
      </c>
      <c r="E24" s="46">
        <f>IF($A24&gt;TODAY(),"",12000/DAY(EOMONTH(A24,0)))</f>
      </c>
      <c r="F24" s="46">
        <f>IF($A24&gt;TODAY(),"",SUM(B24:E24))</f>
      </c>
    </row>
    <row x14ac:dyDescent="0.25" r="25" customHeight="1" ht="18.75">
      <c r="A25" s="45">
        <v>45757</v>
      </c>
      <c r="B25" s="46">
        <f>IF(A25&gt;TODAY(),"",IFERROR(VLOOKUP($A25,'Category &amp; Range Wise Outward'!$A:$C,3,0)*'Rate Card'!$L$2,0))</f>
      </c>
      <c r="C25" s="44">
        <f>IF(A25&gt;TODAY(),"",VLOOKUP(A25,'Category &amp; Range Wise Outward'!A25:R100,16,0)*'Rate Card'!$I$3+VLOOKUP(A25,'Category &amp; Range Wise Outward'!A25:R100,17,0)*'Rate Card'!$I$5+VLOOKUP(A25,'Category &amp; Range Wise Outward'!A25:R100,18,0)*'Rate Card'!$I$4)</f>
      </c>
      <c r="D25" s="44">
        <f>IF($A25&gt;TODAY(),"",SUMIF('Vehicle Readings'!$A:$A,'Expense Sheet'!$A25,'Vehicle Readings'!$I:$I)+SUMIF('Market Vehicle Data'!$A:$A,'Expense Sheet'!A25,'Market Vehicle Data'!$G:$G))</f>
      </c>
      <c r="E25" s="46">
        <f>IF($A25&gt;TODAY(),"",12000/DAY(EOMONTH(A25,0)))</f>
      </c>
      <c r="F25" s="46">
        <f>IF($A25&gt;TODAY(),"",SUM(B25:E25))</f>
      </c>
    </row>
    <row x14ac:dyDescent="0.25" r="26" customHeight="1" ht="18.75">
      <c r="A26" s="45">
        <v>45758</v>
      </c>
      <c r="B26" s="46">
        <f>IF(A26&gt;TODAY(),"",IFERROR(VLOOKUP($A26,'Category &amp; Range Wise Outward'!$A:$C,3,0)*'Rate Card'!$L$2,0))</f>
      </c>
      <c r="C26" s="44">
        <f>IF(A26&gt;TODAY(),"",VLOOKUP(A26,'Category &amp; Range Wise Outward'!A26:R101,16,0)*'Rate Card'!$I$3+VLOOKUP(A26,'Category &amp; Range Wise Outward'!A26:R101,17,0)*'Rate Card'!$I$5+VLOOKUP(A26,'Category &amp; Range Wise Outward'!A26:R101,18,0)*'Rate Card'!$I$4)</f>
      </c>
      <c r="D26" s="44">
        <f>IF($A26&gt;TODAY(),"",SUMIF('Vehicle Readings'!$A:$A,'Expense Sheet'!$A26,'Vehicle Readings'!$I:$I)+SUMIF('Market Vehicle Data'!$A:$A,'Expense Sheet'!A26,'Market Vehicle Data'!$G:$G))</f>
      </c>
      <c r="E26" s="46">
        <f>IF($A26&gt;TODAY(),"",12000/DAY(EOMONTH(A26,0)))</f>
      </c>
      <c r="F26" s="46">
        <f>IF($A26&gt;TODAY(),"",SUM(B26:E26))</f>
      </c>
    </row>
    <row x14ac:dyDescent="0.25" r="27" customHeight="1" ht="18.75">
      <c r="A27" s="45">
        <v>45759</v>
      </c>
      <c r="B27" s="46">
        <f>IF(A27&gt;TODAY(),"",IFERROR(VLOOKUP($A27,'Category &amp; Range Wise Outward'!$A:$C,3,0)*'Rate Card'!$L$2,0))</f>
      </c>
      <c r="C27" s="44">
        <f>IF(A27&gt;TODAY(),"",VLOOKUP(A27,'Category &amp; Range Wise Outward'!A27:R102,16,0)*'Rate Card'!$I$3+VLOOKUP(A27,'Category &amp; Range Wise Outward'!A27:R102,17,0)*'Rate Card'!$I$5+VLOOKUP(A27,'Category &amp; Range Wise Outward'!A27:R102,18,0)*'Rate Card'!$I$4)</f>
      </c>
      <c r="D27" s="44">
        <f>IF($A27&gt;TODAY(),"",SUMIF('Vehicle Readings'!$A:$A,'Expense Sheet'!$A27,'Vehicle Readings'!$I:$I)+SUMIF('Market Vehicle Data'!$A:$A,'Expense Sheet'!A27,'Market Vehicle Data'!$G:$G))</f>
      </c>
      <c r="E27" s="46">
        <f>IF($A27&gt;TODAY(),"",12000/DAY(EOMONTH(A27,0)))</f>
      </c>
      <c r="F27" s="46">
        <f>IF($A27&gt;TODAY(),"",SUM(B27:E27))</f>
      </c>
    </row>
    <row x14ac:dyDescent="0.25" r="28" customHeight="1" ht="18.75">
      <c r="A28" s="45">
        <v>45760</v>
      </c>
      <c r="B28" s="46">
        <f>IF(A28&gt;TODAY(),"",IFERROR(VLOOKUP($A28,'Category &amp; Range Wise Outward'!$A:$C,3,0)*'Rate Card'!$L$2,0))</f>
      </c>
      <c r="C28" s="44">
        <f>IF(A28&gt;TODAY(),"",VLOOKUP(A28,'Category &amp; Range Wise Outward'!A28:R103,16,0)*'Rate Card'!$I$3+VLOOKUP(A28,'Category &amp; Range Wise Outward'!A28:R103,17,0)*'Rate Card'!$I$5+VLOOKUP(A28,'Category &amp; Range Wise Outward'!A28:R103,18,0)*'Rate Card'!$I$4)</f>
      </c>
      <c r="D28" s="44">
        <f>IF($A28&gt;TODAY(),"",SUMIF('Vehicle Readings'!$A:$A,'Expense Sheet'!$A28,'Vehicle Readings'!$I:$I)+SUMIF('Market Vehicle Data'!$A:$A,'Expense Sheet'!A28,'Market Vehicle Data'!$G:$G))</f>
      </c>
      <c r="E28" s="46">
        <f>IF($A28&gt;TODAY(),"",12000/DAY(EOMONTH(A28,0)))</f>
      </c>
      <c r="F28" s="46">
        <f>IF($A28&gt;TODAY(),"",SUM(B28:E28))</f>
      </c>
    </row>
    <row x14ac:dyDescent="0.25" r="29" customHeight="1" ht="18.75">
      <c r="A29" s="45">
        <v>45761</v>
      </c>
      <c r="B29" s="46">
        <f>IF(A29&gt;TODAY(),"",IFERROR(VLOOKUP($A29,'Category &amp; Range Wise Outward'!$A:$C,3,0)*'Rate Card'!$L$2,0))</f>
      </c>
      <c r="C29" s="44">
        <f>IF(A29&gt;TODAY(),"",VLOOKUP(A29,'Category &amp; Range Wise Outward'!A29:R104,16,0)*'Rate Card'!$I$3+VLOOKUP(A29,'Category &amp; Range Wise Outward'!A29:R104,17,0)*'Rate Card'!$I$5+VLOOKUP(A29,'Category &amp; Range Wise Outward'!A29:R104,18,0)*'Rate Card'!$I$4)</f>
      </c>
      <c r="D29" s="44">
        <f>IF($A29&gt;TODAY(),"",SUMIF('Vehicle Readings'!$A:$A,'Expense Sheet'!$A29,'Vehicle Readings'!$I:$I)+SUMIF('Market Vehicle Data'!$A:$A,'Expense Sheet'!A29,'Market Vehicle Data'!$G:$G))</f>
      </c>
      <c r="E29" s="46">
        <f>IF($A29&gt;TODAY(),"",12000/DAY(EOMONTH(A29,0)))</f>
      </c>
      <c r="F29" s="46">
        <f>IF($A29&gt;TODAY(),"",SUM(B29:E29))</f>
      </c>
    </row>
    <row x14ac:dyDescent="0.25" r="30" customHeight="1" ht="18.75">
      <c r="A30" s="45">
        <v>45762</v>
      </c>
      <c r="B30" s="46">
        <f>IF(A30&gt;TODAY(),"",IFERROR(VLOOKUP($A30,'Category &amp; Range Wise Outward'!$A:$C,3,0)*'Rate Card'!$L$2,0))</f>
      </c>
      <c r="C30" s="44">
        <f>IF(A30&gt;TODAY(),"",VLOOKUP(A30,'Category &amp; Range Wise Outward'!A30:R105,16,0)*'Rate Card'!$I$3+VLOOKUP(A30,'Category &amp; Range Wise Outward'!A30:R105,17,0)*'Rate Card'!$I$5+VLOOKUP(A30,'Category &amp; Range Wise Outward'!A30:R105,18,0)*'Rate Card'!$I$4)</f>
      </c>
      <c r="D30" s="44">
        <f>IF($A30&gt;TODAY(),"",SUMIF('Vehicle Readings'!$A:$A,'Expense Sheet'!$A30,'Vehicle Readings'!$I:$I)+SUMIF('Market Vehicle Data'!$A:$A,'Expense Sheet'!A30,'Market Vehicle Data'!$G:$G))</f>
      </c>
      <c r="E30" s="46">
        <f>IF($A30&gt;TODAY(),"",12000/DAY(EOMONTH(A30,0)))</f>
      </c>
      <c r="F30" s="46">
        <f>IF($A30&gt;TODAY(),"",SUM(B30:E30))</f>
      </c>
    </row>
    <row x14ac:dyDescent="0.25" r="31" customHeight="1" ht="18.75">
      <c r="A31" s="45">
        <v>45763</v>
      </c>
      <c r="B31" s="46">
        <f>IF(A31&gt;TODAY(),"",IFERROR(VLOOKUP($A31,'Category &amp; Range Wise Outward'!$A:$C,3,0)*'Rate Card'!$L$2,0))</f>
      </c>
      <c r="C31" s="44">
        <f>IF(A31&gt;TODAY(),"",VLOOKUP(A31,'Category &amp; Range Wise Outward'!A31:R106,16,0)*'Rate Card'!$I$3+VLOOKUP(A31,'Category &amp; Range Wise Outward'!A31:R106,17,0)*'Rate Card'!$I$5+VLOOKUP(A31,'Category &amp; Range Wise Outward'!A31:R106,18,0)*'Rate Card'!$I$4)</f>
      </c>
      <c r="D31" s="44">
        <f>IF($A31&gt;TODAY(),"",SUMIF('Vehicle Readings'!$A:$A,'Expense Sheet'!$A31,'Vehicle Readings'!$I:$I)+SUMIF('Market Vehicle Data'!$A:$A,'Expense Sheet'!A31,'Market Vehicle Data'!$G:$G))</f>
      </c>
      <c r="E31" s="46">
        <f>IF($A31&gt;TODAY(),"",12000/DAY(EOMONTH(A31,0)))</f>
      </c>
      <c r="F31" s="46">
        <f>IF($A31&gt;TODAY(),"",SUM(B31:E31))</f>
      </c>
    </row>
    <row x14ac:dyDescent="0.25" r="32" customHeight="1" ht="18.75">
      <c r="A32" s="45">
        <v>45764</v>
      </c>
      <c r="B32" s="46">
        <f>IF(A32&gt;TODAY(),"",IFERROR(VLOOKUP($A32,'Category &amp; Range Wise Outward'!$A:$C,3,0)*'Rate Card'!$L$2,0))</f>
      </c>
      <c r="C32" s="44">
        <f>IF(A32&gt;TODAY(),"",VLOOKUP(A32,'Category &amp; Range Wise Outward'!A32:R107,16,0)*'Rate Card'!$I$3+VLOOKUP(A32,'Category &amp; Range Wise Outward'!A32:R107,17,0)*'Rate Card'!$I$5+VLOOKUP(A32,'Category &amp; Range Wise Outward'!A32:R107,18,0)*'Rate Card'!$I$4)</f>
      </c>
      <c r="D32" s="44">
        <f>IF($A32&gt;TODAY(),"",SUMIF('Vehicle Readings'!$A:$A,'Expense Sheet'!$A32,'Vehicle Readings'!$I:$I)+SUMIF('Market Vehicle Data'!$A:$A,'Expense Sheet'!A32,'Market Vehicle Data'!$G:$G))</f>
      </c>
      <c r="E32" s="46">
        <f>IF($A32&gt;TODAY(),"",12000/DAY(EOMONTH(A32,0)))</f>
      </c>
      <c r="F32" s="46">
        <f>IF($A32&gt;TODAY(),"",SUM(B32:E32))</f>
      </c>
    </row>
    <row x14ac:dyDescent="0.25" r="33" customHeight="1" ht="18.75">
      <c r="A33" s="45">
        <v>45765</v>
      </c>
      <c r="B33" s="46">
        <f>IF(A33&gt;TODAY(),"",IFERROR(VLOOKUP($A33,'Category &amp; Range Wise Outward'!$A:$C,3,0)*'Rate Card'!$L$2,0))</f>
      </c>
      <c r="C33" s="44">
        <f>IF(A33&gt;TODAY(),"",VLOOKUP(A33,'Category &amp; Range Wise Outward'!A33:R108,16,0)*'Rate Card'!$I$3+VLOOKUP(A33,'Category &amp; Range Wise Outward'!A33:R108,17,0)*'Rate Card'!$I$5+VLOOKUP(A33,'Category &amp; Range Wise Outward'!A33:R108,18,0)*'Rate Card'!$I$4)</f>
      </c>
      <c r="D33" s="44">
        <f>IF($A33&gt;TODAY(),"",SUMIF('Vehicle Readings'!$A:$A,'Expense Sheet'!$A33,'Vehicle Readings'!$I:$I)+SUMIF('Market Vehicle Data'!$A:$A,'Expense Sheet'!A33,'Market Vehicle Data'!$G:$G))</f>
      </c>
      <c r="E33" s="46">
        <f>IF($A33&gt;TODAY(),"",12000/DAY(EOMONTH(A33,0)))</f>
      </c>
      <c r="F33" s="46">
        <f>IF($A33&gt;TODAY(),"",SUM(B33:E33))</f>
      </c>
    </row>
    <row x14ac:dyDescent="0.25" r="34" customHeight="1" ht="18.75">
      <c r="A34" s="45">
        <v>45766</v>
      </c>
      <c r="B34" s="46">
        <f>IF(A34&gt;TODAY(),"",IFERROR(VLOOKUP($A34,'Category &amp; Range Wise Outward'!$A:$C,3,0)*'Rate Card'!$L$2,0))</f>
      </c>
      <c r="C34" s="44">
        <f>IF(A34&gt;TODAY(),"",VLOOKUP(A34,'Category &amp; Range Wise Outward'!A34:R109,16,0)*'Rate Card'!$I$3+VLOOKUP(A34,'Category &amp; Range Wise Outward'!A34:R109,17,0)*'Rate Card'!$I$5+VLOOKUP(A34,'Category &amp; Range Wise Outward'!A34:R109,18,0)*'Rate Card'!$I$4)</f>
      </c>
      <c r="D34" s="44">
        <f>IF($A34&gt;TODAY(),"",SUMIF('Vehicle Readings'!$A:$A,'Expense Sheet'!$A34,'Vehicle Readings'!$I:$I)+SUMIF('Market Vehicle Data'!$A:$A,'Expense Sheet'!A34,'Market Vehicle Data'!$G:$G))</f>
      </c>
      <c r="E34" s="46">
        <f>IF($A34&gt;TODAY(),"",12000/DAY(EOMONTH(A34,0)))</f>
      </c>
      <c r="F34" s="46">
        <f>IF($A34&gt;TODAY(),"",SUM(B34:E34))</f>
      </c>
    </row>
    <row x14ac:dyDescent="0.25" r="35" customHeight="1" ht="18.75">
      <c r="A35" s="45">
        <v>45767</v>
      </c>
      <c r="B35" s="46">
        <f>IF(A35&gt;TODAY(),"",IFERROR(VLOOKUP($A35,'Category &amp; Range Wise Outward'!$A:$C,3,0)*'Rate Card'!$L$2,0))</f>
      </c>
      <c r="C35" s="44">
        <f>IF(A35&gt;TODAY(),"",VLOOKUP(A35,'Category &amp; Range Wise Outward'!A35:R110,16,0)*'Rate Card'!$I$3+VLOOKUP(A35,'Category &amp; Range Wise Outward'!A35:R110,17,0)*'Rate Card'!$I$5+VLOOKUP(A35,'Category &amp; Range Wise Outward'!A35:R110,18,0)*'Rate Card'!$I$4)</f>
      </c>
      <c r="D35" s="44">
        <f>IF($A35&gt;TODAY(),"",SUMIF('Vehicle Readings'!$A:$A,'Expense Sheet'!$A35,'Vehicle Readings'!$I:$I)+SUMIF('Market Vehicle Data'!$A:$A,'Expense Sheet'!A35,'Market Vehicle Data'!$G:$G))</f>
      </c>
      <c r="E35" s="46">
        <f>IF($A35&gt;TODAY(),"",12000/DAY(EOMONTH(A35,0)))</f>
      </c>
      <c r="F35" s="46">
        <f>IF($A35&gt;TODAY(),"",SUM(B35:E35))</f>
      </c>
    </row>
    <row x14ac:dyDescent="0.25" r="36" customHeight="1" ht="18.75">
      <c r="A36" s="45">
        <v>45768</v>
      </c>
      <c r="B36" s="46">
        <f>IF(A36&gt;TODAY(),"",IFERROR(VLOOKUP($A36,'Category &amp; Range Wise Outward'!$A:$C,3,0)*'Rate Card'!$L$2,0))</f>
      </c>
      <c r="C36" s="44">
        <f>IF(A36&gt;TODAY(),"",VLOOKUP(A36,'Category &amp; Range Wise Outward'!A36:R111,16,0)*'Rate Card'!$I$3+VLOOKUP(A36,'Category &amp; Range Wise Outward'!A36:R111,17,0)*'Rate Card'!$I$5+VLOOKUP(A36,'Category &amp; Range Wise Outward'!A36:R111,18,0)*'Rate Card'!$I$4)</f>
      </c>
      <c r="D36" s="44">
        <f>IF($A36&gt;TODAY(),"",SUMIF('Vehicle Readings'!$A:$A,'Expense Sheet'!$A36,'Vehicle Readings'!$I:$I)+SUMIF('Market Vehicle Data'!$A:$A,'Expense Sheet'!A36,'Market Vehicle Data'!$G:$G))</f>
      </c>
      <c r="E36" s="46">
        <f>IF($A36&gt;TODAY(),"",12000/DAY(EOMONTH(A36,0)))</f>
      </c>
      <c r="F36" s="46">
        <f>IF($A36&gt;TODAY(),"",SUM(B36:E36))</f>
      </c>
    </row>
    <row x14ac:dyDescent="0.25" r="37" customHeight="1" ht="18.75">
      <c r="A37" s="45">
        <v>45769</v>
      </c>
      <c r="B37" s="46">
        <f>IF(A37&gt;TODAY(),"",IFERROR(VLOOKUP($A37,'Category &amp; Range Wise Outward'!$A:$C,3,0)*'Rate Card'!$L$2,0))</f>
      </c>
      <c r="C37" s="44">
        <f>IF(A37&gt;TODAY(),"",VLOOKUP(A37,'Category &amp; Range Wise Outward'!A37:R112,16,0)*'Rate Card'!$I$3+VLOOKUP(A37,'Category &amp; Range Wise Outward'!A37:R112,17,0)*'Rate Card'!$I$5+VLOOKUP(A37,'Category &amp; Range Wise Outward'!A37:R112,18,0)*'Rate Card'!$I$4)</f>
      </c>
      <c r="D37" s="44">
        <f>IF($A37&gt;TODAY(),"",SUMIF('Vehicle Readings'!$A:$A,'Expense Sheet'!$A37,'Vehicle Readings'!$I:$I)+SUMIF('Market Vehicle Data'!$A:$A,'Expense Sheet'!A37,'Market Vehicle Data'!$G:$G))</f>
      </c>
      <c r="E37" s="46">
        <f>IF($A37&gt;TODAY(),"",12000/DAY(EOMONTH(A37,0)))</f>
      </c>
      <c r="F37" s="46">
        <f>IF($A37&gt;TODAY(),"",SUM(B37:E37))</f>
      </c>
    </row>
    <row x14ac:dyDescent="0.25" r="38" customHeight="1" ht="18.75">
      <c r="A38" s="45">
        <v>45770</v>
      </c>
      <c r="B38" s="46">
        <f>IF(A38&gt;TODAY(),"",IFERROR(VLOOKUP($A38,'Category &amp; Range Wise Outward'!$A:$C,3,0)*'Rate Card'!$L$2,0))</f>
      </c>
      <c r="C38" s="44">
        <f>IF(A38&gt;TODAY(),"",VLOOKUP(A38,'Category &amp; Range Wise Outward'!A38:R113,16,0)*'Rate Card'!$I$3+VLOOKUP(A38,'Category &amp; Range Wise Outward'!A38:R113,17,0)*'Rate Card'!$I$5+VLOOKUP(A38,'Category &amp; Range Wise Outward'!A38:R113,18,0)*'Rate Card'!$I$4)</f>
      </c>
      <c r="D38" s="44">
        <f>IF($A38&gt;TODAY(),"",SUMIF('Vehicle Readings'!$A:$A,'Expense Sheet'!$A38,'Vehicle Readings'!$I:$I)+SUMIF('Market Vehicle Data'!$A:$A,'Expense Sheet'!A38,'Market Vehicle Data'!$G:$G))</f>
      </c>
      <c r="E38" s="46">
        <f>IF($A38&gt;TODAY(),"",12000/DAY(EOMONTH(A38,0)))</f>
      </c>
      <c r="F38" s="46">
        <f>IF($A38&gt;TODAY(),"",SUM(B38:E38))</f>
      </c>
    </row>
    <row x14ac:dyDescent="0.25" r="39" customHeight="1" ht="18.75">
      <c r="A39" s="45">
        <v>45771</v>
      </c>
      <c r="B39" s="46">
        <f>IF(A39&gt;TODAY(),"",IFERROR(VLOOKUP($A39,'Category &amp; Range Wise Outward'!$A:$C,3,0)*'Rate Card'!$L$2,0))</f>
      </c>
      <c r="C39" s="44">
        <f>IF(A39&gt;TODAY(),"",VLOOKUP(A39,'Category &amp; Range Wise Outward'!A39:R114,16,0)*'Rate Card'!$I$3+VLOOKUP(A39,'Category &amp; Range Wise Outward'!A39:R114,17,0)*'Rate Card'!$I$5+VLOOKUP(A39,'Category &amp; Range Wise Outward'!A39:R114,18,0)*'Rate Card'!$I$4)</f>
      </c>
      <c r="D39" s="44">
        <f>IF($A39&gt;TODAY(),"",SUMIF('Vehicle Readings'!$A:$A,'Expense Sheet'!$A39,'Vehicle Readings'!$I:$I)+SUMIF('Market Vehicle Data'!$A:$A,'Expense Sheet'!A39,'Market Vehicle Data'!$G:$G))</f>
      </c>
      <c r="E39" s="46">
        <f>IF($A39&gt;TODAY(),"",12000/DAY(EOMONTH(A39,0)))</f>
      </c>
      <c r="F39" s="46">
        <f>IF($A39&gt;TODAY(),"",SUM(B39:E39))</f>
      </c>
    </row>
    <row x14ac:dyDescent="0.25" r="40" customHeight="1" ht="18.75">
      <c r="A40" s="45">
        <v>45772</v>
      </c>
      <c r="B40" s="46">
        <f>IF(A40&gt;TODAY(),"",IFERROR(VLOOKUP($A40,'Category &amp; Range Wise Outward'!$A:$C,3,0)*'Rate Card'!$L$2,0))</f>
      </c>
      <c r="C40" s="44">
        <f>IF(A40&gt;TODAY(),"",VLOOKUP(A40,'Category &amp; Range Wise Outward'!A40:R115,16,0)*'Rate Card'!$I$3+VLOOKUP(A40,'Category &amp; Range Wise Outward'!A40:R115,17,0)*'Rate Card'!$I$5+VLOOKUP(A40,'Category &amp; Range Wise Outward'!A40:R115,18,0)*'Rate Card'!$I$4)</f>
      </c>
      <c r="D40" s="44">
        <f>IF($A40&gt;TODAY(),"",SUMIF('Vehicle Readings'!$A:$A,'Expense Sheet'!$A40,'Vehicle Readings'!$I:$I)+SUMIF('Market Vehicle Data'!$A:$A,'Expense Sheet'!A40,'Market Vehicle Data'!$G:$G))</f>
      </c>
      <c r="E40" s="46">
        <f>IF($A40&gt;TODAY(),"",12000/DAY(EOMONTH(A40,0)))</f>
      </c>
      <c r="F40" s="46">
        <f>IF($A40&gt;TODAY(),"",SUM(B40:E40))</f>
      </c>
    </row>
    <row x14ac:dyDescent="0.25" r="41" customHeight="1" ht="18.75">
      <c r="A41" s="45">
        <v>45773</v>
      </c>
      <c r="B41" s="46">
        <f>IF(A41&gt;TODAY(),"",IFERROR(VLOOKUP($A41,'Category &amp; Range Wise Outward'!$A:$C,3,0)*'Rate Card'!$L$2,0))</f>
      </c>
      <c r="C41" s="44">
        <f>IF(A41&gt;TODAY(),"",VLOOKUP(A41,'Category &amp; Range Wise Outward'!A41:R116,16,0)*'Rate Card'!$I$3+VLOOKUP(A41,'Category &amp; Range Wise Outward'!A41:R116,17,0)*'Rate Card'!$I$5+VLOOKUP(A41,'Category &amp; Range Wise Outward'!A41:R116,18,0)*'Rate Card'!$I$4)</f>
      </c>
      <c r="D41" s="44">
        <f>IF($A41&gt;TODAY(),"",SUMIF('Vehicle Readings'!$A:$A,'Expense Sheet'!$A41,'Vehicle Readings'!$I:$I)+SUMIF('Market Vehicle Data'!$A:$A,'Expense Sheet'!A41,'Market Vehicle Data'!$G:$G))</f>
      </c>
      <c r="E41" s="46">
        <f>IF($A41&gt;TODAY(),"",12000/DAY(EOMONTH(A41,0)))</f>
      </c>
      <c r="F41" s="46">
        <f>IF($A41&gt;TODAY(),"",SUM(B41:E41))</f>
      </c>
    </row>
    <row x14ac:dyDescent="0.25" r="42" customHeight="1" ht="18.75">
      <c r="A42" s="45">
        <v>45774</v>
      </c>
      <c r="B42" s="46">
        <f>IF(A42&gt;TODAY(),"",IFERROR(VLOOKUP($A42,'Category &amp; Range Wise Outward'!$A:$C,3,0)*'Rate Card'!$L$2,0))</f>
      </c>
      <c r="C42" s="44">
        <f>IF(A42&gt;TODAY(),"",VLOOKUP(A42,'Category &amp; Range Wise Outward'!A42:R117,16,0)*'Rate Card'!$I$3+VLOOKUP(A42,'Category &amp; Range Wise Outward'!A42:R117,17,0)*'Rate Card'!$I$5+VLOOKUP(A42,'Category &amp; Range Wise Outward'!A42:R117,18,0)*'Rate Card'!$I$4)</f>
      </c>
      <c r="D42" s="44">
        <f>IF($A42&gt;TODAY(),"",SUMIF('Vehicle Readings'!$A:$A,'Expense Sheet'!$A42,'Vehicle Readings'!$I:$I)+SUMIF('Market Vehicle Data'!$A:$A,'Expense Sheet'!A42,'Market Vehicle Data'!$G:$G))</f>
      </c>
      <c r="E42" s="46">
        <f>IF($A42&gt;TODAY(),"",12000/DAY(EOMONTH(A42,0)))</f>
      </c>
      <c r="F42" s="46">
        <f>IF($A42&gt;TODAY(),"",SUM(B42:E42))</f>
      </c>
    </row>
    <row x14ac:dyDescent="0.25" r="43" customHeight="1" ht="18.75">
      <c r="A43" s="45">
        <v>45775</v>
      </c>
      <c r="B43" s="46">
        <f>IF(A43&gt;TODAY(),"",IFERROR(VLOOKUP($A43,'Category &amp; Range Wise Outward'!$A:$C,3,0)*'Rate Card'!$L$2,0))</f>
      </c>
      <c r="C43" s="44">
        <f>IF(A43&gt;TODAY(),"",VLOOKUP(A43,'Category &amp; Range Wise Outward'!A43:R118,16,0)*'Rate Card'!$I$3+VLOOKUP(A43,'Category &amp; Range Wise Outward'!A43:R118,17,0)*'Rate Card'!$I$5+VLOOKUP(A43,'Category &amp; Range Wise Outward'!A43:R118,18,0)*'Rate Card'!$I$4)</f>
      </c>
      <c r="D43" s="44">
        <f>IF($A43&gt;TODAY(),"",SUMIF('Vehicle Readings'!$A:$A,'Expense Sheet'!$A43,'Vehicle Readings'!$I:$I)+SUMIF('Market Vehicle Data'!$A:$A,'Expense Sheet'!A43,'Market Vehicle Data'!$G:$G))</f>
      </c>
      <c r="E43" s="46">
        <f>IF($A43&gt;TODAY(),"",12000/DAY(EOMONTH(A43,0)))</f>
      </c>
      <c r="F43" s="46">
        <f>IF($A43&gt;TODAY(),"",SUM(B43:E43))</f>
      </c>
    </row>
    <row x14ac:dyDescent="0.25" r="44" customHeight="1" ht="18.75">
      <c r="A44" s="45">
        <v>45776</v>
      </c>
      <c r="B44" s="46">
        <f>IF(A44&gt;TODAY(),"",IFERROR(VLOOKUP($A44,'Category &amp; Range Wise Outward'!$A:$C,3,0)*'Rate Card'!$L$2,0))</f>
      </c>
      <c r="C44" s="44">
        <f>IF(A44&gt;TODAY(),"",VLOOKUP(A44,'Category &amp; Range Wise Outward'!A44:R119,16,0)*'Rate Card'!$I$3+VLOOKUP(A44,'Category &amp; Range Wise Outward'!A44:R119,17,0)*'Rate Card'!$I$5+VLOOKUP(A44,'Category &amp; Range Wise Outward'!A44:R119,18,0)*'Rate Card'!$I$4)</f>
      </c>
      <c r="D44" s="44">
        <f>IF($A44&gt;TODAY(),"",SUMIF('Vehicle Readings'!$A:$A,'Expense Sheet'!$A44,'Vehicle Readings'!$I:$I)+SUMIF('Market Vehicle Data'!$A:$A,'Expense Sheet'!A44,'Market Vehicle Data'!$G:$G))</f>
      </c>
      <c r="E44" s="46">
        <f>IF($A44&gt;TODAY(),"",12000/DAY(EOMONTH(A44,0)))</f>
      </c>
      <c r="F44" s="46">
        <f>IF($A44&gt;TODAY(),"",SUM(B44:E44))</f>
      </c>
    </row>
    <row x14ac:dyDescent="0.25" r="45" customHeight="1" ht="18.75">
      <c r="A45" s="45">
        <v>45777</v>
      </c>
      <c r="B45" s="46">
        <f>IF(A45&gt;TODAY(),"",IFERROR(VLOOKUP($A45,'Category &amp; Range Wise Outward'!$A:$C,3,0)*'Rate Card'!$L$2,0))</f>
      </c>
      <c r="C45" s="44">
        <f>IF(A45&gt;TODAY(),"",VLOOKUP(A45,'Category &amp; Range Wise Outward'!A45:R120,16,0)*'Rate Card'!$I$3+VLOOKUP(A45,'Category &amp; Range Wise Outward'!A45:R120,17,0)*'Rate Card'!$I$5+VLOOKUP(A45,'Category &amp; Range Wise Outward'!A45:R120,18,0)*'Rate Card'!$I$4)</f>
      </c>
      <c r="D45" s="44">
        <f>IF($A45&gt;TODAY(),"",SUMIF('Vehicle Readings'!$A:$A,'Expense Sheet'!$A45,'Vehicle Readings'!$I:$I)+SUMIF('Market Vehicle Data'!$A:$A,'Expense Sheet'!A45,'Market Vehicle Data'!$G:$G))</f>
      </c>
      <c r="E45" s="46">
        <f>IF($A45&gt;TODAY(),"",12000/DAY(EOMONTH(A45,0)))</f>
      </c>
      <c r="F45" s="46">
        <f>IF($A45&gt;TODAY(),"",SUM(B45:E45))</f>
      </c>
    </row>
    <row x14ac:dyDescent="0.25" r="46" customHeight="1" ht="18.75">
      <c r="A46" s="45">
        <v>45778</v>
      </c>
      <c r="B46" s="46">
        <f>IF(A46&gt;TODAY(),"",IFERROR(VLOOKUP($A46,'Category &amp; Range Wise Outward'!$A:$C,3,0)*'Rate Card'!$L$2,0))</f>
      </c>
      <c r="C46" s="44">
        <f>IF(A46&gt;TODAY(),"",VLOOKUP(A46,'Category &amp; Range Wise Outward'!A46:R121,16,0)*'Rate Card'!$I$3+VLOOKUP(A46,'Category &amp; Range Wise Outward'!A46:R121,17,0)*'Rate Card'!$I$5+VLOOKUP(A46,'Category &amp; Range Wise Outward'!A46:R121,18,0)*'Rate Card'!$I$4)</f>
      </c>
      <c r="D46" s="44">
        <f>IF($A46&gt;TODAY(),"",SUMIF('Vehicle Readings'!$A:$A,'Expense Sheet'!$A46,'Vehicle Readings'!$I:$I)+SUMIF('Market Vehicle Data'!$A:$A,'Expense Sheet'!A46,'Market Vehicle Data'!$G:$G))</f>
      </c>
      <c r="E46" s="46">
        <f>IF($A46&gt;TODAY(),"",12000/DAY(EOMONTH(A46,0)))</f>
      </c>
      <c r="F46" s="46">
        <f>IF($A46&gt;TODAY(),"",SUM(B46:E46))</f>
      </c>
    </row>
    <row x14ac:dyDescent="0.25" r="47" customHeight="1" ht="18.75">
      <c r="A47" s="45">
        <v>45779</v>
      </c>
      <c r="B47" s="46">
        <f>IF(A47&gt;TODAY(),"",IFERROR(VLOOKUP($A47,'Category &amp; Range Wise Outward'!$A:$C,3,0)*'Rate Card'!$L$2,0))</f>
      </c>
      <c r="C47" s="44">
        <f>IF(A47&gt;TODAY(),"",VLOOKUP(A47,'Category &amp; Range Wise Outward'!A47:R122,16,0)*'Rate Card'!$I$3+VLOOKUP(A47,'Category &amp; Range Wise Outward'!A47:R122,17,0)*'Rate Card'!$I$5+VLOOKUP(A47,'Category &amp; Range Wise Outward'!A47:R122,18,0)*'Rate Card'!$I$4)</f>
      </c>
      <c r="D47" s="44">
        <f>IF($A47&gt;TODAY(),"",SUMIF('Vehicle Readings'!$A:$A,'Expense Sheet'!$A47,'Vehicle Readings'!$I:$I)+SUMIF('Market Vehicle Data'!$A:$A,'Expense Sheet'!A47,'Market Vehicle Data'!$G:$G))</f>
      </c>
      <c r="E47" s="46">
        <f>IF($A47&gt;TODAY(),"",12000/DAY(EOMONTH(A47,0)))</f>
      </c>
      <c r="F47" s="46">
        <f>IF($A47&gt;TODAY(),"",SUM(B47:E47))</f>
      </c>
    </row>
    <row x14ac:dyDescent="0.25" r="48" customHeight="1" ht="18.75">
      <c r="A48" s="45">
        <v>45780</v>
      </c>
      <c r="B48" s="46">
        <f>IF(A48&gt;TODAY(),"",IFERROR(VLOOKUP($A48,'Category &amp; Range Wise Outward'!$A:$C,3,0)*'Rate Card'!$L$2,0))</f>
      </c>
      <c r="C48" s="44">
        <f>IF(A48&gt;TODAY(),"",VLOOKUP(A48,'Category &amp; Range Wise Outward'!A48:R123,16,0)*'Rate Card'!$I$3+VLOOKUP(A48,'Category &amp; Range Wise Outward'!A48:R123,17,0)*'Rate Card'!$I$5+VLOOKUP(A48,'Category &amp; Range Wise Outward'!A48:R123,18,0)*'Rate Card'!$I$4)</f>
      </c>
      <c r="D48" s="44">
        <f>IF($A48&gt;TODAY(),"",SUMIF('Vehicle Readings'!$A:$A,'Expense Sheet'!$A48,'Vehicle Readings'!$I:$I)+SUMIF('Market Vehicle Data'!$A:$A,'Expense Sheet'!A48,'Market Vehicle Data'!$G:$G))</f>
      </c>
      <c r="E48" s="46">
        <f>IF($A48&gt;TODAY(),"",12000/DAY(EOMONTH(A48,0)))</f>
      </c>
      <c r="F48" s="46">
        <f>IF($A48&gt;TODAY(),"",SUM(B48:E48))</f>
      </c>
    </row>
    <row x14ac:dyDescent="0.25" r="49" customHeight="1" ht="18.75">
      <c r="A49" s="45">
        <v>45781</v>
      </c>
      <c r="B49" s="46">
        <f>IF(A49&gt;TODAY(),"",IFERROR(VLOOKUP($A49,'Category &amp; Range Wise Outward'!$A:$C,3,0)*'Rate Card'!$L$2,0))</f>
      </c>
      <c r="C49" s="44">
        <f>IF(A49&gt;TODAY(),"",VLOOKUP(A49,'Category &amp; Range Wise Outward'!A49:R124,16,0)*'Rate Card'!$I$3+VLOOKUP(A49,'Category &amp; Range Wise Outward'!A49:R124,17,0)*'Rate Card'!$I$5+VLOOKUP(A49,'Category &amp; Range Wise Outward'!A49:R124,18,0)*'Rate Card'!$I$4)</f>
      </c>
      <c r="D49" s="44">
        <f>IF($A49&gt;TODAY(),"",SUMIF('Vehicle Readings'!$A:$A,'Expense Sheet'!$A49,'Vehicle Readings'!$I:$I)+SUMIF('Market Vehicle Data'!$A:$A,'Expense Sheet'!A49,'Market Vehicle Data'!$G:$G))</f>
      </c>
      <c r="E49" s="46">
        <f>IF($A49&gt;TODAY(),"",12000/DAY(EOMONTH(A49,0)))</f>
      </c>
      <c r="F49" s="46">
        <f>IF($A49&gt;TODAY(),"",SUM(B49:E49))</f>
      </c>
    </row>
    <row x14ac:dyDescent="0.25" r="50" customHeight="1" ht="18.75">
      <c r="A50" s="45">
        <v>45782</v>
      </c>
      <c r="B50" s="46">
        <f>IF(A50&gt;TODAY(),"",IFERROR(VLOOKUP($A50,'Category &amp; Range Wise Outward'!$A:$C,3,0)*'Rate Card'!$L$2,0))</f>
      </c>
      <c r="C50" s="44">
        <f>IF(A50&gt;TODAY(),"",VLOOKUP(A50,'Category &amp; Range Wise Outward'!A50:R125,16,0)*'Rate Card'!$I$3+VLOOKUP(A50,'Category &amp; Range Wise Outward'!A50:R125,17,0)*'Rate Card'!$I$5+VLOOKUP(A50,'Category &amp; Range Wise Outward'!A50:R125,18,0)*'Rate Card'!$I$4)</f>
      </c>
      <c r="D50" s="44">
        <f>IF($A50&gt;TODAY(),"",SUMIF('Vehicle Readings'!$A:$A,'Expense Sheet'!$A50,'Vehicle Readings'!$I:$I)+SUMIF('Market Vehicle Data'!$A:$A,'Expense Sheet'!A50,'Market Vehicle Data'!$G:$G))</f>
      </c>
      <c r="E50" s="46">
        <f>IF($A50&gt;TODAY(),"",12000/DAY(EOMONTH(A50,0)))</f>
      </c>
      <c r="F50" s="46">
        <f>IF($A50&gt;TODAY(),"",SUM(B50:E50))</f>
      </c>
    </row>
    <row x14ac:dyDescent="0.25" r="51" customHeight="1" ht="18.75">
      <c r="A51" s="45">
        <v>45783</v>
      </c>
      <c r="B51" s="46">
        <f>IF(A51&gt;TODAY(),"",IFERROR(VLOOKUP($A51,'Category &amp; Range Wise Outward'!$A:$C,3,0)*'Rate Card'!$L$2,0))</f>
      </c>
      <c r="C51" s="44">
        <f>IF(A51&gt;TODAY(),"",VLOOKUP(A51,'Category &amp; Range Wise Outward'!A51:R126,16,0)*'Rate Card'!$I$3+VLOOKUP(A51,'Category &amp; Range Wise Outward'!A51:R126,17,0)*'Rate Card'!$I$5+VLOOKUP(A51,'Category &amp; Range Wise Outward'!A51:R126,18,0)*'Rate Card'!$I$4)</f>
      </c>
      <c r="D51" s="44">
        <f>IF($A51&gt;TODAY(),"",SUMIF('Vehicle Readings'!$A:$A,'Expense Sheet'!$A51,'Vehicle Readings'!$I:$I)+SUMIF('Market Vehicle Data'!$A:$A,'Expense Sheet'!A51,'Market Vehicle Data'!$G:$G))</f>
      </c>
      <c r="E51" s="46">
        <f>IF($A51&gt;TODAY(),"",12000/DAY(EOMONTH(A51,0)))</f>
      </c>
      <c r="F51" s="46">
        <f>IF($A51&gt;TODAY(),"",SUM(B51:E51))</f>
      </c>
    </row>
    <row x14ac:dyDescent="0.25" r="52" customHeight="1" ht="18.75">
      <c r="A52" s="45">
        <v>45784</v>
      </c>
      <c r="B52" s="46">
        <f>IF(A52&gt;TODAY(),"",IFERROR(VLOOKUP($A52,'Category &amp; Range Wise Outward'!$A:$C,3,0)*'Rate Card'!$L$2,0))</f>
      </c>
      <c r="C52" s="44">
        <f>IF(A52&gt;TODAY(),"",VLOOKUP(A52,'Category &amp; Range Wise Outward'!A52:R127,16,0)*'Rate Card'!$I$3+VLOOKUP(A52,'Category &amp; Range Wise Outward'!A52:R127,17,0)*'Rate Card'!$I$5+VLOOKUP(A52,'Category &amp; Range Wise Outward'!A52:R127,18,0)*'Rate Card'!$I$4)</f>
      </c>
      <c r="D52" s="44">
        <f>IF($A52&gt;TODAY(),"",SUMIF('Vehicle Readings'!$A:$A,'Expense Sheet'!$A52,'Vehicle Readings'!$I:$I)+SUMIF('Market Vehicle Data'!$A:$A,'Expense Sheet'!A52,'Market Vehicle Data'!$G:$G))</f>
      </c>
      <c r="E52" s="46">
        <f>IF($A52&gt;TODAY(),"",12000/DAY(EOMONTH(A52,0)))</f>
      </c>
      <c r="F52" s="46">
        <f>IF($A52&gt;TODAY(),"",SUM(B52:E52))</f>
      </c>
    </row>
    <row x14ac:dyDescent="0.25" r="53" customHeight="1" ht="18.75">
      <c r="A53" s="45">
        <v>45785</v>
      </c>
      <c r="B53" s="46">
        <f>IF(A53&gt;TODAY(),"",IFERROR(VLOOKUP($A53,'Category &amp; Range Wise Outward'!$A:$C,3,0)*'Rate Card'!$L$2,0))</f>
      </c>
      <c r="C53" s="44">
        <f>IF(A53&gt;TODAY(),"",VLOOKUP(A53,'Category &amp; Range Wise Outward'!A53:R128,16,0)*'Rate Card'!$I$3+VLOOKUP(A53,'Category &amp; Range Wise Outward'!A53:R128,17,0)*'Rate Card'!$I$5+VLOOKUP(A53,'Category &amp; Range Wise Outward'!A53:R128,18,0)*'Rate Card'!$I$4)</f>
      </c>
      <c r="D53" s="44">
        <f>IF($A53&gt;TODAY(),"",SUMIF('Vehicle Readings'!$A:$A,'Expense Sheet'!$A53,'Vehicle Readings'!$I:$I)+SUMIF('Market Vehicle Data'!$A:$A,'Expense Sheet'!A53,'Market Vehicle Data'!$G:$G))</f>
      </c>
      <c r="E53" s="46">
        <f>IF($A53&gt;TODAY(),"",12000/DAY(EOMONTH(A53,0)))</f>
      </c>
      <c r="F53" s="46">
        <f>IF($A53&gt;TODAY(),"",SUM(B53:E53))</f>
      </c>
    </row>
    <row x14ac:dyDescent="0.25" r="54" customHeight="1" ht="18.75">
      <c r="A54" s="45">
        <v>45786</v>
      </c>
      <c r="B54" s="46">
        <f>IF(A54&gt;TODAY(),"",IFERROR(VLOOKUP($A54,'Category &amp; Range Wise Outward'!$A:$C,3,0)*'Rate Card'!$L$2,0))</f>
      </c>
      <c r="C54" s="44">
        <f>IF(A54&gt;TODAY(),"",VLOOKUP(A54,'Category &amp; Range Wise Outward'!A54:R129,16,0)*'Rate Card'!$I$3+VLOOKUP(A54,'Category &amp; Range Wise Outward'!A54:R129,17,0)*'Rate Card'!$I$5+VLOOKUP(A54,'Category &amp; Range Wise Outward'!A54:R129,18,0)*'Rate Card'!$I$4)</f>
      </c>
      <c r="D54" s="44">
        <f>IF($A54&gt;TODAY(),"",SUMIF('Vehicle Readings'!$A:$A,'Expense Sheet'!$A54,'Vehicle Readings'!$I:$I)+SUMIF('Market Vehicle Data'!$A:$A,'Expense Sheet'!A54,'Market Vehicle Data'!$G:$G))</f>
      </c>
      <c r="E54" s="46">
        <f>IF($A54&gt;TODAY(),"",12000/DAY(EOMONTH(A54,0)))</f>
      </c>
      <c r="F54" s="46">
        <f>IF($A54&gt;TODAY(),"",SUM(B54:E54))</f>
      </c>
    </row>
    <row x14ac:dyDescent="0.25" r="55" customHeight="1" ht="18.75">
      <c r="A55" s="45">
        <v>45787</v>
      </c>
      <c r="B55" s="46">
        <f>IF(A55&gt;TODAY(),"",IFERROR(VLOOKUP($A55,'Category &amp; Range Wise Outward'!$A:$C,3,0)*'Rate Card'!$L$2,0))</f>
      </c>
      <c r="C55" s="44">
        <f>IF(A55&gt;TODAY(),"",VLOOKUP(A55,'Category &amp; Range Wise Outward'!A55:R130,16,0)*'Rate Card'!$I$3+VLOOKUP(A55,'Category &amp; Range Wise Outward'!A55:R130,17,0)*'Rate Card'!$I$5+VLOOKUP(A55,'Category &amp; Range Wise Outward'!A55:R130,18,0)*'Rate Card'!$I$4)</f>
      </c>
      <c r="D55" s="44">
        <f>IF($A55&gt;TODAY(),"",SUMIF('Vehicle Readings'!$A:$A,'Expense Sheet'!$A55,'Vehicle Readings'!$I:$I)+SUMIF('Market Vehicle Data'!$A:$A,'Expense Sheet'!A55,'Market Vehicle Data'!$G:$G))</f>
      </c>
      <c r="E55" s="46">
        <f>IF($A55&gt;TODAY(),"",12000/DAY(EOMONTH(A55,0)))</f>
      </c>
      <c r="F55" s="46">
        <f>IF($A55&gt;TODAY(),"",SUM(B55:E55))</f>
      </c>
    </row>
    <row x14ac:dyDescent="0.25" r="56" customHeight="1" ht="18.75">
      <c r="A56" s="45">
        <v>45788</v>
      </c>
      <c r="B56" s="46">
        <f>IF(A56&gt;TODAY(),"",IFERROR(VLOOKUP($A56,'Category &amp; Range Wise Outward'!$A:$C,3,0)*'Rate Card'!$L$2,0))</f>
      </c>
      <c r="C56" s="44">
        <f>IF(A56&gt;TODAY(),"",VLOOKUP(A56,'Category &amp; Range Wise Outward'!A56:R131,16,0)*'Rate Card'!$I$3+VLOOKUP(A56,'Category &amp; Range Wise Outward'!A56:R131,17,0)*'Rate Card'!$I$5+VLOOKUP(A56,'Category &amp; Range Wise Outward'!A56:R131,18,0)*'Rate Card'!$I$4)</f>
      </c>
      <c r="D56" s="44">
        <f>IF($A56&gt;TODAY(),"",SUMIF('Vehicle Readings'!$A:$A,'Expense Sheet'!$A56,'Vehicle Readings'!$I:$I)+SUMIF('Market Vehicle Data'!$A:$A,'Expense Sheet'!A56,'Market Vehicle Data'!$G:$G))</f>
      </c>
      <c r="E56" s="46">
        <f>IF($A56&gt;TODAY(),"",12000/DAY(EOMONTH(A56,0)))</f>
      </c>
      <c r="F56" s="46">
        <f>IF($A56&gt;TODAY(),"",SUM(B56:E56))</f>
      </c>
    </row>
    <row x14ac:dyDescent="0.25" r="57" customHeight="1" ht="18.75">
      <c r="A57" s="45">
        <v>45789</v>
      </c>
      <c r="B57" s="46">
        <f>IF(A57&gt;TODAY(),"",IFERROR(VLOOKUP($A57,'Category &amp; Range Wise Outward'!$A:$C,3,0)*'Rate Card'!$L$2,0))</f>
      </c>
      <c r="C57" s="44">
        <f>IF(A57&gt;TODAY(),"",VLOOKUP(A57,'Category &amp; Range Wise Outward'!A57:R132,16,0)*'Rate Card'!$I$3+VLOOKUP(A57,'Category &amp; Range Wise Outward'!A57:R132,17,0)*'Rate Card'!$I$5+VLOOKUP(A57,'Category &amp; Range Wise Outward'!A57:R132,18,0)*'Rate Card'!$I$4)</f>
      </c>
      <c r="D57" s="44">
        <f>IF($A57&gt;TODAY(),"",SUMIF('Vehicle Readings'!$A:$A,'Expense Sheet'!$A57,'Vehicle Readings'!$I:$I)+SUMIF('Market Vehicle Data'!$A:$A,'Expense Sheet'!A57,'Market Vehicle Data'!$G:$G))</f>
      </c>
      <c r="E57" s="46">
        <f>IF($A57&gt;TODAY(),"",12000/DAY(EOMONTH(A57,0)))</f>
      </c>
      <c r="F57" s="46">
        <f>IF($A57&gt;TODAY(),"",SUM(B57:E57))</f>
      </c>
    </row>
    <row x14ac:dyDescent="0.25" r="58" customHeight="1" ht="18.75">
      <c r="A58" s="45">
        <v>45790</v>
      </c>
      <c r="B58" s="46">
        <f>IF(A58&gt;TODAY(),"",IFERROR(VLOOKUP($A58,'Category &amp; Range Wise Outward'!$A:$C,3,0)*'Rate Card'!$L$2,0))</f>
      </c>
      <c r="C58" s="44">
        <f>IF(A58&gt;TODAY(),"",VLOOKUP(A58,'Category &amp; Range Wise Outward'!A58:R133,16,0)*'Rate Card'!$I$3+VLOOKUP(A58,'Category &amp; Range Wise Outward'!A58:R133,17,0)*'Rate Card'!$I$5+VLOOKUP(A58,'Category &amp; Range Wise Outward'!A58:R133,18,0)*'Rate Card'!$I$4)</f>
      </c>
      <c r="D58" s="44">
        <f>IF($A58&gt;TODAY(),"",SUMIF('Vehicle Readings'!$A:$A,'Expense Sheet'!$A58,'Vehicle Readings'!$I:$I)+SUMIF('Market Vehicle Data'!$A:$A,'Expense Sheet'!A58,'Market Vehicle Data'!$G:$G))</f>
      </c>
      <c r="E58" s="46">
        <f>IF($A58&gt;TODAY(),"",12000/DAY(EOMONTH(A58,0)))</f>
      </c>
      <c r="F58" s="46">
        <f>IF($A58&gt;TODAY(),"",SUM(B58:E58))</f>
      </c>
    </row>
    <row x14ac:dyDescent="0.25" r="59" customHeight="1" ht="18.75">
      <c r="A59" s="45">
        <v>45791</v>
      </c>
      <c r="B59" s="46">
        <f>IF(A59&gt;TODAY(),"",IFERROR(VLOOKUP($A59,'Category &amp; Range Wise Outward'!$A:$C,3,0)*'Rate Card'!$L$2,0))</f>
      </c>
      <c r="C59" s="44">
        <f>IF(A59&gt;TODAY(),"",VLOOKUP(A59,'Category &amp; Range Wise Outward'!A59:R134,16,0)*'Rate Card'!$I$3+VLOOKUP(A59,'Category &amp; Range Wise Outward'!A59:R134,17,0)*'Rate Card'!$I$5+VLOOKUP(A59,'Category &amp; Range Wise Outward'!A59:R134,18,0)*'Rate Card'!$I$4)</f>
      </c>
      <c r="D59" s="44">
        <f>IF($A59&gt;TODAY(),"",SUMIF('Vehicle Readings'!$A:$A,'Expense Sheet'!$A59,'Vehicle Readings'!$I:$I)+SUMIF('Market Vehicle Data'!$A:$A,'Expense Sheet'!A59,'Market Vehicle Data'!$G:$G))</f>
      </c>
      <c r="E59" s="46">
        <f>IF($A59&gt;TODAY(),"",12000/DAY(EOMONTH(A59,0)))</f>
      </c>
      <c r="F59" s="46">
        <f>IF($A59&gt;TODAY(),"",SUM(B59:E59))</f>
      </c>
    </row>
    <row x14ac:dyDescent="0.25" r="60" customHeight="1" ht="18.75">
      <c r="A60" s="45">
        <v>45792</v>
      </c>
      <c r="B60" s="46">
        <f>IF(A60&gt;TODAY(),"",IFERROR(VLOOKUP($A60,'Category &amp; Range Wise Outward'!$A:$C,3,0)*'Rate Card'!$L$2,0))</f>
      </c>
      <c r="C60" s="44">
        <f>IF(A60&gt;TODAY(),"",VLOOKUP(A60,'Category &amp; Range Wise Outward'!A60:R135,16,0)*'Rate Card'!$I$3+VLOOKUP(A60,'Category &amp; Range Wise Outward'!A60:R135,17,0)*'Rate Card'!$I$5+VLOOKUP(A60,'Category &amp; Range Wise Outward'!A60:R135,18,0)*'Rate Card'!$I$4)</f>
      </c>
      <c r="D60" s="44">
        <f>IF($A60&gt;TODAY(),"",SUMIF('Vehicle Readings'!$A:$A,'Expense Sheet'!$A60,'Vehicle Readings'!$I:$I)+SUMIF('Market Vehicle Data'!$A:$A,'Expense Sheet'!A60,'Market Vehicle Data'!$G:$G))</f>
      </c>
      <c r="E60" s="46">
        <f>IF($A60&gt;TODAY(),"",12000/DAY(EOMONTH(A60,0)))</f>
      </c>
      <c r="F60" s="46">
        <f>IF($A60&gt;TODAY(),"",SUM(B60:E60))</f>
      </c>
    </row>
    <row x14ac:dyDescent="0.25" r="61" customHeight="1" ht="18.75">
      <c r="A61" s="45">
        <v>45793</v>
      </c>
      <c r="B61" s="46">
        <f>IF(A61&gt;TODAY(),"",IFERROR(VLOOKUP($A61,'Category &amp; Range Wise Outward'!$A:$C,3,0)*'Rate Card'!$L$2,0))</f>
      </c>
      <c r="C61" s="44">
        <f>IF(A61&gt;TODAY(),"",VLOOKUP(A61,'Category &amp; Range Wise Outward'!A61:R136,16,0)*'Rate Card'!$I$3+VLOOKUP(A61,'Category &amp; Range Wise Outward'!A61:R136,17,0)*'Rate Card'!$I$5+VLOOKUP(A61,'Category &amp; Range Wise Outward'!A61:R136,18,0)*'Rate Card'!$I$4)</f>
      </c>
      <c r="D61" s="44">
        <f>IF($A61&gt;TODAY(),"",SUMIF('Vehicle Readings'!$A:$A,'Expense Sheet'!$A61,'Vehicle Readings'!$I:$I)+SUMIF('Market Vehicle Data'!$A:$A,'Expense Sheet'!A61,'Market Vehicle Data'!$G:$G))</f>
      </c>
      <c r="E61" s="46">
        <f>IF($A61&gt;TODAY(),"",12000/DAY(EOMONTH(A61,0)))</f>
      </c>
      <c r="F61" s="46">
        <f>IF($A61&gt;TODAY(),"",SUM(B61:E61))</f>
      </c>
    </row>
    <row x14ac:dyDescent="0.25" r="62" customHeight="1" ht="18.75">
      <c r="A62" s="45">
        <v>45794</v>
      </c>
      <c r="B62" s="46">
        <f>IF(A62&gt;TODAY(),"",IFERROR(VLOOKUP($A62,'Category &amp; Range Wise Outward'!$A:$C,3,0)*'Rate Card'!$L$2,0))</f>
      </c>
      <c r="C62" s="44">
        <f>IF(A62&gt;TODAY(),"",VLOOKUP(A62,'Category &amp; Range Wise Outward'!A62:R137,16,0)*'Rate Card'!$I$3+VLOOKUP(A62,'Category &amp; Range Wise Outward'!A62:R137,17,0)*'Rate Card'!$I$5+VLOOKUP(A62,'Category &amp; Range Wise Outward'!A62:R137,18,0)*'Rate Card'!$I$4)</f>
      </c>
      <c r="D62" s="44">
        <f>IF($A62&gt;TODAY(),"",SUMIF('Vehicle Readings'!$A:$A,'Expense Sheet'!$A62,'Vehicle Readings'!$I:$I)+SUMIF('Market Vehicle Data'!$A:$A,'Expense Sheet'!A62,'Market Vehicle Data'!$G:$G))</f>
      </c>
      <c r="E62" s="46">
        <f>IF($A62&gt;TODAY(),"",12000/DAY(EOMONTH(A62,0)))</f>
      </c>
      <c r="F62" s="46">
        <f>IF($A62&gt;TODAY(),"",SUM(B62:E62))</f>
      </c>
    </row>
    <row x14ac:dyDescent="0.25" r="63" customHeight="1" ht="18.75">
      <c r="A63" s="45">
        <v>45795</v>
      </c>
      <c r="B63" s="46">
        <f>IF(A63&gt;TODAY(),"",IFERROR(VLOOKUP($A63,'Category &amp; Range Wise Outward'!$A:$C,3,0)*'Rate Card'!$L$2,0))</f>
      </c>
      <c r="C63" s="44">
        <f>IF(A63&gt;TODAY(),"",VLOOKUP(A63,'Category &amp; Range Wise Outward'!A63:R138,16,0)*'Rate Card'!$I$3+VLOOKUP(A63,'Category &amp; Range Wise Outward'!A63:R138,17,0)*'Rate Card'!$I$5+VLOOKUP(A63,'Category &amp; Range Wise Outward'!A63:R138,18,0)*'Rate Card'!$I$4)</f>
      </c>
      <c r="D63" s="44">
        <f>IF($A63&gt;TODAY(),"",SUMIF('Vehicle Readings'!$A:$A,'Expense Sheet'!$A63,'Vehicle Readings'!$I:$I)+SUMIF('Market Vehicle Data'!$A:$A,'Expense Sheet'!A63,'Market Vehicle Data'!$G:$G))</f>
      </c>
      <c r="E63" s="46">
        <f>IF($A63&gt;TODAY(),"",12000/DAY(EOMONTH(A63,0)))</f>
      </c>
      <c r="F63" s="46">
        <f>IF($A63&gt;TODAY(),"",SUM(B63:E63))</f>
      </c>
    </row>
    <row x14ac:dyDescent="0.25" r="64" customHeight="1" ht="18.75">
      <c r="A64" s="45">
        <v>45796</v>
      </c>
      <c r="B64" s="46">
        <f>IF(A64&gt;TODAY(),"",IFERROR(VLOOKUP($A64,'Category &amp; Range Wise Outward'!$A:$C,3,0)*'Rate Card'!$L$2,0))</f>
      </c>
      <c r="C64" s="44">
        <f>IF(A64&gt;TODAY(),"",VLOOKUP(A64,'Category &amp; Range Wise Outward'!A64:R139,16,0)*'Rate Card'!$I$3+VLOOKUP(A64,'Category &amp; Range Wise Outward'!A64:R139,17,0)*'Rate Card'!$I$5+VLOOKUP(A64,'Category &amp; Range Wise Outward'!A64:R139,18,0)*'Rate Card'!$I$4)</f>
      </c>
      <c r="D64" s="44">
        <f>IF($A64&gt;TODAY(),"",SUMIF('Vehicle Readings'!$A:$A,'Expense Sheet'!$A64,'Vehicle Readings'!$I:$I)+SUMIF('Market Vehicle Data'!$A:$A,'Expense Sheet'!A64,'Market Vehicle Data'!$G:$G))</f>
      </c>
      <c r="E64" s="46">
        <f>IF($A64&gt;TODAY(),"",12000/DAY(EOMONTH(A64,0)))</f>
      </c>
      <c r="F64" s="46">
        <f>IF($A64&gt;TODAY(),"",SUM(B64:E64))</f>
      </c>
    </row>
    <row x14ac:dyDescent="0.25" r="65" customHeight="1" ht="18.75">
      <c r="A65" s="45">
        <v>45797</v>
      </c>
      <c r="B65" s="46">
        <f>IF(A65&gt;TODAY(),"",IFERROR(VLOOKUP($A65,'Category &amp; Range Wise Outward'!$A:$C,3,0)*'Rate Card'!$L$2,0))</f>
      </c>
      <c r="C65" s="44">
        <f>IF(A65&gt;TODAY(),"",VLOOKUP(A65,'Category &amp; Range Wise Outward'!A65:R140,16,0)*'Rate Card'!$I$3+VLOOKUP(A65,'Category &amp; Range Wise Outward'!A65:R140,17,0)*'Rate Card'!$I$5+VLOOKUP(A65,'Category &amp; Range Wise Outward'!A65:R140,18,0)*'Rate Card'!$I$4)</f>
      </c>
      <c r="D65" s="44">
        <f>IF($A65&gt;TODAY(),"",SUMIF('Vehicle Readings'!$A:$A,'Expense Sheet'!$A65,'Vehicle Readings'!$I:$I)+SUMIF('Market Vehicle Data'!$A:$A,'Expense Sheet'!A65,'Market Vehicle Data'!$G:$G))</f>
      </c>
      <c r="E65" s="46">
        <f>IF($A65&gt;TODAY(),"",12000/DAY(EOMONTH(A65,0)))</f>
      </c>
      <c r="F65" s="46">
        <f>IF($A65&gt;TODAY(),"",SUM(B65:E65))</f>
      </c>
    </row>
    <row x14ac:dyDescent="0.25" r="66" customHeight="1" ht="18.75">
      <c r="A66" s="45">
        <v>45798</v>
      </c>
      <c r="B66" s="46">
        <f>IF(A66&gt;TODAY(),"",IFERROR(VLOOKUP($A66,'Category &amp; Range Wise Outward'!$A:$C,3,0)*'Rate Card'!$L$2,0))</f>
      </c>
      <c r="C66" s="44">
        <f>IF(A66&gt;TODAY(),"",VLOOKUP(A66,'Category &amp; Range Wise Outward'!A66:R141,16,0)*'Rate Card'!$I$3+VLOOKUP(A66,'Category &amp; Range Wise Outward'!A66:R141,17,0)*'Rate Card'!$I$5+VLOOKUP(A66,'Category &amp; Range Wise Outward'!A66:R141,18,0)*'Rate Card'!$I$4)</f>
      </c>
      <c r="D66" s="44">
        <f>IF($A66&gt;TODAY(),"",SUMIF('Vehicle Readings'!$A:$A,'Expense Sheet'!$A66,'Vehicle Readings'!$I:$I)+SUMIF('Market Vehicle Data'!$A:$A,'Expense Sheet'!A66,'Market Vehicle Data'!$G:$G))</f>
      </c>
      <c r="E66" s="46">
        <f>IF($A66&gt;TODAY(),"",12000/DAY(EOMONTH(A66,0)))</f>
      </c>
      <c r="F66" s="46">
        <f>IF($A66&gt;TODAY(),"",SUM(B66:E66))</f>
      </c>
    </row>
    <row x14ac:dyDescent="0.25" r="67" customHeight="1" ht="18.75">
      <c r="A67" s="45">
        <v>45799</v>
      </c>
      <c r="B67" s="46">
        <f>IF(A67&gt;TODAY(),"",IFERROR(VLOOKUP($A67,'Category &amp; Range Wise Outward'!$A:$C,3,0)*'Rate Card'!$L$2,0))</f>
      </c>
      <c r="C67" s="44">
        <f>IF(A67&gt;TODAY(),"",VLOOKUP(A67,'Category &amp; Range Wise Outward'!A67:R142,16,0)*'Rate Card'!$I$3+VLOOKUP(A67,'Category &amp; Range Wise Outward'!A67:R142,17,0)*'Rate Card'!$I$5+VLOOKUP(A67,'Category &amp; Range Wise Outward'!A67:R142,18,0)*'Rate Card'!$I$4)</f>
      </c>
      <c r="D67" s="44">
        <f>IF($A67&gt;TODAY(),"",SUMIF('Vehicle Readings'!$A:$A,'Expense Sheet'!$A67,'Vehicle Readings'!$I:$I)+SUMIF('Market Vehicle Data'!$A:$A,'Expense Sheet'!A67,'Market Vehicle Data'!$G:$G))</f>
      </c>
      <c r="E67" s="46">
        <f>IF($A67&gt;TODAY(),"",12000/DAY(EOMONTH(A67,0)))</f>
      </c>
      <c r="F67" s="46">
        <f>IF($A67&gt;TODAY(),"",SUM(B67:E67))</f>
      </c>
    </row>
    <row x14ac:dyDescent="0.25" r="68" customHeight="1" ht="18.75">
      <c r="A68" s="45">
        <v>45800</v>
      </c>
      <c r="B68" s="46">
        <f>IF(A68&gt;TODAY(),"",IFERROR(VLOOKUP($A68,'Category &amp; Range Wise Outward'!$A:$C,3,0)*'Rate Card'!$L$2,0))</f>
      </c>
      <c r="C68" s="44">
        <f>IF(A68&gt;TODAY(),"",VLOOKUP(A68,'Category &amp; Range Wise Outward'!A68:R143,16,0)*'Rate Card'!$I$3+VLOOKUP(A68,'Category &amp; Range Wise Outward'!A68:R143,17,0)*'Rate Card'!$I$5+VLOOKUP(A68,'Category &amp; Range Wise Outward'!A68:R143,18,0)*'Rate Card'!$I$4)</f>
      </c>
      <c r="D68" s="44">
        <f>IF($A68&gt;TODAY(),"",SUMIF('Vehicle Readings'!$A:$A,'Expense Sheet'!$A68,'Vehicle Readings'!$I:$I)+SUMIF('Market Vehicle Data'!$A:$A,'Expense Sheet'!A68,'Market Vehicle Data'!$G:$G))</f>
      </c>
      <c r="E68" s="46">
        <f>IF($A68&gt;TODAY(),"",12000/DAY(EOMONTH(A68,0)))</f>
      </c>
      <c r="F68" s="46">
        <f>IF($A68&gt;TODAY(),"",SUM(B68:E68))</f>
      </c>
    </row>
    <row x14ac:dyDescent="0.25" r="69" customHeight="1" ht="18.75">
      <c r="A69" s="45">
        <v>45801</v>
      </c>
      <c r="B69" s="46">
        <f>IF(A69&gt;TODAY(),"",IFERROR(VLOOKUP($A69,'Category &amp; Range Wise Outward'!$A:$C,3,0)*'Rate Card'!$L$2,0))</f>
      </c>
      <c r="C69" s="44">
        <f>IF(A69&gt;TODAY(),"",VLOOKUP(A69,'Category &amp; Range Wise Outward'!A69:R144,16,0)*'Rate Card'!$I$3+VLOOKUP(A69,'Category &amp; Range Wise Outward'!A69:R144,17,0)*'Rate Card'!$I$5+VLOOKUP(A69,'Category &amp; Range Wise Outward'!A69:R144,18,0)*'Rate Card'!$I$4)</f>
      </c>
      <c r="D69" s="44">
        <f>IF($A69&gt;TODAY(),"",SUMIF('Vehicle Readings'!$A:$A,'Expense Sheet'!$A69,'Vehicle Readings'!$I:$I)+SUMIF('Market Vehicle Data'!$A:$A,'Expense Sheet'!A69,'Market Vehicle Data'!$G:$G))</f>
      </c>
      <c r="E69" s="46">
        <f>IF($A69&gt;TODAY(),"",12000/DAY(EOMONTH(A69,0)))</f>
      </c>
      <c r="F69" s="46">
        <f>IF($A69&gt;TODAY(),"",SUM(B69:E69))</f>
      </c>
    </row>
    <row x14ac:dyDescent="0.25" r="70" customHeight="1" ht="18.75">
      <c r="A70" s="45">
        <v>45802</v>
      </c>
      <c r="B70" s="46">
        <f>IF(A70&gt;TODAY(),"",IFERROR(VLOOKUP($A70,'Category &amp; Range Wise Outward'!$A:$C,3,0)*'Rate Card'!$L$2,0))</f>
      </c>
      <c r="C70" s="44">
        <f>IF(A70&gt;TODAY(),"",VLOOKUP(A70,'Category &amp; Range Wise Outward'!A70:R145,16,0)*'Rate Card'!$I$3+VLOOKUP(A70,'Category &amp; Range Wise Outward'!A70:R145,17,0)*'Rate Card'!$I$5+VLOOKUP(A70,'Category &amp; Range Wise Outward'!A70:R145,18,0)*'Rate Card'!$I$4)</f>
      </c>
      <c r="D70" s="44">
        <f>IF($A70&gt;TODAY(),"",SUMIF('Vehicle Readings'!$A:$A,'Expense Sheet'!$A70,'Vehicle Readings'!$I:$I)+SUMIF('Market Vehicle Data'!$A:$A,'Expense Sheet'!A70,'Market Vehicle Data'!$G:$G))</f>
      </c>
      <c r="E70" s="46">
        <f>IF($A70&gt;TODAY(),"",12000/DAY(EOMONTH(A70,0)))</f>
      </c>
      <c r="F70" s="46">
        <f>IF($A70&gt;TODAY(),"",SUM(B70:E70))</f>
      </c>
    </row>
    <row x14ac:dyDescent="0.25" r="71" customHeight="1" ht="18.75">
      <c r="A71" s="45">
        <v>45803</v>
      </c>
      <c r="B71" s="46">
        <f>IF(A71&gt;TODAY(),"",IFERROR(VLOOKUP($A71,'Category &amp; Range Wise Outward'!$A:$C,3,0)*'Rate Card'!$L$2,0))</f>
      </c>
      <c r="C71" s="44">
        <f>IF(A71&gt;TODAY(),"",VLOOKUP(A71,'Category &amp; Range Wise Outward'!A71:R146,16,0)*'Rate Card'!$I$3+VLOOKUP(A71,'Category &amp; Range Wise Outward'!A71:R146,17,0)*'Rate Card'!$I$5+VLOOKUP(A71,'Category &amp; Range Wise Outward'!A71:R146,18,0)*'Rate Card'!$I$4)</f>
      </c>
      <c r="D71" s="44">
        <f>IF($A71&gt;TODAY(),"",SUMIF('Vehicle Readings'!$A:$A,'Expense Sheet'!$A71,'Vehicle Readings'!$I:$I)+SUMIF('Market Vehicle Data'!$A:$A,'Expense Sheet'!A71,'Market Vehicle Data'!$G:$G))</f>
      </c>
      <c r="E71" s="46">
        <f>IF($A71&gt;TODAY(),"",12000/DAY(EOMONTH(A71,0)))</f>
      </c>
      <c r="F71" s="46">
        <f>IF($A71&gt;TODAY(),"",SUM(B71:E71))</f>
      </c>
    </row>
    <row x14ac:dyDescent="0.25" r="72" customHeight="1" ht="18.75">
      <c r="A72" s="45">
        <v>45804</v>
      </c>
      <c r="B72" s="46">
        <f>IF(A72&gt;TODAY(),"",IFERROR(VLOOKUP($A72,'Category &amp; Range Wise Outward'!$A:$C,3,0)*'Rate Card'!$L$2,0))</f>
      </c>
      <c r="C72" s="44">
        <f>IF(A72&gt;TODAY(),"",VLOOKUP(A72,'Category &amp; Range Wise Outward'!A72:R147,16,0)*'Rate Card'!$I$3+VLOOKUP(A72,'Category &amp; Range Wise Outward'!A72:R147,17,0)*'Rate Card'!$I$5+VLOOKUP(A72,'Category &amp; Range Wise Outward'!A72:R147,18,0)*'Rate Card'!$I$4)</f>
      </c>
      <c r="D72" s="44">
        <f>IF($A72&gt;TODAY(),"",SUMIF('Vehicle Readings'!$A:$A,'Expense Sheet'!$A72,'Vehicle Readings'!$I:$I)+SUMIF('Market Vehicle Data'!$A:$A,'Expense Sheet'!A72,'Market Vehicle Data'!$G:$G))</f>
      </c>
      <c r="E72" s="46">
        <f>IF($A72&gt;TODAY(),"",12000/DAY(EOMONTH(A72,0)))</f>
      </c>
      <c r="F72" s="46">
        <f>IF($A72&gt;TODAY(),"",SUM(B72:E72))</f>
      </c>
    </row>
    <row x14ac:dyDescent="0.25" r="73" customHeight="1" ht="18.75">
      <c r="A73" s="45">
        <v>45805</v>
      </c>
      <c r="B73" s="46">
        <f>IF(A73&gt;TODAY(),"",IFERROR(VLOOKUP($A73,'Category &amp; Range Wise Outward'!$A:$C,3,0)*'Rate Card'!$L$2,0))</f>
      </c>
      <c r="C73" s="44">
        <f>IF(A73&gt;TODAY(),"",VLOOKUP(A73,'Category &amp; Range Wise Outward'!A73:R148,16,0)*'Rate Card'!$I$3+VLOOKUP(A73,'Category &amp; Range Wise Outward'!A73:R148,17,0)*'Rate Card'!$I$5+VLOOKUP(A73,'Category &amp; Range Wise Outward'!A73:R148,18,0)*'Rate Card'!$I$4)</f>
      </c>
      <c r="D73" s="44">
        <f>IF($A73&gt;TODAY(),"",SUMIF('Vehicle Readings'!$A:$A,'Expense Sheet'!$A73,'Vehicle Readings'!$I:$I)+SUMIF('Market Vehicle Data'!$A:$A,'Expense Sheet'!A73,'Market Vehicle Data'!$G:$G))</f>
      </c>
      <c r="E73" s="46">
        <f>IF($A73&gt;TODAY(),"",12000/DAY(EOMONTH(A73,0)))</f>
      </c>
      <c r="F73" s="46">
        <f>IF($A73&gt;TODAY(),"",SUM(B73:E73))</f>
      </c>
    </row>
    <row x14ac:dyDescent="0.25" r="74" customHeight="1" ht="18.75">
      <c r="A74" s="45">
        <v>45806</v>
      </c>
      <c r="B74" s="46">
        <f>IF(A74&gt;TODAY(),"",IFERROR(VLOOKUP($A74,'Category &amp; Range Wise Outward'!$A:$C,3,0)*'Rate Card'!$L$2,0))</f>
      </c>
      <c r="C74" s="44">
        <f>IF(A74&gt;TODAY(),"",VLOOKUP(A74,'Category &amp; Range Wise Outward'!A74:R149,16,0)*'Rate Card'!$I$3+VLOOKUP(A74,'Category &amp; Range Wise Outward'!A74:R149,17,0)*'Rate Card'!$I$5+VLOOKUP(A74,'Category &amp; Range Wise Outward'!A74:R149,18,0)*'Rate Card'!$I$4)</f>
      </c>
      <c r="D74" s="44">
        <f>IF($A74&gt;TODAY(),"",SUMIF('Vehicle Readings'!$A:$A,'Expense Sheet'!$A74,'Vehicle Readings'!$I:$I)+SUMIF('Market Vehicle Data'!$A:$A,'Expense Sheet'!A74,'Market Vehicle Data'!$G:$G))</f>
      </c>
      <c r="E74" s="46">
        <f>IF($A74&gt;TODAY(),"",12000/DAY(EOMONTH(A74,0)))</f>
      </c>
      <c r="F74" s="46">
        <f>IF($A74&gt;TODAY(),"",SUM(B74:E74))</f>
      </c>
    </row>
    <row x14ac:dyDescent="0.25" r="75" customHeight="1" ht="18.75">
      <c r="A75" s="45">
        <v>45807</v>
      </c>
      <c r="B75" s="46">
        <f>IF(A75&gt;TODAY(),"",IFERROR(VLOOKUP($A75,'Category &amp; Range Wise Outward'!$A:$C,3,0)*'Rate Card'!$L$2,0))</f>
      </c>
      <c r="C75" s="44">
        <f>IF(A75&gt;TODAY(),"",VLOOKUP(A75,'Category &amp; Range Wise Outward'!A75:R150,16,0)*'Rate Card'!$I$3+VLOOKUP(A75,'Category &amp; Range Wise Outward'!A75:R150,17,0)*'Rate Card'!$I$5+VLOOKUP(A75,'Category &amp; Range Wise Outward'!A75:R150,18,0)*'Rate Card'!$I$4)</f>
      </c>
      <c r="D75" s="44">
        <f>IF($A75&gt;TODAY(),"",SUMIF('Vehicle Readings'!$A:$A,'Expense Sheet'!$A75,'Vehicle Readings'!$I:$I)+SUMIF('Market Vehicle Data'!$A:$A,'Expense Sheet'!A75,'Market Vehicle Data'!$G:$G))</f>
      </c>
      <c r="E75" s="46">
        <f>IF($A75&gt;TODAY(),"",12000/DAY(EOMONTH(A75,0)))</f>
      </c>
      <c r="F75" s="46">
        <f>IF($A75&gt;TODAY(),"",SUM(B75:E75))</f>
      </c>
    </row>
    <row x14ac:dyDescent="0.25" r="76" customHeight="1" ht="18.75">
      <c r="A76" s="45">
        <v>45808</v>
      </c>
      <c r="B76" s="46">
        <f>IF(A76&gt;TODAY(),"",IFERROR(VLOOKUP($A76,'Category &amp; Range Wise Outward'!$A:$C,3,0)*'Rate Card'!$L$2,0))</f>
      </c>
      <c r="C76" s="44">
        <f>IF(A76&gt;TODAY(),"",VLOOKUP(A76,'Category &amp; Range Wise Outward'!A76:R151,16,0)*'Rate Card'!$I$3+VLOOKUP(A76,'Category &amp; Range Wise Outward'!A76:R151,17,0)*'Rate Card'!$I$5+VLOOKUP(A76,'Category &amp; Range Wise Outward'!A76:R151,18,0)*'Rate Card'!$I$4)</f>
      </c>
      <c r="D76" s="44">
        <f>IF($A76&gt;TODAY(),"",SUMIF('Vehicle Readings'!$A:$A,'Expense Sheet'!$A76,'Vehicle Readings'!$I:$I)+SUMIF('Market Vehicle Data'!$A:$A,'Expense Sheet'!A76,'Market Vehicle Data'!$G:$G))</f>
      </c>
      <c r="E76" s="46">
        <f>IF($A76&gt;TODAY(),"",12000/DAY(EOMONTH(A76,0)))</f>
      </c>
      <c r="F76" s="46">
        <f>IF($A76&gt;TODAY(),"",SUM(B76:E76))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0"/>
  <sheetViews>
    <sheetView workbookViewId="0"/>
  </sheetViews>
  <sheetFormatPr defaultRowHeight="15" x14ac:dyDescent="0.25"/>
  <cols>
    <col min="1" max="1" style="14" width="10.147857142857141" customWidth="1" bestFit="1"/>
    <col min="2" max="2" style="14" width="11.290714285714287" customWidth="1" bestFit="1"/>
    <col min="3" max="3" style="14" width="13.576428571428572" customWidth="1" bestFit="1"/>
  </cols>
  <sheetData>
    <row x14ac:dyDescent="0.25" r="1" customHeight="1" ht="18.75">
      <c r="A1" s="3" t="s">
        <v>36</v>
      </c>
      <c r="B1" s="3" t="s">
        <v>37</v>
      </c>
      <c r="C1" s="3"/>
    </row>
    <row x14ac:dyDescent="0.25" r="2" customHeight="1" ht="18.75">
      <c r="A2" s="33" t="s">
        <v>38</v>
      </c>
      <c r="B2" s="3"/>
      <c r="C2" s="3"/>
    </row>
    <row x14ac:dyDescent="0.25" r="3" customHeight="1" ht="18.75">
      <c r="A3" s="33" t="s">
        <v>39</v>
      </c>
      <c r="B3" s="3"/>
      <c r="C3" s="3"/>
    </row>
    <row x14ac:dyDescent="0.25" r="4" customHeight="1" ht="18.75">
      <c r="A4" s="33" t="s">
        <v>40</v>
      </c>
      <c r="B4" s="3"/>
      <c r="C4" s="3"/>
    </row>
    <row x14ac:dyDescent="0.25" r="5" customHeight="1" ht="18.75">
      <c r="A5" s="40" t="s">
        <v>41</v>
      </c>
      <c r="B5" s="3"/>
      <c r="C5" s="3"/>
    </row>
    <row x14ac:dyDescent="0.25" r="6" customHeight="1" ht="18.75">
      <c r="A6" s="33" t="s">
        <v>42</v>
      </c>
      <c r="B6" s="3"/>
      <c r="C6" s="3"/>
    </row>
    <row x14ac:dyDescent="0.25" r="7" customHeight="1" ht="18.75">
      <c r="A7" s="33" t="s">
        <v>43</v>
      </c>
      <c r="B7" s="3"/>
      <c r="C7" s="3"/>
    </row>
    <row x14ac:dyDescent="0.25" r="8" customHeight="1" ht="18.75">
      <c r="A8" s="33" t="s">
        <v>44</v>
      </c>
      <c r="B8" s="3"/>
      <c r="C8" s="3"/>
    </row>
    <row x14ac:dyDescent="0.25" r="9" customHeight="1" ht="18.75">
      <c r="A9" s="33" t="s">
        <v>45</v>
      </c>
      <c r="B9" s="3"/>
      <c r="C9" s="33"/>
    </row>
    <row x14ac:dyDescent="0.25" r="10" customHeight="1" ht="18.75">
      <c r="A10" s="33"/>
      <c r="B10" s="3"/>
      <c r="C10" s="3"/>
    </row>
    <row x14ac:dyDescent="0.25" r="11" customHeight="1" ht="18.75">
      <c r="A11" s="33"/>
      <c r="B11" s="3"/>
      <c r="C11" s="3"/>
    </row>
    <row x14ac:dyDescent="0.25" r="12" customHeight="1" ht="18.75">
      <c r="A12" s="33"/>
      <c r="B12" s="3"/>
      <c r="C12" s="3"/>
    </row>
    <row x14ac:dyDescent="0.25" r="13" customHeight="1" ht="18.75">
      <c r="A13" s="33"/>
      <c r="B13" s="3"/>
      <c r="C13" s="3"/>
    </row>
    <row x14ac:dyDescent="0.25" r="14" customHeight="1" ht="18.75">
      <c r="A14" s="33"/>
      <c r="B14" s="3"/>
      <c r="C14" s="3"/>
    </row>
    <row x14ac:dyDescent="0.25" r="15" customHeight="1" ht="18.75">
      <c r="A15" s="33"/>
      <c r="B15" s="3"/>
      <c r="C15" s="3"/>
    </row>
    <row x14ac:dyDescent="0.25" r="16" customHeight="1" ht="18.75">
      <c r="A16" s="33"/>
      <c r="B16" s="3"/>
      <c r="C16" s="3"/>
    </row>
    <row x14ac:dyDescent="0.25" r="17" customHeight="1" ht="18.75">
      <c r="A17" s="33"/>
      <c r="B17" s="3"/>
      <c r="C17" s="3"/>
    </row>
    <row x14ac:dyDescent="0.25" r="18" customHeight="1" ht="18.75">
      <c r="A18" s="33"/>
      <c r="B18" s="3"/>
      <c r="C18" s="3"/>
    </row>
    <row x14ac:dyDescent="0.25" r="19" customHeight="1" ht="18.75">
      <c r="A19" s="33"/>
      <c r="B19" s="3"/>
      <c r="C19" s="3"/>
    </row>
    <row x14ac:dyDescent="0.25" r="20" customHeight="1" ht="18.75">
      <c r="A20" s="33"/>
      <c r="B20" s="3"/>
      <c r="C20" s="3"/>
    </row>
    <row x14ac:dyDescent="0.25" r="21" customHeight="1" ht="18.75">
      <c r="A21" s="33"/>
      <c r="B21" s="3"/>
      <c r="C21" s="3"/>
    </row>
    <row x14ac:dyDescent="0.25" r="22" customHeight="1" ht="18.75">
      <c r="A22" s="33"/>
      <c r="B22" s="3"/>
      <c r="C22" s="3"/>
    </row>
    <row x14ac:dyDescent="0.25" r="23" customHeight="1" ht="18.75">
      <c r="A23" s="33"/>
      <c r="B23" s="3"/>
      <c r="C23" s="3"/>
    </row>
    <row x14ac:dyDescent="0.25" r="24" customHeight="1" ht="18.75">
      <c r="A24" s="33"/>
      <c r="B24" s="3"/>
      <c r="C24" s="3"/>
    </row>
    <row x14ac:dyDescent="0.25" r="25" customHeight="1" ht="18.75">
      <c r="A25" s="33"/>
      <c r="B25" s="3"/>
      <c r="C25" s="3"/>
    </row>
    <row x14ac:dyDescent="0.25" r="26" customHeight="1" ht="18.75">
      <c r="A26" s="33"/>
      <c r="B26" s="3"/>
      <c r="C26" s="3"/>
    </row>
    <row x14ac:dyDescent="0.25" r="27" customHeight="1" ht="18.75">
      <c r="A27" s="33"/>
      <c r="B27" s="3"/>
      <c r="C27" s="3"/>
    </row>
    <row x14ac:dyDescent="0.25" r="28" customHeight="1" ht="18.75">
      <c r="A28" s="33"/>
      <c r="B28" s="3"/>
      <c r="C28" s="3"/>
    </row>
    <row x14ac:dyDescent="0.25" r="29" customHeight="1" ht="18.75">
      <c r="A29" s="33"/>
      <c r="B29" s="3"/>
      <c r="C29" s="3"/>
    </row>
    <row x14ac:dyDescent="0.25" r="30" customHeight="1" ht="18.75">
      <c r="A30" s="33"/>
      <c r="B30" s="3"/>
      <c r="C30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4"/>
  <sheetViews>
    <sheetView workbookViewId="0"/>
  </sheetViews>
  <sheetFormatPr defaultRowHeight="15" x14ac:dyDescent="0.25"/>
  <cols>
    <col min="1" max="1" style="14" width="13.43357142857143" customWidth="1" bestFit="1"/>
    <col min="2" max="2" style="14" width="14.290714285714287" customWidth="1" bestFit="1"/>
    <col min="3" max="3" style="16" width="13.576428571428572" customWidth="1" bestFit="1"/>
  </cols>
  <sheetData>
    <row x14ac:dyDescent="0.25" r="1" customHeight="1" ht="18.75">
      <c r="A1" s="37" t="s">
        <v>33</v>
      </c>
      <c r="B1" s="37" t="s">
        <v>34</v>
      </c>
      <c r="C1" s="38" t="s">
        <v>35</v>
      </c>
    </row>
    <row x14ac:dyDescent="0.25" r="2" customHeight="1" ht="18.75">
      <c r="A2" s="3"/>
      <c r="B2" s="3" t="s">
        <v>10</v>
      </c>
      <c r="C2" s="39">
        <v>20</v>
      </c>
    </row>
    <row x14ac:dyDescent="0.25" r="3" customHeight="1" ht="18.75">
      <c r="A3" s="3"/>
      <c r="B3" s="3" t="s">
        <v>27</v>
      </c>
      <c r="C3" s="39">
        <v>20</v>
      </c>
    </row>
    <row x14ac:dyDescent="0.25" r="4" customHeight="1" ht="18.75">
      <c r="A4" s="3"/>
      <c r="B4" s="3" t="s">
        <v>15</v>
      </c>
      <c r="C4" s="39">
        <v>210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6"/>
  <sheetViews>
    <sheetView workbookViewId="0"/>
  </sheetViews>
  <sheetFormatPr defaultRowHeight="15" x14ac:dyDescent="0.25"/>
  <cols>
    <col min="1" max="1" style="14" width="13.576428571428572" customWidth="1" bestFit="1"/>
    <col min="2" max="2" style="14" width="10.43357142857143" customWidth="1" bestFit="1"/>
    <col min="3" max="3" style="35" width="11.147857142857141" customWidth="1" bestFit="1"/>
    <col min="4" max="4" style="35" width="12.290714285714287" customWidth="1" bestFit="1"/>
    <col min="5" max="5" style="35" width="11.43357142857143" customWidth="1" bestFit="1"/>
    <col min="6" max="6" style="14" width="13.576428571428572" customWidth="1" bestFit="1"/>
    <col min="7" max="7" style="14" width="12.43357142857143" customWidth="1" bestFit="1"/>
    <col min="8" max="8" style="15" width="22.14785714285714" customWidth="1" bestFit="1"/>
    <col min="9" max="9" style="36" width="14.290714285714287" customWidth="1" bestFit="1"/>
    <col min="10" max="10" style="14" width="13.576428571428572" customWidth="1" bestFit="1"/>
    <col min="11" max="11" style="14" width="24.719285714285714" customWidth="1" bestFit="1"/>
    <col min="12" max="12" style="36" width="13.576428571428572" customWidth="1" bestFit="1"/>
  </cols>
  <sheetData>
    <row x14ac:dyDescent="0.25" r="1" customHeight="1" ht="18.75">
      <c r="A1" s="3"/>
      <c r="B1" s="18" t="s">
        <v>1</v>
      </c>
      <c r="C1" s="19"/>
      <c r="D1" s="19"/>
      <c r="E1" s="19"/>
      <c r="F1" s="3"/>
      <c r="G1" s="20" t="s">
        <v>25</v>
      </c>
      <c r="H1" s="21"/>
      <c r="I1" s="22"/>
      <c r="J1" s="3"/>
      <c r="K1" s="3"/>
      <c r="L1" s="23"/>
    </row>
    <row x14ac:dyDescent="0.25" r="2" customHeight="1" ht="18.75">
      <c r="A2" s="3"/>
      <c r="B2" s="24" t="s">
        <v>26</v>
      </c>
      <c r="C2" s="25" t="s">
        <v>10</v>
      </c>
      <c r="D2" s="25" t="s">
        <v>27</v>
      </c>
      <c r="E2" s="25" t="s">
        <v>15</v>
      </c>
      <c r="F2" s="3"/>
      <c r="G2" s="26" t="s">
        <v>28</v>
      </c>
      <c r="H2" s="27" t="s">
        <v>29</v>
      </c>
      <c r="I2" s="28" t="s">
        <v>30</v>
      </c>
      <c r="J2" s="3"/>
      <c r="K2" s="26" t="s">
        <v>31</v>
      </c>
      <c r="L2" s="29">
        <v>95</v>
      </c>
    </row>
    <row x14ac:dyDescent="0.25" r="3" customHeight="1" ht="18.75">
      <c r="A3" s="3"/>
      <c r="B3" s="30" t="s">
        <v>11</v>
      </c>
      <c r="C3" s="31">
        <v>21</v>
      </c>
      <c r="D3" s="31">
        <v>21</v>
      </c>
      <c r="E3" s="32">
        <f>C3/20*210</f>
      </c>
      <c r="F3" s="3"/>
      <c r="G3" s="33" t="s">
        <v>10</v>
      </c>
      <c r="H3" s="34">
        <v>20</v>
      </c>
      <c r="I3" s="29">
        <v>5</v>
      </c>
      <c r="J3" s="3"/>
      <c r="K3" s="3"/>
      <c r="L3" s="23"/>
    </row>
    <row x14ac:dyDescent="0.25" r="4" customHeight="1" ht="18.75">
      <c r="A4" s="3"/>
      <c r="B4" s="30" t="s">
        <v>32</v>
      </c>
      <c r="C4" s="31">
        <v>40</v>
      </c>
      <c r="D4" s="31">
        <v>40</v>
      </c>
      <c r="E4" s="32">
        <f>C4/20*210</f>
      </c>
      <c r="F4" s="3"/>
      <c r="G4" s="33" t="s">
        <v>15</v>
      </c>
      <c r="H4" s="34">
        <v>210</v>
      </c>
      <c r="I4" s="29">
        <v>30</v>
      </c>
      <c r="J4" s="3"/>
      <c r="K4" s="3"/>
      <c r="L4" s="23"/>
    </row>
    <row x14ac:dyDescent="0.25" r="5" customHeight="1" ht="18.75">
      <c r="A5" s="3"/>
      <c r="B5" s="30" t="s">
        <v>19</v>
      </c>
      <c r="C5" s="31">
        <v>68</v>
      </c>
      <c r="D5" s="31">
        <v>68</v>
      </c>
      <c r="E5" s="32">
        <f>C5/20*210</f>
      </c>
      <c r="F5" s="3"/>
      <c r="G5" s="33" t="s">
        <v>27</v>
      </c>
      <c r="H5" s="34">
        <v>20</v>
      </c>
      <c r="I5" s="29">
        <v>5</v>
      </c>
      <c r="J5" s="3"/>
      <c r="K5" s="3"/>
      <c r="L5" s="23"/>
    </row>
    <row x14ac:dyDescent="0.25" r="6" customHeight="1" ht="18.75">
      <c r="A6" s="3"/>
      <c r="B6" s="30" t="s">
        <v>21</v>
      </c>
      <c r="C6" s="31">
        <v>103</v>
      </c>
      <c r="D6" s="31">
        <v>103</v>
      </c>
      <c r="E6" s="32">
        <f>C6/20*210</f>
      </c>
      <c r="F6" s="3"/>
      <c r="G6" s="3"/>
      <c r="H6" s="11"/>
      <c r="I6" s="23"/>
      <c r="J6" s="3"/>
      <c r="K6" s="3"/>
      <c r="L6" s="23"/>
    </row>
  </sheetData>
  <mergeCells count="2">
    <mergeCell ref="B1:C1"/>
    <mergeCell ref="G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9"/>
  <sheetViews>
    <sheetView workbookViewId="0"/>
  </sheetViews>
  <sheetFormatPr defaultRowHeight="15" x14ac:dyDescent="0.25"/>
  <cols>
    <col min="1" max="1" style="14" width="11.719285714285713" customWidth="1" bestFit="1"/>
    <col min="2" max="2" style="14" width="11.719285714285713" customWidth="1" bestFit="1"/>
    <col min="3" max="3" style="15" width="4.576428571428571" customWidth="1" bestFit="1"/>
    <col min="4" max="4" style="14" width="16.290714285714284" customWidth="1" bestFit="1"/>
    <col min="5" max="5" style="14" width="11.576428571428572" customWidth="1" bestFit="1"/>
    <col min="6" max="6" style="14" width="8.719285714285713" customWidth="1" bestFit="1"/>
    <col min="7" max="7" style="14" width="10.147857142857141" customWidth="1" bestFit="1"/>
    <col min="8" max="8" style="15" width="8.719285714285713" customWidth="1" bestFit="1"/>
    <col min="9" max="9" style="14" width="8.719285714285713" customWidth="1" bestFit="1"/>
    <col min="10" max="10" style="16" width="7.862142857142857" customWidth="1" bestFit="1"/>
    <col min="11" max="11" style="14" width="9.290714285714287" customWidth="1" bestFit="1"/>
    <col min="12" max="12" style="17" width="11.576428571428572" customWidth="1" bestFit="1"/>
    <col min="13" max="13" style="14" width="11.005" customWidth="1" bestFit="1"/>
    <col min="14" max="14" style="14" width="12.576428571428572" customWidth="1" bestFit="1"/>
    <col min="15" max="15" style="17" width="11.576428571428572" customWidth="1" bestFit="1"/>
    <col min="16" max="16" style="14" width="13.576428571428572" customWidth="1" bestFit="1"/>
    <col min="17" max="17" style="14" width="13.576428571428572" customWidth="1" bestFit="1"/>
  </cols>
  <sheetData>
    <row x14ac:dyDescent="0.25" r="1" customHeight="1" ht="18.75">
      <c r="A1" s="1" t="s">
        <v>0</v>
      </c>
      <c r="B1" s="1"/>
      <c r="C1" s="2" t="s">
        <v>1</v>
      </c>
      <c r="D1" s="1" t="s">
        <v>2</v>
      </c>
      <c r="E1" s="1" t="s">
        <v>3</v>
      </c>
      <c r="F1" s="3"/>
      <c r="G1" s="1" t="s">
        <v>4</v>
      </c>
      <c r="H1" s="2" t="s">
        <v>5</v>
      </c>
      <c r="I1" s="3"/>
      <c r="J1" s="2" t="s">
        <v>6</v>
      </c>
      <c r="K1" s="1" t="s">
        <v>2</v>
      </c>
      <c r="L1" s="4" t="s">
        <v>7</v>
      </c>
      <c r="M1" s="1" t="s">
        <v>8</v>
      </c>
      <c r="N1" s="3"/>
      <c r="O1" s="4" t="s">
        <v>7</v>
      </c>
      <c r="P1" s="3"/>
      <c r="Q1" s="5" t="s">
        <v>9</v>
      </c>
    </row>
    <row x14ac:dyDescent="0.25" r="2" customHeight="1" ht="18.75">
      <c r="A2" s="6" t="s">
        <v>4</v>
      </c>
      <c r="B2" s="6"/>
      <c r="C2" s="7"/>
      <c r="D2" s="6"/>
      <c r="E2" s="6"/>
      <c r="F2" s="3"/>
      <c r="G2" s="6" t="s">
        <v>10</v>
      </c>
      <c r="H2" s="8">
        <v>5</v>
      </c>
      <c r="I2" s="3"/>
      <c r="J2" s="8">
        <v>20</v>
      </c>
      <c r="K2" s="6" t="s">
        <v>11</v>
      </c>
      <c r="L2" s="9">
        <v>21</v>
      </c>
      <c r="M2" s="6" t="s">
        <v>12</v>
      </c>
      <c r="N2" s="10">
        <f>J2&amp;"-"&amp;K2</f>
      </c>
      <c r="O2" s="9">
        <v>21</v>
      </c>
      <c r="P2" s="3"/>
      <c r="Q2" s="6" t="s">
        <v>11</v>
      </c>
    </row>
    <row x14ac:dyDescent="0.25" r="3" customHeight="1" ht="18.75">
      <c r="A3" s="6" t="s">
        <v>13</v>
      </c>
      <c r="B3" s="6"/>
      <c r="C3" s="8">
        <v>95</v>
      </c>
      <c r="D3" s="6" t="s">
        <v>14</v>
      </c>
      <c r="E3" s="6"/>
      <c r="F3" s="3"/>
      <c r="G3" s="6" t="s">
        <v>15</v>
      </c>
      <c r="H3" s="8">
        <v>30</v>
      </c>
      <c r="I3" s="3"/>
      <c r="J3" s="8">
        <v>20</v>
      </c>
      <c r="K3" s="6" t="s">
        <v>16</v>
      </c>
      <c r="L3" s="9">
        <v>40</v>
      </c>
      <c r="M3" s="6" t="s">
        <v>12</v>
      </c>
      <c r="N3" s="10">
        <f>J3&amp;"-"&amp;K3</f>
      </c>
      <c r="O3" s="9">
        <v>40</v>
      </c>
      <c r="P3" s="3"/>
      <c r="Q3" s="6" t="s">
        <v>16</v>
      </c>
    </row>
    <row x14ac:dyDescent="0.25" r="4" customHeight="1" ht="18.75">
      <c r="A4" s="6" t="s">
        <v>17</v>
      </c>
      <c r="B4" s="6" t="s">
        <v>10</v>
      </c>
      <c r="C4" s="8">
        <v>5</v>
      </c>
      <c r="D4" s="6" t="s">
        <v>18</v>
      </c>
      <c r="E4" s="6"/>
      <c r="F4" s="3"/>
      <c r="G4" s="6"/>
      <c r="H4" s="7"/>
      <c r="I4" s="3"/>
      <c r="J4" s="8">
        <v>20</v>
      </c>
      <c r="K4" s="6" t="s">
        <v>19</v>
      </c>
      <c r="L4" s="9">
        <v>68</v>
      </c>
      <c r="M4" s="6" t="s">
        <v>12</v>
      </c>
      <c r="N4" s="10">
        <f>J4&amp;"-"&amp;K4</f>
      </c>
      <c r="O4" s="9">
        <v>68</v>
      </c>
      <c r="P4" s="3"/>
      <c r="Q4" s="6" t="s">
        <v>19</v>
      </c>
    </row>
    <row x14ac:dyDescent="0.25" r="5" customHeight="1" ht="18.75">
      <c r="A5" s="6"/>
      <c r="B5" s="6" t="s">
        <v>15</v>
      </c>
      <c r="C5" s="8">
        <v>30</v>
      </c>
      <c r="D5" s="6" t="s">
        <v>20</v>
      </c>
      <c r="E5" s="6"/>
      <c r="F5" s="3"/>
      <c r="G5" s="6"/>
      <c r="H5" s="7"/>
      <c r="I5" s="3"/>
      <c r="J5" s="8">
        <v>20</v>
      </c>
      <c r="K5" s="6" t="s">
        <v>21</v>
      </c>
      <c r="L5" s="9">
        <v>103</v>
      </c>
      <c r="M5" s="6" t="s">
        <v>12</v>
      </c>
      <c r="N5" s="10">
        <f>J5&amp;"-"&amp;K5</f>
      </c>
      <c r="O5" s="9">
        <v>103</v>
      </c>
      <c r="P5" s="3"/>
      <c r="Q5" s="6" t="s">
        <v>21</v>
      </c>
    </row>
    <row x14ac:dyDescent="0.25" r="6" customHeight="1" ht="18.75">
      <c r="A6" s="6" t="s">
        <v>22</v>
      </c>
      <c r="B6" s="6"/>
      <c r="C6" s="8">
        <v>31</v>
      </c>
      <c r="D6" s="6" t="s">
        <v>23</v>
      </c>
      <c r="E6" s="6" t="s">
        <v>24</v>
      </c>
      <c r="F6" s="3"/>
      <c r="G6" s="3"/>
      <c r="H6" s="11"/>
      <c r="I6" s="3"/>
      <c r="J6" s="8">
        <v>210</v>
      </c>
      <c r="K6" s="6" t="s">
        <v>11</v>
      </c>
      <c r="L6" s="12">
        <v>220.5</v>
      </c>
      <c r="M6" s="6" t="s">
        <v>20</v>
      </c>
      <c r="N6" s="10">
        <f>J6&amp;"-"&amp;K6</f>
      </c>
      <c r="O6" s="12">
        <v>220.5</v>
      </c>
      <c r="P6" s="3"/>
      <c r="Q6" s="3"/>
    </row>
    <row x14ac:dyDescent="0.25" r="7" customHeight="1" ht="18.75">
      <c r="A7" s="6"/>
      <c r="B7" s="6"/>
      <c r="C7" s="7"/>
      <c r="D7" s="6"/>
      <c r="E7" s="6"/>
      <c r="F7" s="3"/>
      <c r="G7" s="3"/>
      <c r="H7" s="11"/>
      <c r="I7" s="3"/>
      <c r="J7" s="13">
        <v>210</v>
      </c>
      <c r="K7" s="6" t="s">
        <v>16</v>
      </c>
      <c r="L7" s="12">
        <v>420</v>
      </c>
      <c r="M7" s="6" t="s">
        <v>20</v>
      </c>
      <c r="N7" s="10">
        <f>J7&amp;"-"&amp;K7</f>
      </c>
      <c r="O7" s="12">
        <v>420</v>
      </c>
      <c r="P7" s="3"/>
      <c r="Q7" s="3"/>
    </row>
    <row x14ac:dyDescent="0.25" r="8" customHeight="1" ht="18.75">
      <c r="A8" s="6"/>
      <c r="B8" s="6"/>
      <c r="C8" s="7"/>
      <c r="D8" s="6"/>
      <c r="E8" s="6"/>
      <c r="F8" s="3"/>
      <c r="G8" s="3"/>
      <c r="H8" s="11"/>
      <c r="I8" s="3"/>
      <c r="J8" s="13">
        <v>210</v>
      </c>
      <c r="K8" s="6" t="s">
        <v>19</v>
      </c>
      <c r="L8" s="12">
        <v>714</v>
      </c>
      <c r="M8" s="6" t="s">
        <v>20</v>
      </c>
      <c r="N8" s="10">
        <f>J8&amp;"-"&amp;K8</f>
      </c>
      <c r="O8" s="12">
        <v>714</v>
      </c>
      <c r="P8" s="3"/>
      <c r="Q8" s="3"/>
    </row>
    <row x14ac:dyDescent="0.25" r="9" customHeight="1" ht="18.75">
      <c r="A9" s="6"/>
      <c r="B9" s="6"/>
      <c r="C9" s="7"/>
      <c r="D9" s="6"/>
      <c r="E9" s="6"/>
      <c r="F9" s="3"/>
      <c r="G9" s="3"/>
      <c r="H9" s="11"/>
      <c r="I9" s="3"/>
      <c r="J9" s="13">
        <v>210</v>
      </c>
      <c r="K9" s="6" t="s">
        <v>21</v>
      </c>
      <c r="L9" s="12">
        <v>1081.5</v>
      </c>
      <c r="M9" s="6" t="s">
        <v>20</v>
      </c>
      <c r="N9" s="10">
        <f>J9&amp;"-"&amp;K9</f>
      </c>
      <c r="O9" s="12">
        <v>1081.5</v>
      </c>
      <c r="P9" s="3"/>
      <c r="Q9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14</vt:i4>
      </vt:variant>
    </vt:vector>
  </HeadingPairs>
  <TitlesOfParts>
    <vt:vector baseType="lpstr" size="14">
      <vt:lpstr>MIS</vt:lpstr>
      <vt:lpstr>OPs Data</vt:lpstr>
      <vt:lpstr>Market Vehicle Data</vt:lpstr>
      <vt:lpstr>Vehicle Readings</vt:lpstr>
      <vt:lpstr>Vehicle Master</vt:lpstr>
      <vt:lpstr>Category &amp;amp; Range Wise Outward</vt:lpstr>
      <vt:lpstr>Customer Master</vt:lpstr>
      <vt:lpstr>P&amp;amp;L</vt:lpstr>
      <vt:lpstr>Revenue Sheet</vt:lpstr>
      <vt:lpstr>Expense Sheet</vt:lpstr>
      <vt:lpstr>Driver Master</vt:lpstr>
      <vt:lpstr>Material Master</vt:lpstr>
      <vt:lpstr>Rate Card</vt:lpstr>
      <vt:lpstr>Masters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2025-11-09T20:35:14.189Z</dcterms:created>
  <dcterms:modified xsi:type="dcterms:W3CDTF">2025-11-09T20:35:14.190Z</dcterms:modified>
</cp:coreProperties>
</file>